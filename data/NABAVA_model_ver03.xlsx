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STAVKE" sheetId="1" state="visible" r:id="rId3"/>
    <sheet name="PODACI_ZALIHE" sheetId="2" state="visible" r:id="rId4"/>
    <sheet name="PODACI_PRODAJA" sheetId="3" state="visible" r:id="rId5"/>
    <sheet name="ROBA_U_DOLASKU" sheetId="4" state="visible" r:id="rId6"/>
    <sheet name="NABAVA" sheetId="5" state="visible" r:id="rId7"/>
  </sheets>
  <definedNames>
    <definedName function="false" hidden="true" localSheetId="4" name="_xlnm._FilterDatabase" vbProcedure="false">NABAVA!$A$4:$Q$934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<sst xmlns="http://schemas.openxmlformats.org/spreadsheetml/2006/main" count="4407" uniqueCount="1996">
  <si>
    <t xml:space="preserve">POSTAVKE MODELA</t>
  </si>
  <si>
    <t xml:space="preserve">Datum izvještaja</t>
  </si>
  <si>
    <t xml:space="preserve">Datum prethodnog izvoza</t>
  </si>
  <si>
    <t xml:space="preserve">Tranzit iz Kine (mjeseci)</t>
  </si>
  <si>
    <t xml:space="preserve">Sigurnosni prag (mjeseci)</t>
  </si>
  <si>
    <t xml:space="preserve">Broj završenih mjeseci prodaje</t>
  </si>
  <si>
    <t xml:space="preserve">Žuta polja se ručno mijenjaju. Sve ostalo se računa automatski.</t>
  </si>
  <si>
    <t xml:space="preserve">Prosjek se računa samo iz ZAVRŠENIH mjeseci (POSTAVKE B7).</t>
  </si>
  <si>
    <t xml:space="preserve">Artikal</t>
  </si>
  <si>
    <t xml:space="preserve">Naziv artikla</t>
  </si>
  <si>
    <t xml:space="preserve">Sifra dob.</t>
  </si>
  <si>
    <t xml:space="preserve">Naziv dobavljaca</t>
  </si>
  <si>
    <t xml:space="preserve">Zaliha prethodno</t>
  </si>
  <si>
    <t xml:space="preserve">Zaliha</t>
  </si>
  <si>
    <t xml:space="preserve">Izvor</t>
  </si>
  <si>
    <t xml:space="preserve">16958</t>
  </si>
  <si>
    <t xml:space="preserve">KERAMIČKI OVLAŽIVAČ ZRAKA ZA RADIJATOR 20x8.5x3.5 cm</t>
  </si>
  <si>
    <t xml:space="preserve">00617</t>
  </si>
  <si>
    <t xml:space="preserve">MIJEŠALICA ZA SUDOPER PROTOČNI BOJLER</t>
  </si>
  <si>
    <t xml:space="preserve">2974</t>
  </si>
  <si>
    <t xml:space="preserve">TAIZHOU MINUOTE SANITARY WARES CO.,LTD.</t>
  </si>
  <si>
    <t xml:space="preserve">00836</t>
  </si>
  <si>
    <t xml:space="preserve">GL11428 SIFON ZA TUŠ KADU LUX 60 mm</t>
  </si>
  <si>
    <t xml:space="preserve">3291</t>
  </si>
  <si>
    <t xml:space="preserve">TEHNOEXPORT D.O.O.</t>
  </si>
  <si>
    <t xml:space="preserve">16856</t>
  </si>
  <si>
    <t xml:space="preserve">MOHO WC MONOBLOK PODNI ODVOD 665x375x725 mm</t>
  </si>
  <si>
    <t xml:space="preserve">18749</t>
  </si>
  <si>
    <t xml:space="preserve">ZIDNI PANEL PVC NATURAL HRAST 3000x200x5 mm</t>
  </si>
  <si>
    <t xml:space="preserve">6931</t>
  </si>
  <si>
    <t xml:space="preserve">INTCO INTERNATIONAL (HK) CO., LIMITED</t>
  </si>
  <si>
    <t xml:space="preserve">00875</t>
  </si>
  <si>
    <t xml:space="preserve">SET KOTAČIĆA ZA TUŠ KABINE 4/1  SW</t>
  </si>
  <si>
    <t xml:space="preserve">4328</t>
  </si>
  <si>
    <t xml:space="preserve">HANGZHOU DUHUI IMPORT AND EXPORT CO.,LTD</t>
  </si>
  <si>
    <t xml:space="preserve">044450</t>
  </si>
  <si>
    <t xml:space="preserve">SIFON ZA UMIVAONIK 5/4 CRNI  MESING</t>
  </si>
  <si>
    <t xml:space="preserve">4826</t>
  </si>
  <si>
    <t xml:space="preserve">TAIZHOU NIXI SANITARY WARE CO.,LTD</t>
  </si>
  <si>
    <t xml:space="preserve">00893</t>
  </si>
  <si>
    <t xml:space="preserve">GLA011 PILETA ZA UMIVAONIK 5/4</t>
  </si>
  <si>
    <t xml:space="preserve">088939</t>
  </si>
  <si>
    <t xml:space="preserve">PILETA UNIVERZALNA KROM 5/4</t>
  </si>
  <si>
    <t xml:space="preserve">046203</t>
  </si>
  <si>
    <t xml:space="preserve">ZELENA OBLOGA ZA ZID NATURA BOSCO</t>
  </si>
  <si>
    <t xml:space="preserve">046205</t>
  </si>
  <si>
    <t xml:space="preserve">ZELENA OBLOGA ZA ZID NATURA TERRANA</t>
  </si>
  <si>
    <t xml:space="preserve">17173</t>
  </si>
  <si>
    <t xml:space="preserve">NERO KUPAONSKA KUKICA ZA RUČNIK - CRNA</t>
  </si>
  <si>
    <t xml:space="preserve">6458</t>
  </si>
  <si>
    <t xml:space="preserve">BOJIA TRADING LIMITED</t>
  </si>
  <si>
    <t xml:space="preserve">RDE320230</t>
  </si>
  <si>
    <t xml:space="preserve">DASKA SOFT CLOSE ZA MOHO MONOBLOCK</t>
  </si>
  <si>
    <t xml:space="preserve">6341</t>
  </si>
  <si>
    <t xml:space="preserve">CORRAVENI INDUSTRIES CO., LTD.</t>
  </si>
  <si>
    <t xml:space="preserve">00720</t>
  </si>
  <si>
    <t xml:space="preserve">KOTAČIĆI ZA TUŠ KABINE 4/1</t>
  </si>
  <si>
    <t xml:space="preserve">046204</t>
  </si>
  <si>
    <t xml:space="preserve">ZELENA OBLOGA ZA ZID NATURA HERBA</t>
  </si>
  <si>
    <t xml:space="preserve">046202</t>
  </si>
  <si>
    <t xml:space="preserve">ZELENA OBLOGA ZA ZID VERDE FOREST</t>
  </si>
  <si>
    <t xml:space="preserve">15399</t>
  </si>
  <si>
    <t xml:space="preserve">PULSE 80 POLUKRUŽNA TUŠ KABINA 80X80X198</t>
  </si>
  <si>
    <t xml:space="preserve">6163</t>
  </si>
  <si>
    <t xml:space="preserve">HANGZHOU TIANMEI INDUSTRY CO.,LTD</t>
  </si>
  <si>
    <t xml:space="preserve">17174</t>
  </si>
  <si>
    <t xml:space="preserve">NERO DRŽAČ TOALETNOG PAPIRA - CRNI</t>
  </si>
  <si>
    <t xml:space="preserve">16935</t>
  </si>
  <si>
    <t xml:space="preserve">ZOYA BLACK OGLEDALO R 80 cm</t>
  </si>
  <si>
    <t xml:space="preserve">6032</t>
  </si>
  <si>
    <t xml:space="preserve">HANGZHOU ZIHAN MIRROR INDUSTRY CO., LTD.</t>
  </si>
  <si>
    <t xml:space="preserve">16793</t>
  </si>
  <si>
    <t xml:space="preserve">GL00099 FLEKSIBILNI SIFON TUS KADE LUX 110 SLIM</t>
  </si>
  <si>
    <t xml:space="preserve">15451</t>
  </si>
  <si>
    <t xml:space="preserve">PULSE 90 POLUKRUŽNA TUŠ KABINA 90X90X198</t>
  </si>
  <si>
    <t xml:space="preserve">00837</t>
  </si>
  <si>
    <t xml:space="preserve">GL0000 FLEKSIBILNI SIFON ZA SUDOPER I UMIVAONIK 1/1</t>
  </si>
  <si>
    <t xml:space="preserve">00850</t>
  </si>
  <si>
    <t xml:space="preserve">GL00098 FLEKSIBILNI SIFON ZA TUŠ KADU LUX 110 mm</t>
  </si>
  <si>
    <t xml:space="preserve">18750</t>
  </si>
  <si>
    <t xml:space="preserve">ZIDNI PANEL PVC TAMNI SMEĐI ORAH 3000x400x5 mm</t>
  </si>
  <si>
    <t xml:space="preserve">18751</t>
  </si>
  <si>
    <t xml:space="preserve">ZIDNI PANEL PVC ANTRACIT DRVO MAT 3000x400x8 mm</t>
  </si>
  <si>
    <t xml:space="preserve">18752</t>
  </si>
  <si>
    <t xml:space="preserve">ZIDNI PANEL PVC VINTAGE SMEĐE DRVO 3000x400x8 mm</t>
  </si>
  <si>
    <t xml:space="preserve">00834</t>
  </si>
  <si>
    <t xml:space="preserve">GL11425 SIFON ZA UMIVAONIK CLICK MESING</t>
  </si>
  <si>
    <t xml:space="preserve">043780</t>
  </si>
  <si>
    <t xml:space="preserve">INTENSO BLACK MIJEŠALICA ZA UMIVAONIK</t>
  </si>
  <si>
    <t xml:space="preserve">5150</t>
  </si>
  <si>
    <t xml:space="preserve">ZHEJIANG VOLONG SANITARY WARES CO.,LTD.</t>
  </si>
  <si>
    <t xml:space="preserve">002336</t>
  </si>
  <si>
    <t xml:space="preserve">ESSEN MIJEŠALICA ZA UMIVAONIK</t>
  </si>
  <si>
    <t xml:space="preserve">6022</t>
  </si>
  <si>
    <t xml:space="preserve">RUIAN HAIBA SANITARY CO.,LTD</t>
  </si>
  <si>
    <t xml:space="preserve">00847</t>
  </si>
  <si>
    <t xml:space="preserve">GL00015 FLEXIBILNI WC NASTAVAK 1 m</t>
  </si>
  <si>
    <t xml:space="preserve">043810</t>
  </si>
  <si>
    <t xml:space="preserve">INTENSO BLACK VISOKA MIJEŠALICA ZA UMIVAONIK H 19 cm</t>
  </si>
  <si>
    <t xml:space="preserve">00849</t>
  </si>
  <si>
    <t xml:space="preserve">GL00097 FLEKSIBILNI SIFON ZA TUŠ KADU LUX 90 mm</t>
  </si>
  <si>
    <t xml:space="preserve">17178</t>
  </si>
  <si>
    <t xml:space="preserve">REFLECT KUPAONSKA KUKICA ZA RUČNIK - KROM</t>
  </si>
  <si>
    <t xml:space="preserve">17175</t>
  </si>
  <si>
    <t xml:space="preserve">NERO DRŽAČ ZA RUČNIK 61 cm - CRNA</t>
  </si>
  <si>
    <t xml:space="preserve">003227</t>
  </si>
  <si>
    <t xml:space="preserve">LENA MIJEŠALICA ZA UMIVAONIK</t>
  </si>
  <si>
    <t xml:space="preserve">17183</t>
  </si>
  <si>
    <t xml:space="preserve">NERO DRŽAČ TOALETNOG PAPIRA S POKLOPCEM - CRNI</t>
  </si>
  <si>
    <t xml:space="preserve">17176</t>
  </si>
  <si>
    <t xml:space="preserve">NERO DRŽAČ ZA DVA RUČNIKA 61 cm - CRNI</t>
  </si>
  <si>
    <t xml:space="preserve">18240</t>
  </si>
  <si>
    <t xml:space="preserve">GEA OGLEDALO D60 cm</t>
  </si>
  <si>
    <t xml:space="preserve">16936</t>
  </si>
  <si>
    <t xml:space="preserve">ZOYA GOLD OGLEDALO R 80 cm</t>
  </si>
  <si>
    <t xml:space="preserve">046201</t>
  </si>
  <si>
    <t xml:space="preserve">ZELENA OBLOGA ZA ZID VERDE GARDEN</t>
  </si>
  <si>
    <t xml:space="preserve">00835</t>
  </si>
  <si>
    <t xml:space="preserve">GL11427 SIFON ZA TUŠ KADU CLICK MESING</t>
  </si>
  <si>
    <t xml:space="preserve">088940</t>
  </si>
  <si>
    <t xml:space="preserve">PILETA UNIVERZALNA BIJELA 5/4</t>
  </si>
  <si>
    <t xml:space="preserve">15010</t>
  </si>
  <si>
    <t xml:space="preserve">KUTNI PROFIL ZA PANELE 5 mm</t>
  </si>
  <si>
    <t xml:space="preserve">17177</t>
  </si>
  <si>
    <t xml:space="preserve">NERO DRŽAČ WC ČETKE - CRNI</t>
  </si>
  <si>
    <t xml:space="preserve">15011</t>
  </si>
  <si>
    <t xml:space="preserve">ZAVRŠNI PROFIL ZA PANELE 5 mm</t>
  </si>
  <si>
    <t xml:space="preserve">18242</t>
  </si>
  <si>
    <t xml:space="preserve">GEA OGLEDALO D80 cm</t>
  </si>
  <si>
    <t xml:space="preserve">046200</t>
  </si>
  <si>
    <t xml:space="preserve">ZELENA OBLOGA ZA ZID VERDE SELVA</t>
  </si>
  <si>
    <t xml:space="preserve">00897</t>
  </si>
  <si>
    <t xml:space="preserve">LYNN OGLEDALO S LED RASVJETOM 60x80 cm</t>
  </si>
  <si>
    <t xml:space="preserve">5720</t>
  </si>
  <si>
    <t xml:space="preserve">ZHEJIANG SUMMERSIDE SANITARY WARE TECHNOLOGY CO., LTD</t>
  </si>
  <si>
    <t xml:space="preserve">16855</t>
  </si>
  <si>
    <t xml:space="preserve">MOHO WC MONOBLOK ZIDNI ODVOD 665x375x725 mm</t>
  </si>
  <si>
    <t xml:space="preserve">18241</t>
  </si>
  <si>
    <t xml:space="preserve">GEA OGLEDALO D70 cm</t>
  </si>
  <si>
    <t xml:space="preserve">003977</t>
  </si>
  <si>
    <t xml:space="preserve">VERONA 3u1 SET MIJEŠALICA</t>
  </si>
  <si>
    <t xml:space="preserve">4053</t>
  </si>
  <si>
    <t xml:space="preserve">TAIZHOU ZHENGSHING VALVE CO .,LTD</t>
  </si>
  <si>
    <t xml:space="preserve">17180</t>
  </si>
  <si>
    <t xml:space="preserve">REFLECT  DRŽAČ TOALETNOG PAPIRA - KROM</t>
  </si>
  <si>
    <t xml:space="preserve">18245</t>
  </si>
  <si>
    <t xml:space="preserve">ZOYA GOLD OGLEDALO R 60 cm</t>
  </si>
  <si>
    <t xml:space="preserve">088941</t>
  </si>
  <si>
    <t xml:space="preserve">PILETA UNIVERZALNA CRNA 5/4</t>
  </si>
  <si>
    <t xml:space="preserve">17192</t>
  </si>
  <si>
    <t xml:space="preserve">QUADRA VISEĆA ŠKOLJKA S DASKOM  RIMLESS 510x350x360 mm</t>
  </si>
  <si>
    <t xml:space="preserve">042127C</t>
  </si>
  <si>
    <t xml:space="preserve">SHINE C DIA 60 cm LED OGLEDALO SA SENZOROM POKRETA</t>
  </si>
  <si>
    <t xml:space="preserve">18732</t>
  </si>
  <si>
    <t xml:space="preserve">MONDO L VISEĆA ŠKOLJKA S DASKOM - VORTEX 520x360x350 mm</t>
  </si>
  <si>
    <t xml:space="preserve">7080</t>
  </si>
  <si>
    <t xml:space="preserve">TANGSHAN KARCENT CERAMIC CO.,LTD</t>
  </si>
  <si>
    <t xml:space="preserve">002337</t>
  </si>
  <si>
    <t xml:space="preserve">ESSEN MIJEŠALICA ZA KADU</t>
  </si>
  <si>
    <t xml:space="preserve">002499</t>
  </si>
  <si>
    <t xml:space="preserve">PILETA 5/4 CLICKCLACK BEZ PRELJEVA</t>
  </si>
  <si>
    <t xml:space="preserve">5808</t>
  </si>
  <si>
    <t xml:space="preserve">TAIZHOU NIXI IMPORT &amp; EXPORT CO., LTD.</t>
  </si>
  <si>
    <t xml:space="preserve">17216</t>
  </si>
  <si>
    <t xml:space="preserve">IMOLA ZLATNA MIJEŠALICA ZA UMIVAONIK</t>
  </si>
  <si>
    <t xml:space="preserve">040113</t>
  </si>
  <si>
    <t xml:space="preserve">AOSTA  - MJEŠALICA ZA UMIVAONIK VISOKA</t>
  </si>
  <si>
    <t xml:space="preserve">17208</t>
  </si>
  <si>
    <t xml:space="preserve">IMOLA KROM MIJEŠALICA ZA KADU</t>
  </si>
  <si>
    <t xml:space="preserve">18006</t>
  </si>
  <si>
    <t xml:space="preserve">VETRO CR TRS 6mm ECO TUŠ STIJENA 140x200</t>
  </si>
  <si>
    <t xml:space="preserve">6762</t>
  </si>
  <si>
    <t xml:space="preserve">ZHEJIANG QUICKLINE SHOWERING CO., LTD.</t>
  </si>
  <si>
    <t xml:space="preserve">002941</t>
  </si>
  <si>
    <t xml:space="preserve">PADOVA TUŠ SET S MIJEŠALICOM</t>
  </si>
  <si>
    <t xml:space="preserve">15008</t>
  </si>
  <si>
    <t xml:space="preserve">ZAVRŠNI PROFIL ZA PANELE 10 mm</t>
  </si>
  <si>
    <t xml:space="preserve">16023</t>
  </si>
  <si>
    <t xml:space="preserve">TK RONDA 90 POLUKRUŽNA TUŠ KABINA 90x90x185 cm</t>
  </si>
  <si>
    <t xml:space="preserve">17206</t>
  </si>
  <si>
    <t xml:space="preserve">MESSINA VISOKA STOJEĆA MIJEŠALICA ZA SUDOPER</t>
  </si>
  <si>
    <t xml:space="preserve">18253</t>
  </si>
  <si>
    <t xml:space="preserve">ATENA OGLEDALO S LED RASVJETOM D80 cm</t>
  </si>
  <si>
    <t xml:space="preserve">16787</t>
  </si>
  <si>
    <t xml:space="preserve">AMELIA 120R HIDROMASAŽNA TUŠ KABINA 120x80x215cm (R)</t>
  </si>
  <si>
    <t xml:space="preserve">0002301</t>
  </si>
  <si>
    <t xml:space="preserve">DRŽAČ SAPUNA</t>
  </si>
  <si>
    <t xml:space="preserve">4539</t>
  </si>
  <si>
    <t xml:space="preserve">YUYAO ECHO SANITARY WARE CO.,LTD.</t>
  </si>
  <si>
    <t xml:space="preserve">044460</t>
  </si>
  <si>
    <t xml:space="preserve">PILETA ZA UMIVAONIK BEZ PRELJEVA 5/4 CRNA</t>
  </si>
  <si>
    <t xml:space="preserve">044470</t>
  </si>
  <si>
    <t xml:space="preserve">PILETA ZA UMIVAONIK BEZ PRELJEVA 5/4 BIJELA</t>
  </si>
  <si>
    <t xml:space="preserve">002515</t>
  </si>
  <si>
    <t xml:space="preserve">TK NORENA 90 KVADRATNA TUŠ KABINA 90x90x195 cm</t>
  </si>
  <si>
    <t xml:space="preserve">17213</t>
  </si>
  <si>
    <t xml:space="preserve">IMOLA BIJELA MIJEŠALICA ZA UMIVAONIK</t>
  </si>
  <si>
    <t xml:space="preserve">00511</t>
  </si>
  <si>
    <t xml:space="preserve">OGLEDALO GLN07 90x65 cm</t>
  </si>
  <si>
    <t xml:space="preserve">2515</t>
  </si>
  <si>
    <t xml:space="preserve">HANGZHOU ZHUGELAI JINGYI CO., LTD.</t>
  </si>
  <si>
    <t xml:space="preserve">16024</t>
  </si>
  <si>
    <t xml:space="preserve">TK RONDA 80 KVADRATNA TUŠ KABINA 80x80x185 cm</t>
  </si>
  <si>
    <t xml:space="preserve">002476</t>
  </si>
  <si>
    <t xml:space="preserve">VERONA MIJEŠALICA ZA SUDOPER 3C H 27,5 cm</t>
  </si>
  <si>
    <t xml:space="preserve">16788</t>
  </si>
  <si>
    <t xml:space="preserve">AMELIA 90 HIDROMASAŽNA TUŠ KABINA 90x90x215cm</t>
  </si>
  <si>
    <t xml:space="preserve">17207</t>
  </si>
  <si>
    <t xml:space="preserve">IMOLA KROM MIJEŠALICA ZA UMIVAONIK</t>
  </si>
  <si>
    <t xml:space="preserve">00635Y</t>
  </si>
  <si>
    <t xml:space="preserve">TK9078B TUŠ KABINA (7890)x(7890)x185 cm</t>
  </si>
  <si>
    <t xml:space="preserve">5590</t>
  </si>
  <si>
    <t xml:space="preserve">PINGHU YINUO SANITARY WARE CO.,LTD</t>
  </si>
  <si>
    <t xml:space="preserve">18015</t>
  </si>
  <si>
    <t xml:space="preserve">VETRO BL TRS 6mm ECO TUŠ STIJENA 140x200</t>
  </si>
  <si>
    <t xml:space="preserve">16025</t>
  </si>
  <si>
    <t xml:space="preserve">TK RONDA 90 KVADRATNA TUŠ KABINA 90x90x185 cm</t>
  </si>
  <si>
    <t xml:space="preserve">002514</t>
  </si>
  <si>
    <t xml:space="preserve">JEDNORUČNA MJEŠALICA ZA HLADNU VODU</t>
  </si>
  <si>
    <t xml:space="preserve">00522</t>
  </si>
  <si>
    <t xml:space="preserve">OGLEDALO GLS5070 70x50 cm</t>
  </si>
  <si>
    <t xml:space="preserve">15473</t>
  </si>
  <si>
    <t xml:space="preserve">PERLA MIJEŠALICA ZA UMIVAONIK VISOKA</t>
  </si>
  <si>
    <t xml:space="preserve">17215</t>
  </si>
  <si>
    <t xml:space="preserve">IMOLA BIJELA MIJEŠALICA ZA TUŠ</t>
  </si>
  <si>
    <t xml:space="preserve">17218</t>
  </si>
  <si>
    <t xml:space="preserve">IMOLA ZLATNA MIJEŠALICA ZA TUŠ</t>
  </si>
  <si>
    <t xml:space="preserve">00898</t>
  </si>
  <si>
    <t xml:space="preserve">TIFFANY OGLEDALO S LED RASVJETOM 60x80 cm</t>
  </si>
  <si>
    <t xml:space="preserve">18438</t>
  </si>
  <si>
    <t xml:space="preserve">ILLUMEA LED OGLEDALO 80x120 cm CCT 3000/4000/5000K</t>
  </si>
  <si>
    <t xml:space="preserve">17214</t>
  </si>
  <si>
    <t xml:space="preserve">IMOLA BIJELA MIJEŠALICA ZA KADU</t>
  </si>
  <si>
    <t xml:space="preserve">002504</t>
  </si>
  <si>
    <t xml:space="preserve">ČEPASTA GUMA MONDO 2899</t>
  </si>
  <si>
    <t xml:space="preserve">1181</t>
  </si>
  <si>
    <t xml:space="preserve">PRIALPAS</t>
  </si>
  <si>
    <t xml:space="preserve">002338</t>
  </si>
  <si>
    <t xml:space="preserve">ESSEN MIJEŠALICA ZA SUDOPER H 29 cm</t>
  </si>
  <si>
    <t xml:space="preserve">16934</t>
  </si>
  <si>
    <t xml:space="preserve">FRAME OVAL B5080 OGLEDALO S LED RASVJETOM 50x80 cm</t>
  </si>
  <si>
    <t xml:space="preserve">16781</t>
  </si>
  <si>
    <t xml:space="preserve">TK BRIGHT 90 POLUKRUŽNA TUŠ KABINA 90x90x180 cm</t>
  </si>
  <si>
    <t xml:space="preserve">17217</t>
  </si>
  <si>
    <t xml:space="preserve">IMOLA ZLATNA MIJEŠALICA ZA KADU</t>
  </si>
  <si>
    <t xml:space="preserve">172600</t>
  </si>
  <si>
    <t xml:space="preserve">TK VIGO CHROME PRAVOKUTNA TUŠ KABINA 78-90x70-90x200 cm</t>
  </si>
  <si>
    <t xml:space="preserve">18252</t>
  </si>
  <si>
    <t xml:space="preserve">ATENA OGLEDALO S LED RASVJETOM D70 cm</t>
  </si>
  <si>
    <t xml:space="preserve">00697</t>
  </si>
  <si>
    <t xml:space="preserve">NIKTA JEDNORUČNA SLAVINA ZA HLADNU VODU</t>
  </si>
  <si>
    <t xml:space="preserve">16088</t>
  </si>
  <si>
    <t xml:space="preserve">IMPULSE LED OGLEDALO 120x80 cm</t>
  </si>
  <si>
    <t xml:space="preserve">17202</t>
  </si>
  <si>
    <t xml:space="preserve">SIMPLE MIJEŠALICA ZA BIDE</t>
  </si>
  <si>
    <t xml:space="preserve">17212</t>
  </si>
  <si>
    <t xml:space="preserve">IMOLA CRNA MIJEŠALICA ZA TUŠ</t>
  </si>
  <si>
    <t xml:space="preserve">18244</t>
  </si>
  <si>
    <t xml:space="preserve">ZOYA BLACK OGLEDALO R 60 cm</t>
  </si>
  <si>
    <t xml:space="preserve">003908</t>
  </si>
  <si>
    <t xml:space="preserve">SIENA MJEŠALICA ZA KADU</t>
  </si>
  <si>
    <t xml:space="preserve">16059</t>
  </si>
  <si>
    <t xml:space="preserve">TK SPRING 90 POLUKRUŽNA TUŠ KABINA 90x90x180 cm</t>
  </si>
  <si>
    <t xml:space="preserve">16854</t>
  </si>
  <si>
    <t xml:space="preserve">MONDO VISEĆI BIDE 490x370x320 mm</t>
  </si>
  <si>
    <t xml:space="preserve">17184</t>
  </si>
  <si>
    <t xml:space="preserve">REFLECT DRŽAČ ZA DVA RUČNIKA 61 CM - KROM</t>
  </si>
  <si>
    <t xml:space="preserve">18437</t>
  </si>
  <si>
    <t xml:space="preserve">ILLUMEA LED OGLEDALO 80x100 cm CCT 3000/4000/5000K</t>
  </si>
  <si>
    <t xml:space="preserve">00618</t>
  </si>
  <si>
    <t xml:space="preserve">LINEA OGLEDALO S LED RASVJETOM 50x70 cm</t>
  </si>
  <si>
    <t xml:space="preserve">17211</t>
  </si>
  <si>
    <t xml:space="preserve">IMOLA CRNA MIJEŠALICA ZA KADU</t>
  </si>
  <si>
    <t xml:space="preserve">002940</t>
  </si>
  <si>
    <t xml:space="preserve">MILANO TUŠ SET S MIJEŠALICOM</t>
  </si>
  <si>
    <t xml:space="preserve">004030</t>
  </si>
  <si>
    <t xml:space="preserve">SIENA MJEŠALICA ZA UMIVAONIK-VISOKA</t>
  </si>
  <si>
    <t xml:space="preserve">040112</t>
  </si>
  <si>
    <t xml:space="preserve">AOSTA  - MJEŠALICA ZA TUŠ</t>
  </si>
  <si>
    <t xml:space="preserve">00833</t>
  </si>
  <si>
    <t xml:space="preserve">GL11423 SIFON ZA KADU EXCLUSIVE</t>
  </si>
  <si>
    <t xml:space="preserve">003210</t>
  </si>
  <si>
    <t xml:space="preserve">VETRO LINEA 100 TUŠ STIJENA 100x200 cm</t>
  </si>
  <si>
    <t xml:space="preserve">004100230</t>
  </si>
  <si>
    <t xml:space="preserve">LOGO PANEL ZA AMBIJENTU SIMPLY OTVORENI METALNI KRIŽ ZA KABINE</t>
  </si>
  <si>
    <t xml:space="preserve">5842</t>
  </si>
  <si>
    <t xml:space="preserve">STATOPLAST D.O.O.</t>
  </si>
  <si>
    <t xml:space="preserve">040110</t>
  </si>
  <si>
    <t xml:space="preserve">AOSTA - MJEŠALICA ZA UMIVAONIK</t>
  </si>
  <si>
    <t xml:space="preserve">17258</t>
  </si>
  <si>
    <t xml:space="preserve">VETRO SIDE CHROME TRS 30 PREKLOPNA VRATA ZA VETRO 30X200 cm</t>
  </si>
  <si>
    <t xml:space="preserve">18019</t>
  </si>
  <si>
    <t xml:space="preserve">TK ROTA 90KV CHROME TUŠ KABINA 90x90x200cm</t>
  </si>
  <si>
    <t xml:space="preserve">16052</t>
  </si>
  <si>
    <t xml:space="preserve">NATALI - HIDROMASAŽNA TUŠ KABINA 90X90X215 CM</t>
  </si>
  <si>
    <t xml:space="preserve">17185</t>
  </si>
  <si>
    <t xml:space="preserve">NERO DRŽAČ ZA ČAŠU - CRNI</t>
  </si>
  <si>
    <t xml:space="preserve">17266</t>
  </si>
  <si>
    <t xml:space="preserve">OVIEDO TUŠ VRATA 88-100x190 cm</t>
  </si>
  <si>
    <t xml:space="preserve">18243</t>
  </si>
  <si>
    <t xml:space="preserve">LUPE BLACK OGLEDALO 40x90 cm</t>
  </si>
  <si>
    <t xml:space="preserve">042124C</t>
  </si>
  <si>
    <t xml:space="preserve">SHINE C DIA 80 cm LED OGLEDALO SA SENZOROM POKRETA</t>
  </si>
  <si>
    <t xml:space="preserve">15260</t>
  </si>
  <si>
    <t xml:space="preserve">MONZA BLACK PODŽBUKNA MIJEŠALICA ZA UMIVAONIK</t>
  </si>
  <si>
    <t xml:space="preserve">17179</t>
  </si>
  <si>
    <t xml:space="preserve">REFLECT KUPAONSKA KUKICA ZA DVA RUČNIKA - KROM</t>
  </si>
  <si>
    <t xml:space="preserve">18009</t>
  </si>
  <si>
    <t xml:space="preserve">VETRO BL TRS 6mm ECO TUŠ STIJENA 80x200</t>
  </si>
  <si>
    <t xml:space="preserve">043820</t>
  </si>
  <si>
    <t xml:space="preserve">INTENSO BLACK TUŠ SET S MIJEŠALICOM</t>
  </si>
  <si>
    <t xml:space="preserve">18248</t>
  </si>
  <si>
    <t xml:space="preserve">TALIA OGLEDALO S LED RASVJETOM D60 cm</t>
  </si>
  <si>
    <t xml:space="preserve">16938</t>
  </si>
  <si>
    <t xml:space="preserve">TK LORCA BLACK 90 KVADRATNA TUŠ KABINA 90x90x195cm</t>
  </si>
  <si>
    <t xml:space="preserve">3933</t>
  </si>
  <si>
    <t xml:space="preserve">PINGHU AONISI SANITARY WARE CO.,LTD</t>
  </si>
  <si>
    <t xml:space="preserve">042123C</t>
  </si>
  <si>
    <t xml:space="preserve">SHINE C 80120 LED OGLEDALO SA SENZOROM POKRETA 120x80 cm</t>
  </si>
  <si>
    <t xml:space="preserve">15274</t>
  </si>
  <si>
    <t xml:space="preserve">FRAME B50100 OGLEDALO S LED RASVJETOM 50x100 cm</t>
  </si>
  <si>
    <t xml:space="preserve">18250</t>
  </si>
  <si>
    <t xml:space="preserve">TALIA OGLEDALO S LED RASVJETOM D80 cm</t>
  </si>
  <si>
    <t xml:space="preserve">042121C</t>
  </si>
  <si>
    <t xml:space="preserve">SHINE C 6080 LED OGLEDALO SA SENZOROM POKRETA 80x60 cm</t>
  </si>
  <si>
    <t xml:space="preserve">042250</t>
  </si>
  <si>
    <t xml:space="preserve">VITA OGLEDALO S LED RASVJETOM R70 cm</t>
  </si>
  <si>
    <t xml:space="preserve">17235</t>
  </si>
  <si>
    <t xml:space="preserve">TK PARLA 90 CHROME KVADRATNA TUŠ KABINA 90X90X195 cm</t>
  </si>
  <si>
    <t xml:space="preserve">18017</t>
  </si>
  <si>
    <t xml:space="preserve">VETRO BL TRS 6mm ECO TUŠ STIJENA 160x200</t>
  </si>
  <si>
    <t xml:space="preserve">042122C</t>
  </si>
  <si>
    <t xml:space="preserve">SHINE C 80100 LED OGLEDALO SA SENZOROM POKRETA 100x80 cm</t>
  </si>
  <si>
    <t xml:space="preserve">15130</t>
  </si>
  <si>
    <t xml:space="preserve">TUŠ KANALICA WALL 70 700x62x130 mm</t>
  </si>
  <si>
    <t xml:space="preserve">5234</t>
  </si>
  <si>
    <t xml:space="preserve">NINGBO HAIZI SANITARY WARE CO., LTD</t>
  </si>
  <si>
    <t xml:space="preserve">16162</t>
  </si>
  <si>
    <t xml:space="preserve">TK GRACE 80 KVADRATNA TUŠ KABINA 80X80X190cm</t>
  </si>
  <si>
    <t xml:space="preserve">16990</t>
  </si>
  <si>
    <t xml:space="preserve">TK SEVILLA 80 POLUKRUŽNA TUŠ KABINA 80x80x190 cm</t>
  </si>
  <si>
    <t xml:space="preserve">002458</t>
  </si>
  <si>
    <t xml:space="preserve">TK LUGO 90 POLUKRUŽNA KABINA 90x90x185 cm</t>
  </si>
  <si>
    <t xml:space="preserve">042300</t>
  </si>
  <si>
    <t xml:space="preserve">VETRO TRS 100 TUŠ STIJENA 100x200 cm</t>
  </si>
  <si>
    <t xml:space="preserve">16780</t>
  </si>
  <si>
    <t xml:space="preserve">TK BRIGHT 80 POLUKRUŽNA TUŠ KABINA 80x80x180 cm</t>
  </si>
  <si>
    <t xml:space="preserve">18021</t>
  </si>
  <si>
    <t xml:space="preserve">TK ROTA 90KV BLACK TUŠ KABINA 90x90x200cm</t>
  </si>
  <si>
    <t xml:space="preserve">042320</t>
  </si>
  <si>
    <t xml:space="preserve">VETRO TRS 120 TUŠ STIJENA 120x200 cm</t>
  </si>
  <si>
    <t xml:space="preserve">17268</t>
  </si>
  <si>
    <t xml:space="preserve">OVIEDO TUŠ VRATA 108-120x190 cm</t>
  </si>
  <si>
    <t xml:space="preserve">042290</t>
  </si>
  <si>
    <t xml:space="preserve">VETRO TRS 90 TUŠ STIJENA 90x200 cm</t>
  </si>
  <si>
    <t xml:space="preserve">16969</t>
  </si>
  <si>
    <t xml:space="preserve">CLEAR SIDE 80 CHROME STAKLENA STRANICA 800x1950 mm</t>
  </si>
  <si>
    <t xml:space="preserve">15937</t>
  </si>
  <si>
    <t xml:space="preserve">TK SILVER LINE 80 KVADRATNA TUŠ KABINA 80x80x195 cm</t>
  </si>
  <si>
    <t xml:space="preserve">18031</t>
  </si>
  <si>
    <t xml:space="preserve">TK ROTA 80120 CHROME TUŠ KABINA 80x120x200cm</t>
  </si>
  <si>
    <t xml:space="preserve">15938</t>
  </si>
  <si>
    <t xml:space="preserve">TK SILVER LINE 90 KVADRATNA TUŠ KABINA 90x90x195 cm</t>
  </si>
  <si>
    <t xml:space="preserve">16086</t>
  </si>
  <si>
    <t xml:space="preserve">IMPULSE LED OGLEDALO 80x60 cm</t>
  </si>
  <si>
    <t xml:space="preserve">16968</t>
  </si>
  <si>
    <t xml:space="preserve">CLEAR WALL 120 CHROME TUŠ VRATA 1200x1950 mm</t>
  </si>
  <si>
    <t xml:space="preserve">18001</t>
  </si>
  <si>
    <t xml:space="preserve">VETRO CR TRS 6mm ECO TUŠ STIJENA 90x200</t>
  </si>
  <si>
    <t xml:space="preserve">18008</t>
  </si>
  <si>
    <t xml:space="preserve">VETRO CR TRS 6mm ECO TUŠ STIJENA 160x200</t>
  </si>
  <si>
    <t xml:space="preserve">002341</t>
  </si>
  <si>
    <t xml:space="preserve">ESSEN MIJEŠALICA ZA SUDOPER H 14,2 cm</t>
  </si>
  <si>
    <t xml:space="preserve">1584505-00</t>
  </si>
  <si>
    <t xml:space="preserve">KLUDI KUTNI VENTIL KERAMIČKA KARTUŠA 1/2" X 3/8"</t>
  </si>
  <si>
    <t xml:space="preserve">7485</t>
  </si>
  <si>
    <t xml:space="preserve">KLUDI GmbH &amp; Co. KG.,</t>
  </si>
  <si>
    <t xml:space="preserve">16852</t>
  </si>
  <si>
    <t xml:space="preserve">EVA 90 POLUKRUŽNA TUŠ KABINA 90x90x205 cm</t>
  </si>
  <si>
    <t xml:space="preserve">18703</t>
  </si>
  <si>
    <t xml:space="preserve">VETRO MIRROR 90 CHROME TUŠ STIJENA 90x200 cm</t>
  </si>
  <si>
    <t xml:space="preserve">18705</t>
  </si>
  <si>
    <t xml:space="preserve">VETRO MIRROR 100 CHROME TUŠ STIJENA 100x200 cm</t>
  </si>
  <si>
    <t xml:space="preserve">18707</t>
  </si>
  <si>
    <t xml:space="preserve">VETRO MIRROR 120 CHROME TUŠ STIJENA 120x200 cm</t>
  </si>
  <si>
    <t xml:space="preserve">16937</t>
  </si>
  <si>
    <t xml:space="preserve">TK LORCA BLACK 80 KVADRATNA TUŠ KABINA 80x80x195cm</t>
  </si>
  <si>
    <t xml:space="preserve">18018</t>
  </si>
  <si>
    <t xml:space="preserve">TK ROTA 80KV CHROME TUŠ KABINA 80x80x200cm</t>
  </si>
  <si>
    <t xml:space="preserve">00601</t>
  </si>
  <si>
    <t xml:space="preserve">HERA STOJEĆA MIJEŠALICA ZA BIDE</t>
  </si>
  <si>
    <t xml:space="preserve">16060</t>
  </si>
  <si>
    <t xml:space="preserve">TK SPRING 80 KVADRATNA TUŠ KABINA 80x80x180 cm</t>
  </si>
  <si>
    <t xml:space="preserve">041980</t>
  </si>
  <si>
    <t xml:space="preserve">TK MADERA 90 POLUKRUŽNA TUŠ KABINA 90x90x185 cm</t>
  </si>
  <si>
    <t xml:space="preserve">4981</t>
  </si>
  <si>
    <t xml:space="preserve">HANGZHOU SUNLIGHT TRADE CO., LTD.</t>
  </si>
  <si>
    <t xml:space="preserve">16966</t>
  </si>
  <si>
    <t xml:space="preserve">CLEAR WALL 100 CHROME TUŠ VRATA 1000x1950 mm</t>
  </si>
  <si>
    <t xml:space="preserve">17251</t>
  </si>
  <si>
    <t xml:space="preserve">TK RAPIDO 90 CHROME KVADRATNA TUŠ KABINA 90X90X195 cm</t>
  </si>
  <si>
    <t xml:space="preserve">18249</t>
  </si>
  <si>
    <t xml:space="preserve">TALIA OGLEDALO S LED RASVJETOM D70 cm</t>
  </si>
  <si>
    <t xml:space="preserve">1568500</t>
  </si>
  <si>
    <t xml:space="preserve">BOLD S BIJELA 100140 MINERALSOLID TUŠ KADA 1000x1400x30 mm</t>
  </si>
  <si>
    <t xml:space="preserve">5140</t>
  </si>
  <si>
    <t xml:space="preserve">GUANGDONG OCEAN SANITARY WARE CO., LTD.</t>
  </si>
  <si>
    <t xml:space="preserve">17181</t>
  </si>
  <si>
    <t xml:space="preserve">REFLECT DRŽAČ ZA RUČNIK 61 CM - KROM</t>
  </si>
  <si>
    <t xml:space="preserve">002479</t>
  </si>
  <si>
    <t xml:space="preserve">ESSEN MIJEŠALICA ZA TUŠ</t>
  </si>
  <si>
    <t xml:space="preserve">00842</t>
  </si>
  <si>
    <t xml:space="preserve">GL00005 FLEXIBILNI WC NASTAVAK NISKOMONTAŽNI</t>
  </si>
  <si>
    <t xml:space="preserve">042000</t>
  </si>
  <si>
    <t xml:space="preserve">TK MADERA 90 KVADRATNA TUŠ KABINA 90x90x185 cm</t>
  </si>
  <si>
    <t xml:space="preserve">1566100</t>
  </si>
  <si>
    <t xml:space="preserve">BOLD S BIJELA 80 KV MINERALSOLID TUŠ KADA 800x800x30 mm</t>
  </si>
  <si>
    <t xml:space="preserve">18013</t>
  </si>
  <si>
    <t xml:space="preserve">VETRO BL TRS 6mm ECO TUŠ STIJENA 120x200</t>
  </si>
  <si>
    <t xml:space="preserve">18020</t>
  </si>
  <si>
    <t xml:space="preserve">TK ROTA 80KV BLACK TUŠ KABINA 80x80x200cm</t>
  </si>
  <si>
    <t xml:space="preserve">002946</t>
  </si>
  <si>
    <t xml:space="preserve">TK LUGO 80 POLUKRUŽNA TUŠ KABINA 80x80x185 cm</t>
  </si>
  <si>
    <t xml:space="preserve">16140</t>
  </si>
  <si>
    <t xml:space="preserve">AURA BRONZE  MIJEŠALICA ZA TUŠ</t>
  </si>
  <si>
    <t xml:space="preserve">16962</t>
  </si>
  <si>
    <t xml:space="preserve">CLEAR WALL 120 BLACK TUŠ VRATA 1200x1950 mm</t>
  </si>
  <si>
    <t xml:space="preserve">16991</t>
  </si>
  <si>
    <t xml:space="preserve">TK SEVILLA 90 POLUKRUŽNA TUŠ KABINA 90x90x190 cm</t>
  </si>
  <si>
    <t xml:space="preserve">18786</t>
  </si>
  <si>
    <t xml:space="preserve">AKUSTIČNI ZIDNI PANEL MDF LETVICE ZLATNI 2700x605x21 mm</t>
  </si>
  <si>
    <t xml:space="preserve">002692</t>
  </si>
  <si>
    <t xml:space="preserve">SIENA TUŠ SET S MIJEŠALICOM</t>
  </si>
  <si>
    <t xml:space="preserve">003907</t>
  </si>
  <si>
    <t xml:space="preserve">SIENA MJEŠALICA ZA UMIVAONIK</t>
  </si>
  <si>
    <t xml:space="preserve">16058</t>
  </si>
  <si>
    <t xml:space="preserve">TK SPRING 80 POLUKRUŽNA TUŠ KABINA 80x80x180 cm</t>
  </si>
  <si>
    <t xml:space="preserve">17255</t>
  </si>
  <si>
    <t xml:space="preserve">TK RAPIDO 90 CHROME POLUKRUŽNA TUŠ KABINA 90X90X195 cm</t>
  </si>
  <si>
    <t xml:space="preserve">00848</t>
  </si>
  <si>
    <t xml:space="preserve">GL00017 FLEKSIBILNI WC NASTAVAK 1,8 m</t>
  </si>
  <si>
    <t xml:space="preserve">043840</t>
  </si>
  <si>
    <t xml:space="preserve">MONZA Q PODŽBUKNA MIJEŠALICA ZA UMIVAONIK</t>
  </si>
  <si>
    <t xml:space="preserve">15005</t>
  </si>
  <si>
    <t xml:space="preserve">PVC PANEL 10 mm BLACK SPARKLE 2420x1000x10 mm</t>
  </si>
  <si>
    <t xml:space="preserve">15259</t>
  </si>
  <si>
    <t xml:space="preserve">PERLA MIJEŠALICA ZA TUŠ</t>
  </si>
  <si>
    <t xml:space="preserve">16783</t>
  </si>
  <si>
    <t xml:space="preserve">TK BRIGHT 90 KVADRATNA TUŠ KABINA 90x90x180 cm</t>
  </si>
  <si>
    <t xml:space="preserve">17210</t>
  </si>
  <si>
    <t xml:space="preserve">IMOLA CRNA MIJEŠALICA ZA UMIVAONIK</t>
  </si>
  <si>
    <t xml:space="preserve">17242</t>
  </si>
  <si>
    <t xml:space="preserve">TK TELDE 90120 CHROME PRAVOKUTNA TUŠ KABINA 90X120X195 cm</t>
  </si>
  <si>
    <t xml:space="preserve">17267</t>
  </si>
  <si>
    <t xml:space="preserve">OVIEDO TUŠ VRATA 98-110x190 cm</t>
  </si>
  <si>
    <t xml:space="preserve">18434</t>
  </si>
  <si>
    <t xml:space="preserve">SHAPE LED OGLEDALO 70x80cm 3000/4000/5000K</t>
  </si>
  <si>
    <t xml:space="preserve">18788</t>
  </si>
  <si>
    <t xml:space="preserve">AKUSTIČNI ZIDNI PANEL MDF LETVICE SVIJETLI KAMEN 2700x605x21 mm</t>
  </si>
  <si>
    <t xml:space="preserve">003209</t>
  </si>
  <si>
    <t xml:space="preserve">VETRO LINEA 90 TUŠ STIJENA 90x200 cm</t>
  </si>
  <si>
    <t xml:space="preserve">00489</t>
  </si>
  <si>
    <t xml:space="preserve">GL9304S TUŠ PANEL 140x20 cm</t>
  </si>
  <si>
    <t xml:space="preserve">3266</t>
  </si>
  <si>
    <t xml:space="preserve">ZHEJIANG VOGUESHOWER SANITARY WARE CO.,LTD</t>
  </si>
  <si>
    <t xml:space="preserve">006261Y</t>
  </si>
  <si>
    <t xml:space="preserve">TK-A80120-6S TUŠ KABINA 80x120x185cm</t>
  </si>
  <si>
    <t xml:space="preserve">042310</t>
  </si>
  <si>
    <t xml:space="preserve">VETRO TRS 110 TUŠ STIJENA 110x200 cm</t>
  </si>
  <si>
    <t xml:space="preserve">16092</t>
  </si>
  <si>
    <t xml:space="preserve">GL9631 TUŠ PANEL 120x18 cm</t>
  </si>
  <si>
    <t xml:space="preserve">18005</t>
  </si>
  <si>
    <t xml:space="preserve">VETRO CR TRS 6mm ECO TUŠ STIJENA 130x200</t>
  </si>
  <si>
    <t xml:space="preserve">18701</t>
  </si>
  <si>
    <t xml:space="preserve">VETRO MIRROR 80 CHROME TUŠ STIJENA 80x200 cm</t>
  </si>
  <si>
    <t xml:space="preserve">042010</t>
  </si>
  <si>
    <t xml:space="preserve">TK MADERA 7090 PRAVOKUTNA TUŠ KABINA 70x90x185 cm</t>
  </si>
  <si>
    <t xml:space="preserve">16987</t>
  </si>
  <si>
    <t xml:space="preserve">TK TOLEDO 80100 PRAVOKUTNA TUŠ KABINA 80x100x195 cm</t>
  </si>
  <si>
    <t xml:space="preserve">18004</t>
  </si>
  <si>
    <t xml:space="preserve">VETRO CR TRS 6mm ECO TUŠ STIJENA 120x200</t>
  </si>
  <si>
    <t xml:space="preserve">18030</t>
  </si>
  <si>
    <t xml:space="preserve">TK ROTA 80100 CHROME TUŠ KABINA 80x100x200cm</t>
  </si>
  <si>
    <t xml:space="preserve">18246</t>
  </si>
  <si>
    <t xml:space="preserve">LIRA OGLEDALO D80 cm</t>
  </si>
  <si>
    <t xml:space="preserve">AA02042</t>
  </si>
  <si>
    <t xml:space="preserve">SET ZA MONTAŽU TUŠ KADE</t>
  </si>
  <si>
    <t xml:space="preserve">P15826</t>
  </si>
  <si>
    <t xml:space="preserve">BOLD LUX 80 PK MINERALSOLID TUŠ KADA BIJELA SJAJNA 800x800x30 mm</t>
  </si>
  <si>
    <t xml:space="preserve">003909</t>
  </si>
  <si>
    <t xml:space="preserve">SIENA MJEŠALICA ZA TUŠ</t>
  </si>
  <si>
    <t xml:space="preserve">00689Y</t>
  </si>
  <si>
    <t xml:space="preserve">TK BIELSA 90 POLUKRUŽNA TUŠ KABINA 90x90x185 cm</t>
  </si>
  <si>
    <t xml:space="preserve">15948</t>
  </si>
  <si>
    <t xml:space="preserve">VETRO STYLE 120 TUŠ STIJENA 120x200 cm</t>
  </si>
  <si>
    <t xml:space="preserve">16975</t>
  </si>
  <si>
    <t xml:space="preserve">TK GRANADA 90 KVADRATNA TUŠ KABINA 90x90x195 cm</t>
  </si>
  <si>
    <t xml:space="preserve">17240</t>
  </si>
  <si>
    <t xml:space="preserve">TK TELDE 80100 CHROME PRAVOKUTNA TUŠ KABINA 80X100X195 cm</t>
  </si>
  <si>
    <t xml:space="preserve">002524</t>
  </si>
  <si>
    <t xml:space="preserve">GL5089P TUŠ PANEL 140x20 cm</t>
  </si>
  <si>
    <t xml:space="preserve">5814</t>
  </si>
  <si>
    <t xml:space="preserve">TAIZHOU FEIGEER IMPORT&amp;EXPORT CO.,LTD</t>
  </si>
  <si>
    <t xml:space="preserve">006271Y</t>
  </si>
  <si>
    <t xml:space="preserve">TK-A90120-6S TUŠ KABINA 90x120x185cm</t>
  </si>
  <si>
    <t xml:space="preserve">00839</t>
  </si>
  <si>
    <t xml:space="preserve">GL00013 FLEKSIBILNI SIFON 6/4'' ZA UMIVAONIK  SUDOPER</t>
  </si>
  <si>
    <t xml:space="preserve">16988</t>
  </si>
  <si>
    <t xml:space="preserve">TK TOLEDO 80120 PRAVOKUTNA TUŠ KABINA 80x120x195 cm</t>
  </si>
  <si>
    <t xml:space="preserve">18787</t>
  </si>
  <si>
    <t xml:space="preserve">AKUSTIČNI ZIDNI PANEL MDF LETVICE SVIJETLI JASEN 2700x605x21 mm</t>
  </si>
  <si>
    <t xml:space="preserve">18789</t>
  </si>
  <si>
    <t xml:space="preserve">AKUSTIČNI ZIDNI PANEL MDF LETVICE TAMNO SIVA 2700x605x21 mm</t>
  </si>
  <si>
    <t xml:space="preserve">040111</t>
  </si>
  <si>
    <t xml:space="preserve">AOSTA  - MJEŠALICA ZA KADU</t>
  </si>
  <si>
    <t xml:space="preserve">15276</t>
  </si>
  <si>
    <t xml:space="preserve">FRAME B70R OGLEDALO S LED RASVJETOM R70 cm</t>
  </si>
  <si>
    <t xml:space="preserve">16782</t>
  </si>
  <si>
    <t xml:space="preserve">TK BRIGHT 80 KVADRATNA TUŠ KABINA 80x80x180 cm</t>
  </si>
  <si>
    <t xml:space="preserve">18247</t>
  </si>
  <si>
    <t xml:space="preserve">MIRANDA OGLEDALO 60x90 cm</t>
  </si>
  <si>
    <t xml:space="preserve">003212</t>
  </si>
  <si>
    <t xml:space="preserve">VETRO LINEA 110 TUŠ STIJENA 110x200 cm</t>
  </si>
  <si>
    <t xml:space="preserve">15944</t>
  </si>
  <si>
    <t xml:space="preserve">VETRO STYLE 80 TUŠ STIJENA 80x200 cm</t>
  </si>
  <si>
    <t xml:space="preserve">15945</t>
  </si>
  <si>
    <t xml:space="preserve">VETRO STYLE 90 TUŠ STIJENA 90x200 cm</t>
  </si>
  <si>
    <t xml:space="preserve">15954</t>
  </si>
  <si>
    <t xml:space="preserve">TK NEVA 80 POLUKRUŽNA TUŠ KABINA 80x80x180 cm</t>
  </si>
  <si>
    <t xml:space="preserve">15364</t>
  </si>
  <si>
    <t xml:space="preserve">PORTO 100 TUŠ VRATA 100x195 cm</t>
  </si>
  <si>
    <t xml:space="preserve">17234</t>
  </si>
  <si>
    <t xml:space="preserve">TK PARLA 80 CHROME KVADRATNA TUŠ KABINA 80X80X195 cm</t>
  </si>
  <si>
    <t xml:space="preserve">18012</t>
  </si>
  <si>
    <t xml:space="preserve">VETRO BL TRS 6mm ECO TUŠ STIJENA 110x200</t>
  </si>
  <si>
    <t xml:space="preserve">18023</t>
  </si>
  <si>
    <t xml:space="preserve">MARBELLA 100 TUŠ VRATA 100-110x200 cm</t>
  </si>
  <si>
    <t xml:space="preserve">P15814</t>
  </si>
  <si>
    <t xml:space="preserve">BOLD LUX 80120 MINERALSOLID TUŠ KADA BIJELA SJAJNA 800x1200x30 mm</t>
  </si>
  <si>
    <t xml:space="preserve">P15820</t>
  </si>
  <si>
    <t xml:space="preserve">BOLD LUX 100 KV MINERALSOLID TUŠ KADA BIJELA SJAJNA 1000x1000x30 mm</t>
  </si>
  <si>
    <t xml:space="preserve">15266</t>
  </si>
  <si>
    <t xml:space="preserve">TK MEIRA 80100 PRAVOKUTNA TUŠ KABINA 80x100x195 cm</t>
  </si>
  <si>
    <t xml:space="preserve">15936</t>
  </si>
  <si>
    <t xml:space="preserve">TK SILVER LINE 90 POLUKRUŽNA TUŠ KABINA 90x90x195 cm</t>
  </si>
  <si>
    <t xml:space="preserve">P15817</t>
  </si>
  <si>
    <t xml:space="preserve">BOLD LUX 90120 MINERALSOLID TUŠ KADA BIJELA SJAJNA 900x1200x30 mm</t>
  </si>
  <si>
    <t xml:space="preserve">P15825</t>
  </si>
  <si>
    <t xml:space="preserve">BOLD LUX 80 KV MINERALSOLID TUŠ KADA BIJELA SJAJNA 800x800x30 mm</t>
  </si>
  <si>
    <t xml:space="preserve">003213</t>
  </si>
  <si>
    <t xml:space="preserve">VETRO LINEA 120 TUŠ STIJENA 120x200 cm</t>
  </si>
  <si>
    <t xml:space="preserve">003623</t>
  </si>
  <si>
    <t xml:space="preserve">VJEŠALICA</t>
  </si>
  <si>
    <t xml:space="preserve">00688Y</t>
  </si>
  <si>
    <t xml:space="preserve">TK BIELSA 80 POLUKRUŽNA TUŠ KABINA 80x80x185 cm</t>
  </si>
  <si>
    <t xml:space="preserve">00838</t>
  </si>
  <si>
    <t xml:space="preserve">GL-00012 FLEKSIBILNI SIFON 5/4'' ZA UMIVAONIK - SUDOPER</t>
  </si>
  <si>
    <t xml:space="preserve">042060</t>
  </si>
  <si>
    <t xml:space="preserve">VETRO LINEA 140 TUŠ STIJENA 140x200 cm</t>
  </si>
  <si>
    <t xml:space="preserve">043880</t>
  </si>
  <si>
    <t xml:space="preserve">MONZA R PODŽBUKNA MIJEŠALICA ZA UMIVAONIK</t>
  </si>
  <si>
    <t xml:space="preserve">15001</t>
  </si>
  <si>
    <t xml:space="preserve">EKO PANEL 5 mm grey marble 2440x1220x5 mm</t>
  </si>
  <si>
    <t xml:space="preserve">15255</t>
  </si>
  <si>
    <t xml:space="preserve">SCALA MIJEŠALICA ZA KADU</t>
  </si>
  <si>
    <t xml:space="preserve">15264</t>
  </si>
  <si>
    <t xml:space="preserve">TK MEIRA 90 KVADRATNA TUŠ KABINA 90x90x195 cm</t>
  </si>
  <si>
    <t xml:space="preserve">15275</t>
  </si>
  <si>
    <t xml:space="preserve">FRAME B6080 OGLEDALO S LED RASVJETOM 60x80 cm</t>
  </si>
  <si>
    <t xml:space="preserve">15398</t>
  </si>
  <si>
    <t xml:space="preserve">SIMPLY HIDROMASAŽNA TUŠ KABINA 90X90X210 CM</t>
  </si>
  <si>
    <t xml:space="preserve">16022</t>
  </si>
  <si>
    <t xml:space="preserve">TK RONDA 80 POLUKRUŽNA TUŠ KABINA 80x80x185 cm</t>
  </si>
  <si>
    <t xml:space="preserve">18565</t>
  </si>
  <si>
    <t xml:space="preserve">PURE 100 TUŠ VRATA CHROME 100x200 cm</t>
  </si>
  <si>
    <t xml:space="preserve">18567</t>
  </si>
  <si>
    <t xml:space="preserve">PURE 140 TUŠ VRATA CHROME 140x200 cm</t>
  </si>
  <si>
    <t xml:space="preserve">00516</t>
  </si>
  <si>
    <t xml:space="preserve">OGLEDALO GL-A119 80x60 cm</t>
  </si>
  <si>
    <t xml:space="preserve">036150</t>
  </si>
  <si>
    <t xml:space="preserve">PORTO 140 TUŠ VRATA 140x195 cm</t>
  </si>
  <si>
    <t xml:space="preserve">17254</t>
  </si>
  <si>
    <t xml:space="preserve">TK RAPIDO 80 CHROME POLUKRUŽNA TUŠ KABINA 80X80X195 cm</t>
  </si>
  <si>
    <t xml:space="preserve">18010</t>
  </si>
  <si>
    <t xml:space="preserve">VETRO BL TRS 6mm ECO TUŠ STIJENA 90x200</t>
  </si>
  <si>
    <t xml:space="preserve">18025</t>
  </si>
  <si>
    <t xml:space="preserve">MARBELLA 120 TUŠ VRATA 120-130X200CM</t>
  </si>
  <si>
    <t xml:space="preserve">006259Y</t>
  </si>
  <si>
    <t xml:space="preserve">TK-A80100-6S TUŠ KABINA 80x100x185cm</t>
  </si>
  <si>
    <t xml:space="preserve">16967</t>
  </si>
  <si>
    <t xml:space="preserve">CLEAR WALL 110 CHROME TUŠ VRATA 1100x1950 mm</t>
  </si>
  <si>
    <t xml:space="preserve">041970</t>
  </si>
  <si>
    <t xml:space="preserve">TK MADERA 80 POLUKRUŽNA TUŠ KABINA 80x80x185 cm</t>
  </si>
  <si>
    <t xml:space="preserve">15955</t>
  </si>
  <si>
    <t xml:space="preserve">TK NEVA 90 POLUKRUŽNA TUŠ KABINA 90x90x180 cm</t>
  </si>
  <si>
    <t xml:space="preserve">16989</t>
  </si>
  <si>
    <t xml:space="preserve">TK TOLEDO 90120 PRAVOKUTNA TUŠ KABINA 90x120x195 cm</t>
  </si>
  <si>
    <t xml:space="preserve">17223</t>
  </si>
  <si>
    <t xml:space="preserve">TK MALAGA 80100 CHROME PRAVOKUTNA TUŠ KABINA 80X100X195 cm</t>
  </si>
  <si>
    <t xml:space="preserve">17236</t>
  </si>
  <si>
    <t xml:space="preserve">TK PARLA 80 BLACK POLUKRUŽNA TUŠ KABINA 80X80X195 cm</t>
  </si>
  <si>
    <t xml:space="preserve">18436</t>
  </si>
  <si>
    <t xml:space="preserve">ILLUMEA LED OGLEDALO 60x80 cm CCT 3000/4000/5000K</t>
  </si>
  <si>
    <t xml:space="preserve">18561</t>
  </si>
  <si>
    <t xml:space="preserve">VETRO BRILLIANCE LINE CHROME 100 TUŠ STIJENA 100x200cm</t>
  </si>
  <si>
    <t xml:space="preserve">00517</t>
  </si>
  <si>
    <t xml:space="preserve">OGLEDALO GLB5 80x60 cm</t>
  </si>
  <si>
    <t xml:space="preserve">15007</t>
  </si>
  <si>
    <t xml:space="preserve">KUTNI PROFIL ZA PANELE 10 mm</t>
  </si>
  <si>
    <t xml:space="preserve">15222</t>
  </si>
  <si>
    <t xml:space="preserve">TK BLACK 90 POLUKRUŽNA TUŠ KABINA 90x90x195 cm</t>
  </si>
  <si>
    <t xml:space="preserve">15223</t>
  </si>
  <si>
    <t xml:space="preserve">TK BLACK 80 KVADRATNA TUŠ KABINA 80x80x195 cm</t>
  </si>
  <si>
    <t xml:space="preserve">16091</t>
  </si>
  <si>
    <t xml:space="preserve">GL5808B TUŠ PANEL 140x22 cm</t>
  </si>
  <si>
    <t xml:space="preserve">16857</t>
  </si>
  <si>
    <t xml:space="preserve">MONDO BLACK VISEĆA ŠKOLJKA S DASKOM  RIMLESS 490x370x370 mm</t>
  </si>
  <si>
    <t xml:space="preserve">6376</t>
  </si>
  <si>
    <t xml:space="preserve">CHAOZHOU CHAOAN YALAIER CERAMICS CO.,LTD</t>
  </si>
  <si>
    <t xml:space="preserve">P15823</t>
  </si>
  <si>
    <t xml:space="preserve">BOLD LUX 90 PK MINERALSOLID TUŠ KADA BIJELA SJAJNA 900x900x30 mm</t>
  </si>
  <si>
    <t xml:space="preserve">15265</t>
  </si>
  <si>
    <t xml:space="preserve">TK MEIRA 7090 PRAVOKUTNA TUŠ KABINA 70x90x195 cm</t>
  </si>
  <si>
    <t xml:space="preserve">15365</t>
  </si>
  <si>
    <t xml:space="preserve">VETRO BLACK 110 TUŠ STIJENA 110x200 cm</t>
  </si>
  <si>
    <t xml:space="preserve">15946</t>
  </si>
  <si>
    <t xml:space="preserve">VETRO STYLE 100 TUŠ STIJENA 100x200 cm</t>
  </si>
  <si>
    <t xml:space="preserve">17227</t>
  </si>
  <si>
    <t xml:space="preserve">TK MALAGA 80120 BLACK PRAVOKUTNA TUŠ KABINA 80X120X195 cm</t>
  </si>
  <si>
    <t xml:space="preserve">18563</t>
  </si>
  <si>
    <t xml:space="preserve">PURE 80 PANEL ZA TUŠ KABINU 80x200cm</t>
  </si>
  <si>
    <t xml:space="preserve">18564</t>
  </si>
  <si>
    <t xml:space="preserve">PURE 90 PANEL ZA TUŠ KABINU 90x200cm</t>
  </si>
  <si>
    <t xml:space="preserve">00846</t>
  </si>
  <si>
    <t xml:space="preserve">GL00069 NASTAVAK ZA SIMPLON EKSCENTRIČNI 50 mm</t>
  </si>
  <si>
    <t xml:space="preserve">02776</t>
  </si>
  <si>
    <t xml:space="preserve">TK MERIDA 90 POLUKRUŽNA TUŠ KABINA 90x90x160 cm</t>
  </si>
  <si>
    <t xml:space="preserve">16087</t>
  </si>
  <si>
    <t xml:space="preserve">IMPULSE LED OGLEDALO 100x70 cm</t>
  </si>
  <si>
    <t xml:space="preserve">16960</t>
  </si>
  <si>
    <t xml:space="preserve">CLEAR WALL 100 BLACK TUŠ VRATA 1000x1950mm</t>
  </si>
  <si>
    <t xml:space="preserve">17259</t>
  </si>
  <si>
    <t xml:space="preserve">VETRO SIDE CHROME TRS40 PREKLOPNA VRATA ZA VETRO 40X200 cm</t>
  </si>
  <si>
    <t xml:space="preserve">042450</t>
  </si>
  <si>
    <t xml:space="preserve">VETRO LINEA 130 TUŠ STIJENA 130x200 cm</t>
  </si>
  <si>
    <t xml:space="preserve">16791</t>
  </si>
  <si>
    <t xml:space="preserve">VETRO FRAME 100 TUŠ STIJENA 100X195cm</t>
  </si>
  <si>
    <t xml:space="preserve">16973</t>
  </si>
  <si>
    <t xml:space="preserve">TK GRANADA 90 POLUKRUŽNA TUŠ KABINA 90x90x195 cm</t>
  </si>
  <si>
    <t xml:space="preserve">17229</t>
  </si>
  <si>
    <t xml:space="preserve">TK MALAGA 80100 BRUSHED GOLD PRAVOKUTNA TUŠ KABINA 80X100X195 cm</t>
  </si>
  <si>
    <t xml:space="preserve">17230</t>
  </si>
  <si>
    <t xml:space="preserve">TK MALAGA 80120 BRUSHED GOLD PRAVOKUTNA TUŠ KABINA 80X120X195 cm</t>
  </si>
  <si>
    <t xml:space="preserve">17237</t>
  </si>
  <si>
    <t xml:space="preserve">TK PARLA 90 BLACK POLUKRUŽNA TUŠ KABINA 90X90X195 cm</t>
  </si>
  <si>
    <t xml:space="preserve">P15818</t>
  </si>
  <si>
    <t xml:space="preserve">BOLD LUX 90140 MINERALSOLID TUŠ KADA BIJELA SJAJNA 900x1400x30 mm</t>
  </si>
  <si>
    <t xml:space="preserve">0361413</t>
  </si>
  <si>
    <t xml:space="preserve">UZORAK MINERALMRAMOR STONE 7*7 CM CRNI</t>
  </si>
  <si>
    <t xml:space="preserve">0361417</t>
  </si>
  <si>
    <t xml:space="preserve">UZORAK MINERALMRAMOR 7*7 CM CRNI</t>
  </si>
  <si>
    <t xml:space="preserve">041990</t>
  </si>
  <si>
    <t xml:space="preserve">TK MADERA 80 KVADRATNA TUŠ KABINA 80x80x185 cm</t>
  </si>
  <si>
    <t xml:space="preserve">042070</t>
  </si>
  <si>
    <t xml:space="preserve">DRŽAČ ZA VETRO 70120 cm</t>
  </si>
  <si>
    <t xml:space="preserve">042340</t>
  </si>
  <si>
    <t xml:space="preserve">VETRO TRS 140 TUŠ STIJENA 140x200 cm</t>
  </si>
  <si>
    <t xml:space="preserve">043800</t>
  </si>
  <si>
    <t xml:space="preserve">INTENSO BLACK MIJEŠALICA ZA TUŠ</t>
  </si>
  <si>
    <t xml:space="preserve">15397</t>
  </si>
  <si>
    <t xml:space="preserve">TK NORENA 80 KVADRATNA TUŠ KABINA 80x80x195 cm</t>
  </si>
  <si>
    <t xml:space="preserve">15947</t>
  </si>
  <si>
    <t xml:space="preserve">VETRO STYLE 110 TUŠ STIJENA 110x200 cm</t>
  </si>
  <si>
    <t xml:space="preserve">18016</t>
  </si>
  <si>
    <t xml:space="preserve">VETRO BL TRS 6mm ECO TUŠ STIJENA 150x200</t>
  </si>
  <si>
    <t xml:space="preserve">00843</t>
  </si>
  <si>
    <t xml:space="preserve">GL00008 FLEKSIBILNI NASTAVAK BALTIC</t>
  </si>
  <si>
    <t xml:space="preserve">02775</t>
  </si>
  <si>
    <t xml:space="preserve">TK MERIDA 80 POLUKRUŽNA TUŠ KABINA 80x80x160 cm</t>
  </si>
  <si>
    <t xml:space="preserve">060654Y</t>
  </si>
  <si>
    <t xml:space="preserve">TKA70KV4S KVADRATNA TUŠ KABINA 70x70x185 cm</t>
  </si>
  <si>
    <t xml:space="preserve">1568100</t>
  </si>
  <si>
    <t xml:space="preserve">BOLD S BIJELA 100 KV MINERALSOLID TUŠ KADA 1000x1000x30 mm</t>
  </si>
  <si>
    <t xml:space="preserve">16094</t>
  </si>
  <si>
    <t xml:space="preserve">TK SILVER LINE 90120 PRAVOKUTNA TUŠ KABINA 90x120x195 cm</t>
  </si>
  <si>
    <t xml:space="preserve">16160</t>
  </si>
  <si>
    <t xml:space="preserve">TK GRACE 80 POLUKRUŽNA TUŠ KABINA 80X80X190cm</t>
  </si>
  <si>
    <t xml:space="preserve">16161</t>
  </si>
  <si>
    <t xml:space="preserve">TK GRACE 90 POLUKRUŽNA TUŠ KABINA 90X90X190cm</t>
  </si>
  <si>
    <t xml:space="preserve">17225</t>
  </si>
  <si>
    <t xml:space="preserve">TK MALAGA 90120 CHROME PRAVOKUTNA TUŠ KABINA 90X120X195 cm</t>
  </si>
  <si>
    <t xml:space="preserve">18014</t>
  </si>
  <si>
    <t xml:space="preserve">VETRO BL TRS 6mm ECO TUŠ STIJENA 130x200</t>
  </si>
  <si>
    <t xml:space="preserve">042040</t>
  </si>
  <si>
    <t xml:space="preserve">TK MADERA 80120 PAVOKUTNA TUŠ KABINA 80x120x185 cm</t>
  </si>
  <si>
    <t xml:space="preserve">042420</t>
  </si>
  <si>
    <t xml:space="preserve">VETRO TRS 150 TUŠ STIJENA 150x200 cm</t>
  </si>
  <si>
    <t xml:space="preserve">042440</t>
  </si>
  <si>
    <t xml:space="preserve">VETRO LINEA 80 TUŠ STIJENA 80x200 cm</t>
  </si>
  <si>
    <t xml:space="preserve">16027</t>
  </si>
  <si>
    <t xml:space="preserve">BIANCA 90 POLUKRUŽNA TUŠ KABINA 90X90X195</t>
  </si>
  <si>
    <t xml:space="preserve">16790</t>
  </si>
  <si>
    <t xml:space="preserve">VETRO FRAME 90 TUŠ STIJENA 90X195cm</t>
  </si>
  <si>
    <t xml:space="preserve">16970</t>
  </si>
  <si>
    <t xml:space="preserve">CLEAR SIDE 90 CHROME STAKLENA STRANICA 900x1950 mm</t>
  </si>
  <si>
    <t xml:space="preserve">171400</t>
  </si>
  <si>
    <t xml:space="preserve">VETRO GOLD TRS 80 TUŠ STIJENA 80x200 cm</t>
  </si>
  <si>
    <t xml:space="preserve">17238</t>
  </si>
  <si>
    <t xml:space="preserve">TK PARLA 80 CHROME POLUKRUŽNA TUŠ KABINA 80X80X195 cm</t>
  </si>
  <si>
    <t xml:space="preserve">17252</t>
  </si>
  <si>
    <t xml:space="preserve">TK RAPIDO 80 BRUSHED GOLD KVADRATNA TUŠ KABINA 80X80X195 cm</t>
  </si>
  <si>
    <t xml:space="preserve">18002</t>
  </si>
  <si>
    <t xml:space="preserve">VETRO CR TRS 6mm ECO TUŠ STIJENA 100x200</t>
  </si>
  <si>
    <t xml:space="preserve">003976</t>
  </si>
  <si>
    <t xml:space="preserve">RIMINI VISOKA MIJEŠALICA ZA UMIVAONIK</t>
  </si>
  <si>
    <t xml:space="preserve">15225</t>
  </si>
  <si>
    <t xml:space="preserve">TK BLACK 7090 PRAVOKUTNA TUŠ KABINA 70x90x195 cm</t>
  </si>
  <si>
    <t xml:space="preserve">16792</t>
  </si>
  <si>
    <t xml:space="preserve">VETRO FRAME 120 TUŠ STIJENA 120X195cm</t>
  </si>
  <si>
    <t xml:space="preserve">17250</t>
  </si>
  <si>
    <t xml:space="preserve">TK RAPIDO 80 CHROME KVADRATNA TUŠ KABINA 80X80X195 cm</t>
  </si>
  <si>
    <t xml:space="preserve">38722001</t>
  </si>
  <si>
    <t xml:space="preserve">GROHE RAPID SL 3-U-1 SET PODŽBUKNI ELEMENT ZA WC ŠKOLJKU + BIJELA TIPKA</t>
  </si>
  <si>
    <t xml:space="preserve">4499</t>
  </si>
  <si>
    <t xml:space="preserve">THS D.O.O.</t>
  </si>
  <si>
    <t xml:space="preserve">P15815</t>
  </si>
  <si>
    <t xml:space="preserve">BOLD LUX 90 KV MINERALSOLID TUŠ KADA BIJELA SJAJNA 900x900x30 mm</t>
  </si>
  <si>
    <t xml:space="preserve">00510</t>
  </si>
  <si>
    <t xml:space="preserve">OGLEDALO GLN52 80x60 cm</t>
  </si>
  <si>
    <t xml:space="preserve">00521</t>
  </si>
  <si>
    <t xml:space="preserve">OGLEDALO GLS6080 80x60 cm</t>
  </si>
  <si>
    <t xml:space="preserve">00845</t>
  </si>
  <si>
    <t xml:space="preserve">GL00010 NASTAVAK ZA SIMPLON EKSCENTRIČNI 20 mm</t>
  </si>
  <si>
    <t xml:space="preserve">15267</t>
  </si>
  <si>
    <t xml:space="preserve">TK MEIRA 80120 TUŠ KABINA 80x120x195 cm</t>
  </si>
  <si>
    <t xml:space="preserve">1567200</t>
  </si>
  <si>
    <t xml:space="preserve">BOLD S BIJELA 90100 MINERALSOLID TUŠ KADA 900x1000x30 mm</t>
  </si>
  <si>
    <t xml:space="preserve">17204</t>
  </si>
  <si>
    <t xml:space="preserve">SIMPLE ZIDNA MIJEŠALICA ZA TUŠ S TUŠEM I DRŽAČEM</t>
  </si>
  <si>
    <t xml:space="preserve">17232</t>
  </si>
  <si>
    <t xml:space="preserve">TK PARLA 80 BLACK KVADRATNA TUŠ KABINA 80X80X195 cm</t>
  </si>
  <si>
    <t xml:space="preserve">17244</t>
  </si>
  <si>
    <t xml:space="preserve">TUŠ STAKLO ZA VETRO SLIDE TRS 120 120X195 cm</t>
  </si>
  <si>
    <t xml:space="preserve">17245</t>
  </si>
  <si>
    <t xml:space="preserve">TUŠ STAKLO ZA VETRO SLIDE BLACK 100 100X195 cm</t>
  </si>
  <si>
    <t xml:space="preserve">042126C</t>
  </si>
  <si>
    <t xml:space="preserve">SHINE C DIA100 cm LED OGLEDALO SA SENZOROM POKRETA</t>
  </si>
  <si>
    <t xml:space="preserve">042330</t>
  </si>
  <si>
    <t xml:space="preserve">VETRO TRS 130 TUŠ STIJENA 130x200 cm</t>
  </si>
  <si>
    <t xml:space="preserve">042430</t>
  </si>
  <si>
    <t xml:space="preserve">VETRO TRS 160 TUŠ STIJENA 160x200 cm</t>
  </si>
  <si>
    <t xml:space="preserve">15221</t>
  </si>
  <si>
    <t xml:space="preserve">TK BLACK 80 POLUKRUŽNA TUŠ KABINA 80x80x195 cm</t>
  </si>
  <si>
    <t xml:space="preserve">5645</t>
  </si>
  <si>
    <t xml:space="preserve">MAVAW (ZHEJIANG) SMART HOME CO.,LTD</t>
  </si>
  <si>
    <t xml:space="preserve">16093</t>
  </si>
  <si>
    <t xml:space="preserve">TK SILVER LINE 7090 PRAVOKUTNA TUŠ KABINA 70x90x195 cm</t>
  </si>
  <si>
    <t xml:space="preserve">16961</t>
  </si>
  <si>
    <t xml:space="preserve">CLEAR WALL 110 BLACK TUŠ VRATA 1100x1950 mm</t>
  </si>
  <si>
    <t xml:space="preserve">17256</t>
  </si>
  <si>
    <t xml:space="preserve">TK RAPIDO 80 BRUSHED GOLD POLUKRUŽNA TUŠ KABINA 80X80X195 cm</t>
  </si>
  <si>
    <t xml:space="preserve">18011</t>
  </si>
  <si>
    <t xml:space="preserve">VETRO BL TRS 6mm ECO TUŠ STIJENA 100x200</t>
  </si>
  <si>
    <t xml:space="preserve">18033</t>
  </si>
  <si>
    <t xml:space="preserve">TK ROTA 80120 BLACK TUŠ KABINA 80x120x200cm</t>
  </si>
  <si>
    <t xml:space="preserve">18568</t>
  </si>
  <si>
    <t xml:space="preserve">VETRO BRILLIANCE CRYSTAL BLACK 90 TUŠ STIJENA 90x200cm</t>
  </si>
  <si>
    <t xml:space="preserve">AA02239</t>
  </si>
  <si>
    <t xml:space="preserve">EASY IN 90 TUŠ VRATA 90x195 cm</t>
  </si>
  <si>
    <t xml:space="preserve">15273</t>
  </si>
  <si>
    <t xml:space="preserve">ALINA 80120 HIDROMASAŽNA TUŠ KABINA 80x120x225 cm</t>
  </si>
  <si>
    <t xml:space="preserve">15935</t>
  </si>
  <si>
    <t xml:space="preserve">TK SILVER LINE 80 POLUKRUŽNA TUŠ KABINA 80x80x195 cm</t>
  </si>
  <si>
    <t xml:space="preserve">15940</t>
  </si>
  <si>
    <t xml:space="preserve">TK SILVER LINE 80120 PRAVOKUTNA TUŠ KABINA 80x120x195 cm</t>
  </si>
  <si>
    <t xml:space="preserve">16163</t>
  </si>
  <si>
    <t xml:space="preserve">TK GRACE 90 KVADRATNA TUŠ KABINA 90X90X190cm</t>
  </si>
  <si>
    <t xml:space="preserve">16789</t>
  </si>
  <si>
    <t xml:space="preserve">VETRO FRAME 80 TUŠ STIJENA 80X195cm</t>
  </si>
  <si>
    <t xml:space="preserve">16965</t>
  </si>
  <si>
    <t xml:space="preserve">CLEAR SIDE 100 BLACK STAKLENA STRANICA 1000x1950 mm</t>
  </si>
  <si>
    <t xml:space="preserve">17224</t>
  </si>
  <si>
    <t xml:space="preserve">TK MALAGA 80120 CHROME PRAVOKUTNA TUŠ KABINA 80X120X195 cm</t>
  </si>
  <si>
    <t xml:space="preserve">17233</t>
  </si>
  <si>
    <t xml:space="preserve">TK PARLA 90 BLACK KVADRATNA TUŠ KABINA 90X90X195 cm</t>
  </si>
  <si>
    <t xml:space="preserve">17257</t>
  </si>
  <si>
    <t xml:space="preserve">TK RAPIDO 90 BRUSHED GOLD POLUKRUŽNA TUŠ KABINA 90X90X195 cm</t>
  </si>
  <si>
    <t xml:space="preserve">18007</t>
  </si>
  <si>
    <t xml:space="preserve">VETRO CR TRS 6mm ECO TUŠ STIJENA 150x200</t>
  </si>
  <si>
    <t xml:space="preserve">18032</t>
  </si>
  <si>
    <t xml:space="preserve">TK ROTA 80100 BLACK TUŠ KABINA 80x100x200cm</t>
  </si>
  <si>
    <t xml:space="preserve">18570</t>
  </si>
  <si>
    <t xml:space="preserve">VETRO BRILLIANCE CRYSTAL BLACK 120 TUŠ STIJENA 120x200cm</t>
  </si>
  <si>
    <t xml:space="preserve">18571</t>
  </si>
  <si>
    <t xml:space="preserve">NIFTY TUŠ SET S MIJEŠALICOM</t>
  </si>
  <si>
    <t xml:space="preserve">003384</t>
  </si>
  <si>
    <t xml:space="preserve">ESPERA OGLEDALO S LED RASVJETOM 90x60 cm</t>
  </si>
  <si>
    <t xml:space="preserve">042072</t>
  </si>
  <si>
    <t xml:space="preserve">DRŽAČ ZA VETRO MAT CRNI 70120 cm</t>
  </si>
  <si>
    <t xml:space="preserve">5992</t>
  </si>
  <si>
    <t xml:space="preserve">HANGZHOU WOPOO IMPORT AND EXPORT CO.,LTD</t>
  </si>
  <si>
    <t xml:space="preserve">043790</t>
  </si>
  <si>
    <t xml:space="preserve">INTENSO BLACK MIJEŠALICA ZA KADU</t>
  </si>
  <si>
    <t xml:space="preserve">15226</t>
  </si>
  <si>
    <t xml:space="preserve">TK BLACK 80100 PRAVOKUTNA TUŠ KABINA 80x100x195 cm</t>
  </si>
  <si>
    <t xml:space="preserve">15263</t>
  </si>
  <si>
    <t xml:space="preserve">TK MEIRA 80 KVADRATNA TUŠ KABINA 80x80x195 cm</t>
  </si>
  <si>
    <t xml:space="preserve">17209</t>
  </si>
  <si>
    <t xml:space="preserve">IMOLA KROM MIJEŠALICA ZA TUŠ</t>
  </si>
  <si>
    <t xml:space="preserve">P15822</t>
  </si>
  <si>
    <t xml:space="preserve">BOLD LUX 100120 MINERALSOLID TUŠ KADA BIJELA SJAJNA 1000x1200x30 mm</t>
  </si>
  <si>
    <t xml:space="preserve">036160</t>
  </si>
  <si>
    <t xml:space="preserve">PORTO 160 TUŠ VRATA 160x195 cm</t>
  </si>
  <si>
    <t xml:space="preserve">15271</t>
  </si>
  <si>
    <t xml:space="preserve">ALINA 90 HIDROMASAŽNA TUŠ KABINA 90x90x225 cm</t>
  </si>
  <si>
    <t xml:space="preserve">15272</t>
  </si>
  <si>
    <t xml:space="preserve">ALINA 80100 HIDROMASAŽNA TUŠ KABINA 80x100x225 cm</t>
  </si>
  <si>
    <t xml:space="preserve">15939</t>
  </si>
  <si>
    <t xml:space="preserve">TK SILVER LINE 80100 PRAVOKUTNA TUŠ KABINA 80x100x195 cm</t>
  </si>
  <si>
    <t xml:space="preserve">16974</t>
  </si>
  <si>
    <t xml:space="preserve">TK GRANADA 80 KVADRATNA TUŠ KABINA 80x80x195 cm</t>
  </si>
  <si>
    <t xml:space="preserve">17265</t>
  </si>
  <si>
    <t xml:space="preserve">OVIEDO TUŠ VRATA 78-90x190 cm</t>
  </si>
  <si>
    <t xml:space="preserve">18026</t>
  </si>
  <si>
    <t xml:space="preserve">MARBELLA 130 TUŠ VRATA 130-140X200CM</t>
  </si>
  <si>
    <t xml:space="preserve">18560</t>
  </si>
  <si>
    <t xml:space="preserve">VETRO BRILLIANCE LINE CHROME 90 TUŠ STIJENA 90x200cm</t>
  </si>
  <si>
    <t xml:space="preserve">037080</t>
  </si>
  <si>
    <t xml:space="preserve">VETRO BLACK 90 TUŠ STIJENA 90x200 cm</t>
  </si>
  <si>
    <t xml:space="preserve">060652Y</t>
  </si>
  <si>
    <t xml:space="preserve">TK EVORA PK 80 POLUKRUŽNA TUŠ KABINA 80x80x160 cm</t>
  </si>
  <si>
    <t xml:space="preserve">15224</t>
  </si>
  <si>
    <t xml:space="preserve">TK BLACK 90 KVADRATNA TUŠ KABINA 90x90x195 cm</t>
  </si>
  <si>
    <t xml:space="preserve">16096</t>
  </si>
  <si>
    <t xml:space="preserve">VETRO BLACK TRS 90 TUŠ STIJENA 90x200 cm</t>
  </si>
  <si>
    <t xml:space="preserve">16097</t>
  </si>
  <si>
    <t xml:space="preserve">VETRO BLACK TRS 100 TUŠ STIJENA 100x200 cm</t>
  </si>
  <si>
    <t xml:space="preserve">16099</t>
  </si>
  <si>
    <t xml:space="preserve">VETRO BLACK TRS 120 TUŠ STIJENA 120x200 cm</t>
  </si>
  <si>
    <t xml:space="preserve">16858</t>
  </si>
  <si>
    <t xml:space="preserve">MONDO BLACK VISEĆI BIDE 490x370x320 mm</t>
  </si>
  <si>
    <t xml:space="preserve">17263</t>
  </si>
  <si>
    <t xml:space="preserve">S PARLA SIDE 80 CHROME 80X195 cm STAKLENA STRANICA</t>
  </si>
  <si>
    <t xml:space="preserve">17264</t>
  </si>
  <si>
    <t xml:space="preserve">S PARLA SIDE 90 CHROME 90X195 cm STAKLENA STRANICA</t>
  </si>
  <si>
    <t xml:space="preserve">18027</t>
  </si>
  <si>
    <t xml:space="preserve">MARBELLA 140 TUŠ VRATA 140-150X200CM</t>
  </si>
  <si>
    <t xml:space="preserve">18652</t>
  </si>
  <si>
    <t xml:space="preserve">VETRO FLUTED 90 CHROME TUŠ STIJENA 90x200 cm</t>
  </si>
  <si>
    <t xml:space="preserve">18653</t>
  </si>
  <si>
    <t xml:space="preserve">VETRO FLUTED 100 CHROME TUŠ STIJENA 100x200 cm</t>
  </si>
  <si>
    <t xml:space="preserve">18654</t>
  </si>
  <si>
    <t xml:space="preserve">VETRO FLUTED 120 CHROME TUŠ STIJENA 120x200 cm</t>
  </si>
  <si>
    <t xml:space="preserve">18665</t>
  </si>
  <si>
    <t xml:space="preserve">VETRO FLUTED 80 BLACK TUŠ STIJENA 80x200 cm</t>
  </si>
  <si>
    <t xml:space="preserve">18667</t>
  </si>
  <si>
    <t xml:space="preserve">VETRO FLUTED 100 BLACK TUŠ STIJENA 100x200 cm</t>
  </si>
  <si>
    <t xml:space="preserve">18668</t>
  </si>
  <si>
    <t xml:space="preserve">VETRO FLUTED 120 BLACK TUŠ STIJENA 120x200 cm</t>
  </si>
  <si>
    <t xml:space="preserve">040260</t>
  </si>
  <si>
    <t xml:space="preserve">VETRO BLACK 130 TUŠ STIJENA 130x200 cm</t>
  </si>
  <si>
    <t xml:space="preserve">15256</t>
  </si>
  <si>
    <t xml:space="preserve">SCALA MIJEŠALICA ZA TUŠ</t>
  </si>
  <si>
    <t xml:space="preserve">16964</t>
  </si>
  <si>
    <t xml:space="preserve">CLEAR SIDE 90 BLACK STAKLENA STRANICA 900x1950 mm</t>
  </si>
  <si>
    <t xml:space="preserve">18003</t>
  </si>
  <si>
    <t xml:space="preserve">VETRO CR TRS 6mm ECO TUŠ STIJENA 110x200</t>
  </si>
  <si>
    <t xml:space="preserve">18569</t>
  </si>
  <si>
    <t xml:space="preserve">VETRO BRILLIANCE CRYSTAL BLACK 100 TUŠ STIJENA 100x200cm</t>
  </si>
  <si>
    <t xml:space="preserve">18651</t>
  </si>
  <si>
    <t xml:space="preserve">VETRO FLUTED 80 CHROME TUŠ STIJENA 80x200 cm</t>
  </si>
  <si>
    <t xml:space="preserve">18666</t>
  </si>
  <si>
    <t xml:space="preserve">VETRO FLUTED 90 BLACK TUŠ STIJENA 90x200 cm</t>
  </si>
  <si>
    <t xml:space="preserve">P158133</t>
  </si>
  <si>
    <t xml:space="preserve">BOLD LUX 80100 MINERALSOLID TUŠ KADA BIJELA SJAJNA B</t>
  </si>
  <si>
    <t xml:space="preserve">060653Y</t>
  </si>
  <si>
    <t xml:space="preserve">TK EVORA PK 90 POLUKRUŽNA TUŠ KABINA 90x90x160 cm</t>
  </si>
  <si>
    <t xml:space="preserve">155150</t>
  </si>
  <si>
    <t xml:space="preserve">BOLD BIJELA 80140 MINERALSOLID TUŠ KADA 800x1400x30 mm</t>
  </si>
  <si>
    <t xml:space="preserve">5517</t>
  </si>
  <si>
    <t xml:space="preserve">NICOS INTERNATIONAL S.P.A.</t>
  </si>
  <si>
    <t xml:space="preserve">15957</t>
  </si>
  <si>
    <t xml:space="preserve">TK NEVA 90 KVADRATNA TUŠ KABINA 90x90x180 cm</t>
  </si>
  <si>
    <t xml:space="preserve">16061</t>
  </si>
  <si>
    <t xml:space="preserve">TK SPRING 90 KVADRATNA TUŠ KABINA 90x90x180 cm</t>
  </si>
  <si>
    <t xml:space="preserve">171420</t>
  </si>
  <si>
    <t xml:space="preserve">VETRO GOLD TRS 100 TUŠ STIJENA 100x200 cm</t>
  </si>
  <si>
    <t xml:space="preserve">17231</t>
  </si>
  <si>
    <t xml:space="preserve">TK MALAGA 90120 BRUSHED GOLD PRAVOKUTNA TUŠ KABINA 90X120X195 cm</t>
  </si>
  <si>
    <t xml:space="preserve">17246</t>
  </si>
  <si>
    <t xml:space="preserve">TUŠ STAKLO ZA VETRO SLIDE BLACK 120 120X195 cm</t>
  </si>
  <si>
    <t xml:space="preserve">18566</t>
  </si>
  <si>
    <t xml:space="preserve">PURE 120 TUŠ VRATA CHROME 120x200 cm</t>
  </si>
  <si>
    <t xml:space="preserve">18661</t>
  </si>
  <si>
    <t xml:space="preserve">VETRO SLIDE 100 BLACK TRS TUŠ STIJENA 100x195 cm</t>
  </si>
  <si>
    <t xml:space="preserve">18663</t>
  </si>
  <si>
    <t xml:space="preserve">VETRO SLIDE 100 CHROME TRS TUŠ STIJENA 100x195 cm</t>
  </si>
  <si>
    <t xml:space="preserve">AA02066</t>
  </si>
  <si>
    <t xml:space="preserve">KOMPLET NOGICA ZA KUPAONSKU KUTNU KADU</t>
  </si>
  <si>
    <t xml:space="preserve">1567100</t>
  </si>
  <si>
    <t xml:space="preserve">BOLD S BIJELA 90 KV MINERALSOLID TUŠ KADA 900x900x30 mm</t>
  </si>
  <si>
    <t xml:space="preserve">17193</t>
  </si>
  <si>
    <t xml:space="preserve">QUADRA VISEĆI BIDE 515x365x300 mm</t>
  </si>
  <si>
    <t xml:space="preserve">17226</t>
  </si>
  <si>
    <t xml:space="preserve">TK MALAGA 80100 BLACK PRAVOKUTNA TUŠ KABINA 80X100X195 cm</t>
  </si>
  <si>
    <t xml:space="preserve">17241</t>
  </si>
  <si>
    <t xml:space="preserve">TK TELDE 80120 CHROME PRAVOKUTNA TUŠ KABINA 80X120X195 cm</t>
  </si>
  <si>
    <t xml:space="preserve">18435</t>
  </si>
  <si>
    <t xml:space="preserve">SHAPE LED OGLEDALO 78x100cm 3000/4000/5000K</t>
  </si>
  <si>
    <t xml:space="preserve">AA02227</t>
  </si>
  <si>
    <t xml:space="preserve">TK VENIO 8090R POLUKRUŽNA TUŠ KABINA 80x90X195 CM</t>
  </si>
  <si>
    <t xml:space="preserve">004040</t>
  </si>
  <si>
    <t xml:space="preserve">SIENA MJEŠALICA ZA SUDOPER BIJELA</t>
  </si>
  <si>
    <t xml:space="preserve">004120</t>
  </si>
  <si>
    <t xml:space="preserve">SIENA MJEŠALICA ZA SUDOPER BIJELA-VISOKA</t>
  </si>
  <si>
    <t xml:space="preserve">060650Y</t>
  </si>
  <si>
    <t xml:space="preserve">TKA80KV4S KVADRATNA TUŠ KABINA 80x80x185 cm</t>
  </si>
  <si>
    <t xml:space="preserve">15262</t>
  </si>
  <si>
    <t xml:space="preserve">TK MEIRA 90 POLUKRUŽNA TUŠ KABINA 90x90x195 cm</t>
  </si>
  <si>
    <t xml:space="preserve">15270</t>
  </si>
  <si>
    <t xml:space="preserve">ALINA 80 HIDROMASAŽNA TUŠ KABINA 80x80x225 cm</t>
  </si>
  <si>
    <t xml:space="preserve">171430</t>
  </si>
  <si>
    <t xml:space="preserve">VETRO GOLD TRS 110 TUŠ STIJENA 110x200 cm</t>
  </si>
  <si>
    <t xml:space="preserve">18662</t>
  </si>
  <si>
    <t xml:space="preserve">VETRO SLIDE 120 BLACK TRS TUŠ STIJENA 120x195 cm</t>
  </si>
  <si>
    <t xml:space="preserve">23322003</t>
  </si>
  <si>
    <t xml:space="preserve">GROHE EUROSMART MIJEŠALICA ZA UMIVAONIK M, KROM</t>
  </si>
  <si>
    <t xml:space="preserve">23328001</t>
  </si>
  <si>
    <t xml:space="preserve">GROHE BAUEDGE MIJEŠALICA ZA UMIVAONIK S, KROM</t>
  </si>
  <si>
    <t xml:space="preserve">23605001</t>
  </si>
  <si>
    <t xml:space="preserve">GROHE BAUEDGE MIJEŠALICA ZA KADU, KROM</t>
  </si>
  <si>
    <t xml:space="preserve">23635001</t>
  </si>
  <si>
    <t xml:space="preserve">GROHE BAUEDGE MIJEŠALICA ZA TUŠ, KROM</t>
  </si>
  <si>
    <t xml:space="preserve">6881005-00</t>
  </si>
  <si>
    <t xml:space="preserve">KLUDI DIVE TUŠ SLUŠALICA, 1 MLAZ, KROM</t>
  </si>
  <si>
    <t xml:space="preserve">AA02238</t>
  </si>
  <si>
    <t xml:space="preserve">EASY IN 80 TUŠ VRATA 80x195 cm</t>
  </si>
  <si>
    <t xml:space="preserve">006067</t>
  </si>
  <si>
    <t xml:space="preserve">TK-80100-15 TUŠ KABINA 80X100X190CM</t>
  </si>
  <si>
    <t xml:space="preserve">042030</t>
  </si>
  <si>
    <t xml:space="preserve">TK MADERA 80100 PRAVOKUTNA TUŠ KABINA 80x100x185 cm</t>
  </si>
  <si>
    <t xml:space="preserve">060651Y</t>
  </si>
  <si>
    <t xml:space="preserve">TK-A90KV-4S KVADRATNA TUŠ KABINA 90x90x185 cm</t>
  </si>
  <si>
    <t xml:space="preserve">1025005-00</t>
  </si>
  <si>
    <t xml:space="preserve">KLUDI SIFON STANDARD, KROM</t>
  </si>
  <si>
    <t xml:space="preserve">15012</t>
  </si>
  <si>
    <t xml:space="preserve">POVEZNI PROFIL ZA PANELE 5 mm</t>
  </si>
  <si>
    <t xml:space="preserve">1584605-00</t>
  </si>
  <si>
    <t xml:space="preserve">KLUDI KUTNI VENTIL STANDARDNA KARTUŠA 1/2" X 3/8"</t>
  </si>
  <si>
    <t xml:space="preserve">16043</t>
  </si>
  <si>
    <t xml:space="preserve">INOX POKROV SIFONA TUŠ KADE BOLD</t>
  </si>
  <si>
    <t xml:space="preserve">16976</t>
  </si>
  <si>
    <t xml:space="preserve">TK GRANADA 7090 PRAVOKUTNA TUŠ KABINA 70x90x195 cm</t>
  </si>
  <si>
    <t xml:space="preserve">17228</t>
  </si>
  <si>
    <t xml:space="preserve">TK MALAGA 90120 BLACK PRAVOKUTNA TUŠ KABINA 90X120X195 cm</t>
  </si>
  <si>
    <t xml:space="preserve">17249</t>
  </si>
  <si>
    <t xml:space="preserve">ALUMINIJSKI PROFIL ZA VETRO SLIDE BRUSHED GOLD 120X195 cm</t>
  </si>
  <si>
    <t xml:space="preserve">17277</t>
  </si>
  <si>
    <t xml:space="preserve">COSY 170 SAMOSTOJEĆA KUPAONSKA KADA 1700X800X580 MM</t>
  </si>
  <si>
    <t xml:space="preserve">18000</t>
  </si>
  <si>
    <t xml:space="preserve">VETRO CR TRS 6mm ECO TUŠ STIJENA 80x200</t>
  </si>
  <si>
    <t xml:space="preserve">18028</t>
  </si>
  <si>
    <t xml:space="preserve">MARBELLA 150 TUŠ VRATA 150-160X200CM</t>
  </si>
  <si>
    <t xml:space="preserve">18664</t>
  </si>
  <si>
    <t xml:space="preserve">VETRO SLIDE 120 CHROME TRS TUŠ STIJENA 120x195 cm</t>
  </si>
  <si>
    <t xml:space="preserve">18700</t>
  </si>
  <si>
    <t xml:space="preserve">VETRO MIRROR 80 BLACK TUŠ STIJENA 80x200 cm</t>
  </si>
  <si>
    <t xml:space="preserve">18704</t>
  </si>
  <si>
    <t xml:space="preserve">VETRO MIRROR 100 BLACK TUŠ STIJENA 100x200 cm</t>
  </si>
  <si>
    <t xml:space="preserve">322820575</t>
  </si>
  <si>
    <t xml:space="preserve">KLUDI X1 MIJEŠALICA ZA UMIVAONIK, 100 MM, KROM</t>
  </si>
  <si>
    <t xml:space="preserve">6105605-00</t>
  </si>
  <si>
    <t xml:space="preserve">KLUDI TUŠ CRIJEVO LOGOFLEX, 1,60 M</t>
  </si>
  <si>
    <t xml:space="preserve">6107205-00</t>
  </si>
  <si>
    <t xml:space="preserve">KLUDI TUŠ CRIJEVO SUPARAFLEX SILVER 1,60 M</t>
  </si>
  <si>
    <t xml:space="preserve">6883005-00</t>
  </si>
  <si>
    <t xml:space="preserve">KLUDI DIVE TUŠ SLUŠALICA, 3 MLAZA, KROM</t>
  </si>
  <si>
    <t xml:space="preserve">6983005-00</t>
  </si>
  <si>
    <t xml:space="preserve">KLUDI XDIVE TUŠ SLUŠALICA, 3 MLAZA, KROM</t>
  </si>
  <si>
    <t xml:space="preserve">88022.</t>
  </si>
  <si>
    <t xml:space="preserve">KLUDI SLIM BOXX UGRADBENI ELEMENT</t>
  </si>
  <si>
    <t xml:space="preserve">16051</t>
  </si>
  <si>
    <t xml:space="preserve">CRNI POKROV SIFONA TUŠ KADE BOLD</t>
  </si>
  <si>
    <t xml:space="preserve">16963</t>
  </si>
  <si>
    <t xml:space="preserve">CLEAR SIDE 80 BLACK STAKLENA STRANICA 800x1950 mm</t>
  </si>
  <si>
    <t xml:space="preserve">16971</t>
  </si>
  <si>
    <t xml:space="preserve">CLEAR SIDE 100 CHROME STAKLENA STRANICA 1000x1950 mm</t>
  </si>
  <si>
    <t xml:space="preserve">17191</t>
  </si>
  <si>
    <t xml:space="preserve">VIVID VISEĆI BIDE 485x365x325 mm</t>
  </si>
  <si>
    <t xml:space="preserve">18562</t>
  </si>
  <si>
    <t xml:space="preserve">VETRO BRILLIANCE LINE CHROME 120 TUŠ STIJENA 120x200cm</t>
  </si>
  <si>
    <t xml:space="preserve">18702</t>
  </si>
  <si>
    <t xml:space="preserve">VETRO MIRROR 90 BLACK TUŠ STIJENA 90x200 cm</t>
  </si>
  <si>
    <t xml:space="preserve">26670001</t>
  </si>
  <si>
    <t xml:space="preserve">GROHE TEMPESTA 250 TUŠ SISTEM, KROM</t>
  </si>
  <si>
    <t xml:space="preserve">326910575</t>
  </si>
  <si>
    <t xml:space="preserve">KLUDI X1 MIJEŠALICA ZA KADU, KROM</t>
  </si>
  <si>
    <t xml:space="preserve">35604000</t>
  </si>
  <si>
    <t xml:space="preserve">GROHE RAPIDO SMARTBOX UGRADBENA KUTIJA</t>
  </si>
  <si>
    <t xml:space="preserve">P15813</t>
  </si>
  <si>
    <t xml:space="preserve">BOLD LUX 80100 MINERALSOLID TUŠ KADA BIJELA SJAJNA 800x1000x30 mm</t>
  </si>
  <si>
    <t xml:space="preserve">040720</t>
  </si>
  <si>
    <t xml:space="preserve">TK803D PLUS TUŠ PARAVAN 80x195 cm</t>
  </si>
  <si>
    <t xml:space="preserve">2426</t>
  </si>
  <si>
    <t xml:space="preserve">HANGZHOU ROYO IMPORT &amp; EXPORT CO., LTD.</t>
  </si>
  <si>
    <t xml:space="preserve">15950</t>
  </si>
  <si>
    <t xml:space="preserve">VETRO STYLE 140 TUŠ STIJENA 140x200 cm</t>
  </si>
  <si>
    <t xml:space="preserve">17186</t>
  </si>
  <si>
    <t xml:space="preserve">NERO DRŽAČ SUŠILA ZA KOSU - CRNI</t>
  </si>
  <si>
    <t xml:space="preserve">18024</t>
  </si>
  <si>
    <t xml:space="preserve">MARBELLA 110  TUŠ VRATA 110-120X200CM</t>
  </si>
  <si>
    <t xml:space="preserve">18706</t>
  </si>
  <si>
    <t xml:space="preserve">VETRO MIRROR 120 BLACK TUŠ STIJENA 120x200 cm</t>
  </si>
  <si>
    <t xml:space="preserve">327590575</t>
  </si>
  <si>
    <t xml:space="preserve">KLUDI X1 MIJEŠALICA PODŽBUKNA ZA KADU I TUŠ, KROM</t>
  </si>
  <si>
    <t xml:space="preserve">328310575</t>
  </si>
  <si>
    <t xml:space="preserve">KLUDI X1 MIJEŠALICA ZA TUŠ, KROM</t>
  </si>
  <si>
    <t xml:space="preserve">P158143</t>
  </si>
  <si>
    <t xml:space="preserve">BOLD LUX 80120 MINERALSOLID TUŠ KADA BIJELA SJAJNA B</t>
  </si>
  <si>
    <t xml:space="preserve">RDE320191</t>
  </si>
  <si>
    <t xml:space="preserve">DASKA ZA WC ŠKOLJKU QUADRA</t>
  </si>
  <si>
    <t xml:space="preserve">01500180</t>
  </si>
  <si>
    <t xml:space="preserve">HANSGROHE IBOX2 PODŽBUKNO TIJELO ZA MIJEŠALICE</t>
  </si>
  <si>
    <t xml:space="preserve">7564</t>
  </si>
  <si>
    <t xml:space="preserve">MAVI d.o.o.</t>
  </si>
  <si>
    <t xml:space="preserve">1016942430</t>
  </si>
  <si>
    <t xml:space="preserve">GROHE CUBEO MIJEŠALICA ZA UMIVAONIK S, CRNA</t>
  </si>
  <si>
    <t xml:space="preserve">1017492430</t>
  </si>
  <si>
    <t xml:space="preserve">GROHE CUBEO MIJEŠALICA ZA UMIVAONIK M, CRNA</t>
  </si>
  <si>
    <t xml:space="preserve">1018132430</t>
  </si>
  <si>
    <t xml:space="preserve">GROHE CUBEO MIJEŠALICA ZA KADU, CRNA</t>
  </si>
  <si>
    <t xml:space="preserve">103860SH00</t>
  </si>
  <si>
    <t xml:space="preserve">GROHE BAU CERAMIC WC ŠKOLJKA VISEĆA + SOFT-CLOSE DASKA</t>
  </si>
  <si>
    <t xml:space="preserve">16095</t>
  </si>
  <si>
    <t xml:space="preserve">VETRO BLACK TRS 80 TUŠ STIJENA 80x200 cm</t>
  </si>
  <si>
    <t xml:space="preserve">16116</t>
  </si>
  <si>
    <t xml:space="preserve">CLEAR 120-6 PARAVAN ZA KADU 120X140 CM</t>
  </si>
  <si>
    <t xml:space="preserve">23761001</t>
  </si>
  <si>
    <t xml:space="preserve">GROHE BAUEDGE MIJEŠALICA ZA UMIVAONIK XL, KROM</t>
  </si>
  <si>
    <t xml:space="preserve">33265003</t>
  </si>
  <si>
    <t xml:space="preserve">GROHE EUROSMART MIJEŠALICA ZA UMIVAONIK S, KROM</t>
  </si>
  <si>
    <t xml:space="preserve">33300003</t>
  </si>
  <si>
    <t xml:space="preserve">GROHE EUROSMART MIJEŠALICA ZA KADU, KROM</t>
  </si>
  <si>
    <t xml:space="preserve">33555003</t>
  </si>
  <si>
    <t xml:space="preserve">GROHE EUROSMART MIJEŠALICA ZA TUŠ, KROM</t>
  </si>
  <si>
    <t xml:space="preserve">AA02240</t>
  </si>
  <si>
    <t xml:space="preserve">EASY IN 100 TUŠ VRATA 100x195 cm</t>
  </si>
  <si>
    <t xml:space="preserve">0002276</t>
  </si>
  <si>
    <t xml:space="preserve">ŽIČANI STALAK ZA BLISTER PAKIRANJA</t>
  </si>
  <si>
    <t xml:space="preserve">042050</t>
  </si>
  <si>
    <t xml:space="preserve">TK MADERA 90120 PRAVOKUTNA TUŠ KABINA 90x120x185 cm</t>
  </si>
  <si>
    <t xml:space="preserve">155290</t>
  </si>
  <si>
    <t xml:space="preserve">BOLD BIJELA 100 KV MINERALSOLID TUŠ KADA 1000x1000x30 mm</t>
  </si>
  <si>
    <t xml:space="preserve">15949</t>
  </si>
  <si>
    <t xml:space="preserve">VETRO STYLE 130 TUŠ STIJENA 130x200 cm</t>
  </si>
  <si>
    <t xml:space="preserve">16026</t>
  </si>
  <si>
    <t xml:space="preserve">BIANCA 80 POLUKRUŽNA TUŠ KABINA 80X80X195</t>
  </si>
  <si>
    <t xml:space="preserve">16098</t>
  </si>
  <si>
    <t xml:space="preserve">VETRO BLACK TRS 110 TUŠ STIJENA 110x200 cm</t>
  </si>
  <si>
    <t xml:space="preserve">16139</t>
  </si>
  <si>
    <t xml:space="preserve">AURA BRONZE  MIJEŠALICA ZA UMIVAONIK VISOKA</t>
  </si>
  <si>
    <t xml:space="preserve">171410</t>
  </si>
  <si>
    <t xml:space="preserve">VETRO GOLD TRS 90 TUŠ STIJENA 90x200 cm</t>
  </si>
  <si>
    <t xml:space="preserve">17253</t>
  </si>
  <si>
    <t xml:space="preserve">TK RAPIDO 90 BRUSHED GOLD KVADRATNA TUŠ KABINA 90X90X195 cm</t>
  </si>
  <si>
    <t xml:space="preserve">6816005-00</t>
  </si>
  <si>
    <t xml:space="preserve">KLUDI LOGO TUŠ SET, KROM</t>
  </si>
  <si>
    <t xml:space="preserve">P158183</t>
  </si>
  <si>
    <t xml:space="preserve">BOLD LUX 90140 MINERALSOLID TUŠ KADA BIJELA SJAJNA B</t>
  </si>
  <si>
    <t xml:space="preserve">P158263</t>
  </si>
  <si>
    <t xml:space="preserve">BOLD LUX 80 PK MINERALSOLID TUŠ KADA BIJELA SJAJNA B</t>
  </si>
  <si>
    <t xml:space="preserve">00112029</t>
  </si>
  <si>
    <t xml:space="preserve">PLOČA S UMIVAONIKOM 1200X500X120 U176FP FX VC 075</t>
  </si>
  <si>
    <t xml:space="preserve">002591</t>
  </si>
  <si>
    <t xml:space="preserve">UZORCI LED OGLEDALA DUHUI</t>
  </si>
  <si>
    <t xml:space="preserve">0444300</t>
  </si>
  <si>
    <t xml:space="preserve">GLTS BLACK TUŠ SET  1 FUNKCIJA</t>
  </si>
  <si>
    <t xml:space="preserve">1002005-00</t>
  </si>
  <si>
    <t xml:space="preserve">KLUDI SIFON DIZAJNERSKI S ODVODNOM CIJEVI</t>
  </si>
  <si>
    <t xml:space="preserve">1017292430</t>
  </si>
  <si>
    <t xml:space="preserve">GROHE CUBEO MIJEŠALICA ZA UMIVAONIK XL, CRNA</t>
  </si>
  <si>
    <t xml:space="preserve">111.311.00.6</t>
  </si>
  <si>
    <t xml:space="preserve">GEBERIT DUOFIX SIGMA ELEMENT ZA VISEĆI WC S VODOKOTLIĆEM</t>
  </si>
  <si>
    <t xml:space="preserve">15228</t>
  </si>
  <si>
    <t xml:space="preserve">TK BLACK 90120 PRAVOKUTNA TUŠ KABINA 90x120x195 cm</t>
  </si>
  <si>
    <t xml:space="preserve">1577500</t>
  </si>
  <si>
    <t xml:space="preserve">BOLD S CRNA 80 KV MINERALSOLID TUŠ KADA 800x800x30 mm</t>
  </si>
  <si>
    <t xml:space="preserve">17248</t>
  </si>
  <si>
    <t xml:space="preserve">ALUMINIJSKI PROFIL ZA VETRO SLIDE CHROME 120X195 cm</t>
  </si>
  <si>
    <t xml:space="preserve">23571000</t>
  </si>
  <si>
    <t xml:space="preserve">GROHE LINEARE PODŽBUKNO TIJELO ZA DVOOTVORNE MIJEŠALICE</t>
  </si>
  <si>
    <t xml:space="preserve">23971003</t>
  </si>
  <si>
    <t xml:space="preserve">GROHE EUROSMART MIJEŠALICA ZA UMIVAONIK XL, KROM</t>
  </si>
  <si>
    <t xml:space="preserve">26162003</t>
  </si>
  <si>
    <t xml:space="preserve">GROHE TEMPESTA 110 TUŠ SISTEM, VODILICA + TUŠ SLUŠALICA, 2 MLAZA, KROM</t>
  </si>
  <si>
    <t xml:space="preserve">26335001</t>
  </si>
  <si>
    <t xml:space="preserve">GROHE SILVERFLEX TUŠ CRIJEVO, 1250 MM, KROM</t>
  </si>
  <si>
    <t xml:space="preserve">26689001</t>
  </si>
  <si>
    <t xml:space="preserve">GROHE TEMPESTA 250 CUBE TUŠ SISTEM, KROM</t>
  </si>
  <si>
    <t xml:space="preserve">26746003</t>
  </si>
  <si>
    <t xml:space="preserve">GROHE TEMPESTA 110 CUBE TUŠ SLUŠALICA, 2 MLAZA, KROM</t>
  </si>
  <si>
    <t xml:space="preserve">2759730E</t>
  </si>
  <si>
    <t xml:space="preserve">GROHE TEMPESTA 110 TUŠ SLUŠALICA, 2 MLAZA, KROM</t>
  </si>
  <si>
    <t xml:space="preserve">27924003</t>
  </si>
  <si>
    <t xml:space="preserve">GROHE TEMPESTA 110 TUŠ SISTEM, VODILICA + TUŠ SLUŠALICA, 1 MLAZ, KROM</t>
  </si>
  <si>
    <t xml:space="preserve">28388001</t>
  </si>
  <si>
    <t xml:space="preserve">GROHE SILVERFLEX TUŠ CRIJEVO, 1750 MM, KROM</t>
  </si>
  <si>
    <t xml:space="preserve">322980575</t>
  </si>
  <si>
    <t xml:space="preserve">KLUDI X1 MIJEŠALICA ZA UMIVAONIK, 210 MM, KROM</t>
  </si>
  <si>
    <t xml:space="preserve">38241</t>
  </si>
  <si>
    <t xml:space="preserve">KLUDI PODŽBUKNI ELEMENT ZA DVA OTVORA</t>
  </si>
  <si>
    <t xml:space="preserve">38243</t>
  </si>
  <si>
    <t xml:space="preserve">KLUDI PODŽBUKNI ELEMENT ZA JEDNORUČNE MIJEŠALICE S DVA OTVORA</t>
  </si>
  <si>
    <t xml:space="preserve">386910576</t>
  </si>
  <si>
    <t xml:space="preserve">KLUDI BOZZ MIJEŠALICA ZA KADU I TUŠ, KROM</t>
  </si>
  <si>
    <t xml:space="preserve">402920575</t>
  </si>
  <si>
    <t xml:space="preserve">KLUDI PURE&amp;STYLE MIJEŠALICA ZA UMIVAONIK, 100MM, BEZ PODIZAČA SIFONA, KROM</t>
  </si>
  <si>
    <t xml:space="preserve">422820575</t>
  </si>
  <si>
    <t xml:space="preserve">KLUDI RENON MIJEŠALICA ZA UMIVAONIK, 110MM, KROM</t>
  </si>
  <si>
    <t xml:space="preserve">6432505-00</t>
  </si>
  <si>
    <t xml:space="preserve">KLUDI A-QA TUŠ RUŽA 25CM, KROM</t>
  </si>
  <si>
    <t xml:space="preserve">6554705-00</t>
  </si>
  <si>
    <t xml:space="preserve">KLUDI A-QA ZIDNI PRIKLJUČAK ZA TUŠ CRIJEVO, KROM</t>
  </si>
  <si>
    <t xml:space="preserve">6555705-00</t>
  </si>
  <si>
    <t xml:space="preserve">KLUDI A-QA ZIDNI DRŽAČ ZA TUŠ SLUŠALICU, KROM</t>
  </si>
  <si>
    <t xml:space="preserve">6556705-00</t>
  </si>
  <si>
    <t xml:space="preserve">KLUDI A-QA ZIDNO KOLJENO S DRŽAČEM TUŠ SLUŠALICE, KROM</t>
  </si>
  <si>
    <t xml:space="preserve">6651005-00</t>
  </si>
  <si>
    <t xml:space="preserve">KLUDI A-QA TUŠ RUŽA 20 CM, KROM</t>
  </si>
  <si>
    <t xml:space="preserve">6651405-00</t>
  </si>
  <si>
    <t xml:space="preserve">KLUDI A-QA ZIDNI NOSAČ ZA TUŠ RUŽU 40 CM, KROM</t>
  </si>
  <si>
    <t xml:space="preserve">002475</t>
  </si>
  <si>
    <t xml:space="preserve">NAPOLI MIJEŠALICA ZA SUDOPER 3C H 25 cm</t>
  </si>
  <si>
    <t xml:space="preserve">15227</t>
  </si>
  <si>
    <t xml:space="preserve">TK BLACK 80120 PRAVOKUTNA TUŠ KABINA 80x120x195 cm</t>
  </si>
  <si>
    <t xml:space="preserve">1577900</t>
  </si>
  <si>
    <t xml:space="preserve">BOLD S CRNA 80120 MINERALSOLID TUŠ KADA 800x1200x30 mm</t>
  </si>
  <si>
    <t xml:space="preserve">16100</t>
  </si>
  <si>
    <t xml:space="preserve">VETRO BLACK TRS 130 TUŠ STIJENA 130x200 cm</t>
  </si>
  <si>
    <t xml:space="preserve">16115</t>
  </si>
  <si>
    <t xml:space="preserve">CLEAR 80-6 PARAVAN ZA KADU 80X140 CM</t>
  </si>
  <si>
    <t xml:space="preserve">16143</t>
  </si>
  <si>
    <t xml:space="preserve">SET ZA REPARACIJU KADA BIJELI</t>
  </si>
  <si>
    <t xml:space="preserve">171440</t>
  </si>
  <si>
    <t xml:space="preserve">VETRO GOLD TRS 120 TUŠ STIJENA 1200x200 cm</t>
  </si>
  <si>
    <t xml:space="preserve">17261</t>
  </si>
  <si>
    <t xml:space="preserve">S PARLA SIDE 80 BLACK 80X195 cm STAKLENA STRANICA</t>
  </si>
  <si>
    <t xml:space="preserve">17276</t>
  </si>
  <si>
    <t xml:space="preserve">COSY 150 SAMOSTOJEĆA KUPAONSKA KADA 1500X720X560 MM</t>
  </si>
  <si>
    <t xml:space="preserve">267462433</t>
  </si>
  <si>
    <t xml:space="preserve">GROHE TEMPESTA 110 CUBE TUŠ SLUŠALICA, 2 MLAZA, CRNA</t>
  </si>
  <si>
    <t xml:space="preserve">428310575</t>
  </si>
  <si>
    <t xml:space="preserve">KLUDI RENON MIJEŠALICA ZA TUŠ, KROM</t>
  </si>
  <si>
    <t xml:space="preserve">00513</t>
  </si>
  <si>
    <t xml:space="preserve">OGLEDALO GLE45 80x60 cm</t>
  </si>
  <si>
    <t xml:space="preserve">006261</t>
  </si>
  <si>
    <t xml:space="preserve">1578800</t>
  </si>
  <si>
    <t xml:space="preserve">BOLD S CRNA 90120 MINERALSOLID TUŠ KADA 900x1200x30 mm</t>
  </si>
  <si>
    <t xml:space="preserve">17262</t>
  </si>
  <si>
    <t xml:space="preserve">S PARLA SIDE 90 BLACK 90X195 cm STAKLENA STRANICA</t>
  </si>
  <si>
    <t xml:space="preserve">261612433</t>
  </si>
  <si>
    <t xml:space="preserve">GROHE TEMPESTA 110 TUŠ SLUŠALICA, 2 MLAZA, CRNA</t>
  </si>
  <si>
    <t xml:space="preserve">261622433</t>
  </si>
  <si>
    <t xml:space="preserve">GROHE TEMPESTA 110 TUŠ SISTEM, VODILICA + TUŠ SLUŠALICA, 2 MLAZA, CRNA</t>
  </si>
  <si>
    <t xml:space="preserve">26748003</t>
  </si>
  <si>
    <t xml:space="preserve">GROHE TEMPESTA 110 CUBE TUŠ SISTEM, VODILICA + TUŠ SLUŠALICA, 2 MLAZA, KROM</t>
  </si>
  <si>
    <t xml:space="preserve">28362KF1</t>
  </si>
  <si>
    <t xml:space="preserve">GROHE SILVERFLEX TUŠ CRIJEVO, 1250 MM, CRNA</t>
  </si>
  <si>
    <t xml:space="preserve">28388KF1</t>
  </si>
  <si>
    <t xml:space="preserve">GROHE SILVERFLEX TUŠ CRIJEVO, 1750 MM, CRNA</t>
  </si>
  <si>
    <t xml:space="preserve">3810205</t>
  </si>
  <si>
    <t xml:space="preserve">KLUDI ZENTA MIJEŠALICA SENZORSKA, 6V, KROM</t>
  </si>
  <si>
    <t xml:space="preserve">3820205</t>
  </si>
  <si>
    <t xml:space="preserve">KLUDI ZENTA MIJEŠALICA SENZORSKA, 230V, KROM</t>
  </si>
  <si>
    <t xml:space="preserve">382440576</t>
  </si>
  <si>
    <t xml:space="preserve">KLUDI BOZZ MIJEŠALICA PODŽBUKNA ZIDNA ZA UMIVAONIK,KROM</t>
  </si>
  <si>
    <t xml:space="preserve">382820576</t>
  </si>
  <si>
    <t xml:space="preserve">KLUDI BOZZ MIJEŠALICA ZA UMIVAONIK, 100MM, KROM</t>
  </si>
  <si>
    <t xml:space="preserve">382860576</t>
  </si>
  <si>
    <t xml:space="preserve">KLUDI BOZZ MIJEŠALICA ZA UMIVAONIK, 240MM, KROM</t>
  </si>
  <si>
    <t xml:space="preserve">387590576</t>
  </si>
  <si>
    <t xml:space="preserve">KLUDI BOZZ PODŽBUKNA MIJEŠALICA ZA KADU I TUŠ, KROM</t>
  </si>
  <si>
    <t xml:space="preserve">389980576</t>
  </si>
  <si>
    <t xml:space="preserve">KLUDI BOZZ HIGIJENSKI SET ZA PODŽBUKNU INSTALACIJU</t>
  </si>
  <si>
    <t xml:space="preserve">406810575</t>
  </si>
  <si>
    <t xml:space="preserve">KLUDI PURE&amp;STYLE MIJEŠALICA ZA KADU I TUŠ, KROM</t>
  </si>
  <si>
    <t xml:space="preserve">407590575</t>
  </si>
  <si>
    <t xml:space="preserve">KLUDI PURE&amp;STYLE MIJEŠALICA PODŽBUKNA ZA KADU I TUŠ, KROM</t>
  </si>
  <si>
    <t xml:space="preserve">422440575</t>
  </si>
  <si>
    <t xml:space="preserve">KLUDI RENON PODŽBUKNA ZIDNA MIJEŠALICA ZA UMIVAONIK,KROM</t>
  </si>
  <si>
    <t xml:space="preserve">422980575</t>
  </si>
  <si>
    <t xml:space="preserve">KLUDI RENON MIJEŠALICA ZA UMIVAONIK, 240MM, KROM</t>
  </si>
  <si>
    <t xml:space="preserve">426910575</t>
  </si>
  <si>
    <t xml:space="preserve">KLUDI RENON MIJEŠALICA ZA KADU I TUŠ, KROM</t>
  </si>
  <si>
    <t xml:space="preserve">427590575</t>
  </si>
  <si>
    <t xml:space="preserve">KLUDI RENON MIJEŠALICA PODŽBUKNA ZA KADU I TUŠ</t>
  </si>
  <si>
    <t xml:space="preserve">6808305-00</t>
  </si>
  <si>
    <t xml:space="preserve">KLUDI LOGO DUAL TUŠ SET S MIJEŠALICOM, KROM</t>
  </si>
  <si>
    <t xml:space="preserve">6906705-00</t>
  </si>
  <si>
    <t xml:space="preserve">KLUDI DIVE X TUŠ SET TERMOSTATSKI, KROM</t>
  </si>
  <si>
    <t xml:space="preserve">6963005-00</t>
  </si>
  <si>
    <t xml:space="preserve">KLUDI XDIVE TUŠ SET, KROM</t>
  </si>
  <si>
    <t xml:space="preserve">P158253</t>
  </si>
  <si>
    <t xml:space="preserve">BOLD LUX 80 KV MINERALSOLID TUŠ KADA BIJELA SJAJNA B</t>
  </si>
  <si>
    <t xml:space="preserve">002944</t>
  </si>
  <si>
    <t xml:space="preserve">BASIC 80 POLUKRUŽNA TUŠ KABINA 80X80X198</t>
  </si>
  <si>
    <t xml:space="preserve">4838</t>
  </si>
  <si>
    <t xml:space="preserve">JIAXING DANNI SANITARY AND KITCHEN EQUIPMENT CO.LTD</t>
  </si>
  <si>
    <t xml:space="preserve">003385</t>
  </si>
  <si>
    <t xml:space="preserve">SIFON ZA UMIVAONIK 5/4  MESING</t>
  </si>
  <si>
    <t xml:space="preserve">0361410</t>
  </si>
  <si>
    <t xml:space="preserve">UZORAK SIFONA ZA PPR8010 CHROME</t>
  </si>
  <si>
    <t xml:space="preserve">041880</t>
  </si>
  <si>
    <t xml:space="preserve">VETRO BLACK 140 TUŠ STIJENA 140x200 cm</t>
  </si>
  <si>
    <t xml:space="preserve">111.516.00.2</t>
  </si>
  <si>
    <t xml:space="preserve">GEBERIT DUOFIX ELEMENT ZA BIDE, 112 CM,UNIVERZALNI</t>
  </si>
  <si>
    <t xml:space="preserve">111.796.00.2</t>
  </si>
  <si>
    <t xml:space="preserve">GEBERIT DUOFIX SIGMA VODOKOTLIĆ UGRADBENI, DEBLJINA 8 CM</t>
  </si>
  <si>
    <t xml:space="preserve">15269</t>
  </si>
  <si>
    <t xml:space="preserve">YORK BLACK SAMOSTOJEĆA MIJEŠALICA ZA KADU</t>
  </si>
  <si>
    <t xml:space="preserve">5343</t>
  </si>
  <si>
    <t xml:space="preserve">LANDON PLUMBING CO., LIMITED</t>
  </si>
  <si>
    <t xml:space="preserve">15529R</t>
  </si>
  <si>
    <t xml:space="preserve">BOLD BIJELA 100R MINERALSOLID TUŠ KADA 1000x1000x30 mm</t>
  </si>
  <si>
    <t xml:space="preserve">1566500</t>
  </si>
  <si>
    <t xml:space="preserve">BOLD S BIJELA 80120 MINERALSOLID TUŠ KADA 800x1200x30 mm</t>
  </si>
  <si>
    <t xml:space="preserve">1567400</t>
  </si>
  <si>
    <t xml:space="preserve">BOLD S BIJELA 90120 MINERALSOLID TUŠ KADA 900x1200x30 mm</t>
  </si>
  <si>
    <t xml:space="preserve">1577700</t>
  </si>
  <si>
    <t xml:space="preserve">BOLD S CRNA 80100 MINERALSOLID TUŠ KADA 800x1000x30 mm</t>
  </si>
  <si>
    <t xml:space="preserve">16136</t>
  </si>
  <si>
    <t xml:space="preserve">AURA CHROME  MIJEŠALICA ZA TUŠ</t>
  </si>
  <si>
    <t xml:space="preserve">16146</t>
  </si>
  <si>
    <t xml:space="preserve">SET ZA REPARACIJU KADA BEŽ</t>
  </si>
  <si>
    <t xml:space="preserve">25288000</t>
  </si>
  <si>
    <t xml:space="preserve">GROHE EUROSMART TUŠ SET, UGRADBENI, KROM</t>
  </si>
  <si>
    <t xml:space="preserve">00000175</t>
  </si>
  <si>
    <t xml:space="preserve">UZORAK MAX UMIVAONIK 80X46CM</t>
  </si>
  <si>
    <t xml:space="preserve">002557</t>
  </si>
  <si>
    <t xml:space="preserve">CLICKCLACK SIFONSKA ČAŠICA S PILETOM ZA SAMOSTOJEĆE KADE HOPE CRNA</t>
  </si>
  <si>
    <t xml:space="preserve">004070</t>
  </si>
  <si>
    <t xml:space="preserve">ALBA MJEŠALICA ZA TUŠ</t>
  </si>
  <si>
    <t xml:space="preserve">006019</t>
  </si>
  <si>
    <t xml:space="preserve">NANCY NADGRADNI UMIVAONIK 510x340x120 mm</t>
  </si>
  <si>
    <t xml:space="preserve">6413</t>
  </si>
  <si>
    <t xml:space="preserve">ZHONGTONG TRADE (HK) LIMITED</t>
  </si>
  <si>
    <t xml:space="preserve">0361402</t>
  </si>
  <si>
    <t xml:space="preserve">UZORAK PORTO BOČNO STAKLO 90X195CM</t>
  </si>
  <si>
    <t xml:space="preserve">0361411</t>
  </si>
  <si>
    <t xml:space="preserve">UZORAK SIFONA ZA JSR8010 CHROME</t>
  </si>
  <si>
    <t xml:space="preserve">0361434</t>
  </si>
  <si>
    <t xml:space="preserve">UZORAK UMIVAONIKA LINK 80CM 80x46CM</t>
  </si>
  <si>
    <t xml:space="preserve">0361435</t>
  </si>
  <si>
    <t xml:space="preserve">UZORAK UMIVAONIKA SHARK 80CM 80x46CM</t>
  </si>
  <si>
    <t xml:space="preserve">040740</t>
  </si>
  <si>
    <t xml:space="preserve">TK-90-3D PLUS TUŠ PARAVAN 90x195 cm</t>
  </si>
  <si>
    <t xml:space="preserve">15357</t>
  </si>
  <si>
    <t xml:space="preserve">TUŠ KABINA D101 KVADRATNA 90x90x185 cm</t>
  </si>
  <si>
    <t xml:space="preserve">15465</t>
  </si>
  <si>
    <t xml:space="preserve">TK FROST 7090 KVADRATNA TUŠ KABINA 70x90x185 cm</t>
  </si>
  <si>
    <t xml:space="preserve">155330</t>
  </si>
  <si>
    <t xml:space="preserve">BOLD BIJELA 100140 MINERALSOLID TUŠ KADA 1000x1400x30 mm</t>
  </si>
  <si>
    <t xml:space="preserve">156680</t>
  </si>
  <si>
    <t xml:space="preserve">BOLD S BIJELA 80150 MINERALSOLID TUŠ KADA 800x1500x30 mm</t>
  </si>
  <si>
    <t xml:space="preserve">1568300</t>
  </si>
  <si>
    <t xml:space="preserve">BOLD S BIJELA 100120 MINERALSOLID TUŠ KADA 1000x1200x30 mm</t>
  </si>
  <si>
    <t xml:space="preserve">157090</t>
  </si>
  <si>
    <t xml:space="preserve">BOLD S BEIGE 90 KV MINERALSOLID TUŠ KADA 900x900x30 mm</t>
  </si>
  <si>
    <t xml:space="preserve">157240</t>
  </si>
  <si>
    <t xml:space="preserve">BOLD S BEIGE 100150 MINERALSOLID TUŠ KADA 1000x1500x30 mm</t>
  </si>
  <si>
    <t xml:space="preserve">1578500</t>
  </si>
  <si>
    <t xml:space="preserve">BOLD S CRNA 90 KV MINERALSOLID TUŠ KADA 900x900x30 mm</t>
  </si>
  <si>
    <t xml:space="preserve">15820</t>
  </si>
  <si>
    <t xml:space="preserve">BOLD LUX 100 KV MINERALSOLID TUŠ KADA BIJELA SJAJNA</t>
  </si>
  <si>
    <t xml:space="preserve">5082</t>
  </si>
  <si>
    <t xml:space="preserve">AQUAESTIL PLUS d.o.o.</t>
  </si>
  <si>
    <t xml:space="preserve">15951</t>
  </si>
  <si>
    <t xml:space="preserve">TK UNIQUE 80 KVADRATNA TUŠ KABINA 80x80x195 cm</t>
  </si>
  <si>
    <t xml:space="preserve">16090</t>
  </si>
  <si>
    <t xml:space="preserve">GL5808C TUŠ PANEL 140x22 cm</t>
  </si>
  <si>
    <t xml:space="preserve">16137</t>
  </si>
  <si>
    <t xml:space="preserve">AURA CHROME  MIJEŠALICA ZA KADU</t>
  </si>
  <si>
    <t xml:space="preserve">16144</t>
  </si>
  <si>
    <t xml:space="preserve">SET ZA REPARACIJU KADA SIVI</t>
  </si>
  <si>
    <t xml:space="preserve">16305</t>
  </si>
  <si>
    <t xml:space="preserve">OLIVIA UGRADBENI KERAMIČKI UMIVAONIK CRNI MAT 850x455x100 mm</t>
  </si>
  <si>
    <t xml:space="preserve">6053</t>
  </si>
  <si>
    <t xml:space="preserve">AYVA MAKINE INŞAAT SANAYI TICARET LTD.ŞTI.</t>
  </si>
  <si>
    <t xml:space="preserve">17279</t>
  </si>
  <si>
    <t xml:space="preserve">UMIVAONIK GLOSS 80x46x12cm</t>
  </si>
  <si>
    <t xml:space="preserve">7032</t>
  </si>
  <si>
    <t xml:space="preserve">VANGUARD BATH &amp; KITCHEN CO., LIMITED</t>
  </si>
  <si>
    <t xml:space="preserve">17280</t>
  </si>
  <si>
    <t xml:space="preserve">UMIVAONIK MATTE 90x46x12cm PN900-460</t>
  </si>
  <si>
    <t xml:space="preserve">17281</t>
  </si>
  <si>
    <t xml:space="preserve">UMIVAONIK BIJELI GLOSS 75x46x27cm   PJ750-460</t>
  </si>
  <si>
    <t xml:space="preserve">17282</t>
  </si>
  <si>
    <t xml:space="preserve">UMIVANIK BIJELI WASH 120x46x27cm PJ1200-4600</t>
  </si>
  <si>
    <t xml:space="preserve">17283</t>
  </si>
  <si>
    <t xml:space="preserve">KADA BOLOGNA MATTE 170x80x58,5cm  BOL17080BTW</t>
  </si>
  <si>
    <t xml:space="preserve">17285</t>
  </si>
  <si>
    <t xml:space="preserve">TUŠ KADA BIJELA 80x120cm AST010080120</t>
  </si>
  <si>
    <t xml:space="preserve">17286</t>
  </si>
  <si>
    <t xml:space="preserve">TUŠ KADA CRNA 80x120cm AST010090120</t>
  </si>
  <si>
    <t xml:space="preserve">17287</t>
  </si>
  <si>
    <t xml:space="preserve">TUŠ KADA BEŽ 80x120cm AST010090120</t>
  </si>
  <si>
    <t xml:space="preserve">18737</t>
  </si>
  <si>
    <t xml:space="preserve">FOLDING 90 TUŠ VRATA 90X190</t>
  </si>
  <si>
    <t xml:space="preserve">7414</t>
  </si>
  <si>
    <t xml:space="preserve">LABIRENT DUŞAKABIN CAM MAK.ITH.IHR.SAN. VE TIC.LTD.ŞTI</t>
  </si>
  <si>
    <t xml:space="preserve">202880115</t>
  </si>
  <si>
    <t xml:space="preserve">KLUDI NOVA FONTE MIJEŠALICA ZA UMIVAONIK 100 MM, MATT DOVE</t>
  </si>
  <si>
    <t xml:space="preserve">202880315</t>
  </si>
  <si>
    <t xml:space="preserve">KLUDI NOVA FONTE MIJEŠALICA ZA UMIVAONIK 100 MM, MATT TEAL BLUE</t>
  </si>
  <si>
    <t xml:space="preserve">202885315</t>
  </si>
  <si>
    <t xml:space="preserve">KLUDI NOVA FONTE MIJEŠALICA ZA UMIVAONIK 100 MM, BIJELA MAT</t>
  </si>
  <si>
    <t xml:space="preserve">20298N015</t>
  </si>
  <si>
    <t xml:space="preserve">KLUDI NOVA FONTE MIJEŠALICA ZA UMIVAONIK 240 MM, BRUŠENO ZLATO</t>
  </si>
  <si>
    <t xml:space="preserve">20298N115</t>
  </si>
  <si>
    <t xml:space="preserve">KLUDI NOVA FONTE MIJEŠALICA ZA UMIVAONIK 240 MM, BRUŠENA BRONCA</t>
  </si>
  <si>
    <t xml:space="preserve">20298N215</t>
  </si>
  <si>
    <t xml:space="preserve">KLUDI NOVA FONTE MIJEŠALICA ZA UMIVAONIK 240 MM, BRUŠENI GUNMETAL</t>
  </si>
  <si>
    <t xml:space="preserve">20298N515</t>
  </si>
  <si>
    <t xml:space="preserve">KLUDI NOVA FONTE MIJEŠALICA ZA UMIVAONIK 240 MM, BRUŠENI NIKL</t>
  </si>
  <si>
    <t xml:space="preserve">321980575</t>
  </si>
  <si>
    <t xml:space="preserve">KLUDI X1 MIJEŠALICA ZA UMIVAONIK 100 MM, KROM</t>
  </si>
  <si>
    <t xml:space="preserve">322983975</t>
  </si>
  <si>
    <t xml:space="preserve">KLUDI X1 MIJEŠALICA ZA UMIVAONIK 210 MM, CRNA MAT</t>
  </si>
  <si>
    <t xml:space="preserve">38288N076</t>
  </si>
  <si>
    <t xml:space="preserve">KLUDI BOZZ MIJEŠALICA ZA UMIVAONIK, 100 MM, BRUŠENO ZLATO</t>
  </si>
  <si>
    <t xml:space="preserve">38288N576</t>
  </si>
  <si>
    <t xml:space="preserve">KLUDI BOZZ MIJEŠALICA ZA UMIVAONIK, 100 MM, BRUŠENI NIKL</t>
  </si>
  <si>
    <t xml:space="preserve">382883976</t>
  </si>
  <si>
    <t xml:space="preserve">KLUDI BOZZ MIJEŠALICA ZA UMIVAONIK 100 MM, CRNA MAT</t>
  </si>
  <si>
    <t xml:space="preserve">382885376</t>
  </si>
  <si>
    <t xml:space="preserve">KLUDI BOZZ MIJEŠALICA ZA UMIVAONIK, 100 MM, BIJELA MAT</t>
  </si>
  <si>
    <t xml:space="preserve">400280575</t>
  </si>
  <si>
    <t xml:space="preserve">KLUDI PURE&amp;STYLE MIJEŠALICA ZA UMIVAONIK 75 MM, BEZ PODIZAČA SIFONA, KROM</t>
  </si>
  <si>
    <t xml:space="preserve">402923975</t>
  </si>
  <si>
    <t xml:space="preserve">KLUDI PURE&amp;STYLE MIJEŠALICA ZA UMIVAONIK 100 MM, BEZ PODIZAČA SIFONA, CRNA MAT</t>
  </si>
  <si>
    <t xml:space="preserve">42282N075</t>
  </si>
  <si>
    <t xml:space="preserve">KLUDI RENON MIJEŠALICA ZA UMIVAONIK, 110 MM, BRUŠENO ZLATO</t>
  </si>
  <si>
    <t xml:space="preserve">42282N175</t>
  </si>
  <si>
    <t xml:space="preserve">KLUDI RENON MIJEŠALICA ZA UMIVAONIK, 110 MM, BRUŠENA BRONCA</t>
  </si>
  <si>
    <t xml:space="preserve">42282N275</t>
  </si>
  <si>
    <t xml:space="preserve">KLUDI RENON MIJEŠALICA ZA UMIVAONIK, 110 MM, BRUŠENI GUNMETAL</t>
  </si>
  <si>
    <t xml:space="preserve">422823975</t>
  </si>
  <si>
    <t xml:space="preserve">KLUDI RENON MIJEŠALICA ZA UMIVAONIK 110 MM, CRNA MAT</t>
  </si>
  <si>
    <t xml:space="preserve">422825375</t>
  </si>
  <si>
    <t xml:space="preserve">KLUDI RENON MIJEŠALICA ZA UMIVAONIK 110 MM, BIJELA MAT</t>
  </si>
  <si>
    <t xml:space="preserve">42298N075</t>
  </si>
  <si>
    <t xml:space="preserve">KLUDI RENON MIJEŠALICA ZA UMIVAONIK 240 MM, BRUŠENO ZLATO</t>
  </si>
  <si>
    <t xml:space="preserve">42298N175</t>
  </si>
  <si>
    <t xml:space="preserve">KLUDI RENON MIJEŠALICA ZA UMIVAONIK 240 MM, BRUŠENA BRONCA</t>
  </si>
  <si>
    <t xml:space="preserve">42298N275</t>
  </si>
  <si>
    <t xml:space="preserve">KLUDI RENON MIJEŠALICA ZA UMIVAONIK 240 MM, BRUŠENI GUNMETAL</t>
  </si>
  <si>
    <t xml:space="preserve">42298N575</t>
  </si>
  <si>
    <t xml:space="preserve">KLUDI RENON MIJEŠALICA ZA UMIVAONIK 240 MM, BRUŠENI NIKL</t>
  </si>
  <si>
    <t xml:space="preserve">6107105-00</t>
  </si>
  <si>
    <t xml:space="preserve">KLUDI TUŠ CRIJEVO SUPARAFLEX 1,25 M, KROM</t>
  </si>
  <si>
    <t xml:space="preserve">6555805-00</t>
  </si>
  <si>
    <t xml:space="preserve">KLUDI A-QA DRŽAČ TUŠ SLUŠALICE, KROM</t>
  </si>
  <si>
    <t xml:space="preserve">6709005-00</t>
  </si>
  <si>
    <t xml:space="preserve">KLUDI FRESHLINE TUŠ SISTEM BEZ MIJEŠALICE, KROM</t>
  </si>
  <si>
    <t xml:space="preserve">88088</t>
  </si>
  <si>
    <t xml:space="preserve">KLUDI PODŽBUKNI ELEMENT ZA SAMOSTOJEĆE MIJEŠALICE</t>
  </si>
  <si>
    <t xml:space="preserve">AA02024</t>
  </si>
  <si>
    <t xml:space="preserve">RUBIA 80120 PRAVOKUTNA TUŠ KABINA 80x120x205 cm</t>
  </si>
  <si>
    <t xml:space="preserve">AA02283</t>
  </si>
  <si>
    <t xml:space="preserve">LUGO 90 POLUKRUŽNA TUŠ KABINA 90X90X205cm</t>
  </si>
  <si>
    <t xml:space="preserve">AA04257</t>
  </si>
  <si>
    <t xml:space="preserve">MADERA 90 POLUKRUŽNA TUŠ KABINA 90x90x204 cm</t>
  </si>
  <si>
    <t xml:space="preserve">AA16012</t>
  </si>
  <si>
    <t xml:space="preserve">GRAY 90 KVADRATNA TUŠ KABINA 90X90X205</t>
  </si>
  <si>
    <t xml:space="preserve">AA16117</t>
  </si>
  <si>
    <t xml:space="preserve">SPRING 90 POLUKRUŽNA TUŠ KABINA 90x90x195 cm</t>
  </si>
  <si>
    <t xml:space="preserve">AA16118</t>
  </si>
  <si>
    <t xml:space="preserve">SPRING 80 KVADRATNA TUŠ KABINA 80x80x195 cm</t>
  </si>
  <si>
    <t xml:space="preserve">APZ13-DOUBLE9-750</t>
  </si>
  <si>
    <t xml:space="preserve">TUŠ KANALICA ALCA 750 MM INOX</t>
  </si>
  <si>
    <t xml:space="preserve">A374122000</t>
  </si>
  <si>
    <t xml:space="preserve">ROCA TUŠ KADA ROMA KV 90X70, h=55mm, PORCULAN</t>
  </si>
  <si>
    <t xml:space="preserve">A374125000</t>
  </si>
  <si>
    <t xml:space="preserve">ROCA TUŠ KADA ROMA 120X80, h=55mm, PORCULAN</t>
  </si>
  <si>
    <t xml:space="preserve">PF00022517</t>
  </si>
  <si>
    <t xml:space="preserve">SINTESI NIMES WHITE 60X60 RETT. 7,4 mm (1,44/46,08)J48D4</t>
  </si>
  <si>
    <t xml:space="preserve">7382</t>
  </si>
  <si>
    <t xml:space="preserve">GRUPPO CERAMICHE GRESMALT S.p.A.</t>
  </si>
  <si>
    <t xml:space="preserve">PK000500</t>
  </si>
  <si>
    <t xml:space="preserve">SET ZA MONTAŽU OBLOGE TUŠ KADE - NOVI</t>
  </si>
  <si>
    <t xml:space="preserve">3451</t>
  </si>
  <si>
    <t xml:space="preserve">PLAMINGO D.O.O.</t>
  </si>
  <si>
    <t xml:space="preserve">PTK00435</t>
  </si>
  <si>
    <t xml:space="preserve">STAKLO ZA VETRO REBRASTO 90x200cm</t>
  </si>
  <si>
    <t xml:space="preserve">PTK00436</t>
  </si>
  <si>
    <t xml:space="preserve">STAKLO ZA VETRO REBRASTO 100x200cm</t>
  </si>
  <si>
    <t xml:space="preserve">P158173</t>
  </si>
  <si>
    <t xml:space="preserve">BOLD LUX 90120 MINERALSOLID TUŠ KADA BIJELA SJAJNA B</t>
  </si>
  <si>
    <t xml:space="preserve">P158203</t>
  </si>
  <si>
    <t xml:space="preserve">BOLD LUX 100 KV MINERALSOLID TUŠ KADA BIJELA SJAJNA B</t>
  </si>
  <si>
    <t xml:space="preserve">P158262</t>
  </si>
  <si>
    <t xml:space="preserve">BOLD LUX 80 PK MINERALSOLID TUŠ KADA BIJELA SJAJNA A</t>
  </si>
  <si>
    <t xml:space="preserve">RDE000804</t>
  </si>
  <si>
    <t xml:space="preserve">KOTAČIĆI GL-TK9078B/ TK-A-4S3C/ EVORA/LUGANO</t>
  </si>
  <si>
    <t xml:space="preserve">RDE310331</t>
  </si>
  <si>
    <t xml:space="preserve">MJEŠLICA ZA TK FIONA</t>
  </si>
  <si>
    <t xml:space="preserve">RDE31049</t>
  </si>
  <si>
    <t xml:space="preserve">SILVER LINE VODOOTPORNA BOČNA BRTVA 2M</t>
  </si>
  <si>
    <t xml:space="preserve">RDE320038</t>
  </si>
  <si>
    <t xml:space="preserve">VRATA NEVA 90 POLUKRUŽNA</t>
  </si>
  <si>
    <t xml:space="preserve">RDE320192</t>
  </si>
  <si>
    <t xml:space="preserve">BOČNA BRTVA ZA LUGO</t>
  </si>
  <si>
    <t xml:space="preserve">RDE4232</t>
  </si>
  <si>
    <t xml:space="preserve">MEIRA MAGNETNA BRTVA</t>
  </si>
  <si>
    <t xml:space="preserve">00111926</t>
  </si>
  <si>
    <t xml:space="preserve">OGLEDALO ZA KAROLINU 70- DIM 707 X489</t>
  </si>
  <si>
    <t xml:space="preserve">00111930</t>
  </si>
  <si>
    <t xml:space="preserve">OGLEDALO 639X210 TOALETNI ORMARI</t>
  </si>
  <si>
    <t xml:space="preserve">00111932</t>
  </si>
  <si>
    <t xml:space="preserve">OGLEDALO JULIA 60- 639X368 VELIKO</t>
  </si>
  <si>
    <t xml:space="preserve">00111936</t>
  </si>
  <si>
    <t xml:space="preserve">OGLEDALO JULIA 100- 639 X 568 VELIKO</t>
  </si>
  <si>
    <t xml:space="preserve">00111942</t>
  </si>
  <si>
    <t xml:space="preserve">OGLEDALO  LEA 55  707*429*3 mm</t>
  </si>
  <si>
    <t xml:space="preserve">00111950C</t>
  </si>
  <si>
    <t xml:space="preserve">OGLEDALO ZA GLORY G.O. 639X228 MM - ZHISHANG</t>
  </si>
  <si>
    <t xml:space="preserve">5151</t>
  </si>
  <si>
    <t xml:space="preserve">SHOUGUANG ZHISHANG TRADING CO.,LTD</t>
  </si>
  <si>
    <t xml:space="preserve">002567</t>
  </si>
  <si>
    <t xml:space="preserve">UGRADBENI UMIVAONIK LAS VEGAS 1055x506 mm</t>
  </si>
  <si>
    <t xml:space="preserve">002568</t>
  </si>
  <si>
    <t xml:space="preserve">UGRADBENI UMIVAONIK LAS VEGAS LIJEVI 1205x506 mm</t>
  </si>
  <si>
    <t xml:space="preserve">002569</t>
  </si>
  <si>
    <t xml:space="preserve">UGRADBENI UMIVAONIK LAS VEGAS 705x506 mm</t>
  </si>
  <si>
    <t xml:space="preserve">002576</t>
  </si>
  <si>
    <t xml:space="preserve">UGRADBENI UMIVAONIK LAS VEGAS 805x506 mm</t>
  </si>
  <si>
    <t xml:space="preserve">002689</t>
  </si>
  <si>
    <t xml:space="preserve">PARMA TUŠ SET S MIJEŠALICOM</t>
  </si>
  <si>
    <t xml:space="preserve">002945</t>
  </si>
  <si>
    <t xml:space="preserve">BASIC 90 POLUKRUŽNA TUŠ KABINA 90X90X198</t>
  </si>
  <si>
    <t xml:space="preserve">0032090</t>
  </si>
  <si>
    <t xml:space="preserve">VETRO LINEA 90 - TUŠ STAKLO 90X200CM</t>
  </si>
  <si>
    <t xml:space="preserve">003221</t>
  </si>
  <si>
    <t xml:space="preserve">AFRICA Q TUŠ SET</t>
  </si>
  <si>
    <t xml:space="preserve">003893</t>
  </si>
  <si>
    <t xml:space="preserve">ARUBA TUŠ SET</t>
  </si>
  <si>
    <t xml:space="preserve">0043550</t>
  </si>
  <si>
    <t xml:space="preserve">PREKIDAČ I UTIČNICA ZA KUP.ORMARIĆE IP44 220V</t>
  </si>
  <si>
    <t xml:space="preserve">6725</t>
  </si>
  <si>
    <t xml:space="preserve">NINGBO JUYI ELECTRIC APPLIANCE CO., LTD</t>
  </si>
  <si>
    <t xml:space="preserve">00515</t>
  </si>
  <si>
    <t xml:space="preserve">OGLEDALO GLA082 60x80 cm</t>
  </si>
  <si>
    <t xml:space="preserve">00600</t>
  </si>
  <si>
    <t xml:space="preserve">HERA STOJEĆA MIJEŠALICA ZA UMIVAONIK</t>
  </si>
  <si>
    <t xml:space="preserve">006003</t>
  </si>
  <si>
    <t xml:space="preserve">NAOMI NADGRADNI UMIVAONIK 465x465x140 mm</t>
  </si>
  <si>
    <t xml:space="preserve">006010</t>
  </si>
  <si>
    <t xml:space="preserve">LILIAN NADGRADNI UMIVAONIK 590x400x150 mm</t>
  </si>
  <si>
    <t xml:space="preserve">006013</t>
  </si>
  <si>
    <t xml:space="preserve">EMILIA NADGRADNI UMIVAONIK 510x420x150 mm</t>
  </si>
  <si>
    <t xml:space="preserve">006015</t>
  </si>
  <si>
    <t xml:space="preserve">RACHEL NADGRADNI UMIVAONIK 410x410x125 mm</t>
  </si>
  <si>
    <t xml:space="preserve">006016</t>
  </si>
  <si>
    <t xml:space="preserve">ELENA NADGRADNI UMIVAONIK 410x410x125 mm</t>
  </si>
  <si>
    <t xml:space="preserve">006017</t>
  </si>
  <si>
    <t xml:space="preserve">MONICA NADGRADNI UMIVAONIK 500x400x135 mm</t>
  </si>
  <si>
    <t xml:space="preserve">006018</t>
  </si>
  <si>
    <t xml:space="preserve">MADDY NADGRADNI UMIVAONIK 500x400x135 mm</t>
  </si>
  <si>
    <t xml:space="preserve">00602</t>
  </si>
  <si>
    <t xml:space="preserve">HERA ZIDNA MIJEŠALICA ZA KADU S TUŠEM I DRŽAČEM</t>
  </si>
  <si>
    <t xml:space="preserve">00603</t>
  </si>
  <si>
    <t xml:space="preserve">HERA STOJEĆA MIJEŠALICA ZA SUDOPER</t>
  </si>
  <si>
    <t xml:space="preserve">00896</t>
  </si>
  <si>
    <t xml:space="preserve">GL526 LED RASVJETA ZA KUPAONSKE ORMARIĆE</t>
  </si>
  <si>
    <t xml:space="preserve">4954</t>
  </si>
  <si>
    <t xml:space="preserve">JAYLED LIGHTING LTD</t>
  </si>
  <si>
    <t xml:space="preserve">009913</t>
  </si>
  <si>
    <t xml:space="preserve">OGLEDALO ZA SARU - SHARP 70 - 639X468X3 MM</t>
  </si>
  <si>
    <t xml:space="preserve">025010</t>
  </si>
  <si>
    <t xml:space="preserve">HAILEY NADGRADNI UMIVAONIK 410x330x140 mm</t>
  </si>
  <si>
    <t xml:space="preserve">025050</t>
  </si>
  <si>
    <t xml:space="preserve">BONNIE NADGRADNI UMIVAONIK 590x410x160 mm</t>
  </si>
  <si>
    <t xml:space="preserve">037060</t>
  </si>
  <si>
    <t xml:space="preserve">VETRO BLACK 80 TUŠ STIJENA 80x200 cm</t>
  </si>
  <si>
    <t xml:space="preserve">037800</t>
  </si>
  <si>
    <t xml:space="preserve">VETRO BLACK 100 TUŠ STIJENA 100x200 cm</t>
  </si>
  <si>
    <t xml:space="preserve">040250</t>
  </si>
  <si>
    <t xml:space="preserve">VETRO BLACK 120 TUŠ STIJENA 120x200 cm</t>
  </si>
  <si>
    <t xml:space="preserve">040630</t>
  </si>
  <si>
    <t xml:space="preserve">DELILAH NADGRADNI UMIVAONIK 505x405x140 mm</t>
  </si>
  <si>
    <t xml:space="preserve">040640</t>
  </si>
  <si>
    <t xml:space="preserve">VIVIAN NADGRADNI UMIVAONIK 500x380x120 mm</t>
  </si>
  <si>
    <t xml:space="preserve">040650</t>
  </si>
  <si>
    <t xml:space="preserve">MARTINE NADGRADNI UMIVAONIK 480x370x130 mm</t>
  </si>
  <si>
    <t xml:space="preserve">040660</t>
  </si>
  <si>
    <t xml:space="preserve">MILA NADGRADNI UMIVAONIK 540x420x145 mm</t>
  </si>
  <si>
    <t xml:space="preserve">042071</t>
  </si>
  <si>
    <t xml:space="preserve">DRŽAČ STAKLA TELESKOPSKI KROM 70-120 cm</t>
  </si>
  <si>
    <t xml:space="preserve">042280</t>
  </si>
  <si>
    <t xml:space="preserve">VETRO TRS 80 TUŠ STIJENA 80x200 cm</t>
  </si>
  <si>
    <t xml:space="preserve">042800</t>
  </si>
  <si>
    <t xml:space="preserve">LED NADOGLEDALNA RASVJETA 3WP2 4W 5000K IP44</t>
  </si>
  <si>
    <t xml:space="preserve">043350</t>
  </si>
  <si>
    <t xml:space="preserve">VETRO CUBO 80 TUŠ STIJENA 80x200 cm</t>
  </si>
  <si>
    <t xml:space="preserve">043490</t>
  </si>
  <si>
    <t xml:space="preserve">VETRO CUBO 110 TUŠ STIJENA 110x200 cm</t>
  </si>
  <si>
    <t xml:space="preserve">043590</t>
  </si>
  <si>
    <t xml:space="preserve">MARLA NADGRADNI UMIVAONIK CRNI MAT 358x358x137 mm</t>
  </si>
  <si>
    <t xml:space="preserve">044360</t>
  </si>
  <si>
    <t xml:space="preserve">PORTO 130 TUŠ VRATA 130x195 cm</t>
  </si>
  <si>
    <t xml:space="preserve">060654</t>
  </si>
  <si>
    <t xml:space="preserve">TK-A70KV-4S KVADRATNA TUŠ KABINA 70x70x185 cm</t>
  </si>
  <si>
    <t xml:space="preserve">111.815.00.1</t>
  </si>
  <si>
    <t xml:space="preserve">GEBERIT DUOFIX SET ZIDNIH SIDARA ZA POJEDINAČNU MONTAŽU</t>
  </si>
  <si>
    <t xml:space="preserve">15261</t>
  </si>
  <si>
    <t xml:space="preserve">TK MEIRA 80 POLUKRUŽNA TUŠ KABINA 80x80x195 cm</t>
  </si>
  <si>
    <t xml:space="preserve">15464</t>
  </si>
  <si>
    <t xml:space="preserve">GENOVA BLACK TUŠ SET S TERM. MIJEŠALICOM</t>
  </si>
  <si>
    <t xml:space="preserve">15466</t>
  </si>
  <si>
    <t xml:space="preserve">TK FROST 80100 PRAVOKUTNA TUŠ KABINA 80x100x185 cm</t>
  </si>
  <si>
    <t xml:space="preserve">15467</t>
  </si>
  <si>
    <t xml:space="preserve">TK FROST 80120 KVADRATNA TUŠ KABINA 80x120x185 cm</t>
  </si>
  <si>
    <t xml:space="preserve">155090</t>
  </si>
  <si>
    <t xml:space="preserve">BOLD BIJELA 80 KV MINERALSOLID TUŠ KADA 800x800x30 mm</t>
  </si>
  <si>
    <t xml:space="preserve">155100</t>
  </si>
  <si>
    <t xml:space="preserve">BOLD BIJELA 8090 MINERALSOLID TUŠ KADA 800x900x30 mm</t>
  </si>
  <si>
    <t xml:space="preserve">155110</t>
  </si>
  <si>
    <t xml:space="preserve">BOLD BIJELA 80100 MINERALSOLID TUŠ KADA 800x1000x30 mm</t>
  </si>
  <si>
    <t xml:space="preserve">155190</t>
  </si>
  <si>
    <t xml:space="preserve">BOLD BIJELA 90 KV MINERALSOLID TUŠ KADA 900x900x30 mm</t>
  </si>
  <si>
    <t xml:space="preserve">155200</t>
  </si>
  <si>
    <t xml:space="preserve">BOLD BIJELA 90100 MINERALSOLID TUŠ KADA 900x1000x30 mm</t>
  </si>
  <si>
    <t xml:space="preserve">155220</t>
  </si>
  <si>
    <t xml:space="preserve">BOLD BIJELA 90120 MINERALSOLID TUŠ KADA 900x1200x30 mm</t>
  </si>
  <si>
    <t xml:space="preserve">155230</t>
  </si>
  <si>
    <t xml:space="preserve">BOLD BIJELA 90130 MINERALSOLID TUŠ KADA 900x1300x30 mm</t>
  </si>
  <si>
    <t xml:space="preserve">155240</t>
  </si>
  <si>
    <t xml:space="preserve">BOLD BIJELA 90140 MINERALSOLID TUŠ KADA 900x1400x30 mm</t>
  </si>
  <si>
    <t xml:space="preserve">155250</t>
  </si>
  <si>
    <t xml:space="preserve">BOLD BIJELA 90150 MINERALSOLID TUŠ KADA 900x1500x30 mm</t>
  </si>
  <si>
    <t xml:space="preserve">155270</t>
  </si>
  <si>
    <t xml:space="preserve">BOLD BIJELA 90170 MINERALSOLID TUŠ KADA 900x1700x30 mm</t>
  </si>
  <si>
    <t xml:space="preserve">155300</t>
  </si>
  <si>
    <t xml:space="preserve">BOLD BIJELA 100110 MINERALSOLID TUŠ KADA 1000x1100x30 mm</t>
  </si>
  <si>
    <t xml:space="preserve">155310</t>
  </si>
  <si>
    <t xml:space="preserve">BOLD BIJELA 100120 MINERALSOLID TUŠ KADA 1000x1200x30 mm</t>
  </si>
  <si>
    <t xml:space="preserve">155320</t>
  </si>
  <si>
    <t xml:space="preserve">BOLD BIJELA 100130 MINERALSOLID TUŠ KADA 1000x1300x30 mm</t>
  </si>
  <si>
    <t xml:space="preserve">155340</t>
  </si>
  <si>
    <t xml:space="preserve">BOLD BIJELA 100150 MINERALSOLID TUŠ KADA 1000x1500x30 mm</t>
  </si>
  <si>
    <t xml:space="preserve">15661R</t>
  </si>
  <si>
    <t xml:space="preserve">BOLD S BIJELA 80R MINERALSOLID TUŠ KADA 800x800x30 mm</t>
  </si>
  <si>
    <t xml:space="preserve">156620</t>
  </si>
  <si>
    <t xml:space="preserve">BOLD S BIJELA 8090 MINERALSOLID TUŠ KADA 800x900x30 mm</t>
  </si>
  <si>
    <t xml:space="preserve">15663R</t>
  </si>
  <si>
    <t xml:space="preserve">BOLD S BIJELA 100R MINERALSOLID TUŠ KADA 1000x1000x30 mm</t>
  </si>
  <si>
    <t xml:space="preserve">1566300</t>
  </si>
  <si>
    <t xml:space="preserve">BOLD S BIJELA 80100 MINERALSOLID TUŠ KADA 800x1000x30 mm</t>
  </si>
  <si>
    <t xml:space="preserve">156640</t>
  </si>
  <si>
    <t xml:space="preserve">BOLD S BIJELA 80110 MINERALSOLID TUŠ KADA 800x1100x30 mm</t>
  </si>
  <si>
    <t xml:space="preserve">156650</t>
  </si>
  <si>
    <t xml:space="preserve">156660</t>
  </si>
  <si>
    <t xml:space="preserve">BOLD S BIJELA 80130 MINERALSOLID TUŠ KADA 800x1300x30 mm</t>
  </si>
  <si>
    <t xml:space="preserve">156670</t>
  </si>
  <si>
    <t xml:space="preserve">BOLD S BIJELA 80140 MINERALSOLID TUŠ KADA 800x1400x30 mm</t>
  </si>
  <si>
    <t xml:space="preserve">156690</t>
  </si>
  <si>
    <t xml:space="preserve">BOLD S BIJELA 80160 MINERALSOLID TUŠ KADA 800x1600x30 mm</t>
  </si>
  <si>
    <t xml:space="preserve">156700</t>
  </si>
  <si>
    <t xml:space="preserve">BOLD S BIJELA 80170 MINERALSOLID TUŠ KADA 800x1700x30 mm</t>
  </si>
  <si>
    <t xml:space="preserve">156710</t>
  </si>
  <si>
    <t xml:space="preserve">156730</t>
  </si>
  <si>
    <t xml:space="preserve">BOLD S BIJELA 90110 MINERALSOLID TUŠ KADA 900x1100x30 mm</t>
  </si>
  <si>
    <t xml:space="preserve">156740</t>
  </si>
  <si>
    <t xml:space="preserve">156750</t>
  </si>
  <si>
    <t xml:space="preserve">BOLD S BIJELA 90130 MINERALSOLID TUŠ KADA 900x1300x30 mm</t>
  </si>
  <si>
    <t xml:space="preserve">156770</t>
  </si>
  <si>
    <t xml:space="preserve">BOLD S BIJELA 90150 MINERALSOLID TUŠ KADA 900x1500x30 mm</t>
  </si>
  <si>
    <t xml:space="preserve">156780</t>
  </si>
  <si>
    <t xml:space="preserve">BOLD S BIJELA 90160 MINERALSOLID TUŠ KADA 900x1600x30 mm</t>
  </si>
  <si>
    <t xml:space="preserve">156790</t>
  </si>
  <si>
    <t xml:space="preserve">BOLD S BIJELA 90170 MINERALSOLID TUŠ KADA 900x1700x30 mm</t>
  </si>
  <si>
    <t xml:space="preserve">156830</t>
  </si>
  <si>
    <t xml:space="preserve">156860</t>
  </si>
  <si>
    <t xml:space="preserve">BOLD S BIJELA 100150 MINERALSOLID TUŠ KADA 1000x1500x30 mm</t>
  </si>
  <si>
    <t xml:space="preserve">156870</t>
  </si>
  <si>
    <t xml:space="preserve">BOLD S BIJELA 100160 MINERALSOLID TUŠ KADA 1000x1600x30 mm</t>
  </si>
  <si>
    <t xml:space="preserve">15810</t>
  </si>
  <si>
    <t xml:space="preserve">BOLD LUX 75100 MINERALSOLID TUŠ KADA BIJELA SJAJNA</t>
  </si>
  <si>
    <t xml:space="preserve">15811</t>
  </si>
  <si>
    <t xml:space="preserve">BOLD LUX 75170 MINERALSOLID TUŠ KADA BIJELA SJAJNA</t>
  </si>
  <si>
    <t xml:space="preserve">15812</t>
  </si>
  <si>
    <t xml:space="preserve">BOLD LUX 8090 MINERALSOLID TUŠ KADA BIJELA SJAJNA</t>
  </si>
  <si>
    <t xml:space="preserve">15818</t>
  </si>
  <si>
    <t xml:space="preserve">BOLD LUX 90140 MINERALSOLID TUŠ KADA BIJELA SJAJNA</t>
  </si>
  <si>
    <t xml:space="preserve">15821</t>
  </si>
  <si>
    <t xml:space="preserve">BOLD LUX 100110 MINERALSOLID TUŠ KADA BIJELA SJAJNA</t>
  </si>
  <si>
    <t xml:space="preserve">15956</t>
  </si>
  <si>
    <t xml:space="preserve">TK NEVA 80 KVADRATNA TUŠ KABINA 80x80x180 cm</t>
  </si>
  <si>
    <t xml:space="preserve">16050</t>
  </si>
  <si>
    <t xml:space="preserve">BIJELI POKROV SIFONA TUŠ KADE BOLD</t>
  </si>
  <si>
    <t xml:space="preserve">16085</t>
  </si>
  <si>
    <t xml:space="preserve">OGLEDALO GLS4060 40x60 cm</t>
  </si>
  <si>
    <t xml:space="preserve">16300</t>
  </si>
  <si>
    <t xml:space="preserve">OLIVIA UGRADBENI KERAMIČKI UMIVAONIK BIJELI 600x455x100 mm</t>
  </si>
  <si>
    <t xml:space="preserve">16304</t>
  </si>
  <si>
    <t xml:space="preserve">OLIVIA UGRADBENI KERAMIČKI UMIVAONIK BIJELI 850x455x100 mm</t>
  </si>
  <si>
    <t xml:space="preserve">16540</t>
  </si>
  <si>
    <t xml:space="preserve">SIFON ZA SAMOSTOJEĆE I HIDROMASAŽNE KADE</t>
  </si>
  <si>
    <t xml:space="preserve">16786</t>
  </si>
  <si>
    <t xml:space="preserve">AMELIA 120L HIDROMASAŽNA TUŠ KABINA 120x80x215cm (L)</t>
  </si>
  <si>
    <t xml:space="preserve">16851</t>
  </si>
  <si>
    <t xml:space="preserve">EVA 80 TUŠ KABINA 80x80x205 cm</t>
  </si>
  <si>
    <t xml:space="preserve">16853</t>
  </si>
  <si>
    <t xml:space="preserve">MONDO VISEĆA ŠKOLJKA S DASKOM  RIMLESS 490x370x370 mm</t>
  </si>
  <si>
    <t xml:space="preserve">16859</t>
  </si>
  <si>
    <t xml:space="preserve">EVA 90 BLACK POLUKRUŽNA TUŠ KABINA 90x90x205 cm</t>
  </si>
  <si>
    <t xml:space="preserve">6560</t>
  </si>
  <si>
    <t xml:space="preserve">ANHUI MEISHENG BATHROOM TECHNOLOGY CO., LTD</t>
  </si>
  <si>
    <t xml:space="preserve">16940</t>
  </si>
  <si>
    <t xml:space="preserve">VIS HIDROMASAŽNI BAZEN 200x200x90 cm</t>
  </si>
  <si>
    <t xml:space="preserve">16972</t>
  </si>
  <si>
    <t xml:space="preserve">TK GRANADA 80 POLUKRUŽNA TUŠ KABINA 80x80x195 cm</t>
  </si>
  <si>
    <t xml:space="preserve">17182</t>
  </si>
  <si>
    <t xml:space="preserve">NERO KUPAONSKA KUKICA ZA TRI RUČNIKA - CRNA</t>
  </si>
  <si>
    <t xml:space="preserve">17190</t>
  </si>
  <si>
    <t xml:space="preserve">VIVID VISEĆA ŠKOLJKA S DASKOM  VORTEX 485x370x365 mm</t>
  </si>
  <si>
    <t xml:space="preserve">17205</t>
  </si>
  <si>
    <t xml:space="preserve">MESSINA STOJEĆA MIJEŠALICA ZA SUDOPER</t>
  </si>
  <si>
    <t xml:space="preserve">17239</t>
  </si>
  <si>
    <t xml:space="preserve">TK PARLA 90 CHROME POLUKRUŽNA TUŠ KABINA 90X90X195 cm</t>
  </si>
  <si>
    <t xml:space="preserve">17247</t>
  </si>
  <si>
    <t xml:space="preserve">ALUMINIJSKI PROFIL ZA VETRO SLIDE BLACK 120X195 cm</t>
  </si>
  <si>
    <t xml:space="preserve">17260</t>
  </si>
  <si>
    <t xml:space="preserve">TK VIGO 7890 CHROME PRAVOKUTNA TUŠ KABINA 78-90X195 cm</t>
  </si>
  <si>
    <t xml:space="preserve">17269</t>
  </si>
  <si>
    <t xml:space="preserve">NEROLA TUŠ SET S MIJEŠALICOM GUN GRAY</t>
  </si>
  <si>
    <t xml:space="preserve">17270</t>
  </si>
  <si>
    <t xml:space="preserve">NEROLA MIJEŠALICA ZA UMIVAONIK GUN GRAY</t>
  </si>
  <si>
    <t xml:space="preserve">17271</t>
  </si>
  <si>
    <t xml:space="preserve">NEROLA MIJEŠALICA ZA UMIVAONIK GUN GRAYVISOKA</t>
  </si>
  <si>
    <t xml:space="preserve">17274</t>
  </si>
  <si>
    <t xml:space="preserve">CALM 150 SAMOSTOJEĆA KUPAONSKA KADA 1500X700X580 MM</t>
  </si>
  <si>
    <t xml:space="preserve">17275</t>
  </si>
  <si>
    <t xml:space="preserve">CALM 170 SAMOSTOJEĆA KUPAONSKA KADA 1700X800X580 MM</t>
  </si>
  <si>
    <t xml:space="preserve">18251</t>
  </si>
  <si>
    <t xml:space="preserve">ATENA OGLEDALO S LED RASVJETOM D60 cm</t>
  </si>
  <si>
    <t xml:space="preserve">18433</t>
  </si>
  <si>
    <t xml:space="preserve">AUREA LED OGLEDALO 40x90cm CCT 3000/4000/5000K</t>
  </si>
  <si>
    <t xml:space="preserve">771</t>
  </si>
  <si>
    <t xml:space="preserve">156720</t>
  </si>
  <si>
    <t xml:space="preserve">nema u Stanju skladista</t>
  </si>
  <si>
    <t xml:space="preserve">15816</t>
  </si>
  <si>
    <t xml:space="preserve">BOLD LUX 90100 MINERALSOLID TUŠ KADA BIJELA SJAJNA</t>
  </si>
  <si>
    <t xml:space="preserve">043830</t>
  </si>
  <si>
    <t xml:space="preserve">TOSKANA TUŠ SET S MIJEŠALICOM</t>
  </si>
  <si>
    <t xml:space="preserve">036140</t>
  </si>
  <si>
    <t xml:space="preserve">PORTO 120 TUŠ VRATA 120x195 cm</t>
  </si>
  <si>
    <t xml:space="preserve">156820</t>
  </si>
  <si>
    <t xml:space="preserve">BOLD S BIJELA 100110 MINERALSOLID TUŠ KADA 1000x1100x30 mm</t>
  </si>
  <si>
    <t xml:space="preserve">002556</t>
  </si>
  <si>
    <t xml:space="preserve">CLICKCLACK SIFONSKA ČAŠICA S PILETOM ZA SAMOSTOJEĆE KADE HOPE BIJELA</t>
  </si>
  <si>
    <t xml:space="preserve">042131</t>
  </si>
  <si>
    <t xml:space="preserve">SHINE DOT D80 LED OGLEDALO SA SENZOROM POKRETA D 80 cm</t>
  </si>
  <si>
    <t xml:space="preserve">155350</t>
  </si>
  <si>
    <t xml:space="preserve">BOLD BIJELA 100160 MINERALSOLID TUŠ KADA 1000x1600x30 mm</t>
  </si>
  <si>
    <t xml:space="preserve">156760</t>
  </si>
  <si>
    <t xml:space="preserve">BOLD S BIJELA 90140 MINERALSOLID TUŠ KADA 900x1400x30 mm</t>
  </si>
  <si>
    <t xml:space="preserve">A374123000</t>
  </si>
  <si>
    <t xml:space="preserve">ROCA TUŠ KADA ROMA KV 90X90, h=55mm, PORCULAN</t>
  </si>
  <si>
    <t xml:space="preserve">A374124000</t>
  </si>
  <si>
    <t xml:space="preserve">ROCA TUŠ KADA ROMA R900, h=55mm, PORCULAN</t>
  </si>
  <si>
    <t xml:space="preserve">PK00003</t>
  </si>
  <si>
    <t xml:space="preserve">ROVING NITI- 2400 TEX / 58,36 %</t>
  </si>
  <si>
    <t xml:space="preserve">PTK000090</t>
  </si>
  <si>
    <t xml:space="preserve">MAGNETNA BRTVA ZA STAKLO VRATA- BL 2200mm</t>
  </si>
  <si>
    <t xml:space="preserve">PTK00188</t>
  </si>
  <si>
    <t xml:space="preserve">ALUMINIJSKI PROFIL ZA VETRO 6-8MM</t>
  </si>
  <si>
    <t xml:space="preserve">PTK00188B</t>
  </si>
  <si>
    <t xml:space="preserve">ALUMINIJSKI PROFIL ZA VETRO 6-8MM - CRNI MAT</t>
  </si>
  <si>
    <t xml:space="preserve">PTK00189</t>
  </si>
  <si>
    <t xml:space="preserve">ALUMINIJSKI U PROFIL ZA VETRO 6-8MM</t>
  </si>
  <si>
    <t xml:space="preserve">PTK00189B</t>
  </si>
  <si>
    <t xml:space="preserve">ALUMINIJSKI U PROFIL ZA VETRO 6-8MM - CRNI MAT</t>
  </si>
  <si>
    <t xml:space="preserve">PTK00434</t>
  </si>
  <si>
    <t xml:space="preserve">STAKLO ZA VETRO REBRASTO 80x200cm</t>
  </si>
  <si>
    <t xml:space="preserve">PTK00437</t>
  </si>
  <si>
    <t xml:space="preserve">STAKLO ZA VETRO REBRASTO 120x200cm</t>
  </si>
  <si>
    <t xml:space="preserve">PTK00438</t>
  </si>
  <si>
    <t xml:space="preserve">STAKLO ZA VETRO ZAMAGLJENO 90x200cm</t>
  </si>
  <si>
    <t xml:space="preserve">PTK00439</t>
  </si>
  <si>
    <t xml:space="preserve">STAKLO ZA VETRO ZAMAGLJENO 100x200cm</t>
  </si>
  <si>
    <t xml:space="preserve">PTK00440</t>
  </si>
  <si>
    <t xml:space="preserve">STAKLO ZA VETRO ZAMAGLJENO 120x200cm</t>
  </si>
  <si>
    <t xml:space="preserve">PTK00441</t>
  </si>
  <si>
    <t xml:space="preserve">STAKLO ZA VETRO MIRROR  80x200cm</t>
  </si>
  <si>
    <t xml:space="preserve">PTK00442</t>
  </si>
  <si>
    <t xml:space="preserve">STAKLO ZA VETRO MIRROR  90x200cm</t>
  </si>
  <si>
    <t xml:space="preserve">PTK00443</t>
  </si>
  <si>
    <t xml:space="preserve">STAKLO ZA VETRO MIRROR  100x200cm</t>
  </si>
  <si>
    <t xml:space="preserve">PTK00444</t>
  </si>
  <si>
    <t xml:space="preserve">STAKLO ZA VETRO MIRROR 120x200cm</t>
  </si>
  <si>
    <t xml:space="preserve">RDE002692</t>
  </si>
  <si>
    <t xml:space="preserve">TUŠ MJEŠALICA SIENA ZAMJENSKI SET</t>
  </si>
  <si>
    <t xml:space="preserve">RDE015273</t>
  </si>
  <si>
    <t xml:space="preserve">KONTROLNI PANEL ALINA</t>
  </si>
  <si>
    <t xml:space="preserve">RDE016521</t>
  </si>
  <si>
    <t xml:space="preserve">CRNE BOČNE BRTVE</t>
  </si>
  <si>
    <t xml:space="preserve">RDE016531</t>
  </si>
  <si>
    <t xml:space="preserve">CRNE MAGNETNE BRTVE ZA KABINE</t>
  </si>
  <si>
    <t xml:space="preserve">RDE0849</t>
  </si>
  <si>
    <t xml:space="preserve">IZLIJEV ZA MJEŠALICU NOVARA</t>
  </si>
  <si>
    <t xml:space="preserve">RDE0850</t>
  </si>
  <si>
    <t xml:space="preserve">INTENSO BLACK GLAVA TUŠA</t>
  </si>
  <si>
    <t xml:space="preserve">RDE0851</t>
  </si>
  <si>
    <t xml:space="preserve">INTENSO BLACK RUČKA ZA TUŠ</t>
  </si>
  <si>
    <t xml:space="preserve">RDE0852</t>
  </si>
  <si>
    <t xml:space="preserve">TOSKANA GLAVA ZA TUŠ</t>
  </si>
  <si>
    <t xml:space="preserve">RDE0853</t>
  </si>
  <si>
    <t xml:space="preserve">TOSKANA RUČKA ZA TUŠ</t>
  </si>
  <si>
    <t xml:space="preserve">RDE310391</t>
  </si>
  <si>
    <t xml:space="preserve">MJEŠALICA  AFRODITA / ALINA</t>
  </si>
  <si>
    <t xml:space="preserve">RDE31048</t>
  </si>
  <si>
    <t xml:space="preserve">SILVER LINE MAGNETNA BRTVA 2M</t>
  </si>
  <si>
    <t xml:space="preserve">RDE31140</t>
  </si>
  <si>
    <t xml:space="preserve">KONTROLNI STUP S LEĐNOM MLAZNICOM ALINA POLUKRUŽNA 80*80 90*90</t>
  </si>
  <si>
    <t xml:space="preserve">RDE31142</t>
  </si>
  <si>
    <t xml:space="preserve">STAKLENI KROV ALINA 90</t>
  </si>
  <si>
    <t xml:space="preserve">RDE31145</t>
  </si>
  <si>
    <t xml:space="preserve">GORNJA MLAZNICA ALINA</t>
  </si>
  <si>
    <t xml:space="preserve">RDE31149</t>
  </si>
  <si>
    <t xml:space="preserve">STAKLO ZA VRATA ALINA 80100</t>
  </si>
  <si>
    <t xml:space="preserve">RDE31150</t>
  </si>
  <si>
    <t xml:space="preserve">FIKSNO PREDNJE STAKLO ALINA 80100</t>
  </si>
  <si>
    <t xml:space="preserve">RDE31153</t>
  </si>
  <si>
    <t xml:space="preserve">KONTROLNI STUP S LEĐNOM MLAZNICOM ALINA 80100/80120</t>
  </si>
  <si>
    <t xml:space="preserve">RDE31155</t>
  </si>
  <si>
    <t xml:space="preserve">STAKLENI KROV ALINA 80100</t>
  </si>
  <si>
    <t xml:space="preserve">RDE31606</t>
  </si>
  <si>
    <t xml:space="preserve">MAGNETNA BRTVA LUGO</t>
  </si>
  <si>
    <t xml:space="preserve">RDE31607</t>
  </si>
  <si>
    <t xml:space="preserve">DONJA BRTVA LUGO</t>
  </si>
  <si>
    <t xml:space="preserve">RDE320011</t>
  </si>
  <si>
    <t xml:space="preserve">RUČKE ZA TK PULSE</t>
  </si>
  <si>
    <t xml:space="preserve">RDE320089</t>
  </si>
  <si>
    <t xml:space="preserve">STAKLENI KROV ALINA 80120</t>
  </si>
  <si>
    <t xml:space="preserve">RDE320090</t>
  </si>
  <si>
    <t xml:space="preserve">ALINA 80120 FIKSNO PREDNJE</t>
  </si>
  <si>
    <t xml:space="preserve">RDE320091</t>
  </si>
  <si>
    <t xml:space="preserve">STAKLO ZA VRATA ALINA 80120</t>
  </si>
  <si>
    <t xml:space="preserve">RDE320347</t>
  </si>
  <si>
    <t xml:space="preserve">RUČKE ZA TK EVA CRNE</t>
  </si>
  <si>
    <t xml:space="preserve">002477</t>
  </si>
  <si>
    <t xml:space="preserve">ROMA TUŠ SET S MIJEŠALICOM</t>
  </si>
  <si>
    <t xml:space="preserve">002511</t>
  </si>
  <si>
    <t xml:space="preserve">UMIVAONIK UMJETNI MRAMOR A4023 400X230X30MM</t>
  </si>
  <si>
    <t xml:space="preserve">0025150</t>
  </si>
  <si>
    <t xml:space="preserve">002518</t>
  </si>
  <si>
    <t xml:space="preserve">UMIVAONIK UMJETNI MRAMOR A120 1200x460x150mm</t>
  </si>
  <si>
    <t xml:space="preserve">002565</t>
  </si>
  <si>
    <t xml:space="preserve">UGRADBENI UMIVAONIK LAS VEGAS DESNI 1205x506 mm</t>
  </si>
  <si>
    <t xml:space="preserve">0032151</t>
  </si>
  <si>
    <t xml:space="preserve">YORK N SAMOSTOJEĆA MJEŠALICA ZA KADU</t>
  </si>
  <si>
    <t xml:space="preserve">003220</t>
  </si>
  <si>
    <t xml:space="preserve">AFRICA R TUŠ SET</t>
  </si>
  <si>
    <t xml:space="preserve">003230</t>
  </si>
  <si>
    <t xml:space="preserve">TUŠ SET S MIJEŠALICOM 'WEISS'</t>
  </si>
  <si>
    <t xml:space="preserve">003896</t>
  </si>
  <si>
    <t xml:space="preserve">AURA BRONZE TUŠ SET - 3 FUNKCIJE</t>
  </si>
  <si>
    <t xml:space="preserve">00498</t>
  </si>
  <si>
    <t xml:space="preserve">GL-Z128-5P TUŠ KABINA 80x100x200 cm</t>
  </si>
  <si>
    <t xml:space="preserve">00688</t>
  </si>
  <si>
    <t xml:space="preserve">00689</t>
  </si>
  <si>
    <t xml:space="preserve">025020</t>
  </si>
  <si>
    <t xml:space="preserve">QUINN NADGRADNI UMIVAONIK 590x385x200 mm</t>
  </si>
  <si>
    <t xml:space="preserve">03708000</t>
  </si>
  <si>
    <t xml:space="preserve">VETRO BLACK 90 TUŠ STAKLO 90X200CM</t>
  </si>
  <si>
    <t xml:space="preserve">040680</t>
  </si>
  <si>
    <t xml:space="preserve">GIANNA NADGRADNI UMIVAONIK 500x390x130 mm</t>
  </si>
  <si>
    <t xml:space="preserve">041960</t>
  </si>
  <si>
    <t xml:space="preserve">GENOVA KV TUŠ SET S TERM. MIJEŠALICOM</t>
  </si>
  <si>
    <t xml:space="preserve">042770</t>
  </si>
  <si>
    <t xml:space="preserve">TOSKANA CRNA MJEŠALICA ZA UMIVAONIK</t>
  </si>
  <si>
    <t xml:space="preserve">042790</t>
  </si>
  <si>
    <t xml:space="preserve">TOSKANA CRNA MJEŠALICA ZA UMIVAONIK VISOKA</t>
  </si>
  <si>
    <t xml:space="preserve">043280</t>
  </si>
  <si>
    <t xml:space="preserve">SMART 2D/90 TUŠ VRATA 90x190 cm</t>
  </si>
  <si>
    <t xml:space="preserve">043370</t>
  </si>
  <si>
    <t xml:space="preserve">VETRO CUBO 90 TUŠ STAKLO 90x200 cm</t>
  </si>
  <si>
    <t xml:space="preserve">043380</t>
  </si>
  <si>
    <t xml:space="preserve">VETRO CUBO 100 TUŠ STIJENA 100x200 cm</t>
  </si>
  <si>
    <t xml:space="preserve">111.378.00.6</t>
  </si>
  <si>
    <t xml:space="preserve">GEBERIT DUOFIX SIGMA ELEMENT ZA VISEĆI WC SA VODOKOTLIĆEM - PROJEKTNI</t>
  </si>
  <si>
    <t xml:space="preserve">115.671.11.2</t>
  </si>
  <si>
    <t xml:space="preserve">GEBERIT TIPKA SIGMA50 PLOČA BIJELA SJAJ/TIPKA CRNI KROM DVOKOLIČINSKO ISPIRANJE</t>
  </si>
  <si>
    <t xml:space="preserve">115.882.JQ.1</t>
  </si>
  <si>
    <t xml:space="preserve">GEBERIT TIPKA SIGMA20, OKRUGLI DIZAJN, KROM/MAT</t>
  </si>
  <si>
    <t xml:space="preserve">115.882.01.1</t>
  </si>
  <si>
    <t xml:space="preserve">GEBERIT TIPKA SIGMA20, OKRUGLI DIZAJN, BIJELA/SJAJ</t>
  </si>
  <si>
    <t xml:space="preserve">115.883.16.1</t>
  </si>
  <si>
    <t xml:space="preserve">GEBERIT TIPKA SIGMA20, PRAVOKUTNA, CRNA/MAT</t>
  </si>
  <si>
    <t xml:space="preserve">13423000</t>
  </si>
  <si>
    <t xml:space="preserve">HANSGROHE IZLJEV ZA KADU 15.2 CM S PREBACIVAČEM</t>
  </si>
  <si>
    <t xml:space="preserve">136.900.21.2</t>
  </si>
  <si>
    <t xml:space="preserve">GEBERIT TIP 240 IZLJEVNI VENTIL, DVOKOLIČINSKO ISPIRANJE</t>
  </si>
  <si>
    <t xml:space="preserve">151.116.11.1</t>
  </si>
  <si>
    <t xml:space="preserve">GEBERIT DIREKTNI SAMOČISTEĆI SIFON ZA UMIVAONIK, MODEL KOJI ŠTEDI PROSTOR, HORIZONTALNI ODVOD: d=32mm, G=1 1/4”, ALPSKO BIJELA</t>
  </si>
  <si>
    <t xml:space="preserve">15268</t>
  </si>
  <si>
    <t xml:space="preserve">TK MEIRA 90120 PRAVOKUTNA TUŠ KABINA 90x120x195 cm</t>
  </si>
  <si>
    <t xml:space="preserve">155120</t>
  </si>
  <si>
    <t xml:space="preserve">BOLD BIJELA 80110 MINERALSOLID TUŠ KADA 800x1100x30 mm</t>
  </si>
  <si>
    <t xml:space="preserve">155130</t>
  </si>
  <si>
    <t xml:space="preserve">BOLD BIJELA 80120 MINERALSOLID TUŠ KADA 800x1200x30 mm</t>
  </si>
  <si>
    <t xml:space="preserve">155140</t>
  </si>
  <si>
    <t xml:space="preserve">BOLD BIJELA 80130 MINERALSOLID TUŠ KADA 800x1300x30 mm</t>
  </si>
  <si>
    <t xml:space="preserve">155170</t>
  </si>
  <si>
    <t xml:space="preserve">BOLD BIJELA 80160 MINERALSOLID TUŠ KADA 800x1600x30 mm</t>
  </si>
  <si>
    <t xml:space="preserve">155210</t>
  </si>
  <si>
    <t xml:space="preserve">BOLD BIJELA 90110 MINERALSOLID TUŠ KADA 900x1100x30 mm</t>
  </si>
  <si>
    <t xml:space="preserve">155260</t>
  </si>
  <si>
    <t xml:space="preserve">BOLD BIJELA 90160 MINERALSOLID TUŠ KADA 900x1600x30 mm</t>
  </si>
  <si>
    <t xml:space="preserve">15662R</t>
  </si>
  <si>
    <t xml:space="preserve">BOLD S BIJELA 90R MINERALSOLID TUŠ KADA 900x900x30 mm</t>
  </si>
  <si>
    <t xml:space="preserve">156630</t>
  </si>
  <si>
    <t xml:space="preserve">156800</t>
  </si>
  <si>
    <t xml:space="preserve">BOLD S BIJELA 90180 MINERALSOLID TUŠ KADA 900x1800x30 mm</t>
  </si>
  <si>
    <t xml:space="preserve">156810</t>
  </si>
  <si>
    <t xml:space="preserve">156840</t>
  </si>
  <si>
    <t xml:space="preserve">BOLD S BIJELA 100130 MINERALSOLID TUŠ KADA 1000x1300x30 mm</t>
  </si>
  <si>
    <t xml:space="preserve">156850</t>
  </si>
  <si>
    <t xml:space="preserve">156880</t>
  </si>
  <si>
    <t xml:space="preserve">BOLD S BIJELA 100170 MINERALSOLID TUŠ KADA 1000x1700x30 mm</t>
  </si>
  <si>
    <t xml:space="preserve">156890</t>
  </si>
  <si>
    <t xml:space="preserve">BOLD S BIJELA 100180 MINERALSOLID TUŠ KADA 1000x1800x30 mm</t>
  </si>
  <si>
    <t xml:space="preserve">15813</t>
  </si>
  <si>
    <t xml:space="preserve">BOLD LUX 80100 MINERALSOLID TUŠ KADA BIJELA SJAJNA</t>
  </si>
  <si>
    <t xml:space="preserve">15815</t>
  </si>
  <si>
    <t xml:space="preserve">BOLD LUX 90 KV MINERALSOLID TUŠ KADA BIJELA SJAJNA</t>
  </si>
  <si>
    <t xml:space="preserve">15817</t>
  </si>
  <si>
    <t xml:space="preserve">BOLD LUX 90120 MINERALSOLID TUŠ KADA BIJELA SJAJNA</t>
  </si>
  <si>
    <t xml:space="preserve">15823</t>
  </si>
  <si>
    <t xml:space="preserve">BOLD LUX 90 PK MINERALSOLID TUŠ KADA BIJELA SJAJNA</t>
  </si>
  <si>
    <t xml:space="preserve">15824</t>
  </si>
  <si>
    <t xml:space="preserve">BOLD LUX 100 PK MINERALSOLID TUŠ KADA BIJELA SJAJNA</t>
  </si>
  <si>
    <t xml:space="preserve">159540</t>
  </si>
  <si>
    <t xml:space="preserve">TK NEVA 80R POLUKRUŽNA TUŠ KABINA 80x80x180 cm</t>
  </si>
  <si>
    <t xml:space="preserve">159550</t>
  </si>
  <si>
    <t xml:space="preserve">TK NEVA 90R POLUKRUŽNA TUŠ KABINA 90x90x180 cm</t>
  </si>
  <si>
    <t xml:space="preserve">16028</t>
  </si>
  <si>
    <t xml:space="preserve">BLACK WALL 100 TUŠ PARAVAN 100x195 cm</t>
  </si>
  <si>
    <t xml:space="preserve">16089</t>
  </si>
  <si>
    <t xml:space="preserve">TULI LED OGLEDALO 80x60 cm</t>
  </si>
  <si>
    <t xml:space="preserve">16134</t>
  </si>
  <si>
    <t xml:space="preserve">AURA CHROME MIJEŠALICA ZA UMIVAONIK</t>
  </si>
  <si>
    <t xml:space="preserve">16138</t>
  </si>
  <si>
    <t xml:space="preserve">AURA BRONZE  MIJEŠALICA ZA UMIVAONIK</t>
  </si>
  <si>
    <t xml:space="preserve">16141</t>
  </si>
  <si>
    <t xml:space="preserve">AURA BRONZE MIJEŠALICA ZA KADU</t>
  </si>
  <si>
    <t xml:space="preserve">16142</t>
  </si>
  <si>
    <t xml:space="preserve">NOVARA MIJEŠALICA ZA SUDOPER</t>
  </si>
  <si>
    <t xml:space="preserve">16194</t>
  </si>
  <si>
    <t xml:space="preserve">EMBER UGRADBENI KERAMIČKI UMIVAONIK BIJELI 600x450x155 mm</t>
  </si>
  <si>
    <t xml:space="preserve">16302</t>
  </si>
  <si>
    <t xml:space="preserve">OLIVIA UGRADBENI KERAMIČKI UMIVAONIK BIJELI 700x455x100 mm</t>
  </si>
  <si>
    <t xml:space="preserve">16303</t>
  </si>
  <si>
    <t xml:space="preserve">OLIVIA UGRADBENI KERAMIČKI UMIVAONIK CRNI MAT 700x455x100 mm</t>
  </si>
  <si>
    <t xml:space="preserve">16784</t>
  </si>
  <si>
    <t xml:space="preserve">FAIRY 80R - POLUKRUŽNA TUŠ KABINA 80X80X193 CM</t>
  </si>
  <si>
    <t xml:space="preserve">16785</t>
  </si>
  <si>
    <t xml:space="preserve">FAIRY 90R - POLUKRUŽNA TUŠ KABINA 90X90X193 CM</t>
  </si>
  <si>
    <t xml:space="preserve">171450</t>
  </si>
  <si>
    <t xml:space="preserve">VETRO GOLD TRS 130 TUŠ STIJENA 130x200 cm</t>
  </si>
  <si>
    <t xml:space="preserve">17201</t>
  </si>
  <si>
    <t xml:space="preserve">SIMPLE MIJEŠALICA ZA UMIVAONIK</t>
  </si>
  <si>
    <t xml:space="preserve">17284</t>
  </si>
  <si>
    <t xml:space="preserve">BOLOGNA SAMOSTOJEĆA KUPAONSKA KADA WHITE MATTE 170x80x58,5 cm</t>
  </si>
  <si>
    <t xml:space="preserve">18738</t>
  </si>
  <si>
    <t xml:space="preserve">TK MADERA 7080 PRAVOKUTNA TUŠ KABINA 70x80x185cm</t>
  </si>
  <si>
    <t xml:space="preserve">18748</t>
  </si>
  <si>
    <t xml:space="preserve">Tuš Ruža Parma</t>
  </si>
  <si>
    <t xml:space="preserve">18790</t>
  </si>
  <si>
    <t xml:space="preserve">TECE NEO SET 9700205+9700603+9300302+9880046</t>
  </si>
  <si>
    <t xml:space="preserve">201433915</t>
  </si>
  <si>
    <t xml:space="preserve">KLUDI Nova Fonte Puristic armaturatura za umivaonik sa tri rupe</t>
  </si>
  <si>
    <t xml:space="preserve">201443915</t>
  </si>
  <si>
    <t xml:space="preserve">KLUDI NOVA FONTE PURISTIC ZIDNA ARMATURA</t>
  </si>
  <si>
    <t xml:space="preserve">202443915</t>
  </si>
  <si>
    <t xml:space="preserve">KLUDI Nova Fonte Pura podžbukna zidna armatura za umivaonik</t>
  </si>
  <si>
    <t xml:space="preserve">2054339-15</t>
  </si>
  <si>
    <t xml:space="preserve">KLUDI Nova Fonte Puristic zidno koljeno za priključak</t>
  </si>
  <si>
    <t xml:space="preserve">208103915</t>
  </si>
  <si>
    <t xml:space="preserve">KLUDI Nova Fonte Pura podžbukna termos. armatura za kadu i tuš</t>
  </si>
  <si>
    <t xml:space="preserve">2085039-15</t>
  </si>
  <si>
    <t xml:space="preserve">KLUDI Nova Fonte Puristic tuš set za kadu</t>
  </si>
  <si>
    <t xml:space="preserve">23106001</t>
  </si>
  <si>
    <t xml:space="preserve">GROHE LINEARE JEDNORUČNA MIJEŠALICA ZA UMIVAONIK S, KROM</t>
  </si>
  <si>
    <t xml:space="preserve">240.715.00.5</t>
  </si>
  <si>
    <t xml:space="preserve">GEBERIT ULJEVNI VENTIL TIP 383</t>
  </si>
  <si>
    <t xml:space="preserve">33848001</t>
  </si>
  <si>
    <t xml:space="preserve">GROHE LINEARE JEDNORUČNA MIJEŠALICA ZA BIDE S, KROM</t>
  </si>
  <si>
    <t xml:space="preserve">33865001</t>
  </si>
  <si>
    <t xml:space="preserve">GROHE LINEARE JEDNORUČNA MIJEŠALICA ZA TUŠ, KROM</t>
  </si>
  <si>
    <t xml:space="preserve">6433087-00</t>
  </si>
  <si>
    <t xml:space="preserve">KLUDI A-QA tuš ruža fi300</t>
  </si>
  <si>
    <t xml:space="preserve">6651439-00</t>
  </si>
  <si>
    <t xml:space="preserve">KLUDI A-QA nosač ruže 400 mm</t>
  </si>
  <si>
    <t xml:space="preserve">79101</t>
  </si>
  <si>
    <t xml:space="preserve">KLUDI UNIFIX 120 PODŽBUKNI ELEMENT ZA WC ŠKOLJKU</t>
  </si>
  <si>
    <t xml:space="preserve">97775317</t>
  </si>
  <si>
    <t xml:space="preserve">GRUNDFOS CRPKA SOLOLIFT 2 C-3</t>
  </si>
  <si>
    <t xml:space="preserve">9820223</t>
  </si>
  <si>
    <t xml:space="preserve">TECE IZLJEVNI VENTIL A2,UNIVERZALNI</t>
  </si>
  <si>
    <t xml:space="preserve">9820353</t>
  </si>
  <si>
    <t xml:space="preserve">TECE ULJEVNI VENTIL F10, UNIVERZALNI</t>
  </si>
  <si>
    <t xml:space="preserve">004149</t>
  </si>
  <si>
    <t xml:space="preserve">SCARLET NADGRADNI KERAMIČKI UMIVAONIK 580x385x155 mm</t>
  </si>
  <si>
    <t xml:space="preserve">00606</t>
  </si>
  <si>
    <t xml:space="preserve">HERA ZIDNA MIJEŠALICA ZA TUŠ S TUŠEM I DRŽAČEM</t>
  </si>
  <si>
    <t xml:space="preserve">025030</t>
  </si>
  <si>
    <t xml:space="preserve">LEXIE NADGRADNI UMIVAONIK 510x340x120 mm</t>
  </si>
  <si>
    <t xml:space="preserve">827</t>
  </si>
  <si>
    <t xml:space="preserve">18762</t>
  </si>
  <si>
    <t xml:space="preserve">18763</t>
  </si>
  <si>
    <t xml:space="preserve">18764</t>
  </si>
  <si>
    <t xml:space="preserve">18765</t>
  </si>
  <si>
    <t xml:space="preserve">18766</t>
  </si>
  <si>
    <t xml:space="preserve">18767</t>
  </si>
  <si>
    <t xml:space="preserve">18768</t>
  </si>
  <si>
    <t xml:space="preserve">18769</t>
  </si>
  <si>
    <t xml:space="preserve">18770</t>
  </si>
  <si>
    <t xml:space="preserve">18771</t>
  </si>
  <si>
    <t xml:space="preserve">18772</t>
  </si>
  <si>
    <t xml:space="preserve">18773</t>
  </si>
  <si>
    <t xml:space="preserve">18774</t>
  </si>
  <si>
    <t xml:space="preserve">18658</t>
  </si>
  <si>
    <t xml:space="preserve">18659</t>
  </si>
  <si>
    <t xml:space="preserve">18660</t>
  </si>
  <si>
    <t xml:space="preserve">18775</t>
  </si>
  <si>
    <t xml:space="preserve">18776</t>
  </si>
  <si>
    <t xml:space="preserve">18777</t>
  </si>
  <si>
    <t xml:space="preserve">Siječanj</t>
  </si>
  <si>
    <t xml:space="preserve">Veljača</t>
  </si>
  <si>
    <t xml:space="preserve">Ožujak</t>
  </si>
  <si>
    <t xml:space="preserve">Travanj</t>
  </si>
  <si>
    <t xml:space="preserve">Svibanj</t>
  </si>
  <si>
    <t xml:space="preserve">Lipanj</t>
  </si>
  <si>
    <t xml:space="preserve">Srpanj</t>
  </si>
  <si>
    <t xml:space="preserve">Kolovoz</t>
  </si>
  <si>
    <t xml:space="preserve">Rujan</t>
  </si>
  <si>
    <t xml:space="preserve">Listopad</t>
  </si>
  <si>
    <t xml:space="preserve">Studeni</t>
  </si>
  <si>
    <t xml:space="preserve">Prosinac</t>
  </si>
  <si>
    <t xml:space="preserve">Prosjek/mj.</t>
  </si>
  <si>
    <t xml:space="preserve">ROBA U DOLASKU</t>
  </si>
  <si>
    <t xml:space="preserve">Zuta polja se rucno unose. Do tri dolaska po artiklu.</t>
  </si>
  <si>
    <t xml:space="preserve">Mjeseci do dolaska: upisite svoj potvrdjeni podatak. Predlozak je datum narudzbe + tranzit.</t>
  </si>
  <si>
    <t xml:space="preserve">Kolicina</t>
  </si>
  <si>
    <t xml:space="preserve">Mjeseci do dolaska</t>
  </si>
  <si>
    <t xml:space="preserve">Ocekivani datum</t>
  </si>
  <si>
    <t xml:space="preserve">Narudzba</t>
  </si>
  <si>
    <t xml:space="preserve">Napomena</t>
  </si>
  <si>
    <t xml:space="preserve">Rb.</t>
  </si>
  <si>
    <t xml:space="preserve">ND_7858</t>
  </si>
  <si>
    <t xml:space="preserve">ND_7821</t>
  </si>
  <si>
    <t xml:space="preserve">ND_7857</t>
  </si>
  <si>
    <t xml:space="preserve">ND_7862</t>
  </si>
  <si>
    <t xml:space="preserve">ND_7814</t>
  </si>
  <si>
    <t xml:space="preserve">NOVI ARTIKL</t>
  </si>
  <si>
    <t xml:space="preserve">NABAVA - planiranje narudžbi</t>
  </si>
  <si>
    <t xml:space="preserve">Prag 5 mjeseci · roba na brodu se NE pribraja zalihi · do tri dolaska po artiklu</t>
  </si>
  <si>
    <t xml:space="preserve">Šifra</t>
  </si>
  <si>
    <t xml:space="preserve">Šifra dob.</t>
  </si>
  <si>
    <t xml:space="preserve">Naziv dobavljača</t>
  </si>
  <si>
    <t xml:space="preserve">Zaliha 31.08.</t>
  </si>
  <si>
    <t xml:space="preserve">Zaliha danas</t>
  </si>
  <si>
    <t xml:space="preserve">Izlaz od 31.08.</t>
  </si>
  <si>
    <t xml:space="preserve">Zaliha traje (mj.)</t>
  </si>
  <si>
    <t xml:space="preserve">Stiže 1</t>
  </si>
  <si>
    <t xml:space="preserve">Količina 1</t>
  </si>
  <si>
    <t xml:space="preserve">Stiže 2</t>
  </si>
  <si>
    <t xml:space="preserve">Količina 2</t>
  </si>
  <si>
    <t xml:space="preserve">Stiže 3</t>
  </si>
  <si>
    <t xml:space="preserve">Količina 3</t>
  </si>
  <si>
    <t xml:space="preserve">Pokrivenost ukupno</t>
  </si>
  <si>
    <t xml:space="preserve">STATUS</t>
  </si>
  <si>
    <t xml:space="preserve">Sij</t>
  </si>
  <si>
    <t xml:space="preserve">Vel</t>
  </si>
  <si>
    <t xml:space="preserve">Ožu</t>
  </si>
  <si>
    <t xml:space="preserve">Tra</t>
  </si>
  <si>
    <t xml:space="preserve">Svi</t>
  </si>
  <si>
    <t xml:space="preserve">Lip</t>
  </si>
  <si>
    <t xml:space="preserve">Srp</t>
  </si>
  <si>
    <t xml:space="preserve">Kol</t>
  </si>
  <si>
    <t xml:space="preserve">Ruj</t>
  </si>
  <si>
    <t xml:space="preserve">Lis</t>
  </si>
  <si>
    <t xml:space="preserve">Stu</t>
  </si>
  <si>
    <t xml:space="preserve">Pro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</si>
</sst>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\.mm\.yyyy"/>
    <numFmt numFmtId="166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b val="true"/>
      <sz val="10"/>
      <name val="Cambria"/>
      <family val="0"/>
      <charset val="1"/>
    </font>
    <font>
      <sz val="9"/>
      <color rgb="FF595959"/>
      <name val="Cambria"/>
      <family val="0"/>
      <charset val="1"/>
    </font>
    <font>
      <b val="true"/>
      <sz val="10"/>
      <color rgb="FFFFFFFF"/>
      <name val="Cambria"/>
      <family val="0"/>
      <charset val="1"/>
    </font>
    <font>
      <sz val="10"/>
      <name val="Consolas"/>
      <family val="0"/>
      <charset val="1"/>
    </font>
    <font>
      <sz val="10"/>
      <name val="Cambria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2CC"/>
        <bgColor rgb="FFFFF0C7"/>
      </patternFill>
    </fill>
    <fill>
      <patternFill patternType="solid">
        <fgColor rgb="FF1F4E79"/>
        <bgColor rgb="FF14532D"/>
      </patternFill>
    </fill>
    <fill>
      <patternFill patternType="solid">
        <fgColor rgb="FFF2F2F2"/>
        <bgColor rgb="FFEAF1F8"/>
      </patternFill>
    </fill>
    <fill>
      <patternFill patternType="solid">
        <fgColor rgb="FF4A7DAB"/>
        <bgColor rgb="FF339966"/>
      </patternFill>
    </fill>
    <fill>
      <patternFill patternType="solid">
        <fgColor rgb="FFEAF1F8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2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6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6">
    <dxf>
      <fill>
        <patternFill patternType="solid">
          <fgColor rgb="FF1F4E7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AF1F8"/>
          <bgColor rgb="FF000000"/>
        </patternFill>
      </fill>
    </dxf>
    <dxf>
      <fill>
        <patternFill patternType="solid">
          <fgColor rgb="FFFFF0C7"/>
          <bgColor rgb="FF000000"/>
        </patternFill>
      </fill>
    </dxf>
    <dxf>
      <fill>
        <patternFill patternType="solid">
          <fgColor rgb="FFD4EDDA"/>
          <bgColor rgb="FF000000"/>
        </patternFill>
      </fill>
    </dxf>
    <dxf>
      <fill>
        <patternFill patternType="solid">
          <fgColor rgb="FFF8CBCB"/>
          <bgColor rgb="FF000000"/>
        </patternFill>
      </fill>
    </dxf>
    <dxf>
      <fill>
        <patternFill patternType="solid">
          <fgColor rgb="FF14532D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FCE4C4"/>
          <bgColor rgb="FF000000"/>
        </patternFill>
      </fill>
    </dxf>
    <dxf>
      <fill>
        <patternFill patternType="solid">
          <fgColor rgb="FF8A4B00"/>
          <bgColor rgb="FF000000"/>
        </patternFill>
      </fill>
    </dxf>
    <dxf>
      <font>
        <b val="1"/>
        <color rgb="FF9C0006"/>
        <sz val="10"/>
      </font>
      <fill>
        <patternFill>
          <bgColor rgb="FFF8CBCB"/>
        </patternFill>
      </fill>
    </dxf>
    <dxf>
      <font>
        <b val="1"/>
        <color rgb="FF8A4B00"/>
        <sz val="10"/>
      </font>
      <fill>
        <patternFill>
          <bgColor rgb="FFFCE4C4"/>
        </patternFill>
      </fill>
    </dxf>
    <dxf>
      <font>
        <b val="1"/>
        <color rgb="FF14532D"/>
        <sz val="10"/>
      </font>
      <fill>
        <patternFill>
          <bgColor rgb="FFD4EDDA"/>
        </patternFill>
      </fill>
    </dxf>
    <dxf>
      <fill>
        <patternFill>
          <bgColor rgb="FFFFF0C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595959"/>
      <rgbColor rgb="FF9999FF"/>
      <rgbColor rgb="FF993366"/>
      <rgbColor rgb="FFFFF2CC"/>
      <rgbColor rgb="FFEAF1F8"/>
      <rgbColor rgb="FF660066"/>
      <rgbColor rgb="FFFF8080"/>
      <rgbColor rgb="FF0066CC"/>
      <rgbColor rgb="FFFCE4C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4EDDA"/>
      <rgbColor rgb="FFFFF0C7"/>
      <rgbColor rgb="FF99CCFF"/>
      <rgbColor rgb="FFFF99CC"/>
      <rgbColor rgb="FFCC99FF"/>
      <rgbColor rgb="FFF8CBCB"/>
      <rgbColor rgb="FF3366FF"/>
      <rgbColor rgb="FF33CCCC"/>
      <rgbColor rgb="FF99CC00"/>
      <rgbColor rgb="FFFFCC00"/>
      <rgbColor rgb="FFFF9900"/>
      <rgbColor rgb="FFFF6600"/>
      <rgbColor rgb="FF4A7DAB"/>
      <rgbColor rgb="FF969696"/>
      <rgbColor rgb="FF003366"/>
      <rgbColor rgb="FF339966"/>
      <rgbColor rgb="FF003300"/>
      <rgbColor rgb="FF333300"/>
      <rgbColor rgb="FF8A4B00"/>
      <rgbColor rgb="FF993366"/>
      <rgbColor rgb="FF1F4E79"/>
      <rgbColor rgb="FF14532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 t="n">
        <v>46268</v>
      </c>
    </row>
    <row r="4" customFormat="false" ht="15" hidden="false" customHeight="false" outlineLevel="0" collapsed="false">
      <c r="A4" s="2" t="s">
        <v>2</v>
      </c>
      <c r="B4" s="3" t="n">
        <v>46265</v>
      </c>
    </row>
    <row r="5" customFormat="false" ht="15" hidden="false" customHeight="false" outlineLevel="0" collapsed="false">
      <c r="A5" s="2" t="s">
        <v>3</v>
      </c>
      <c r="B5" s="4" t="n">
        <v>4</v>
      </c>
    </row>
    <row r="6" customFormat="false" ht="15" hidden="false" customHeight="false" outlineLevel="0" collapsed="false">
      <c r="A6" s="2" t="s">
        <v>4</v>
      </c>
      <c r="B6" s="4" t="n">
        <v>5</v>
      </c>
    </row>
    <row r="7" customFormat="false" ht="15" hidden="false" customHeight="false" outlineLevel="0" collapsed="false">
      <c r="A7" s="2" t="s">
        <v>5</v>
      </c>
      <c r="B7" s="4" t="n">
        <v>8</v>
      </c>
    </row>
    <row r="9" customFormat="false" ht="15" hidden="false" customHeight="false" outlineLevel="0" collapsed="false">
      <c r="A9" s="5" t="s">
        <v>6</v>
      </c>
    </row>
    <row r="10" customFormat="false" ht="15" hidden="false" customHeight="false" outlineLevel="0" collapsed="false">
      <c r="A10" s="5" t="s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8"/>
    <col collapsed="false" customWidth="true" hidden="false" outlineLevel="0" max="3" min="3" style="0" width="10"/>
    <col collapsed="false" customWidth="true" hidden="false" outlineLevel="0" max="4" min="4" style="0" width="34"/>
    <col collapsed="false" customWidth="true" hidden="false" outlineLevel="0" max="5" min="5" style="0" width="13"/>
    <col collapsed="false" customWidth="true" hidden="false" outlineLevel="0" max="6" min="6" style="0" width="10"/>
    <col collapsed="false" customWidth="true" hidden="false" outlineLevel="0" max="7" min="7" style="0" width="20"/>
  </cols>
  <sheetData>
    <row r="1" customFormat="false" ht="23.85" hidden="false" customHeight="false" outlineLevel="0" collapsed="false">
      <c r="A1" s="6" t="s">
        <v>8</v>
      </c>
      <c r="B1" s="6" t="s">
        <v>9</v>
      </c>
      <c r="C1" s="6" t="s">
        <v>10</v>
      </c>
      <c r="D1" s="6" t="s">
        <v>11</v>
      </c>
      <c r="E1" s="6" t="s">
        <v>12</v>
      </c>
      <c r="F1" s="6" t="s">
        <v>13</v>
      </c>
      <c r="G1" s="6" t="s">
        <v>14</v>
      </c>
    </row>
    <row r="2" customFormat="false" ht="15" hidden="false" customHeight="false" outlineLevel="0" collapsed="false">
      <c r="A2" s="7" t="s">
        <v>15</v>
      </c>
      <c r="B2" s="8" t="s">
        <v>16</v>
      </c>
      <c r="C2" s="9"/>
      <c r="D2" s="8"/>
      <c r="E2" s="9" t="n">
        <v>1595</v>
      </c>
      <c r="F2" s="9" t="n">
        <v>1595</v>
      </c>
      <c r="G2" s="10"/>
    </row>
    <row r="3" customFormat="false" ht="15" hidden="false" customHeight="false" outlineLevel="0" collapsed="false">
      <c r="A3" s="7" t="s">
        <v>17</v>
      </c>
      <c r="B3" s="8" t="s">
        <v>18</v>
      </c>
      <c r="C3" s="9" t="s">
        <v>19</v>
      </c>
      <c r="D3" s="8" t="s">
        <v>20</v>
      </c>
      <c r="E3" s="9" t="n">
        <v>932</v>
      </c>
      <c r="F3" s="9" t="n">
        <v>932</v>
      </c>
      <c r="G3" s="10"/>
    </row>
    <row r="4" customFormat="false" ht="15" hidden="false" customHeight="false" outlineLevel="0" collapsed="false">
      <c r="A4" s="7" t="s">
        <v>21</v>
      </c>
      <c r="B4" s="8" t="s">
        <v>22</v>
      </c>
      <c r="C4" s="9" t="s">
        <v>23</v>
      </c>
      <c r="D4" s="8" t="s">
        <v>24</v>
      </c>
      <c r="E4" s="9" t="n">
        <v>664</v>
      </c>
      <c r="F4" s="9" t="n">
        <v>561</v>
      </c>
      <c r="G4" s="10"/>
    </row>
    <row r="5" customFormat="false" ht="15" hidden="false" customHeight="false" outlineLevel="0" collapsed="false">
      <c r="A5" s="7" t="s">
        <v>25</v>
      </c>
      <c r="B5" s="8" t="s">
        <v>26</v>
      </c>
      <c r="C5" s="9"/>
      <c r="D5" s="8"/>
      <c r="E5" s="9" t="n">
        <v>526</v>
      </c>
      <c r="F5" s="9" t="n">
        <v>526</v>
      </c>
      <c r="G5" s="10"/>
    </row>
    <row r="6" customFormat="false" ht="15" hidden="false" customHeight="false" outlineLevel="0" collapsed="false">
      <c r="A6" s="7" t="s">
        <v>27</v>
      </c>
      <c r="B6" s="8" t="s">
        <v>28</v>
      </c>
      <c r="C6" s="9" t="s">
        <v>29</v>
      </c>
      <c r="D6" s="8" t="s">
        <v>30</v>
      </c>
      <c r="E6" s="9" t="n">
        <v>504</v>
      </c>
      <c r="F6" s="9" t="n">
        <v>503</v>
      </c>
      <c r="G6" s="10"/>
    </row>
    <row r="7" customFormat="false" ht="15" hidden="false" customHeight="false" outlineLevel="0" collapsed="false">
      <c r="A7" s="7" t="s">
        <v>31</v>
      </c>
      <c r="B7" s="8" t="s">
        <v>32</v>
      </c>
      <c r="C7" s="9" t="s">
        <v>33</v>
      </c>
      <c r="D7" s="8" t="s">
        <v>34</v>
      </c>
      <c r="E7" s="9" t="n">
        <v>540</v>
      </c>
      <c r="F7" s="9" t="n">
        <v>500</v>
      </c>
      <c r="G7" s="10"/>
    </row>
    <row r="8" customFormat="false" ht="15" hidden="false" customHeight="false" outlineLevel="0" collapsed="false">
      <c r="A8" s="7" t="s">
        <v>35</v>
      </c>
      <c r="B8" s="8" t="s">
        <v>36</v>
      </c>
      <c r="C8" s="9" t="s">
        <v>37</v>
      </c>
      <c r="D8" s="8" t="s">
        <v>38</v>
      </c>
      <c r="E8" s="9" t="n">
        <v>500</v>
      </c>
      <c r="F8" s="9" t="n">
        <v>500</v>
      </c>
      <c r="G8" s="10"/>
    </row>
    <row r="9" customFormat="false" ht="15" hidden="false" customHeight="false" outlineLevel="0" collapsed="false">
      <c r="A9" s="7" t="s">
        <v>39</v>
      </c>
      <c r="B9" s="8" t="s">
        <v>40</v>
      </c>
      <c r="C9" s="9" t="s">
        <v>19</v>
      </c>
      <c r="D9" s="8" t="s">
        <v>20</v>
      </c>
      <c r="E9" s="9" t="n">
        <v>489</v>
      </c>
      <c r="F9" s="9" t="n">
        <v>479</v>
      </c>
      <c r="G9" s="10"/>
    </row>
    <row r="10" customFormat="false" ht="15" hidden="false" customHeight="false" outlineLevel="0" collapsed="false">
      <c r="A10" s="7" t="s">
        <v>41</v>
      </c>
      <c r="B10" s="8" t="s">
        <v>42</v>
      </c>
      <c r="C10" s="9"/>
      <c r="D10" s="8"/>
      <c r="E10" s="9" t="n">
        <v>453</v>
      </c>
      <c r="F10" s="9" t="n">
        <v>453</v>
      </c>
      <c r="G10" s="10"/>
    </row>
    <row r="11" customFormat="false" ht="15" hidden="false" customHeight="false" outlineLevel="0" collapsed="false">
      <c r="A11" s="7" t="s">
        <v>43</v>
      </c>
      <c r="B11" s="8" t="s">
        <v>44</v>
      </c>
      <c r="C11" s="9" t="s">
        <v>29</v>
      </c>
      <c r="D11" s="8" t="s">
        <v>30</v>
      </c>
      <c r="E11" s="9" t="n">
        <v>405</v>
      </c>
      <c r="F11" s="9" t="n">
        <v>405</v>
      </c>
      <c r="G11" s="10"/>
    </row>
    <row r="12" customFormat="false" ht="15" hidden="false" customHeight="false" outlineLevel="0" collapsed="false">
      <c r="A12" s="7" t="s">
        <v>45</v>
      </c>
      <c r="B12" s="8" t="s">
        <v>46</v>
      </c>
      <c r="C12" s="9" t="s">
        <v>29</v>
      </c>
      <c r="D12" s="8" t="s">
        <v>30</v>
      </c>
      <c r="E12" s="9" t="n">
        <v>405</v>
      </c>
      <c r="F12" s="9" t="n">
        <v>405</v>
      </c>
      <c r="G12" s="10"/>
    </row>
    <row r="13" customFormat="false" ht="15" hidden="false" customHeight="false" outlineLevel="0" collapsed="false">
      <c r="A13" s="7" t="s">
        <v>47</v>
      </c>
      <c r="B13" s="8" t="s">
        <v>48</v>
      </c>
      <c r="C13" s="9" t="s">
        <v>49</v>
      </c>
      <c r="D13" s="8" t="s">
        <v>50</v>
      </c>
      <c r="E13" s="9" t="n">
        <v>401</v>
      </c>
      <c r="F13" s="9" t="n">
        <v>401</v>
      </c>
      <c r="G13" s="10"/>
    </row>
    <row r="14" customFormat="false" ht="15" hidden="false" customHeight="false" outlineLevel="0" collapsed="false">
      <c r="A14" s="7" t="s">
        <v>51</v>
      </c>
      <c r="B14" s="8" t="s">
        <v>52</v>
      </c>
      <c r="C14" s="9" t="s">
        <v>53</v>
      </c>
      <c r="D14" s="8" t="s">
        <v>54</v>
      </c>
      <c r="E14" s="9" t="n">
        <v>380</v>
      </c>
      <c r="F14" s="9" t="n">
        <v>380</v>
      </c>
      <c r="G14" s="10"/>
    </row>
    <row r="15" customFormat="false" ht="15" hidden="false" customHeight="false" outlineLevel="0" collapsed="false">
      <c r="A15" s="7" t="s">
        <v>55</v>
      </c>
      <c r="B15" s="8" t="s">
        <v>56</v>
      </c>
      <c r="C15" s="9" t="s">
        <v>33</v>
      </c>
      <c r="D15" s="8" t="s">
        <v>34</v>
      </c>
      <c r="E15" s="9" t="n">
        <v>385</v>
      </c>
      <c r="F15" s="9" t="n">
        <v>354</v>
      </c>
      <c r="G15" s="10"/>
    </row>
    <row r="16" customFormat="false" ht="15" hidden="false" customHeight="false" outlineLevel="0" collapsed="false">
      <c r="A16" s="7" t="s">
        <v>57</v>
      </c>
      <c r="B16" s="8" t="s">
        <v>58</v>
      </c>
      <c r="C16" s="9" t="s">
        <v>29</v>
      </c>
      <c r="D16" s="8" t="s">
        <v>30</v>
      </c>
      <c r="E16" s="9" t="n">
        <v>345</v>
      </c>
      <c r="F16" s="9" t="n">
        <v>345</v>
      </c>
      <c r="G16" s="10"/>
    </row>
    <row r="17" customFormat="false" ht="15" hidden="false" customHeight="false" outlineLevel="0" collapsed="false">
      <c r="A17" s="7" t="s">
        <v>59</v>
      </c>
      <c r="B17" s="8" t="s">
        <v>60</v>
      </c>
      <c r="C17" s="9" t="s">
        <v>29</v>
      </c>
      <c r="D17" s="8" t="s">
        <v>30</v>
      </c>
      <c r="E17" s="9" t="n">
        <v>335</v>
      </c>
      <c r="F17" s="9" t="n">
        <v>335</v>
      </c>
      <c r="G17" s="10"/>
    </row>
    <row r="18" customFormat="false" ht="15" hidden="false" customHeight="false" outlineLevel="0" collapsed="false">
      <c r="A18" s="7" t="s">
        <v>61</v>
      </c>
      <c r="B18" s="8" t="s">
        <v>62</v>
      </c>
      <c r="C18" s="9" t="s">
        <v>63</v>
      </c>
      <c r="D18" s="8" t="s">
        <v>64</v>
      </c>
      <c r="E18" s="9" t="n">
        <v>333</v>
      </c>
      <c r="F18" s="9" t="n">
        <v>321</v>
      </c>
      <c r="G18" s="10"/>
    </row>
    <row r="19" customFormat="false" ht="15" hidden="false" customHeight="false" outlineLevel="0" collapsed="false">
      <c r="A19" s="7" t="s">
        <v>65</v>
      </c>
      <c r="B19" s="8" t="s">
        <v>66</v>
      </c>
      <c r="C19" s="9" t="s">
        <v>49</v>
      </c>
      <c r="D19" s="8" t="s">
        <v>50</v>
      </c>
      <c r="E19" s="9" t="n">
        <v>311</v>
      </c>
      <c r="F19" s="9" t="n">
        <v>311</v>
      </c>
      <c r="G19" s="10"/>
    </row>
    <row r="20" customFormat="false" ht="15" hidden="false" customHeight="false" outlineLevel="0" collapsed="false">
      <c r="A20" s="7" t="s">
        <v>67</v>
      </c>
      <c r="B20" s="8" t="s">
        <v>68</v>
      </c>
      <c r="C20" s="9" t="s">
        <v>69</v>
      </c>
      <c r="D20" s="8" t="s">
        <v>70</v>
      </c>
      <c r="E20" s="9" t="n">
        <v>287</v>
      </c>
      <c r="F20" s="9" t="n">
        <v>282</v>
      </c>
      <c r="G20" s="10"/>
    </row>
    <row r="21" customFormat="false" ht="15" hidden="false" customHeight="false" outlineLevel="0" collapsed="false">
      <c r="A21" s="7" t="s">
        <v>71</v>
      </c>
      <c r="B21" s="8" t="s">
        <v>72</v>
      </c>
      <c r="C21" s="9" t="s">
        <v>23</v>
      </c>
      <c r="D21" s="8" t="s">
        <v>24</v>
      </c>
      <c r="E21" s="9" t="n">
        <v>281</v>
      </c>
      <c r="F21" s="9" t="n">
        <v>281</v>
      </c>
      <c r="G21" s="10"/>
    </row>
    <row r="22" customFormat="false" ht="15" hidden="false" customHeight="false" outlineLevel="0" collapsed="false">
      <c r="A22" s="7" t="s">
        <v>73</v>
      </c>
      <c r="B22" s="8" t="s">
        <v>74</v>
      </c>
      <c r="C22" s="9" t="s">
        <v>63</v>
      </c>
      <c r="D22" s="8" t="s">
        <v>64</v>
      </c>
      <c r="E22" s="9" t="n">
        <v>304</v>
      </c>
      <c r="F22" s="9" t="n">
        <v>280</v>
      </c>
      <c r="G22" s="10"/>
    </row>
    <row r="23" customFormat="false" ht="15" hidden="false" customHeight="false" outlineLevel="0" collapsed="false">
      <c r="A23" s="7" t="s">
        <v>75</v>
      </c>
      <c r="B23" s="8" t="s">
        <v>76</v>
      </c>
      <c r="C23" s="9" t="s">
        <v>23</v>
      </c>
      <c r="D23" s="8" t="s">
        <v>24</v>
      </c>
      <c r="E23" s="9" t="n">
        <v>277</v>
      </c>
      <c r="F23" s="9" t="n">
        <v>277</v>
      </c>
      <c r="G23" s="10"/>
    </row>
    <row r="24" customFormat="false" ht="15" hidden="false" customHeight="false" outlineLevel="0" collapsed="false">
      <c r="A24" s="7" t="s">
        <v>77</v>
      </c>
      <c r="B24" s="8" t="s">
        <v>78</v>
      </c>
      <c r="C24" s="9" t="s">
        <v>23</v>
      </c>
      <c r="D24" s="8" t="s">
        <v>24</v>
      </c>
      <c r="E24" s="9" t="n">
        <v>317</v>
      </c>
      <c r="F24" s="9" t="n">
        <v>263</v>
      </c>
      <c r="G24" s="10"/>
    </row>
    <row r="25" customFormat="false" ht="15" hidden="false" customHeight="false" outlineLevel="0" collapsed="false">
      <c r="A25" s="7" t="s">
        <v>79</v>
      </c>
      <c r="B25" s="8" t="s">
        <v>80</v>
      </c>
      <c r="C25" s="9" t="s">
        <v>29</v>
      </c>
      <c r="D25" s="8" t="s">
        <v>30</v>
      </c>
      <c r="E25" s="9" t="n">
        <v>252</v>
      </c>
      <c r="F25" s="9" t="n">
        <v>251</v>
      </c>
      <c r="G25" s="10"/>
    </row>
    <row r="26" customFormat="false" ht="15" hidden="false" customHeight="false" outlineLevel="0" collapsed="false">
      <c r="A26" s="7" t="s">
        <v>81</v>
      </c>
      <c r="B26" s="8" t="s">
        <v>82</v>
      </c>
      <c r="C26" s="9" t="s">
        <v>29</v>
      </c>
      <c r="D26" s="8" t="s">
        <v>30</v>
      </c>
      <c r="E26" s="9" t="n">
        <v>252</v>
      </c>
      <c r="F26" s="9" t="n">
        <v>251</v>
      </c>
      <c r="G26" s="10"/>
    </row>
    <row r="27" customFormat="false" ht="15" hidden="false" customHeight="false" outlineLevel="0" collapsed="false">
      <c r="A27" s="7" t="s">
        <v>83</v>
      </c>
      <c r="B27" s="8" t="s">
        <v>84</v>
      </c>
      <c r="C27" s="9" t="s">
        <v>29</v>
      </c>
      <c r="D27" s="8" t="s">
        <v>30</v>
      </c>
      <c r="E27" s="9" t="n">
        <v>252</v>
      </c>
      <c r="F27" s="9" t="n">
        <v>251</v>
      </c>
      <c r="G27" s="10"/>
    </row>
    <row r="28" customFormat="false" ht="15" hidden="false" customHeight="false" outlineLevel="0" collapsed="false">
      <c r="A28" s="7" t="s">
        <v>85</v>
      </c>
      <c r="B28" s="8" t="s">
        <v>86</v>
      </c>
      <c r="C28" s="9" t="s">
        <v>23</v>
      </c>
      <c r="D28" s="8" t="s">
        <v>24</v>
      </c>
      <c r="E28" s="9" t="n">
        <v>272</v>
      </c>
      <c r="F28" s="9" t="n">
        <v>236</v>
      </c>
      <c r="G28" s="10"/>
    </row>
    <row r="29" customFormat="false" ht="15" hidden="false" customHeight="false" outlineLevel="0" collapsed="false">
      <c r="A29" s="7" t="s">
        <v>87</v>
      </c>
      <c r="B29" s="8" t="s">
        <v>88</v>
      </c>
      <c r="C29" s="9" t="s">
        <v>89</v>
      </c>
      <c r="D29" s="8" t="s">
        <v>90</v>
      </c>
      <c r="E29" s="9" t="n">
        <v>236</v>
      </c>
      <c r="F29" s="9" t="n">
        <v>236</v>
      </c>
      <c r="G29" s="10"/>
    </row>
    <row r="30" customFormat="false" ht="15" hidden="false" customHeight="false" outlineLevel="0" collapsed="false">
      <c r="A30" s="7" t="s">
        <v>91</v>
      </c>
      <c r="B30" s="8" t="s">
        <v>92</v>
      </c>
      <c r="C30" s="9" t="s">
        <v>93</v>
      </c>
      <c r="D30" s="8" t="s">
        <v>94</v>
      </c>
      <c r="E30" s="9" t="n">
        <v>230</v>
      </c>
      <c r="F30" s="9" t="n">
        <v>230</v>
      </c>
      <c r="G30" s="10"/>
    </row>
    <row r="31" customFormat="false" ht="15" hidden="false" customHeight="false" outlineLevel="0" collapsed="false">
      <c r="A31" s="7" t="s">
        <v>95</v>
      </c>
      <c r="B31" s="8" t="s">
        <v>96</v>
      </c>
      <c r="C31" s="9" t="s">
        <v>23</v>
      </c>
      <c r="D31" s="8" t="s">
        <v>24</v>
      </c>
      <c r="E31" s="9" t="n">
        <v>229</v>
      </c>
      <c r="F31" s="9" t="n">
        <v>229</v>
      </c>
      <c r="G31" s="10"/>
    </row>
    <row r="32" customFormat="false" ht="15" hidden="false" customHeight="false" outlineLevel="0" collapsed="false">
      <c r="A32" s="7" t="s">
        <v>97</v>
      </c>
      <c r="B32" s="8" t="s">
        <v>98</v>
      </c>
      <c r="C32" s="9" t="s">
        <v>89</v>
      </c>
      <c r="D32" s="8" t="s">
        <v>90</v>
      </c>
      <c r="E32" s="9" t="n">
        <v>220</v>
      </c>
      <c r="F32" s="9" t="n">
        <v>219</v>
      </c>
      <c r="G32" s="10"/>
    </row>
    <row r="33" customFormat="false" ht="15" hidden="false" customHeight="false" outlineLevel="0" collapsed="false">
      <c r="A33" s="7" t="s">
        <v>99</v>
      </c>
      <c r="B33" s="8" t="s">
        <v>100</v>
      </c>
      <c r="C33" s="9" t="s">
        <v>23</v>
      </c>
      <c r="D33" s="8" t="s">
        <v>24</v>
      </c>
      <c r="E33" s="9" t="n">
        <v>224</v>
      </c>
      <c r="F33" s="9" t="n">
        <v>213</v>
      </c>
      <c r="G33" s="10"/>
    </row>
    <row r="34" customFormat="false" ht="15" hidden="false" customHeight="false" outlineLevel="0" collapsed="false">
      <c r="A34" s="7" t="s">
        <v>101</v>
      </c>
      <c r="B34" s="8" t="s">
        <v>102</v>
      </c>
      <c r="C34" s="9" t="s">
        <v>49</v>
      </c>
      <c r="D34" s="8" t="s">
        <v>50</v>
      </c>
      <c r="E34" s="9" t="n">
        <v>212</v>
      </c>
      <c r="F34" s="9" t="n">
        <v>212</v>
      </c>
      <c r="G34" s="10"/>
    </row>
    <row r="35" customFormat="false" ht="15" hidden="false" customHeight="false" outlineLevel="0" collapsed="false">
      <c r="A35" s="7" t="s">
        <v>103</v>
      </c>
      <c r="B35" s="8" t="s">
        <v>104</v>
      </c>
      <c r="C35" s="9" t="s">
        <v>49</v>
      </c>
      <c r="D35" s="8" t="s">
        <v>50</v>
      </c>
      <c r="E35" s="9" t="n">
        <v>211</v>
      </c>
      <c r="F35" s="9" t="n">
        <v>211</v>
      </c>
      <c r="G35" s="10"/>
    </row>
    <row r="36" customFormat="false" ht="15" hidden="false" customHeight="false" outlineLevel="0" collapsed="false">
      <c r="A36" s="7" t="s">
        <v>105</v>
      </c>
      <c r="B36" s="8" t="s">
        <v>106</v>
      </c>
      <c r="C36" s="9" t="s">
        <v>93</v>
      </c>
      <c r="D36" s="8" t="s">
        <v>94</v>
      </c>
      <c r="E36" s="9" t="n">
        <v>209</v>
      </c>
      <c r="F36" s="9" t="n">
        <v>209</v>
      </c>
      <c r="G36" s="10"/>
    </row>
    <row r="37" customFormat="false" ht="15" hidden="false" customHeight="false" outlineLevel="0" collapsed="false">
      <c r="A37" s="7" t="s">
        <v>107</v>
      </c>
      <c r="B37" s="8" t="s">
        <v>108</v>
      </c>
      <c r="C37" s="9" t="s">
        <v>49</v>
      </c>
      <c r="D37" s="8" t="s">
        <v>50</v>
      </c>
      <c r="E37" s="9" t="n">
        <v>205</v>
      </c>
      <c r="F37" s="9" t="n">
        <v>205</v>
      </c>
      <c r="G37" s="10"/>
    </row>
    <row r="38" customFormat="false" ht="15" hidden="false" customHeight="false" outlineLevel="0" collapsed="false">
      <c r="A38" s="7" t="s">
        <v>109</v>
      </c>
      <c r="B38" s="8" t="s">
        <v>110</v>
      </c>
      <c r="C38" s="9" t="s">
        <v>49</v>
      </c>
      <c r="D38" s="8" t="s">
        <v>50</v>
      </c>
      <c r="E38" s="9" t="n">
        <v>202</v>
      </c>
      <c r="F38" s="9" t="n">
        <v>202</v>
      </c>
      <c r="G38" s="10"/>
    </row>
    <row r="39" customFormat="false" ht="15" hidden="false" customHeight="false" outlineLevel="0" collapsed="false">
      <c r="A39" s="7" t="s">
        <v>111</v>
      </c>
      <c r="B39" s="8" t="s">
        <v>112</v>
      </c>
      <c r="C39" s="9" t="s">
        <v>69</v>
      </c>
      <c r="D39" s="8" t="s">
        <v>70</v>
      </c>
      <c r="E39" s="9" t="n">
        <v>200</v>
      </c>
      <c r="F39" s="9" t="n">
        <v>200</v>
      </c>
      <c r="G39" s="10"/>
    </row>
    <row r="40" customFormat="false" ht="15" hidden="false" customHeight="false" outlineLevel="0" collapsed="false">
      <c r="A40" s="7" t="s">
        <v>113</v>
      </c>
      <c r="B40" s="8" t="s">
        <v>114</v>
      </c>
      <c r="C40" s="9" t="s">
        <v>69</v>
      </c>
      <c r="D40" s="8" t="s">
        <v>70</v>
      </c>
      <c r="E40" s="9" t="n">
        <v>200</v>
      </c>
      <c r="F40" s="9" t="n">
        <v>196</v>
      </c>
      <c r="G40" s="10"/>
    </row>
    <row r="41" customFormat="false" ht="15" hidden="false" customHeight="false" outlineLevel="0" collapsed="false">
      <c r="A41" s="7" t="s">
        <v>115</v>
      </c>
      <c r="B41" s="8" t="s">
        <v>116</v>
      </c>
      <c r="C41" s="9" t="s">
        <v>29</v>
      </c>
      <c r="D41" s="8" t="s">
        <v>30</v>
      </c>
      <c r="E41" s="9" t="n">
        <v>195</v>
      </c>
      <c r="F41" s="9" t="n">
        <v>195</v>
      </c>
      <c r="G41" s="10"/>
    </row>
    <row r="42" customFormat="false" ht="15" hidden="false" customHeight="false" outlineLevel="0" collapsed="false">
      <c r="A42" s="7" t="s">
        <v>117</v>
      </c>
      <c r="B42" s="8" t="s">
        <v>118</v>
      </c>
      <c r="C42" s="9" t="s">
        <v>23</v>
      </c>
      <c r="D42" s="8" t="s">
        <v>24</v>
      </c>
      <c r="E42" s="9" t="n">
        <v>237</v>
      </c>
      <c r="F42" s="9" t="n">
        <v>190</v>
      </c>
      <c r="G42" s="10"/>
    </row>
    <row r="43" customFormat="false" ht="15" hidden="false" customHeight="false" outlineLevel="0" collapsed="false">
      <c r="A43" s="7" t="s">
        <v>119</v>
      </c>
      <c r="B43" s="8" t="s">
        <v>120</v>
      </c>
      <c r="C43" s="9"/>
      <c r="D43" s="8"/>
      <c r="E43" s="9" t="n">
        <v>189</v>
      </c>
      <c r="F43" s="9" t="n">
        <v>188</v>
      </c>
      <c r="G43" s="10"/>
    </row>
    <row r="44" customFormat="false" ht="15" hidden="false" customHeight="false" outlineLevel="0" collapsed="false">
      <c r="A44" s="7" t="s">
        <v>121</v>
      </c>
      <c r="B44" s="8" t="s">
        <v>122</v>
      </c>
      <c r="C44" s="9"/>
      <c r="D44" s="8"/>
      <c r="E44" s="9" t="n">
        <v>187</v>
      </c>
      <c r="F44" s="9" t="n">
        <v>187</v>
      </c>
      <c r="G44" s="10"/>
    </row>
    <row r="45" customFormat="false" ht="15" hidden="false" customHeight="false" outlineLevel="0" collapsed="false">
      <c r="A45" s="7" t="s">
        <v>123</v>
      </c>
      <c r="B45" s="8" t="s">
        <v>124</v>
      </c>
      <c r="C45" s="9" t="s">
        <v>49</v>
      </c>
      <c r="D45" s="8" t="s">
        <v>50</v>
      </c>
      <c r="E45" s="9" t="n">
        <v>186</v>
      </c>
      <c r="F45" s="9" t="n">
        <v>186</v>
      </c>
      <c r="G45" s="10"/>
    </row>
    <row r="46" customFormat="false" ht="15" hidden="false" customHeight="false" outlineLevel="0" collapsed="false">
      <c r="A46" s="7" t="s">
        <v>125</v>
      </c>
      <c r="B46" s="8" t="s">
        <v>126</v>
      </c>
      <c r="C46" s="9"/>
      <c r="D46" s="8"/>
      <c r="E46" s="9" t="n">
        <v>184</v>
      </c>
      <c r="F46" s="9" t="n">
        <v>184</v>
      </c>
      <c r="G46" s="10"/>
    </row>
    <row r="47" customFormat="false" ht="15" hidden="false" customHeight="false" outlineLevel="0" collapsed="false">
      <c r="A47" s="7" t="s">
        <v>127</v>
      </c>
      <c r="B47" s="8" t="s">
        <v>128</v>
      </c>
      <c r="C47" s="9" t="s">
        <v>69</v>
      </c>
      <c r="D47" s="8" t="s">
        <v>70</v>
      </c>
      <c r="E47" s="9" t="n">
        <v>170</v>
      </c>
      <c r="F47" s="9" t="n">
        <v>170</v>
      </c>
      <c r="G47" s="10"/>
    </row>
    <row r="48" customFormat="false" ht="15" hidden="false" customHeight="false" outlineLevel="0" collapsed="false">
      <c r="A48" s="7" t="s">
        <v>129</v>
      </c>
      <c r="B48" s="8" t="s">
        <v>130</v>
      </c>
      <c r="C48" s="9" t="s">
        <v>29</v>
      </c>
      <c r="D48" s="8" t="s">
        <v>30</v>
      </c>
      <c r="E48" s="9" t="n">
        <v>165</v>
      </c>
      <c r="F48" s="9" t="n">
        <v>165</v>
      </c>
      <c r="G48" s="10"/>
    </row>
    <row r="49" customFormat="false" ht="15" hidden="false" customHeight="false" outlineLevel="0" collapsed="false">
      <c r="A49" s="7" t="s">
        <v>131</v>
      </c>
      <c r="B49" s="8" t="s">
        <v>132</v>
      </c>
      <c r="C49" s="9" t="s">
        <v>133</v>
      </c>
      <c r="D49" s="8" t="s">
        <v>134</v>
      </c>
      <c r="E49" s="9" t="n">
        <v>169</v>
      </c>
      <c r="F49" s="9" t="n">
        <v>161</v>
      </c>
      <c r="G49" s="10"/>
    </row>
    <row r="50" customFormat="false" ht="15" hidden="false" customHeight="false" outlineLevel="0" collapsed="false">
      <c r="A50" s="7" t="s">
        <v>135</v>
      </c>
      <c r="B50" s="8" t="s">
        <v>136</v>
      </c>
      <c r="C50" s="9"/>
      <c r="D50" s="8"/>
      <c r="E50" s="9" t="n">
        <v>161</v>
      </c>
      <c r="F50" s="9" t="n">
        <v>161</v>
      </c>
      <c r="G50" s="10"/>
    </row>
    <row r="51" customFormat="false" ht="15" hidden="false" customHeight="false" outlineLevel="0" collapsed="false">
      <c r="A51" s="7" t="s">
        <v>137</v>
      </c>
      <c r="B51" s="8" t="s">
        <v>138</v>
      </c>
      <c r="C51" s="9" t="s">
        <v>69</v>
      </c>
      <c r="D51" s="8" t="s">
        <v>70</v>
      </c>
      <c r="E51" s="9" t="n">
        <v>170</v>
      </c>
      <c r="F51" s="9" t="n">
        <v>161</v>
      </c>
      <c r="G51" s="10"/>
    </row>
    <row r="52" customFormat="false" ht="15" hidden="false" customHeight="false" outlineLevel="0" collapsed="false">
      <c r="A52" s="7" t="s">
        <v>139</v>
      </c>
      <c r="B52" s="8" t="s">
        <v>140</v>
      </c>
      <c r="C52" s="9" t="s">
        <v>141</v>
      </c>
      <c r="D52" s="8" t="s">
        <v>142</v>
      </c>
      <c r="E52" s="9" t="n">
        <v>157</v>
      </c>
      <c r="F52" s="9" t="n">
        <v>157</v>
      </c>
      <c r="G52" s="10"/>
    </row>
    <row r="53" customFormat="false" ht="15" hidden="false" customHeight="false" outlineLevel="0" collapsed="false">
      <c r="A53" s="7" t="s">
        <v>143</v>
      </c>
      <c r="B53" s="8" t="s">
        <v>144</v>
      </c>
      <c r="C53" s="9" t="s">
        <v>49</v>
      </c>
      <c r="D53" s="8" t="s">
        <v>50</v>
      </c>
      <c r="E53" s="9" t="n">
        <v>149</v>
      </c>
      <c r="F53" s="9" t="n">
        <v>149</v>
      </c>
      <c r="G53" s="10"/>
    </row>
    <row r="54" customFormat="false" ht="15" hidden="false" customHeight="false" outlineLevel="0" collapsed="false">
      <c r="A54" s="7" t="s">
        <v>145</v>
      </c>
      <c r="B54" s="8" t="s">
        <v>146</v>
      </c>
      <c r="C54" s="9" t="s">
        <v>69</v>
      </c>
      <c r="D54" s="8" t="s">
        <v>70</v>
      </c>
      <c r="E54" s="9" t="n">
        <v>147</v>
      </c>
      <c r="F54" s="9" t="n">
        <v>146</v>
      </c>
      <c r="G54" s="10"/>
    </row>
    <row r="55" customFormat="false" ht="15" hidden="false" customHeight="false" outlineLevel="0" collapsed="false">
      <c r="A55" s="7" t="s">
        <v>147</v>
      </c>
      <c r="B55" s="8" t="s">
        <v>148</v>
      </c>
      <c r="C55" s="9"/>
      <c r="D55" s="8"/>
      <c r="E55" s="9" t="n">
        <v>142</v>
      </c>
      <c r="F55" s="9" t="n">
        <v>142</v>
      </c>
      <c r="G55" s="10"/>
    </row>
    <row r="56" customFormat="false" ht="15" hidden="false" customHeight="false" outlineLevel="0" collapsed="false">
      <c r="A56" s="7" t="s">
        <v>149</v>
      </c>
      <c r="B56" s="8" t="s">
        <v>150</v>
      </c>
      <c r="C56" s="9"/>
      <c r="D56" s="8"/>
      <c r="E56" s="9" t="n">
        <v>141</v>
      </c>
      <c r="F56" s="9" t="n">
        <v>141</v>
      </c>
      <c r="G56" s="10"/>
    </row>
    <row r="57" customFormat="false" ht="15" hidden="false" customHeight="false" outlineLevel="0" collapsed="false">
      <c r="A57" s="7" t="s">
        <v>151</v>
      </c>
      <c r="B57" s="8" t="s">
        <v>152</v>
      </c>
      <c r="C57" s="9" t="s">
        <v>69</v>
      </c>
      <c r="D57" s="8" t="s">
        <v>70</v>
      </c>
      <c r="E57" s="9" t="n">
        <v>142</v>
      </c>
      <c r="F57" s="9" t="n">
        <v>140</v>
      </c>
      <c r="G57" s="10"/>
    </row>
    <row r="58" customFormat="false" ht="15" hidden="false" customHeight="false" outlineLevel="0" collapsed="false">
      <c r="A58" s="7" t="s">
        <v>153</v>
      </c>
      <c r="B58" s="8" t="s">
        <v>154</v>
      </c>
      <c r="C58" s="9" t="s">
        <v>155</v>
      </c>
      <c r="D58" s="8" t="s">
        <v>156</v>
      </c>
      <c r="E58" s="9" t="n">
        <v>137</v>
      </c>
      <c r="F58" s="9" t="n">
        <v>137</v>
      </c>
      <c r="G58" s="10"/>
    </row>
    <row r="59" customFormat="false" ht="15" hidden="false" customHeight="false" outlineLevel="0" collapsed="false">
      <c r="A59" s="7" t="s">
        <v>157</v>
      </c>
      <c r="B59" s="8" t="s">
        <v>158</v>
      </c>
      <c r="C59" s="9" t="s">
        <v>93</v>
      </c>
      <c r="D59" s="8" t="s">
        <v>94</v>
      </c>
      <c r="E59" s="9" t="n">
        <v>133</v>
      </c>
      <c r="F59" s="9" t="n">
        <v>133</v>
      </c>
      <c r="G59" s="10"/>
    </row>
    <row r="60" customFormat="false" ht="15" hidden="false" customHeight="false" outlineLevel="0" collapsed="false">
      <c r="A60" s="7" t="s">
        <v>159</v>
      </c>
      <c r="B60" s="8" t="s">
        <v>160</v>
      </c>
      <c r="C60" s="9" t="s">
        <v>161</v>
      </c>
      <c r="D60" s="8" t="s">
        <v>162</v>
      </c>
      <c r="E60" s="9" t="n">
        <v>209</v>
      </c>
      <c r="F60" s="9" t="n">
        <v>133</v>
      </c>
      <c r="G60" s="10"/>
    </row>
    <row r="61" customFormat="false" ht="15" hidden="false" customHeight="false" outlineLevel="0" collapsed="false">
      <c r="A61" s="7" t="s">
        <v>163</v>
      </c>
      <c r="B61" s="8" t="s">
        <v>164</v>
      </c>
      <c r="C61" s="9"/>
      <c r="D61" s="8"/>
      <c r="E61" s="9" t="n">
        <v>131</v>
      </c>
      <c r="F61" s="9" t="n">
        <v>131</v>
      </c>
      <c r="G61" s="10"/>
    </row>
    <row r="62" customFormat="false" ht="15" hidden="false" customHeight="false" outlineLevel="0" collapsed="false">
      <c r="A62" s="7" t="s">
        <v>165</v>
      </c>
      <c r="B62" s="8" t="s">
        <v>166</v>
      </c>
      <c r="C62" s="9" t="s">
        <v>141</v>
      </c>
      <c r="D62" s="8" t="s">
        <v>142</v>
      </c>
      <c r="E62" s="9" t="n">
        <v>125</v>
      </c>
      <c r="F62" s="9" t="n">
        <v>125</v>
      </c>
      <c r="G62" s="10"/>
    </row>
    <row r="63" customFormat="false" ht="15" hidden="false" customHeight="false" outlineLevel="0" collapsed="false">
      <c r="A63" s="7" t="s">
        <v>167</v>
      </c>
      <c r="B63" s="8" t="s">
        <v>168</v>
      </c>
      <c r="C63" s="9"/>
      <c r="D63" s="8"/>
      <c r="E63" s="9" t="n">
        <v>121</v>
      </c>
      <c r="F63" s="9" t="n">
        <v>121</v>
      </c>
      <c r="G63" s="10"/>
    </row>
    <row r="64" customFormat="false" ht="15" hidden="false" customHeight="false" outlineLevel="0" collapsed="false">
      <c r="A64" s="7" t="s">
        <v>169</v>
      </c>
      <c r="B64" s="8" t="s">
        <v>170</v>
      </c>
      <c r="C64" s="9" t="s">
        <v>171</v>
      </c>
      <c r="D64" s="8" t="s">
        <v>172</v>
      </c>
      <c r="E64" s="9" t="n">
        <v>121</v>
      </c>
      <c r="F64" s="9" t="n">
        <v>121</v>
      </c>
      <c r="G64" s="10"/>
    </row>
    <row r="65" customFormat="false" ht="15" hidden="false" customHeight="false" outlineLevel="0" collapsed="false">
      <c r="A65" s="7" t="s">
        <v>173</v>
      </c>
      <c r="B65" s="8" t="s">
        <v>174</v>
      </c>
      <c r="C65" s="9" t="s">
        <v>93</v>
      </c>
      <c r="D65" s="8" t="s">
        <v>94</v>
      </c>
      <c r="E65" s="9" t="n">
        <v>121</v>
      </c>
      <c r="F65" s="9" t="n">
        <v>120</v>
      </c>
      <c r="G65" s="10"/>
    </row>
    <row r="66" customFormat="false" ht="15" hidden="false" customHeight="false" outlineLevel="0" collapsed="false">
      <c r="A66" s="7" t="s">
        <v>175</v>
      </c>
      <c r="B66" s="8" t="s">
        <v>176</v>
      </c>
      <c r="C66" s="9"/>
      <c r="D66" s="8"/>
      <c r="E66" s="9" t="n">
        <v>119</v>
      </c>
      <c r="F66" s="9" t="n">
        <v>119</v>
      </c>
      <c r="G66" s="10"/>
    </row>
    <row r="67" customFormat="false" ht="15" hidden="false" customHeight="false" outlineLevel="0" collapsed="false">
      <c r="A67" s="7" t="s">
        <v>177</v>
      </c>
      <c r="B67" s="8" t="s">
        <v>178</v>
      </c>
      <c r="C67" s="9" t="s">
        <v>63</v>
      </c>
      <c r="D67" s="8" t="s">
        <v>64</v>
      </c>
      <c r="E67" s="9" t="n">
        <v>128</v>
      </c>
      <c r="F67" s="9" t="n">
        <v>119</v>
      </c>
      <c r="G67" s="10"/>
    </row>
    <row r="68" customFormat="false" ht="15" hidden="false" customHeight="false" outlineLevel="0" collapsed="false">
      <c r="A68" s="7" t="s">
        <v>179</v>
      </c>
      <c r="B68" s="8" t="s">
        <v>180</v>
      </c>
      <c r="C68" s="9"/>
      <c r="D68" s="8"/>
      <c r="E68" s="9" t="n">
        <v>118</v>
      </c>
      <c r="F68" s="9" t="n">
        <v>118</v>
      </c>
      <c r="G68" s="10"/>
    </row>
    <row r="69" customFormat="false" ht="15" hidden="false" customHeight="false" outlineLevel="0" collapsed="false">
      <c r="A69" s="7" t="s">
        <v>181</v>
      </c>
      <c r="B69" s="8" t="s">
        <v>182</v>
      </c>
      <c r="C69" s="9" t="s">
        <v>69</v>
      </c>
      <c r="D69" s="8" t="s">
        <v>70</v>
      </c>
      <c r="E69" s="9" t="n">
        <v>115</v>
      </c>
      <c r="F69" s="9" t="n">
        <v>115</v>
      </c>
      <c r="G69" s="10"/>
    </row>
    <row r="70" customFormat="false" ht="15" hidden="false" customHeight="false" outlineLevel="0" collapsed="false">
      <c r="A70" s="7" t="s">
        <v>183</v>
      </c>
      <c r="B70" s="8" t="s">
        <v>184</v>
      </c>
      <c r="C70" s="9" t="s">
        <v>63</v>
      </c>
      <c r="D70" s="8" t="s">
        <v>64</v>
      </c>
      <c r="E70" s="9" t="n">
        <v>114</v>
      </c>
      <c r="F70" s="9" t="n">
        <v>112</v>
      </c>
      <c r="G70" s="10"/>
    </row>
    <row r="71" customFormat="false" ht="15" hidden="false" customHeight="false" outlineLevel="0" collapsed="false">
      <c r="A71" s="7" t="s">
        <v>185</v>
      </c>
      <c r="B71" s="8" t="s">
        <v>186</v>
      </c>
      <c r="C71" s="9" t="s">
        <v>187</v>
      </c>
      <c r="D71" s="8" t="s">
        <v>188</v>
      </c>
      <c r="E71" s="9" t="n">
        <v>108</v>
      </c>
      <c r="F71" s="9" t="n">
        <v>108</v>
      </c>
      <c r="G71" s="10"/>
    </row>
    <row r="72" customFormat="false" ht="15" hidden="false" customHeight="false" outlineLevel="0" collapsed="false">
      <c r="A72" s="7" t="s">
        <v>189</v>
      </c>
      <c r="B72" s="8" t="s">
        <v>190</v>
      </c>
      <c r="C72" s="9" t="s">
        <v>37</v>
      </c>
      <c r="D72" s="8" t="s">
        <v>38</v>
      </c>
      <c r="E72" s="9" t="n">
        <v>108</v>
      </c>
      <c r="F72" s="9" t="n">
        <v>108</v>
      </c>
      <c r="G72" s="10"/>
    </row>
    <row r="73" customFormat="false" ht="15" hidden="false" customHeight="false" outlineLevel="0" collapsed="false">
      <c r="A73" s="7" t="s">
        <v>191</v>
      </c>
      <c r="B73" s="8" t="s">
        <v>192</v>
      </c>
      <c r="C73" s="9" t="s">
        <v>37</v>
      </c>
      <c r="D73" s="8" t="s">
        <v>38</v>
      </c>
      <c r="E73" s="9" t="n">
        <v>108</v>
      </c>
      <c r="F73" s="9" t="n">
        <v>108</v>
      </c>
      <c r="G73" s="10"/>
    </row>
    <row r="74" customFormat="false" ht="15" hidden="false" customHeight="false" outlineLevel="0" collapsed="false">
      <c r="A74" s="7" t="s">
        <v>193</v>
      </c>
      <c r="B74" s="8" t="s">
        <v>194</v>
      </c>
      <c r="C74" s="9" t="s">
        <v>33</v>
      </c>
      <c r="D74" s="8" t="s">
        <v>34</v>
      </c>
      <c r="E74" s="9" t="n">
        <v>106</v>
      </c>
      <c r="F74" s="9" t="n">
        <v>106</v>
      </c>
      <c r="G74" s="10"/>
    </row>
    <row r="75" customFormat="false" ht="15" hidden="false" customHeight="false" outlineLevel="0" collapsed="false">
      <c r="A75" s="7" t="s">
        <v>195</v>
      </c>
      <c r="B75" s="8" t="s">
        <v>196</v>
      </c>
      <c r="C75" s="9"/>
      <c r="D75" s="8"/>
      <c r="E75" s="9" t="n">
        <v>106</v>
      </c>
      <c r="F75" s="9" t="n">
        <v>106</v>
      </c>
      <c r="G75" s="10"/>
    </row>
    <row r="76" customFormat="false" ht="15" hidden="false" customHeight="false" outlineLevel="0" collapsed="false">
      <c r="A76" s="7" t="s">
        <v>197</v>
      </c>
      <c r="B76" s="8" t="s">
        <v>198</v>
      </c>
      <c r="C76" s="9" t="s">
        <v>199</v>
      </c>
      <c r="D76" s="8" t="s">
        <v>200</v>
      </c>
      <c r="E76" s="9" t="n">
        <v>104</v>
      </c>
      <c r="F76" s="9" t="n">
        <v>104</v>
      </c>
      <c r="G76" s="10"/>
    </row>
    <row r="77" customFormat="false" ht="15" hidden="false" customHeight="false" outlineLevel="0" collapsed="false">
      <c r="A77" s="7" t="s">
        <v>201</v>
      </c>
      <c r="B77" s="8" t="s">
        <v>202</v>
      </c>
      <c r="C77" s="9" t="s">
        <v>63</v>
      </c>
      <c r="D77" s="8" t="s">
        <v>64</v>
      </c>
      <c r="E77" s="9" t="n">
        <v>100</v>
      </c>
      <c r="F77" s="9" t="n">
        <v>99</v>
      </c>
      <c r="G77" s="10"/>
    </row>
    <row r="78" customFormat="false" ht="15" hidden="false" customHeight="false" outlineLevel="0" collapsed="false">
      <c r="A78" s="7" t="s">
        <v>203</v>
      </c>
      <c r="B78" s="8" t="s">
        <v>204</v>
      </c>
      <c r="C78" s="9" t="s">
        <v>141</v>
      </c>
      <c r="D78" s="8" t="s">
        <v>142</v>
      </c>
      <c r="E78" s="9" t="n">
        <v>94</v>
      </c>
      <c r="F78" s="9" t="n">
        <v>94</v>
      </c>
      <c r="G78" s="10"/>
    </row>
    <row r="79" customFormat="false" ht="15" hidden="false" customHeight="false" outlineLevel="0" collapsed="false">
      <c r="A79" s="7" t="s">
        <v>205</v>
      </c>
      <c r="B79" s="8" t="s">
        <v>206</v>
      </c>
      <c r="C79" s="9" t="s">
        <v>63</v>
      </c>
      <c r="D79" s="8" t="s">
        <v>64</v>
      </c>
      <c r="E79" s="9" t="n">
        <v>95</v>
      </c>
      <c r="F79" s="9" t="n">
        <v>94</v>
      </c>
      <c r="G79" s="10"/>
    </row>
    <row r="80" customFormat="false" ht="15" hidden="false" customHeight="false" outlineLevel="0" collapsed="false">
      <c r="A80" s="7" t="s">
        <v>207</v>
      </c>
      <c r="B80" s="8" t="s">
        <v>208</v>
      </c>
      <c r="C80" s="9"/>
      <c r="D80" s="8"/>
      <c r="E80" s="9" t="n">
        <v>94</v>
      </c>
      <c r="F80" s="9" t="n">
        <v>94</v>
      </c>
      <c r="G80" s="10"/>
    </row>
    <row r="81" customFormat="false" ht="15" hidden="false" customHeight="false" outlineLevel="0" collapsed="false">
      <c r="A81" s="7" t="s">
        <v>209</v>
      </c>
      <c r="B81" s="8" t="s">
        <v>210</v>
      </c>
      <c r="C81" s="9" t="s">
        <v>211</v>
      </c>
      <c r="D81" s="8" t="s">
        <v>212</v>
      </c>
      <c r="E81" s="9" t="n">
        <v>100</v>
      </c>
      <c r="F81" s="9" t="n">
        <v>92</v>
      </c>
      <c r="G81" s="10"/>
    </row>
    <row r="82" customFormat="false" ht="15" hidden="false" customHeight="false" outlineLevel="0" collapsed="false">
      <c r="A82" s="7" t="s">
        <v>213</v>
      </c>
      <c r="B82" s="8" t="s">
        <v>214</v>
      </c>
      <c r="C82" s="9" t="s">
        <v>171</v>
      </c>
      <c r="D82" s="8" t="s">
        <v>172</v>
      </c>
      <c r="E82" s="9" t="n">
        <v>92</v>
      </c>
      <c r="F82" s="9" t="n">
        <v>92</v>
      </c>
      <c r="G82" s="10"/>
    </row>
    <row r="83" customFormat="false" ht="15" hidden="false" customHeight="false" outlineLevel="0" collapsed="false">
      <c r="A83" s="7" t="s">
        <v>215</v>
      </c>
      <c r="B83" s="8" t="s">
        <v>216</v>
      </c>
      <c r="C83" s="9" t="s">
        <v>63</v>
      </c>
      <c r="D83" s="8" t="s">
        <v>64</v>
      </c>
      <c r="E83" s="9" t="n">
        <v>91</v>
      </c>
      <c r="F83" s="9" t="n">
        <v>91</v>
      </c>
      <c r="G83" s="10"/>
    </row>
    <row r="84" customFormat="false" ht="15" hidden="false" customHeight="false" outlineLevel="0" collapsed="false">
      <c r="A84" s="7" t="s">
        <v>217</v>
      </c>
      <c r="B84" s="8" t="s">
        <v>218</v>
      </c>
      <c r="C84" s="9" t="s">
        <v>19</v>
      </c>
      <c r="D84" s="8" t="s">
        <v>20</v>
      </c>
      <c r="E84" s="9" t="n">
        <v>100</v>
      </c>
      <c r="F84" s="9" t="n">
        <v>89</v>
      </c>
      <c r="G84" s="10"/>
    </row>
    <row r="85" customFormat="false" ht="15" hidden="false" customHeight="false" outlineLevel="0" collapsed="false">
      <c r="A85" s="7" t="s">
        <v>219</v>
      </c>
      <c r="B85" s="8" t="s">
        <v>220</v>
      </c>
      <c r="C85" s="9" t="s">
        <v>199</v>
      </c>
      <c r="D85" s="8" t="s">
        <v>200</v>
      </c>
      <c r="E85" s="9" t="n">
        <v>94</v>
      </c>
      <c r="F85" s="9" t="n">
        <v>89</v>
      </c>
      <c r="G85" s="10"/>
    </row>
    <row r="86" customFormat="false" ht="15" hidden="false" customHeight="false" outlineLevel="0" collapsed="false">
      <c r="A86" s="7" t="s">
        <v>221</v>
      </c>
      <c r="B86" s="8" t="s">
        <v>222</v>
      </c>
      <c r="C86" s="9" t="s">
        <v>89</v>
      </c>
      <c r="D86" s="8" t="s">
        <v>90</v>
      </c>
      <c r="E86" s="9" t="n">
        <v>89</v>
      </c>
      <c r="F86" s="9" t="n">
        <v>89</v>
      </c>
      <c r="G86" s="10"/>
    </row>
    <row r="87" customFormat="false" ht="15" hidden="false" customHeight="false" outlineLevel="0" collapsed="false">
      <c r="A87" s="7" t="s">
        <v>223</v>
      </c>
      <c r="B87" s="8" t="s">
        <v>224</v>
      </c>
      <c r="C87" s="9"/>
      <c r="D87" s="8"/>
      <c r="E87" s="9" t="n">
        <v>88</v>
      </c>
      <c r="F87" s="9" t="n">
        <v>88</v>
      </c>
      <c r="G87" s="10"/>
    </row>
    <row r="88" customFormat="false" ht="15" hidden="false" customHeight="false" outlineLevel="0" collapsed="false">
      <c r="A88" s="7" t="s">
        <v>225</v>
      </c>
      <c r="B88" s="8" t="s">
        <v>226</v>
      </c>
      <c r="C88" s="9"/>
      <c r="D88" s="8"/>
      <c r="E88" s="9" t="n">
        <v>88</v>
      </c>
      <c r="F88" s="9" t="n">
        <v>88</v>
      </c>
      <c r="G88" s="10"/>
    </row>
    <row r="89" customFormat="false" ht="15" hidden="false" customHeight="false" outlineLevel="0" collapsed="false">
      <c r="A89" s="7" t="s">
        <v>227</v>
      </c>
      <c r="B89" s="8" t="s">
        <v>228</v>
      </c>
      <c r="C89" s="9" t="s">
        <v>133</v>
      </c>
      <c r="D89" s="8" t="s">
        <v>134</v>
      </c>
      <c r="E89" s="9" t="n">
        <v>86</v>
      </c>
      <c r="F89" s="9" t="n">
        <v>85</v>
      </c>
      <c r="G89" s="10"/>
    </row>
    <row r="90" customFormat="false" ht="15" hidden="false" customHeight="false" outlineLevel="0" collapsed="false">
      <c r="A90" s="7" t="s">
        <v>229</v>
      </c>
      <c r="B90" s="8" t="s">
        <v>230</v>
      </c>
      <c r="C90" s="9" t="s">
        <v>69</v>
      </c>
      <c r="D90" s="8" t="s">
        <v>70</v>
      </c>
      <c r="E90" s="9" t="n">
        <v>85</v>
      </c>
      <c r="F90" s="9" t="n">
        <v>85</v>
      </c>
      <c r="G90" s="10"/>
    </row>
    <row r="91" customFormat="false" ht="15" hidden="false" customHeight="false" outlineLevel="0" collapsed="false">
      <c r="A91" s="7" t="s">
        <v>231</v>
      </c>
      <c r="B91" s="8" t="s">
        <v>232</v>
      </c>
      <c r="C91" s="9"/>
      <c r="D91" s="8"/>
      <c r="E91" s="9" t="n">
        <v>84</v>
      </c>
      <c r="F91" s="9" t="n">
        <v>84</v>
      </c>
      <c r="G91" s="10"/>
    </row>
    <row r="92" customFormat="false" ht="15" hidden="false" customHeight="false" outlineLevel="0" collapsed="false">
      <c r="A92" s="7" t="s">
        <v>233</v>
      </c>
      <c r="B92" s="8" t="s">
        <v>234</v>
      </c>
      <c r="C92" s="9" t="s">
        <v>235</v>
      </c>
      <c r="D92" s="8" t="s">
        <v>236</v>
      </c>
      <c r="E92" s="9" t="n">
        <v>82.5</v>
      </c>
      <c r="F92" s="9" t="n">
        <v>82.5</v>
      </c>
      <c r="G92" s="10"/>
    </row>
    <row r="93" customFormat="false" ht="15" hidden="false" customHeight="false" outlineLevel="0" collapsed="false">
      <c r="A93" s="7" t="s">
        <v>237</v>
      </c>
      <c r="B93" s="8" t="s">
        <v>238</v>
      </c>
      <c r="C93" s="9" t="s">
        <v>93</v>
      </c>
      <c r="D93" s="8" t="s">
        <v>94</v>
      </c>
      <c r="E93" s="9" t="n">
        <v>82</v>
      </c>
      <c r="F93" s="9" t="n">
        <v>82</v>
      </c>
      <c r="G93" s="10"/>
    </row>
    <row r="94" customFormat="false" ht="15" hidden="false" customHeight="false" outlineLevel="0" collapsed="false">
      <c r="A94" s="7" t="s">
        <v>239</v>
      </c>
      <c r="B94" s="8" t="s">
        <v>240</v>
      </c>
      <c r="C94" s="9" t="s">
        <v>69</v>
      </c>
      <c r="D94" s="8" t="s">
        <v>70</v>
      </c>
      <c r="E94" s="9" t="n">
        <v>87</v>
      </c>
      <c r="F94" s="9" t="n">
        <v>81</v>
      </c>
      <c r="G94" s="10"/>
    </row>
    <row r="95" customFormat="false" ht="15" hidden="false" customHeight="false" outlineLevel="0" collapsed="false">
      <c r="A95" s="7" t="s">
        <v>241</v>
      </c>
      <c r="B95" s="8" t="s">
        <v>242</v>
      </c>
      <c r="C95" s="9" t="s">
        <v>63</v>
      </c>
      <c r="D95" s="8" t="s">
        <v>64</v>
      </c>
      <c r="E95" s="9" t="n">
        <v>91</v>
      </c>
      <c r="F95" s="9" t="n">
        <v>80</v>
      </c>
      <c r="G95" s="10"/>
    </row>
    <row r="96" customFormat="false" ht="15" hidden="false" customHeight="false" outlineLevel="0" collapsed="false">
      <c r="A96" s="7" t="s">
        <v>243</v>
      </c>
      <c r="B96" s="8" t="s">
        <v>244</v>
      </c>
      <c r="C96" s="9"/>
      <c r="D96" s="8"/>
      <c r="E96" s="9" t="n">
        <v>80</v>
      </c>
      <c r="F96" s="9" t="n">
        <v>80</v>
      </c>
      <c r="G96" s="10"/>
    </row>
    <row r="97" customFormat="false" ht="15" hidden="false" customHeight="false" outlineLevel="0" collapsed="false">
      <c r="A97" s="7" t="s">
        <v>245</v>
      </c>
      <c r="B97" s="8" t="s">
        <v>246</v>
      </c>
      <c r="C97" s="9" t="s">
        <v>171</v>
      </c>
      <c r="D97" s="8" t="s">
        <v>172</v>
      </c>
      <c r="E97" s="9" t="n">
        <v>97</v>
      </c>
      <c r="F97" s="9" t="n">
        <v>80</v>
      </c>
      <c r="G97" s="10"/>
    </row>
    <row r="98" customFormat="false" ht="15" hidden="false" customHeight="false" outlineLevel="0" collapsed="false">
      <c r="A98" s="7" t="s">
        <v>247</v>
      </c>
      <c r="B98" s="8" t="s">
        <v>248</v>
      </c>
      <c r="C98" s="9" t="s">
        <v>69</v>
      </c>
      <c r="D98" s="8" t="s">
        <v>70</v>
      </c>
      <c r="E98" s="9" t="n">
        <v>80</v>
      </c>
      <c r="F98" s="9" t="n">
        <v>80</v>
      </c>
      <c r="G98" s="10"/>
    </row>
    <row r="99" customFormat="false" ht="15" hidden="false" customHeight="false" outlineLevel="0" collapsed="false">
      <c r="A99" s="7" t="s">
        <v>249</v>
      </c>
      <c r="B99" s="8" t="s">
        <v>250</v>
      </c>
      <c r="C99" s="9" t="s">
        <v>19</v>
      </c>
      <c r="D99" s="8" t="s">
        <v>20</v>
      </c>
      <c r="E99" s="9" t="n">
        <v>79</v>
      </c>
      <c r="F99" s="9" t="n">
        <v>79</v>
      </c>
      <c r="G99" s="10"/>
    </row>
    <row r="100" customFormat="false" ht="15" hidden="false" customHeight="false" outlineLevel="0" collapsed="false">
      <c r="A100" s="7" t="s">
        <v>251</v>
      </c>
      <c r="B100" s="8" t="s">
        <v>252</v>
      </c>
      <c r="C100" s="9" t="s">
        <v>199</v>
      </c>
      <c r="D100" s="8" t="s">
        <v>200</v>
      </c>
      <c r="E100" s="9" t="n">
        <v>80</v>
      </c>
      <c r="F100" s="9" t="n">
        <v>79</v>
      </c>
      <c r="G100" s="10"/>
    </row>
    <row r="101" customFormat="false" ht="15" hidden="false" customHeight="false" outlineLevel="0" collapsed="false">
      <c r="A101" s="7" t="s">
        <v>253</v>
      </c>
      <c r="B101" s="8" t="s">
        <v>254</v>
      </c>
      <c r="C101" s="9"/>
      <c r="D101" s="8"/>
      <c r="E101" s="9" t="n">
        <v>79</v>
      </c>
      <c r="F101" s="9" t="n">
        <v>79</v>
      </c>
      <c r="G101" s="10"/>
    </row>
    <row r="102" customFormat="false" ht="15" hidden="false" customHeight="false" outlineLevel="0" collapsed="false">
      <c r="A102" s="7" t="s">
        <v>255</v>
      </c>
      <c r="B102" s="8" t="s">
        <v>256</v>
      </c>
      <c r="C102" s="9"/>
      <c r="D102" s="8"/>
      <c r="E102" s="9" t="n">
        <v>79</v>
      </c>
      <c r="F102" s="9" t="n">
        <v>79</v>
      </c>
      <c r="G102" s="10"/>
    </row>
    <row r="103" customFormat="false" ht="15" hidden="false" customHeight="false" outlineLevel="0" collapsed="false">
      <c r="A103" s="7" t="s">
        <v>257</v>
      </c>
      <c r="B103" s="8" t="s">
        <v>258</v>
      </c>
      <c r="C103" s="9" t="s">
        <v>69</v>
      </c>
      <c r="D103" s="8" t="s">
        <v>70</v>
      </c>
      <c r="E103" s="9" t="n">
        <v>87</v>
      </c>
      <c r="F103" s="9" t="n">
        <v>78</v>
      </c>
      <c r="G103" s="10"/>
    </row>
    <row r="104" customFormat="false" ht="15" hidden="false" customHeight="false" outlineLevel="0" collapsed="false">
      <c r="A104" s="7" t="s">
        <v>259</v>
      </c>
      <c r="B104" s="8" t="s">
        <v>260</v>
      </c>
      <c r="C104" s="9" t="s">
        <v>141</v>
      </c>
      <c r="D104" s="8" t="s">
        <v>142</v>
      </c>
      <c r="E104" s="9" t="n">
        <v>77</v>
      </c>
      <c r="F104" s="9" t="n">
        <v>77</v>
      </c>
      <c r="G104" s="10"/>
    </row>
    <row r="105" customFormat="false" ht="15" hidden="false" customHeight="false" outlineLevel="0" collapsed="false">
      <c r="A105" s="7" t="s">
        <v>261</v>
      </c>
      <c r="B105" s="8" t="s">
        <v>262</v>
      </c>
      <c r="C105" s="9" t="s">
        <v>199</v>
      </c>
      <c r="D105" s="8" t="s">
        <v>200</v>
      </c>
      <c r="E105" s="9" t="n">
        <v>79</v>
      </c>
      <c r="F105" s="9" t="n">
        <v>77</v>
      </c>
      <c r="G105" s="10"/>
    </row>
    <row r="106" customFormat="false" ht="15" hidden="false" customHeight="false" outlineLevel="0" collapsed="false">
      <c r="A106" s="7" t="s">
        <v>263</v>
      </c>
      <c r="B106" s="8" t="s">
        <v>264</v>
      </c>
      <c r="C106" s="9"/>
      <c r="D106" s="8"/>
      <c r="E106" s="9" t="n">
        <v>76</v>
      </c>
      <c r="F106" s="9" t="n">
        <v>76</v>
      </c>
      <c r="G106" s="10"/>
    </row>
    <row r="107" customFormat="false" ht="15" hidden="false" customHeight="false" outlineLevel="0" collapsed="false">
      <c r="A107" s="7" t="s">
        <v>265</v>
      </c>
      <c r="B107" s="8" t="s">
        <v>266</v>
      </c>
      <c r="C107" s="9" t="s">
        <v>49</v>
      </c>
      <c r="D107" s="8" t="s">
        <v>50</v>
      </c>
      <c r="E107" s="9" t="n">
        <v>76</v>
      </c>
      <c r="F107" s="9" t="n">
        <v>76</v>
      </c>
      <c r="G107" s="10"/>
    </row>
    <row r="108" customFormat="false" ht="15" hidden="false" customHeight="false" outlineLevel="0" collapsed="false">
      <c r="A108" s="7" t="s">
        <v>267</v>
      </c>
      <c r="B108" s="8" t="s">
        <v>268</v>
      </c>
      <c r="C108" s="9" t="s">
        <v>69</v>
      </c>
      <c r="D108" s="8" t="s">
        <v>70</v>
      </c>
      <c r="E108" s="9" t="n">
        <v>79</v>
      </c>
      <c r="F108" s="9" t="n">
        <v>76</v>
      </c>
      <c r="G108" s="10"/>
    </row>
    <row r="109" customFormat="false" ht="15" hidden="false" customHeight="false" outlineLevel="0" collapsed="false">
      <c r="A109" s="7" t="s">
        <v>269</v>
      </c>
      <c r="B109" s="8" t="s">
        <v>270</v>
      </c>
      <c r="C109" s="9" t="s">
        <v>133</v>
      </c>
      <c r="D109" s="8" t="s">
        <v>134</v>
      </c>
      <c r="E109" s="9" t="n">
        <v>89</v>
      </c>
      <c r="F109" s="9" t="n">
        <v>75</v>
      </c>
      <c r="G109" s="10"/>
    </row>
    <row r="110" customFormat="false" ht="15" hidden="false" customHeight="false" outlineLevel="0" collapsed="false">
      <c r="A110" s="7" t="s">
        <v>271</v>
      </c>
      <c r="B110" s="8" t="s">
        <v>272</v>
      </c>
      <c r="C110" s="9"/>
      <c r="D110" s="8"/>
      <c r="E110" s="9" t="n">
        <v>75</v>
      </c>
      <c r="F110" s="9" t="n">
        <v>75</v>
      </c>
      <c r="G110" s="10"/>
    </row>
    <row r="111" customFormat="false" ht="15" hidden="false" customHeight="false" outlineLevel="0" collapsed="false">
      <c r="A111" s="7" t="s">
        <v>273</v>
      </c>
      <c r="B111" s="8" t="s">
        <v>274</v>
      </c>
      <c r="C111" s="9" t="s">
        <v>93</v>
      </c>
      <c r="D111" s="8" t="s">
        <v>94</v>
      </c>
      <c r="E111" s="9" t="n">
        <v>74</v>
      </c>
      <c r="F111" s="9" t="n">
        <v>74</v>
      </c>
      <c r="G111" s="10"/>
    </row>
    <row r="112" customFormat="false" ht="15" hidden="false" customHeight="false" outlineLevel="0" collapsed="false">
      <c r="A112" s="7" t="s">
        <v>275</v>
      </c>
      <c r="B112" s="8" t="s">
        <v>276</v>
      </c>
      <c r="C112" s="9" t="s">
        <v>141</v>
      </c>
      <c r="D112" s="8" t="s">
        <v>142</v>
      </c>
      <c r="E112" s="9" t="n">
        <v>74</v>
      </c>
      <c r="F112" s="9" t="n">
        <v>74</v>
      </c>
      <c r="G112" s="10"/>
    </row>
    <row r="113" customFormat="false" ht="15" hidden="false" customHeight="false" outlineLevel="0" collapsed="false">
      <c r="A113" s="7" t="s">
        <v>277</v>
      </c>
      <c r="B113" s="8" t="s">
        <v>278</v>
      </c>
      <c r="C113" s="9" t="s">
        <v>141</v>
      </c>
      <c r="D113" s="8" t="s">
        <v>142</v>
      </c>
      <c r="E113" s="9" t="n">
        <v>74</v>
      </c>
      <c r="F113" s="9" t="n">
        <v>74</v>
      </c>
      <c r="G113" s="10"/>
    </row>
    <row r="114" customFormat="false" ht="15" hidden="false" customHeight="false" outlineLevel="0" collapsed="false">
      <c r="A114" s="7" t="s">
        <v>279</v>
      </c>
      <c r="B114" s="8" t="s">
        <v>280</v>
      </c>
      <c r="C114" s="9" t="s">
        <v>23</v>
      </c>
      <c r="D114" s="8" t="s">
        <v>24</v>
      </c>
      <c r="E114" s="9" t="n">
        <v>76</v>
      </c>
      <c r="F114" s="9" t="n">
        <v>73</v>
      </c>
      <c r="G114" s="10"/>
    </row>
    <row r="115" customFormat="false" ht="15" hidden="false" customHeight="false" outlineLevel="0" collapsed="false">
      <c r="A115" s="7" t="s">
        <v>281</v>
      </c>
      <c r="B115" s="8" t="s">
        <v>282</v>
      </c>
      <c r="C115" s="9" t="s">
        <v>171</v>
      </c>
      <c r="D115" s="8" t="s">
        <v>172</v>
      </c>
      <c r="E115" s="9" t="n">
        <v>72</v>
      </c>
      <c r="F115" s="9" t="n">
        <v>72</v>
      </c>
      <c r="G115" s="10"/>
    </row>
    <row r="116" customFormat="false" ht="15" hidden="false" customHeight="false" outlineLevel="0" collapsed="false">
      <c r="A116" s="7" t="s">
        <v>283</v>
      </c>
      <c r="B116" s="8" t="s">
        <v>284</v>
      </c>
      <c r="C116" s="9" t="s">
        <v>285</v>
      </c>
      <c r="D116" s="8" t="s">
        <v>286</v>
      </c>
      <c r="E116" s="9" t="n">
        <v>72</v>
      </c>
      <c r="F116" s="9" t="n">
        <v>72</v>
      </c>
      <c r="G116" s="10"/>
    </row>
    <row r="117" customFormat="false" ht="15" hidden="false" customHeight="false" outlineLevel="0" collapsed="false">
      <c r="A117" s="7" t="s">
        <v>287</v>
      </c>
      <c r="B117" s="8" t="s">
        <v>288</v>
      </c>
      <c r="C117" s="9" t="s">
        <v>141</v>
      </c>
      <c r="D117" s="8" t="s">
        <v>142</v>
      </c>
      <c r="E117" s="9" t="n">
        <v>72</v>
      </c>
      <c r="F117" s="9" t="n">
        <v>72</v>
      </c>
      <c r="G117" s="10"/>
    </row>
    <row r="118" customFormat="false" ht="15" hidden="false" customHeight="false" outlineLevel="0" collapsed="false">
      <c r="A118" s="7" t="s">
        <v>289</v>
      </c>
      <c r="B118" s="8" t="s">
        <v>290</v>
      </c>
      <c r="C118" s="9" t="s">
        <v>171</v>
      </c>
      <c r="D118" s="8" t="s">
        <v>172</v>
      </c>
      <c r="E118" s="9" t="n">
        <v>72</v>
      </c>
      <c r="F118" s="9" t="n">
        <v>72</v>
      </c>
      <c r="G118" s="10"/>
    </row>
    <row r="119" customFormat="false" ht="15" hidden="false" customHeight="false" outlineLevel="0" collapsed="false">
      <c r="A119" s="7" t="s">
        <v>291</v>
      </c>
      <c r="B119" s="8" t="s">
        <v>292</v>
      </c>
      <c r="C119" s="9" t="s">
        <v>171</v>
      </c>
      <c r="D119" s="8" t="s">
        <v>172</v>
      </c>
      <c r="E119" s="9" t="n">
        <v>74</v>
      </c>
      <c r="F119" s="9" t="n">
        <v>72</v>
      </c>
      <c r="G119" s="10"/>
    </row>
    <row r="120" customFormat="false" ht="15" hidden="false" customHeight="false" outlineLevel="0" collapsed="false">
      <c r="A120" s="7" t="s">
        <v>293</v>
      </c>
      <c r="B120" s="8" t="s">
        <v>294</v>
      </c>
      <c r="C120" s="9"/>
      <c r="D120" s="8"/>
      <c r="E120" s="9" t="n">
        <v>71</v>
      </c>
      <c r="F120" s="9" t="n">
        <v>71</v>
      </c>
      <c r="G120" s="10"/>
    </row>
    <row r="121" customFormat="false" ht="15" hidden="false" customHeight="false" outlineLevel="0" collapsed="false">
      <c r="A121" s="7" t="s">
        <v>295</v>
      </c>
      <c r="B121" s="8" t="s">
        <v>296</v>
      </c>
      <c r="C121" s="9" t="s">
        <v>49</v>
      </c>
      <c r="D121" s="8" t="s">
        <v>50</v>
      </c>
      <c r="E121" s="9" t="n">
        <v>71</v>
      </c>
      <c r="F121" s="9" t="n">
        <v>71</v>
      </c>
      <c r="G121" s="10"/>
    </row>
    <row r="122" customFormat="false" ht="15" hidden="false" customHeight="false" outlineLevel="0" collapsed="false">
      <c r="A122" s="7" t="s">
        <v>297</v>
      </c>
      <c r="B122" s="8" t="s">
        <v>298</v>
      </c>
      <c r="C122" s="9" t="s">
        <v>171</v>
      </c>
      <c r="D122" s="8" t="s">
        <v>172</v>
      </c>
      <c r="E122" s="9" t="n">
        <v>71</v>
      </c>
      <c r="F122" s="9" t="n">
        <v>71</v>
      </c>
      <c r="G122" s="10"/>
    </row>
    <row r="123" customFormat="false" ht="15" hidden="false" customHeight="false" outlineLevel="0" collapsed="false">
      <c r="A123" s="7" t="s">
        <v>299</v>
      </c>
      <c r="B123" s="8" t="s">
        <v>300</v>
      </c>
      <c r="C123" s="9" t="s">
        <v>69</v>
      </c>
      <c r="D123" s="8" t="s">
        <v>70</v>
      </c>
      <c r="E123" s="9" t="n">
        <v>71</v>
      </c>
      <c r="F123" s="9" t="n">
        <v>71</v>
      </c>
      <c r="G123" s="10"/>
    </row>
    <row r="124" customFormat="false" ht="15" hidden="false" customHeight="false" outlineLevel="0" collapsed="false">
      <c r="A124" s="7" t="s">
        <v>301</v>
      </c>
      <c r="B124" s="8" t="s">
        <v>302</v>
      </c>
      <c r="C124" s="9" t="s">
        <v>69</v>
      </c>
      <c r="D124" s="8" t="s">
        <v>70</v>
      </c>
      <c r="E124" s="9" t="n">
        <v>70</v>
      </c>
      <c r="F124" s="9" t="n">
        <v>69</v>
      </c>
      <c r="G124" s="10"/>
    </row>
    <row r="125" customFormat="false" ht="15" hidden="false" customHeight="false" outlineLevel="0" collapsed="false">
      <c r="A125" s="7" t="s">
        <v>303</v>
      </c>
      <c r="B125" s="8" t="s">
        <v>304</v>
      </c>
      <c r="C125" s="9" t="s">
        <v>89</v>
      </c>
      <c r="D125" s="8" t="s">
        <v>90</v>
      </c>
      <c r="E125" s="9" t="n">
        <v>68</v>
      </c>
      <c r="F125" s="9" t="n">
        <v>68</v>
      </c>
      <c r="G125" s="10"/>
    </row>
    <row r="126" customFormat="false" ht="15" hidden="false" customHeight="false" outlineLevel="0" collapsed="false">
      <c r="A126" s="7" t="s">
        <v>305</v>
      </c>
      <c r="B126" s="8" t="s">
        <v>306</v>
      </c>
      <c r="C126" s="9" t="s">
        <v>49</v>
      </c>
      <c r="D126" s="8" t="s">
        <v>50</v>
      </c>
      <c r="E126" s="9" t="n">
        <v>65</v>
      </c>
      <c r="F126" s="9" t="n">
        <v>65</v>
      </c>
      <c r="G126" s="10"/>
    </row>
    <row r="127" customFormat="false" ht="15" hidden="false" customHeight="false" outlineLevel="0" collapsed="false">
      <c r="A127" s="7" t="s">
        <v>307</v>
      </c>
      <c r="B127" s="8" t="s">
        <v>308</v>
      </c>
      <c r="C127" s="9" t="s">
        <v>171</v>
      </c>
      <c r="D127" s="8" t="s">
        <v>172</v>
      </c>
      <c r="E127" s="9" t="n">
        <v>65</v>
      </c>
      <c r="F127" s="9" t="n">
        <v>65</v>
      </c>
      <c r="G127" s="10"/>
    </row>
    <row r="128" customFormat="false" ht="15" hidden="false" customHeight="false" outlineLevel="0" collapsed="false">
      <c r="A128" s="7" t="s">
        <v>309</v>
      </c>
      <c r="B128" s="8" t="s">
        <v>310</v>
      </c>
      <c r="C128" s="9" t="s">
        <v>89</v>
      </c>
      <c r="D128" s="8" t="s">
        <v>90</v>
      </c>
      <c r="E128" s="9" t="n">
        <v>64</v>
      </c>
      <c r="F128" s="9" t="n">
        <v>64</v>
      </c>
      <c r="G128" s="10"/>
    </row>
    <row r="129" customFormat="false" ht="15" hidden="false" customHeight="false" outlineLevel="0" collapsed="false">
      <c r="A129" s="7" t="s">
        <v>311</v>
      </c>
      <c r="B129" s="8" t="s">
        <v>312</v>
      </c>
      <c r="C129" s="9" t="s">
        <v>69</v>
      </c>
      <c r="D129" s="8" t="s">
        <v>70</v>
      </c>
      <c r="E129" s="9" t="n">
        <v>63</v>
      </c>
      <c r="F129" s="9" t="n">
        <v>63</v>
      </c>
      <c r="G129" s="10"/>
    </row>
    <row r="130" customFormat="false" ht="15" hidden="false" customHeight="false" outlineLevel="0" collapsed="false">
      <c r="A130" s="7" t="s">
        <v>313</v>
      </c>
      <c r="B130" s="8" t="s">
        <v>314</v>
      </c>
      <c r="C130" s="9" t="s">
        <v>315</v>
      </c>
      <c r="D130" s="8" t="s">
        <v>316</v>
      </c>
      <c r="E130" s="9" t="n">
        <v>62</v>
      </c>
      <c r="F130" s="9" t="n">
        <v>62</v>
      </c>
      <c r="G130" s="10"/>
    </row>
    <row r="131" customFormat="false" ht="15" hidden="false" customHeight="false" outlineLevel="0" collapsed="false">
      <c r="A131" s="7" t="s">
        <v>317</v>
      </c>
      <c r="B131" s="8" t="s">
        <v>318</v>
      </c>
      <c r="C131" s="9" t="s">
        <v>69</v>
      </c>
      <c r="D131" s="8" t="s">
        <v>70</v>
      </c>
      <c r="E131" s="9" t="n">
        <v>61</v>
      </c>
      <c r="F131" s="9" t="n">
        <v>61</v>
      </c>
      <c r="G131" s="10"/>
    </row>
    <row r="132" customFormat="false" ht="15" hidden="false" customHeight="false" outlineLevel="0" collapsed="false">
      <c r="A132" s="7" t="s">
        <v>319</v>
      </c>
      <c r="B132" s="8" t="s">
        <v>320</v>
      </c>
      <c r="C132" s="9" t="s">
        <v>133</v>
      </c>
      <c r="D132" s="8" t="s">
        <v>134</v>
      </c>
      <c r="E132" s="9" t="n">
        <v>61</v>
      </c>
      <c r="F132" s="9" t="n">
        <v>61</v>
      </c>
      <c r="G132" s="10"/>
    </row>
    <row r="133" customFormat="false" ht="15" hidden="false" customHeight="false" outlineLevel="0" collapsed="false">
      <c r="A133" s="7" t="s">
        <v>321</v>
      </c>
      <c r="B133" s="8" t="s">
        <v>322</v>
      </c>
      <c r="C133" s="9" t="s">
        <v>69</v>
      </c>
      <c r="D133" s="8" t="s">
        <v>70</v>
      </c>
      <c r="E133" s="9" t="n">
        <v>65</v>
      </c>
      <c r="F133" s="9" t="n">
        <v>61</v>
      </c>
      <c r="G133" s="10"/>
    </row>
    <row r="134" customFormat="false" ht="15" hidden="false" customHeight="false" outlineLevel="0" collapsed="false">
      <c r="A134" s="7" t="s">
        <v>323</v>
      </c>
      <c r="B134" s="8" t="s">
        <v>324</v>
      </c>
      <c r="C134" s="9" t="s">
        <v>69</v>
      </c>
      <c r="D134" s="8" t="s">
        <v>70</v>
      </c>
      <c r="E134" s="9" t="n">
        <v>60</v>
      </c>
      <c r="F134" s="9" t="n">
        <v>60</v>
      </c>
      <c r="G134" s="10"/>
    </row>
    <row r="135" customFormat="false" ht="15" hidden="false" customHeight="false" outlineLevel="0" collapsed="false">
      <c r="A135" s="7" t="s">
        <v>325</v>
      </c>
      <c r="B135" s="8" t="s">
        <v>326</v>
      </c>
      <c r="C135" s="9" t="s">
        <v>133</v>
      </c>
      <c r="D135" s="8" t="s">
        <v>134</v>
      </c>
      <c r="E135" s="9" t="n">
        <v>60</v>
      </c>
      <c r="F135" s="9" t="n">
        <v>60</v>
      </c>
      <c r="G135" s="10"/>
    </row>
    <row r="136" customFormat="false" ht="15" hidden="false" customHeight="false" outlineLevel="0" collapsed="false">
      <c r="A136" s="7" t="s">
        <v>327</v>
      </c>
      <c r="B136" s="8" t="s">
        <v>328</v>
      </c>
      <c r="C136" s="9" t="s">
        <v>171</v>
      </c>
      <c r="D136" s="8" t="s">
        <v>172</v>
      </c>
      <c r="E136" s="9" t="n">
        <v>60</v>
      </c>
      <c r="F136" s="9" t="n">
        <v>60</v>
      </c>
      <c r="G136" s="10"/>
    </row>
    <row r="137" customFormat="false" ht="15" hidden="false" customHeight="false" outlineLevel="0" collapsed="false">
      <c r="A137" s="7" t="s">
        <v>329</v>
      </c>
      <c r="B137" s="8" t="s">
        <v>330</v>
      </c>
      <c r="C137" s="9" t="s">
        <v>171</v>
      </c>
      <c r="D137" s="8" t="s">
        <v>172</v>
      </c>
      <c r="E137" s="9" t="n">
        <v>60</v>
      </c>
      <c r="F137" s="9" t="n">
        <v>60</v>
      </c>
      <c r="G137" s="10"/>
    </row>
    <row r="138" customFormat="false" ht="15" hidden="false" customHeight="false" outlineLevel="0" collapsed="false">
      <c r="A138" s="7" t="s">
        <v>331</v>
      </c>
      <c r="B138" s="8" t="s">
        <v>332</v>
      </c>
      <c r="C138" s="9" t="s">
        <v>69</v>
      </c>
      <c r="D138" s="8" t="s">
        <v>70</v>
      </c>
      <c r="E138" s="9" t="n">
        <v>62</v>
      </c>
      <c r="F138" s="9" t="n">
        <v>59</v>
      </c>
      <c r="G138" s="10"/>
    </row>
    <row r="139" customFormat="false" ht="15" hidden="false" customHeight="false" outlineLevel="0" collapsed="false">
      <c r="A139" s="7" t="s">
        <v>333</v>
      </c>
      <c r="B139" s="8" t="s">
        <v>334</v>
      </c>
      <c r="C139" s="9" t="s">
        <v>335</v>
      </c>
      <c r="D139" s="8" t="s">
        <v>336</v>
      </c>
      <c r="E139" s="9" t="n">
        <v>59</v>
      </c>
      <c r="F139" s="9" t="n">
        <v>59</v>
      </c>
      <c r="G139" s="10"/>
    </row>
    <row r="140" customFormat="false" ht="15" hidden="false" customHeight="false" outlineLevel="0" collapsed="false">
      <c r="A140" s="7" t="s">
        <v>337</v>
      </c>
      <c r="B140" s="8" t="s">
        <v>338</v>
      </c>
      <c r="C140" s="9" t="s">
        <v>33</v>
      </c>
      <c r="D140" s="8" t="s">
        <v>34</v>
      </c>
      <c r="E140" s="9" t="n">
        <v>58</v>
      </c>
      <c r="F140" s="9" t="n">
        <v>58</v>
      </c>
      <c r="G140" s="10"/>
    </row>
    <row r="141" customFormat="false" ht="15" hidden="false" customHeight="false" outlineLevel="0" collapsed="false">
      <c r="A141" s="7" t="s">
        <v>339</v>
      </c>
      <c r="B141" s="8" t="s">
        <v>340</v>
      </c>
      <c r="C141" s="9" t="s">
        <v>211</v>
      </c>
      <c r="D141" s="8" t="s">
        <v>212</v>
      </c>
      <c r="E141" s="9" t="n">
        <v>58</v>
      </c>
      <c r="F141" s="9" t="n">
        <v>58</v>
      </c>
      <c r="G141" s="10"/>
    </row>
    <row r="142" customFormat="false" ht="15" hidden="false" customHeight="false" outlineLevel="0" collapsed="false">
      <c r="A142" s="7" t="s">
        <v>341</v>
      </c>
      <c r="B142" s="8" t="s">
        <v>342</v>
      </c>
      <c r="C142" s="9" t="s">
        <v>33</v>
      </c>
      <c r="D142" s="8" t="s">
        <v>34</v>
      </c>
      <c r="E142" s="9" t="n">
        <v>61</v>
      </c>
      <c r="F142" s="9" t="n">
        <v>57</v>
      </c>
      <c r="G142" s="10"/>
    </row>
    <row r="143" customFormat="false" ht="15" hidden="false" customHeight="false" outlineLevel="0" collapsed="false">
      <c r="A143" s="7" t="s">
        <v>343</v>
      </c>
      <c r="B143" s="8" t="s">
        <v>344</v>
      </c>
      <c r="C143" s="9" t="s">
        <v>171</v>
      </c>
      <c r="D143" s="8" t="s">
        <v>172</v>
      </c>
      <c r="E143" s="9" t="n">
        <v>57</v>
      </c>
      <c r="F143" s="9" t="n">
        <v>57</v>
      </c>
      <c r="G143" s="10"/>
    </row>
    <row r="144" customFormat="false" ht="15" hidden="false" customHeight="false" outlineLevel="0" collapsed="false">
      <c r="A144" s="7" t="s">
        <v>345</v>
      </c>
      <c r="B144" s="8" t="s">
        <v>346</v>
      </c>
      <c r="C144" s="9" t="s">
        <v>63</v>
      </c>
      <c r="D144" s="8" t="s">
        <v>64</v>
      </c>
      <c r="E144" s="9" t="n">
        <v>57</v>
      </c>
      <c r="F144" s="9" t="n">
        <v>57</v>
      </c>
      <c r="G144" s="10"/>
    </row>
    <row r="145" customFormat="false" ht="15" hidden="false" customHeight="false" outlineLevel="0" collapsed="false">
      <c r="A145" s="7" t="s">
        <v>347</v>
      </c>
      <c r="B145" s="8" t="s">
        <v>348</v>
      </c>
      <c r="C145" s="9" t="s">
        <v>171</v>
      </c>
      <c r="D145" s="8" t="s">
        <v>172</v>
      </c>
      <c r="E145" s="9" t="n">
        <v>57</v>
      </c>
      <c r="F145" s="9" t="n">
        <v>57</v>
      </c>
      <c r="G145" s="10"/>
    </row>
    <row r="146" customFormat="false" ht="15" hidden="false" customHeight="false" outlineLevel="0" collapsed="false">
      <c r="A146" s="7" t="s">
        <v>349</v>
      </c>
      <c r="B146" s="8" t="s">
        <v>350</v>
      </c>
      <c r="C146" s="9" t="s">
        <v>33</v>
      </c>
      <c r="D146" s="8" t="s">
        <v>34</v>
      </c>
      <c r="E146" s="9" t="n">
        <v>56</v>
      </c>
      <c r="F146" s="9" t="n">
        <v>56</v>
      </c>
      <c r="G146" s="10"/>
    </row>
    <row r="147" customFormat="false" ht="15" hidden="false" customHeight="false" outlineLevel="0" collapsed="false">
      <c r="A147" s="7" t="s">
        <v>351</v>
      </c>
      <c r="B147" s="8" t="s">
        <v>352</v>
      </c>
      <c r="C147" s="9" t="s">
        <v>171</v>
      </c>
      <c r="D147" s="8" t="s">
        <v>172</v>
      </c>
      <c r="E147" s="9" t="n">
        <v>57</v>
      </c>
      <c r="F147" s="9" t="n">
        <v>56</v>
      </c>
      <c r="G147" s="10"/>
    </row>
    <row r="148" customFormat="false" ht="15" hidden="false" customHeight="false" outlineLevel="0" collapsed="false">
      <c r="A148" s="7" t="s">
        <v>353</v>
      </c>
      <c r="B148" s="8" t="s">
        <v>354</v>
      </c>
      <c r="C148" s="9" t="s">
        <v>171</v>
      </c>
      <c r="D148" s="8" t="s">
        <v>172</v>
      </c>
      <c r="E148" s="9" t="n">
        <v>55</v>
      </c>
      <c r="F148" s="9" t="n">
        <v>55</v>
      </c>
      <c r="G148" s="10"/>
    </row>
    <row r="149" customFormat="false" ht="15" hidden="false" customHeight="false" outlineLevel="0" collapsed="false">
      <c r="A149" s="7" t="s">
        <v>355</v>
      </c>
      <c r="B149" s="8" t="s">
        <v>356</v>
      </c>
      <c r="C149" s="9" t="s">
        <v>63</v>
      </c>
      <c r="D149" s="8" t="s">
        <v>64</v>
      </c>
      <c r="E149" s="9" t="n">
        <v>59</v>
      </c>
      <c r="F149" s="9" t="n">
        <v>54</v>
      </c>
      <c r="G149" s="10"/>
    </row>
    <row r="150" customFormat="false" ht="15" hidden="false" customHeight="false" outlineLevel="0" collapsed="false">
      <c r="A150" s="7" t="s">
        <v>357</v>
      </c>
      <c r="B150" s="8" t="s">
        <v>358</v>
      </c>
      <c r="C150" s="9" t="s">
        <v>33</v>
      </c>
      <c r="D150" s="8" t="s">
        <v>34</v>
      </c>
      <c r="E150" s="9" t="n">
        <v>53</v>
      </c>
      <c r="F150" s="9" t="n">
        <v>53</v>
      </c>
      <c r="G150" s="10"/>
    </row>
    <row r="151" customFormat="false" ht="15" hidden="false" customHeight="false" outlineLevel="0" collapsed="false">
      <c r="A151" s="7" t="s">
        <v>359</v>
      </c>
      <c r="B151" s="8" t="s">
        <v>360</v>
      </c>
      <c r="C151" s="9" t="s">
        <v>171</v>
      </c>
      <c r="D151" s="8" t="s">
        <v>172</v>
      </c>
      <c r="E151" s="9" t="n">
        <v>53</v>
      </c>
      <c r="F151" s="9" t="n">
        <v>53</v>
      </c>
      <c r="G151" s="10"/>
    </row>
    <row r="152" customFormat="false" ht="15" hidden="false" customHeight="false" outlineLevel="0" collapsed="false">
      <c r="A152" s="7" t="s">
        <v>361</v>
      </c>
      <c r="B152" s="8" t="s">
        <v>362</v>
      </c>
      <c r="C152" s="9" t="s">
        <v>33</v>
      </c>
      <c r="D152" s="8" t="s">
        <v>34</v>
      </c>
      <c r="E152" s="9" t="n">
        <v>51</v>
      </c>
      <c r="F152" s="9" t="n">
        <v>51</v>
      </c>
      <c r="G152" s="10"/>
    </row>
    <row r="153" customFormat="false" ht="15" hidden="false" customHeight="false" outlineLevel="0" collapsed="false">
      <c r="A153" s="7" t="s">
        <v>363</v>
      </c>
      <c r="B153" s="8" t="s">
        <v>364</v>
      </c>
      <c r="C153" s="9"/>
      <c r="D153" s="8"/>
      <c r="E153" s="9" t="n">
        <v>51</v>
      </c>
      <c r="F153" s="9" t="n">
        <v>51</v>
      </c>
      <c r="G153" s="10"/>
    </row>
    <row r="154" customFormat="false" ht="15" hidden="false" customHeight="false" outlineLevel="0" collapsed="false">
      <c r="A154" s="7" t="s">
        <v>365</v>
      </c>
      <c r="B154" s="8" t="s">
        <v>366</v>
      </c>
      <c r="C154" s="9" t="s">
        <v>63</v>
      </c>
      <c r="D154" s="8" t="s">
        <v>64</v>
      </c>
      <c r="E154" s="9" t="n">
        <v>52</v>
      </c>
      <c r="F154" s="9" t="n">
        <v>51</v>
      </c>
      <c r="G154" s="10"/>
    </row>
    <row r="155" customFormat="false" ht="15" hidden="false" customHeight="false" outlineLevel="0" collapsed="false">
      <c r="A155" s="7" t="s">
        <v>367</v>
      </c>
      <c r="B155" s="8" t="s">
        <v>368</v>
      </c>
      <c r="C155" s="9" t="s">
        <v>171</v>
      </c>
      <c r="D155" s="8" t="s">
        <v>172</v>
      </c>
      <c r="E155" s="9" t="n">
        <v>51</v>
      </c>
      <c r="F155" s="9" t="n">
        <v>51</v>
      </c>
      <c r="G155" s="10"/>
    </row>
    <row r="156" customFormat="false" ht="15" hidden="false" customHeight="false" outlineLevel="0" collapsed="false">
      <c r="A156" s="7" t="s">
        <v>369</v>
      </c>
      <c r="B156" s="8" t="s">
        <v>370</v>
      </c>
      <c r="C156" s="9" t="s">
        <v>171</v>
      </c>
      <c r="D156" s="8" t="s">
        <v>172</v>
      </c>
      <c r="E156" s="9" t="n">
        <v>51</v>
      </c>
      <c r="F156" s="9" t="n">
        <v>51</v>
      </c>
      <c r="G156" s="10"/>
    </row>
    <row r="157" customFormat="false" ht="15" hidden="false" customHeight="false" outlineLevel="0" collapsed="false">
      <c r="A157" s="7" t="s">
        <v>371</v>
      </c>
      <c r="B157" s="8" t="s">
        <v>372</v>
      </c>
      <c r="C157" s="9" t="s">
        <v>93</v>
      </c>
      <c r="D157" s="8" t="s">
        <v>94</v>
      </c>
      <c r="E157" s="9" t="n">
        <v>50</v>
      </c>
      <c r="F157" s="9" t="n">
        <v>50</v>
      </c>
      <c r="G157" s="10"/>
    </row>
    <row r="158" customFormat="false" ht="15" hidden="false" customHeight="false" outlineLevel="0" collapsed="false">
      <c r="A158" s="7" t="s">
        <v>373</v>
      </c>
      <c r="B158" s="8" t="s">
        <v>374</v>
      </c>
      <c r="C158" s="9" t="s">
        <v>375</v>
      </c>
      <c r="D158" s="8" t="s">
        <v>376</v>
      </c>
      <c r="E158" s="9" t="n">
        <v>50</v>
      </c>
      <c r="F158" s="9" t="n">
        <v>50</v>
      </c>
      <c r="G158" s="10"/>
    </row>
    <row r="159" customFormat="false" ht="15" hidden="false" customHeight="false" outlineLevel="0" collapsed="false">
      <c r="A159" s="7" t="s">
        <v>377</v>
      </c>
      <c r="B159" s="8" t="s">
        <v>378</v>
      </c>
      <c r="C159" s="9" t="s">
        <v>63</v>
      </c>
      <c r="D159" s="8" t="s">
        <v>64</v>
      </c>
      <c r="E159" s="9" t="n">
        <v>53</v>
      </c>
      <c r="F159" s="9" t="n">
        <v>50</v>
      </c>
      <c r="G159" s="10"/>
    </row>
    <row r="160" customFormat="false" ht="15" hidden="false" customHeight="false" outlineLevel="0" collapsed="false">
      <c r="A160" s="7" t="s">
        <v>379</v>
      </c>
      <c r="B160" s="8" t="s">
        <v>380</v>
      </c>
      <c r="C160" s="9" t="s">
        <v>315</v>
      </c>
      <c r="D160" s="8" t="s">
        <v>316</v>
      </c>
      <c r="E160" s="9" t="n">
        <v>50</v>
      </c>
      <c r="F160" s="9" t="n">
        <v>50</v>
      </c>
      <c r="G160" s="10"/>
    </row>
    <row r="161" customFormat="false" ht="15" hidden="false" customHeight="false" outlineLevel="0" collapsed="false">
      <c r="A161" s="7" t="s">
        <v>381</v>
      </c>
      <c r="B161" s="8" t="s">
        <v>382</v>
      </c>
      <c r="C161" s="9" t="s">
        <v>315</v>
      </c>
      <c r="D161" s="8" t="s">
        <v>316</v>
      </c>
      <c r="E161" s="9" t="n">
        <v>50</v>
      </c>
      <c r="F161" s="9" t="n">
        <v>50</v>
      </c>
      <c r="G161" s="10"/>
    </row>
    <row r="162" customFormat="false" ht="15" hidden="false" customHeight="false" outlineLevel="0" collapsed="false">
      <c r="A162" s="7" t="s">
        <v>383</v>
      </c>
      <c r="B162" s="8" t="s">
        <v>384</v>
      </c>
      <c r="C162" s="9" t="s">
        <v>315</v>
      </c>
      <c r="D162" s="8" t="s">
        <v>316</v>
      </c>
      <c r="E162" s="9" t="n">
        <v>50</v>
      </c>
      <c r="F162" s="9" t="n">
        <v>50</v>
      </c>
      <c r="G162" s="10"/>
    </row>
    <row r="163" customFormat="false" ht="15" hidden="false" customHeight="false" outlineLevel="0" collapsed="false">
      <c r="A163" s="7" t="s">
        <v>385</v>
      </c>
      <c r="B163" s="8" t="s">
        <v>386</v>
      </c>
      <c r="C163" s="9" t="s">
        <v>315</v>
      </c>
      <c r="D163" s="8" t="s">
        <v>316</v>
      </c>
      <c r="E163" s="9" t="n">
        <v>49</v>
      </c>
      <c r="F163" s="9" t="n">
        <v>49</v>
      </c>
      <c r="G163" s="10"/>
    </row>
    <row r="164" customFormat="false" ht="15" hidden="false" customHeight="false" outlineLevel="0" collapsed="false">
      <c r="A164" s="7" t="s">
        <v>387</v>
      </c>
      <c r="B164" s="8" t="s">
        <v>388</v>
      </c>
      <c r="C164" s="9" t="s">
        <v>171</v>
      </c>
      <c r="D164" s="8" t="s">
        <v>172</v>
      </c>
      <c r="E164" s="9" t="n">
        <v>49</v>
      </c>
      <c r="F164" s="9" t="n">
        <v>49</v>
      </c>
      <c r="G164" s="10"/>
    </row>
    <row r="165" customFormat="false" ht="15" hidden="false" customHeight="false" outlineLevel="0" collapsed="false">
      <c r="A165" s="7" t="s">
        <v>389</v>
      </c>
      <c r="B165" s="8" t="s">
        <v>390</v>
      </c>
      <c r="C165" s="9" t="s">
        <v>19</v>
      </c>
      <c r="D165" s="8" t="s">
        <v>20</v>
      </c>
      <c r="E165" s="9" t="n">
        <v>48</v>
      </c>
      <c r="F165" s="9" t="n">
        <v>48</v>
      </c>
      <c r="G165" s="10"/>
    </row>
    <row r="166" customFormat="false" ht="15" hidden="false" customHeight="false" outlineLevel="0" collapsed="false">
      <c r="A166" s="7" t="s">
        <v>391</v>
      </c>
      <c r="B166" s="8" t="s">
        <v>392</v>
      </c>
      <c r="C166" s="9" t="s">
        <v>199</v>
      </c>
      <c r="D166" s="8" t="s">
        <v>200</v>
      </c>
      <c r="E166" s="9" t="n">
        <v>48</v>
      </c>
      <c r="F166" s="9" t="n">
        <v>48</v>
      </c>
      <c r="G166" s="10"/>
    </row>
    <row r="167" customFormat="false" ht="15" hidden="false" customHeight="false" outlineLevel="0" collapsed="false">
      <c r="A167" s="7" t="s">
        <v>393</v>
      </c>
      <c r="B167" s="8" t="s">
        <v>394</v>
      </c>
      <c r="C167" s="9" t="s">
        <v>395</v>
      </c>
      <c r="D167" s="8" t="s">
        <v>396</v>
      </c>
      <c r="E167" s="9" t="n">
        <v>47</v>
      </c>
      <c r="F167" s="9" t="n">
        <v>47</v>
      </c>
      <c r="G167" s="10"/>
    </row>
    <row r="168" customFormat="false" ht="15" hidden="false" customHeight="false" outlineLevel="0" collapsed="false">
      <c r="A168" s="7" t="s">
        <v>397</v>
      </c>
      <c r="B168" s="8" t="s">
        <v>398</v>
      </c>
      <c r="C168" s="9" t="s">
        <v>63</v>
      </c>
      <c r="D168" s="8" t="s">
        <v>64</v>
      </c>
      <c r="E168" s="9" t="n">
        <v>51</v>
      </c>
      <c r="F168" s="9" t="n">
        <v>46</v>
      </c>
      <c r="G168" s="10"/>
    </row>
    <row r="169" customFormat="false" ht="15" hidden="false" customHeight="false" outlineLevel="0" collapsed="false">
      <c r="A169" s="7" t="s">
        <v>399</v>
      </c>
      <c r="B169" s="8" t="s">
        <v>400</v>
      </c>
      <c r="C169" s="9" t="s">
        <v>171</v>
      </c>
      <c r="D169" s="8" t="s">
        <v>172</v>
      </c>
      <c r="E169" s="9" t="n">
        <v>46</v>
      </c>
      <c r="F169" s="9" t="n">
        <v>46</v>
      </c>
      <c r="G169" s="10"/>
    </row>
    <row r="170" customFormat="false" ht="15" hidden="false" customHeight="false" outlineLevel="0" collapsed="false">
      <c r="A170" s="7" t="s">
        <v>401</v>
      </c>
      <c r="B170" s="8" t="s">
        <v>402</v>
      </c>
      <c r="C170" s="9" t="s">
        <v>69</v>
      </c>
      <c r="D170" s="8" t="s">
        <v>70</v>
      </c>
      <c r="E170" s="9" t="n">
        <v>47</v>
      </c>
      <c r="F170" s="9" t="n">
        <v>46</v>
      </c>
      <c r="G170" s="10"/>
    </row>
    <row r="171" customFormat="false" ht="15" hidden="false" customHeight="false" outlineLevel="0" collapsed="false">
      <c r="A171" s="7" t="s">
        <v>403</v>
      </c>
      <c r="B171" s="8" t="s">
        <v>404</v>
      </c>
      <c r="C171" s="9" t="s">
        <v>405</v>
      </c>
      <c r="D171" s="8" t="s">
        <v>406</v>
      </c>
      <c r="E171" s="9" t="n">
        <v>45</v>
      </c>
      <c r="F171" s="9" t="n">
        <v>45</v>
      </c>
      <c r="G171" s="10"/>
    </row>
    <row r="172" customFormat="false" ht="15" hidden="false" customHeight="false" outlineLevel="0" collapsed="false">
      <c r="A172" s="7" t="s">
        <v>407</v>
      </c>
      <c r="B172" s="8" t="s">
        <v>408</v>
      </c>
      <c r="C172" s="9" t="s">
        <v>49</v>
      </c>
      <c r="D172" s="8" t="s">
        <v>50</v>
      </c>
      <c r="E172" s="9" t="n">
        <v>45</v>
      </c>
      <c r="F172" s="9" t="n">
        <v>45</v>
      </c>
      <c r="G172" s="10"/>
    </row>
    <row r="173" customFormat="false" ht="15" hidden="false" customHeight="false" outlineLevel="0" collapsed="false">
      <c r="A173" s="7" t="s">
        <v>409</v>
      </c>
      <c r="B173" s="8" t="s">
        <v>410</v>
      </c>
      <c r="C173" s="9" t="s">
        <v>93</v>
      </c>
      <c r="D173" s="8" t="s">
        <v>94</v>
      </c>
      <c r="E173" s="9" t="n">
        <v>44</v>
      </c>
      <c r="F173" s="9" t="n">
        <v>44</v>
      </c>
      <c r="G173" s="10"/>
    </row>
    <row r="174" customFormat="false" ht="15" hidden="false" customHeight="false" outlineLevel="0" collapsed="false">
      <c r="A174" s="7" t="s">
        <v>411</v>
      </c>
      <c r="B174" s="8" t="s">
        <v>412</v>
      </c>
      <c r="C174" s="9" t="s">
        <v>23</v>
      </c>
      <c r="D174" s="8" t="s">
        <v>24</v>
      </c>
      <c r="E174" s="9" t="n">
        <v>44</v>
      </c>
      <c r="F174" s="9" t="n">
        <v>44</v>
      </c>
      <c r="G174" s="10"/>
    </row>
    <row r="175" customFormat="false" ht="15" hidden="false" customHeight="false" outlineLevel="0" collapsed="false">
      <c r="A175" s="7" t="s">
        <v>413</v>
      </c>
      <c r="B175" s="8" t="s">
        <v>414</v>
      </c>
      <c r="C175" s="9" t="s">
        <v>395</v>
      </c>
      <c r="D175" s="8" t="s">
        <v>396</v>
      </c>
      <c r="E175" s="9" t="n">
        <v>44</v>
      </c>
      <c r="F175" s="9" t="n">
        <v>44</v>
      </c>
      <c r="G175" s="10"/>
    </row>
    <row r="176" customFormat="false" ht="15" hidden="false" customHeight="false" outlineLevel="0" collapsed="false">
      <c r="A176" s="7" t="s">
        <v>415</v>
      </c>
      <c r="B176" s="8" t="s">
        <v>416</v>
      </c>
      <c r="C176" s="9" t="s">
        <v>405</v>
      </c>
      <c r="D176" s="8" t="s">
        <v>406</v>
      </c>
      <c r="E176" s="9" t="n">
        <v>44</v>
      </c>
      <c r="F176" s="9" t="n">
        <v>44</v>
      </c>
      <c r="G176" s="10"/>
    </row>
    <row r="177" customFormat="false" ht="15" hidden="false" customHeight="false" outlineLevel="0" collapsed="false">
      <c r="A177" s="7" t="s">
        <v>417</v>
      </c>
      <c r="B177" s="8" t="s">
        <v>418</v>
      </c>
      <c r="C177" s="9" t="s">
        <v>171</v>
      </c>
      <c r="D177" s="8" t="s">
        <v>172</v>
      </c>
      <c r="E177" s="9" t="n">
        <v>44</v>
      </c>
      <c r="F177" s="9" t="n">
        <v>44</v>
      </c>
      <c r="G177" s="10"/>
    </row>
    <row r="178" customFormat="false" ht="15" hidden="false" customHeight="false" outlineLevel="0" collapsed="false">
      <c r="A178" s="7" t="s">
        <v>419</v>
      </c>
      <c r="B178" s="8" t="s">
        <v>420</v>
      </c>
      <c r="C178" s="9" t="s">
        <v>171</v>
      </c>
      <c r="D178" s="8" t="s">
        <v>172</v>
      </c>
      <c r="E178" s="9" t="n">
        <v>44</v>
      </c>
      <c r="F178" s="9" t="n">
        <v>44</v>
      </c>
      <c r="G178" s="10"/>
    </row>
    <row r="179" customFormat="false" ht="15" hidden="false" customHeight="false" outlineLevel="0" collapsed="false">
      <c r="A179" s="7" t="s">
        <v>421</v>
      </c>
      <c r="B179" s="8" t="s">
        <v>422</v>
      </c>
      <c r="C179" s="9" t="s">
        <v>33</v>
      </c>
      <c r="D179" s="8" t="s">
        <v>34</v>
      </c>
      <c r="E179" s="9" t="n">
        <v>45</v>
      </c>
      <c r="F179" s="9" t="n">
        <v>43</v>
      </c>
      <c r="G179" s="10"/>
    </row>
    <row r="180" customFormat="false" ht="15" hidden="false" customHeight="false" outlineLevel="0" collapsed="false">
      <c r="A180" s="7" t="s">
        <v>423</v>
      </c>
      <c r="B180" s="8" t="s">
        <v>424</v>
      </c>
      <c r="C180" s="9" t="s">
        <v>89</v>
      </c>
      <c r="D180" s="8" t="s">
        <v>90</v>
      </c>
      <c r="E180" s="9" t="n">
        <v>43</v>
      </c>
      <c r="F180" s="9" t="n">
        <v>43</v>
      </c>
      <c r="G180" s="10"/>
    </row>
    <row r="181" customFormat="false" ht="15" hidden="false" customHeight="false" outlineLevel="0" collapsed="false">
      <c r="A181" s="7" t="s">
        <v>425</v>
      </c>
      <c r="B181" s="8" t="s">
        <v>426</v>
      </c>
      <c r="C181" s="9" t="s">
        <v>63</v>
      </c>
      <c r="D181" s="8" t="s">
        <v>64</v>
      </c>
      <c r="E181" s="9" t="n">
        <v>44</v>
      </c>
      <c r="F181" s="9" t="n">
        <v>43</v>
      </c>
      <c r="G181" s="10"/>
    </row>
    <row r="182" customFormat="false" ht="15" hidden="false" customHeight="false" outlineLevel="0" collapsed="false">
      <c r="A182" s="7" t="s">
        <v>427</v>
      </c>
      <c r="B182" s="8" t="s">
        <v>428</v>
      </c>
      <c r="C182" s="9" t="s">
        <v>211</v>
      </c>
      <c r="D182" s="8" t="s">
        <v>212</v>
      </c>
      <c r="E182" s="9" t="n">
        <v>43</v>
      </c>
      <c r="F182" s="9" t="n">
        <v>43</v>
      </c>
      <c r="G182" s="10"/>
    </row>
    <row r="183" customFormat="false" ht="15" hidden="false" customHeight="false" outlineLevel="0" collapsed="false">
      <c r="A183" s="7" t="s">
        <v>429</v>
      </c>
      <c r="B183" s="8" t="s">
        <v>430</v>
      </c>
      <c r="C183" s="9" t="s">
        <v>29</v>
      </c>
      <c r="D183" s="8" t="s">
        <v>30</v>
      </c>
      <c r="E183" s="9" t="n">
        <v>43</v>
      </c>
      <c r="F183" s="9" t="n">
        <v>43</v>
      </c>
      <c r="G183" s="10"/>
    </row>
    <row r="184" customFormat="false" ht="15" hidden="false" customHeight="false" outlineLevel="0" collapsed="false">
      <c r="A184" s="7" t="s">
        <v>431</v>
      </c>
      <c r="B184" s="8" t="s">
        <v>432</v>
      </c>
      <c r="C184" s="9" t="s">
        <v>141</v>
      </c>
      <c r="D184" s="8" t="s">
        <v>142</v>
      </c>
      <c r="E184" s="9" t="n">
        <v>42</v>
      </c>
      <c r="F184" s="9" t="n">
        <v>42</v>
      </c>
      <c r="G184" s="10"/>
    </row>
    <row r="185" customFormat="false" ht="15" hidden="false" customHeight="false" outlineLevel="0" collapsed="false">
      <c r="A185" s="7" t="s">
        <v>433</v>
      </c>
      <c r="B185" s="8" t="s">
        <v>434</v>
      </c>
      <c r="C185" s="9" t="s">
        <v>141</v>
      </c>
      <c r="D185" s="8" t="s">
        <v>142</v>
      </c>
      <c r="E185" s="9" t="n">
        <v>42</v>
      </c>
      <c r="F185" s="9" t="n">
        <v>42</v>
      </c>
      <c r="G185" s="10"/>
    </row>
    <row r="186" customFormat="false" ht="15" hidden="false" customHeight="false" outlineLevel="0" collapsed="false">
      <c r="A186" s="7" t="s">
        <v>435</v>
      </c>
      <c r="B186" s="8" t="s">
        <v>436</v>
      </c>
      <c r="C186" s="9" t="s">
        <v>199</v>
      </c>
      <c r="D186" s="8" t="s">
        <v>200</v>
      </c>
      <c r="E186" s="9" t="n">
        <v>42</v>
      </c>
      <c r="F186" s="9" t="n">
        <v>42</v>
      </c>
      <c r="G186" s="10"/>
    </row>
    <row r="187" customFormat="false" ht="15" hidden="false" customHeight="false" outlineLevel="0" collapsed="false">
      <c r="A187" s="7" t="s">
        <v>437</v>
      </c>
      <c r="B187" s="8" t="s">
        <v>438</v>
      </c>
      <c r="C187" s="9" t="s">
        <v>171</v>
      </c>
      <c r="D187" s="8" t="s">
        <v>172</v>
      </c>
      <c r="E187" s="9" t="n">
        <v>42</v>
      </c>
      <c r="F187" s="9" t="n">
        <v>42</v>
      </c>
      <c r="G187" s="10"/>
    </row>
    <row r="188" customFormat="false" ht="15" hidden="false" customHeight="false" outlineLevel="0" collapsed="false">
      <c r="A188" s="7" t="s">
        <v>439</v>
      </c>
      <c r="B188" s="8" t="s">
        <v>440</v>
      </c>
      <c r="C188" s="9" t="s">
        <v>23</v>
      </c>
      <c r="D188" s="8" t="s">
        <v>24</v>
      </c>
      <c r="E188" s="9" t="n">
        <v>41</v>
      </c>
      <c r="F188" s="9" t="n">
        <v>41</v>
      </c>
      <c r="G188" s="10"/>
    </row>
    <row r="189" customFormat="false" ht="15" hidden="false" customHeight="false" outlineLevel="0" collapsed="false">
      <c r="A189" s="7" t="s">
        <v>441</v>
      </c>
      <c r="B189" s="8" t="s">
        <v>442</v>
      </c>
      <c r="C189" s="9" t="s">
        <v>89</v>
      </c>
      <c r="D189" s="8" t="s">
        <v>90</v>
      </c>
      <c r="E189" s="9" t="n">
        <v>41</v>
      </c>
      <c r="F189" s="9" t="n">
        <v>41</v>
      </c>
      <c r="G189" s="10"/>
    </row>
    <row r="190" customFormat="false" ht="15" hidden="false" customHeight="false" outlineLevel="0" collapsed="false">
      <c r="A190" s="7" t="s">
        <v>443</v>
      </c>
      <c r="B190" s="8" t="s">
        <v>444</v>
      </c>
      <c r="C190" s="9"/>
      <c r="D190" s="8"/>
      <c r="E190" s="9" t="n">
        <v>41</v>
      </c>
      <c r="F190" s="9" t="n">
        <v>41</v>
      </c>
      <c r="G190" s="10"/>
    </row>
    <row r="191" customFormat="false" ht="15" hidden="false" customHeight="false" outlineLevel="0" collapsed="false">
      <c r="A191" s="7" t="s">
        <v>445</v>
      </c>
      <c r="B191" s="8" t="s">
        <v>446</v>
      </c>
      <c r="C191" s="9" t="s">
        <v>89</v>
      </c>
      <c r="D191" s="8" t="s">
        <v>90</v>
      </c>
      <c r="E191" s="9" t="n">
        <v>41</v>
      </c>
      <c r="F191" s="9" t="n">
        <v>41</v>
      </c>
      <c r="G191" s="10"/>
    </row>
    <row r="192" customFormat="false" ht="15" hidden="false" customHeight="false" outlineLevel="0" collapsed="false">
      <c r="A192" s="7" t="s">
        <v>447</v>
      </c>
      <c r="B192" s="8" t="s">
        <v>448</v>
      </c>
      <c r="C192" s="9" t="s">
        <v>63</v>
      </c>
      <c r="D192" s="8" t="s">
        <v>64</v>
      </c>
      <c r="E192" s="9" t="n">
        <v>41</v>
      </c>
      <c r="F192" s="9" t="n">
        <v>41</v>
      </c>
      <c r="G192" s="10"/>
    </row>
    <row r="193" customFormat="false" ht="15" hidden="false" customHeight="false" outlineLevel="0" collapsed="false">
      <c r="A193" s="7" t="s">
        <v>449</v>
      </c>
      <c r="B193" s="8" t="s">
        <v>450</v>
      </c>
      <c r="C193" s="9"/>
      <c r="D193" s="8"/>
      <c r="E193" s="9" t="n">
        <v>41</v>
      </c>
      <c r="F193" s="9" t="n">
        <v>41</v>
      </c>
      <c r="G193" s="10"/>
    </row>
    <row r="194" customFormat="false" ht="15" hidden="false" customHeight="false" outlineLevel="0" collapsed="false">
      <c r="A194" s="7" t="s">
        <v>451</v>
      </c>
      <c r="B194" s="8" t="s">
        <v>452</v>
      </c>
      <c r="C194" s="9" t="s">
        <v>171</v>
      </c>
      <c r="D194" s="8" t="s">
        <v>172</v>
      </c>
      <c r="E194" s="9" t="n">
        <v>41</v>
      </c>
      <c r="F194" s="9" t="n">
        <v>41</v>
      </c>
      <c r="G194" s="10"/>
    </row>
    <row r="195" customFormat="false" ht="15" hidden="false" customHeight="false" outlineLevel="0" collapsed="false">
      <c r="A195" s="7" t="s">
        <v>453</v>
      </c>
      <c r="B195" s="8" t="s">
        <v>454</v>
      </c>
      <c r="C195" s="9" t="s">
        <v>171</v>
      </c>
      <c r="D195" s="8" t="s">
        <v>172</v>
      </c>
      <c r="E195" s="9" t="n">
        <v>41</v>
      </c>
      <c r="F195" s="9" t="n">
        <v>41</v>
      </c>
      <c r="G195" s="10"/>
    </row>
    <row r="196" customFormat="false" ht="15" hidden="false" customHeight="false" outlineLevel="0" collapsed="false">
      <c r="A196" s="7" t="s">
        <v>455</v>
      </c>
      <c r="B196" s="8" t="s">
        <v>456</v>
      </c>
      <c r="C196" s="9" t="s">
        <v>69</v>
      </c>
      <c r="D196" s="8" t="s">
        <v>70</v>
      </c>
      <c r="E196" s="9" t="n">
        <v>41</v>
      </c>
      <c r="F196" s="9" t="n">
        <v>41</v>
      </c>
      <c r="G196" s="10"/>
    </row>
    <row r="197" customFormat="false" ht="15" hidden="false" customHeight="false" outlineLevel="0" collapsed="false">
      <c r="A197" s="7" t="s">
        <v>457</v>
      </c>
      <c r="B197" s="8" t="s">
        <v>458</v>
      </c>
      <c r="C197" s="9" t="s">
        <v>29</v>
      </c>
      <c r="D197" s="8" t="s">
        <v>30</v>
      </c>
      <c r="E197" s="9" t="n">
        <v>41</v>
      </c>
      <c r="F197" s="9" t="n">
        <v>41</v>
      </c>
      <c r="G197" s="10"/>
    </row>
    <row r="198" customFormat="false" ht="15" hidden="false" customHeight="false" outlineLevel="0" collapsed="false">
      <c r="A198" s="7" t="s">
        <v>459</v>
      </c>
      <c r="B198" s="8" t="s">
        <v>460</v>
      </c>
      <c r="C198" s="9" t="s">
        <v>171</v>
      </c>
      <c r="D198" s="8" t="s">
        <v>172</v>
      </c>
      <c r="E198" s="9" t="n">
        <v>40</v>
      </c>
      <c r="F198" s="9" t="n">
        <v>40</v>
      </c>
      <c r="G198" s="10"/>
    </row>
    <row r="199" customFormat="false" ht="15" hidden="false" customHeight="false" outlineLevel="0" collapsed="false">
      <c r="A199" s="7" t="s">
        <v>461</v>
      </c>
      <c r="B199" s="8" t="s">
        <v>462</v>
      </c>
      <c r="C199" s="9" t="s">
        <v>463</v>
      </c>
      <c r="D199" s="8" t="s">
        <v>464</v>
      </c>
      <c r="E199" s="9" t="n">
        <v>40</v>
      </c>
      <c r="F199" s="9" t="n">
        <v>40</v>
      </c>
      <c r="G199" s="10"/>
    </row>
    <row r="200" customFormat="false" ht="15" hidden="false" customHeight="false" outlineLevel="0" collapsed="false">
      <c r="A200" s="7" t="s">
        <v>465</v>
      </c>
      <c r="B200" s="8" t="s">
        <v>466</v>
      </c>
      <c r="C200" s="9" t="s">
        <v>211</v>
      </c>
      <c r="D200" s="8" t="s">
        <v>212</v>
      </c>
      <c r="E200" s="9" t="n">
        <v>40</v>
      </c>
      <c r="F200" s="9" t="n">
        <v>40</v>
      </c>
      <c r="G200" s="10"/>
    </row>
    <row r="201" customFormat="false" ht="15" hidden="false" customHeight="false" outlineLevel="0" collapsed="false">
      <c r="A201" s="7" t="s">
        <v>467</v>
      </c>
      <c r="B201" s="8" t="s">
        <v>468</v>
      </c>
      <c r="C201" s="9" t="s">
        <v>171</v>
      </c>
      <c r="D201" s="8" t="s">
        <v>172</v>
      </c>
      <c r="E201" s="9" t="n">
        <v>41</v>
      </c>
      <c r="F201" s="9" t="n">
        <v>40</v>
      </c>
      <c r="G201" s="10"/>
    </row>
    <row r="202" customFormat="false" ht="15" hidden="false" customHeight="false" outlineLevel="0" collapsed="false">
      <c r="A202" s="7" t="s">
        <v>469</v>
      </c>
      <c r="B202" s="8" t="s">
        <v>470</v>
      </c>
      <c r="C202" s="9"/>
      <c r="D202" s="8"/>
      <c r="E202" s="9" t="n">
        <v>40</v>
      </c>
      <c r="F202" s="9" t="n">
        <v>40</v>
      </c>
      <c r="G202" s="10"/>
    </row>
    <row r="203" customFormat="false" ht="15" hidden="false" customHeight="false" outlineLevel="0" collapsed="false">
      <c r="A203" s="7" t="s">
        <v>471</v>
      </c>
      <c r="B203" s="8" t="s">
        <v>472</v>
      </c>
      <c r="C203" s="9" t="s">
        <v>171</v>
      </c>
      <c r="D203" s="8" t="s">
        <v>172</v>
      </c>
      <c r="E203" s="9" t="n">
        <v>40</v>
      </c>
      <c r="F203" s="9" t="n">
        <v>40</v>
      </c>
      <c r="G203" s="10"/>
    </row>
    <row r="204" customFormat="false" ht="15" hidden="false" customHeight="false" outlineLevel="0" collapsed="false">
      <c r="A204" s="7" t="s">
        <v>473</v>
      </c>
      <c r="B204" s="8" t="s">
        <v>474</v>
      </c>
      <c r="C204" s="9" t="s">
        <v>315</v>
      </c>
      <c r="D204" s="8" t="s">
        <v>316</v>
      </c>
      <c r="E204" s="9" t="n">
        <v>40</v>
      </c>
      <c r="F204" s="9" t="n">
        <v>40</v>
      </c>
      <c r="G204" s="10"/>
    </row>
    <row r="205" customFormat="false" ht="15" hidden="false" customHeight="false" outlineLevel="0" collapsed="false">
      <c r="A205" s="7" t="s">
        <v>475</v>
      </c>
      <c r="B205" s="8" t="s">
        <v>476</v>
      </c>
      <c r="C205" s="9" t="s">
        <v>395</v>
      </c>
      <c r="D205" s="8" t="s">
        <v>396</v>
      </c>
      <c r="E205" s="9" t="n">
        <v>39</v>
      </c>
      <c r="F205" s="9" t="n">
        <v>39</v>
      </c>
      <c r="G205" s="10"/>
    </row>
    <row r="206" customFormat="false" ht="15" hidden="false" customHeight="false" outlineLevel="0" collapsed="false">
      <c r="A206" s="7" t="s">
        <v>477</v>
      </c>
      <c r="B206" s="8" t="s">
        <v>478</v>
      </c>
      <c r="C206" s="9" t="s">
        <v>33</v>
      </c>
      <c r="D206" s="8" t="s">
        <v>34</v>
      </c>
      <c r="E206" s="9" t="n">
        <v>39</v>
      </c>
      <c r="F206" s="9" t="n">
        <v>39</v>
      </c>
      <c r="G206" s="10"/>
    </row>
    <row r="207" customFormat="false" ht="15" hidden="false" customHeight="false" outlineLevel="0" collapsed="false">
      <c r="A207" s="7" t="s">
        <v>479</v>
      </c>
      <c r="B207" s="8" t="s">
        <v>480</v>
      </c>
      <c r="C207" s="9" t="s">
        <v>171</v>
      </c>
      <c r="D207" s="8" t="s">
        <v>172</v>
      </c>
      <c r="E207" s="9" t="n">
        <v>39</v>
      </c>
      <c r="F207" s="9" t="n">
        <v>39</v>
      </c>
      <c r="G207" s="10"/>
    </row>
    <row r="208" customFormat="false" ht="15" hidden="false" customHeight="false" outlineLevel="0" collapsed="false">
      <c r="A208" s="7" t="s">
        <v>481</v>
      </c>
      <c r="B208" s="8" t="s">
        <v>482</v>
      </c>
      <c r="C208" s="9" t="s">
        <v>171</v>
      </c>
      <c r="D208" s="8" t="s">
        <v>172</v>
      </c>
      <c r="E208" s="9" t="n">
        <v>46</v>
      </c>
      <c r="F208" s="9" t="n">
        <v>39</v>
      </c>
      <c r="G208" s="10"/>
    </row>
    <row r="209" customFormat="false" ht="15" hidden="false" customHeight="false" outlineLevel="0" collapsed="false">
      <c r="A209" s="7" t="s">
        <v>483</v>
      </c>
      <c r="B209" s="8" t="s">
        <v>484</v>
      </c>
      <c r="C209" s="9" t="s">
        <v>69</v>
      </c>
      <c r="D209" s="8" t="s">
        <v>70</v>
      </c>
      <c r="E209" s="9" t="n">
        <v>39</v>
      </c>
      <c r="F209" s="9" t="n">
        <v>39</v>
      </c>
      <c r="G209" s="10"/>
    </row>
    <row r="210" customFormat="false" ht="15" hidden="false" customHeight="false" outlineLevel="0" collapsed="false">
      <c r="A210" s="7" t="s">
        <v>485</v>
      </c>
      <c r="B210" s="8" t="s">
        <v>486</v>
      </c>
      <c r="C210" s="9"/>
      <c r="D210" s="8"/>
      <c r="E210" s="9" t="n">
        <v>52</v>
      </c>
      <c r="F210" s="9" t="n">
        <v>38</v>
      </c>
      <c r="G210" s="10"/>
    </row>
    <row r="211" customFormat="false" ht="15" hidden="false" customHeight="false" outlineLevel="0" collapsed="false">
      <c r="A211" s="7" t="s">
        <v>487</v>
      </c>
      <c r="B211" s="8" t="s">
        <v>488</v>
      </c>
      <c r="C211" s="9" t="s">
        <v>405</v>
      </c>
      <c r="D211" s="8" t="s">
        <v>406</v>
      </c>
      <c r="E211" s="9" t="n">
        <v>38</v>
      </c>
      <c r="F211" s="9" t="n">
        <v>38</v>
      </c>
      <c r="G211" s="10"/>
    </row>
    <row r="212" customFormat="false" ht="15" hidden="false" customHeight="false" outlineLevel="0" collapsed="false">
      <c r="A212" s="7" t="s">
        <v>489</v>
      </c>
      <c r="B212" s="8" t="s">
        <v>490</v>
      </c>
      <c r="C212" s="9" t="s">
        <v>141</v>
      </c>
      <c r="D212" s="8" t="s">
        <v>142</v>
      </c>
      <c r="E212" s="9" t="n">
        <v>38</v>
      </c>
      <c r="F212" s="9" t="n">
        <v>38</v>
      </c>
      <c r="G212" s="10"/>
    </row>
    <row r="213" customFormat="false" ht="15" hidden="false" customHeight="false" outlineLevel="0" collapsed="false">
      <c r="A213" s="7" t="s">
        <v>491</v>
      </c>
      <c r="B213" s="8" t="s">
        <v>492</v>
      </c>
      <c r="C213" s="9" t="s">
        <v>211</v>
      </c>
      <c r="D213" s="8" t="s">
        <v>212</v>
      </c>
      <c r="E213" s="9" t="n">
        <v>38</v>
      </c>
      <c r="F213" s="9" t="n">
        <v>38</v>
      </c>
      <c r="G213" s="10"/>
    </row>
    <row r="214" customFormat="false" ht="15" hidden="false" customHeight="false" outlineLevel="0" collapsed="false">
      <c r="A214" s="7" t="s">
        <v>493</v>
      </c>
      <c r="B214" s="8" t="s">
        <v>494</v>
      </c>
      <c r="C214" s="9" t="s">
        <v>171</v>
      </c>
      <c r="D214" s="8" t="s">
        <v>172</v>
      </c>
      <c r="E214" s="9" t="n">
        <v>40</v>
      </c>
      <c r="F214" s="9" t="n">
        <v>38</v>
      </c>
      <c r="G214" s="10"/>
    </row>
    <row r="215" customFormat="false" ht="15" hidden="false" customHeight="false" outlineLevel="0" collapsed="false">
      <c r="A215" s="7" t="s">
        <v>495</v>
      </c>
      <c r="B215" s="8" t="s">
        <v>496</v>
      </c>
      <c r="C215" s="9" t="s">
        <v>33</v>
      </c>
      <c r="D215" s="8" t="s">
        <v>34</v>
      </c>
      <c r="E215" s="9" t="n">
        <v>38</v>
      </c>
      <c r="F215" s="9" t="n">
        <v>38</v>
      </c>
      <c r="G215" s="10"/>
    </row>
    <row r="216" customFormat="false" ht="15" hidden="false" customHeight="false" outlineLevel="0" collapsed="false">
      <c r="A216" s="7" t="s">
        <v>497</v>
      </c>
      <c r="B216" s="8" t="s">
        <v>498</v>
      </c>
      <c r="C216" s="9" t="s">
        <v>171</v>
      </c>
      <c r="D216" s="8" t="s">
        <v>172</v>
      </c>
      <c r="E216" s="9" t="n">
        <v>38</v>
      </c>
      <c r="F216" s="9" t="n">
        <v>38</v>
      </c>
      <c r="G216" s="10"/>
    </row>
    <row r="217" customFormat="false" ht="15" hidden="false" customHeight="false" outlineLevel="0" collapsed="false">
      <c r="A217" s="7" t="s">
        <v>499</v>
      </c>
      <c r="B217" s="8" t="s">
        <v>500</v>
      </c>
      <c r="C217" s="9" t="s">
        <v>501</v>
      </c>
      <c r="D217" s="8" t="s">
        <v>502</v>
      </c>
      <c r="E217" s="9" t="n">
        <v>37</v>
      </c>
      <c r="F217" s="9" t="n">
        <v>37</v>
      </c>
      <c r="G217" s="10"/>
    </row>
    <row r="218" customFormat="false" ht="15" hidden="false" customHeight="false" outlineLevel="0" collapsed="false">
      <c r="A218" s="7" t="s">
        <v>503</v>
      </c>
      <c r="B218" s="8" t="s">
        <v>504</v>
      </c>
      <c r="C218" s="9" t="s">
        <v>211</v>
      </c>
      <c r="D218" s="8" t="s">
        <v>212</v>
      </c>
      <c r="E218" s="9" t="n">
        <v>37</v>
      </c>
      <c r="F218" s="9" t="n">
        <v>37</v>
      </c>
      <c r="G218" s="10"/>
    </row>
    <row r="219" customFormat="false" ht="15" hidden="false" customHeight="false" outlineLevel="0" collapsed="false">
      <c r="A219" s="7" t="s">
        <v>505</v>
      </c>
      <c r="B219" s="8" t="s">
        <v>506</v>
      </c>
      <c r="C219" s="9" t="s">
        <v>23</v>
      </c>
      <c r="D219" s="8" t="s">
        <v>24</v>
      </c>
      <c r="E219" s="9" t="n">
        <v>37</v>
      </c>
      <c r="F219" s="9" t="n">
        <v>37</v>
      </c>
      <c r="G219" s="10"/>
    </row>
    <row r="220" customFormat="false" ht="15" hidden="false" customHeight="false" outlineLevel="0" collapsed="false">
      <c r="A220" s="7" t="s">
        <v>507</v>
      </c>
      <c r="B220" s="8" t="s">
        <v>508</v>
      </c>
      <c r="C220" s="9" t="s">
        <v>33</v>
      </c>
      <c r="D220" s="8" t="s">
        <v>34</v>
      </c>
      <c r="E220" s="9" t="n">
        <v>38</v>
      </c>
      <c r="F220" s="9" t="n">
        <v>37</v>
      </c>
      <c r="G220" s="10"/>
    </row>
    <row r="221" customFormat="false" ht="15" hidden="false" customHeight="false" outlineLevel="0" collapsed="false">
      <c r="A221" s="7" t="s">
        <v>509</v>
      </c>
      <c r="B221" s="8" t="s">
        <v>510</v>
      </c>
      <c r="C221" s="9" t="s">
        <v>29</v>
      </c>
      <c r="D221" s="8" t="s">
        <v>30</v>
      </c>
      <c r="E221" s="9" t="n">
        <v>37</v>
      </c>
      <c r="F221" s="9" t="n">
        <v>37</v>
      </c>
      <c r="G221" s="10"/>
    </row>
    <row r="222" customFormat="false" ht="15" hidden="false" customHeight="false" outlineLevel="0" collapsed="false">
      <c r="A222" s="7" t="s">
        <v>511</v>
      </c>
      <c r="B222" s="8" t="s">
        <v>512</v>
      </c>
      <c r="C222" s="9" t="s">
        <v>29</v>
      </c>
      <c r="D222" s="8" t="s">
        <v>30</v>
      </c>
      <c r="E222" s="9" t="n">
        <v>37</v>
      </c>
      <c r="F222" s="9" t="n">
        <v>37</v>
      </c>
      <c r="G222" s="10"/>
    </row>
    <row r="223" customFormat="false" ht="15" hidden="false" customHeight="false" outlineLevel="0" collapsed="false">
      <c r="A223" s="7" t="s">
        <v>513</v>
      </c>
      <c r="B223" s="8" t="s">
        <v>514</v>
      </c>
      <c r="C223" s="9" t="s">
        <v>141</v>
      </c>
      <c r="D223" s="8" t="s">
        <v>142</v>
      </c>
      <c r="E223" s="9" t="n">
        <v>36</v>
      </c>
      <c r="F223" s="9" t="n">
        <v>36</v>
      </c>
      <c r="G223" s="10"/>
    </row>
    <row r="224" customFormat="false" ht="15" hidden="false" customHeight="false" outlineLevel="0" collapsed="false">
      <c r="A224" s="7" t="s">
        <v>515</v>
      </c>
      <c r="B224" s="8" t="s">
        <v>516</v>
      </c>
      <c r="C224" s="9" t="s">
        <v>133</v>
      </c>
      <c r="D224" s="8" t="s">
        <v>134</v>
      </c>
      <c r="E224" s="9" t="n">
        <v>37</v>
      </c>
      <c r="F224" s="9" t="n">
        <v>36</v>
      </c>
      <c r="G224" s="10"/>
    </row>
    <row r="225" customFormat="false" ht="15" hidden="false" customHeight="false" outlineLevel="0" collapsed="false">
      <c r="A225" s="7" t="s">
        <v>517</v>
      </c>
      <c r="B225" s="8" t="s">
        <v>518</v>
      </c>
      <c r="C225" s="9" t="s">
        <v>63</v>
      </c>
      <c r="D225" s="8" t="s">
        <v>64</v>
      </c>
      <c r="E225" s="9" t="n">
        <v>36</v>
      </c>
      <c r="F225" s="9" t="n">
        <v>36</v>
      </c>
      <c r="G225" s="10"/>
    </row>
    <row r="226" customFormat="false" ht="15" hidden="false" customHeight="false" outlineLevel="0" collapsed="false">
      <c r="A226" s="7" t="s">
        <v>519</v>
      </c>
      <c r="B226" s="8" t="s">
        <v>520</v>
      </c>
      <c r="C226" s="9" t="s">
        <v>69</v>
      </c>
      <c r="D226" s="8" t="s">
        <v>70</v>
      </c>
      <c r="E226" s="9" t="n">
        <v>36</v>
      </c>
      <c r="F226" s="9" t="n">
        <v>36</v>
      </c>
      <c r="G226" s="10"/>
    </row>
    <row r="227" customFormat="false" ht="15" hidden="false" customHeight="false" outlineLevel="0" collapsed="false">
      <c r="A227" s="7" t="s">
        <v>521</v>
      </c>
      <c r="B227" s="8" t="s">
        <v>522</v>
      </c>
      <c r="C227" s="9" t="s">
        <v>171</v>
      </c>
      <c r="D227" s="8" t="s">
        <v>172</v>
      </c>
      <c r="E227" s="9" t="n">
        <v>35</v>
      </c>
      <c r="F227" s="9" t="n">
        <v>35</v>
      </c>
      <c r="G227" s="10"/>
    </row>
    <row r="228" customFormat="false" ht="15" hidden="false" customHeight="false" outlineLevel="0" collapsed="false">
      <c r="A228" s="7" t="s">
        <v>523</v>
      </c>
      <c r="B228" s="8" t="s">
        <v>524</v>
      </c>
      <c r="C228" s="9" t="s">
        <v>171</v>
      </c>
      <c r="D228" s="8" t="s">
        <v>172</v>
      </c>
      <c r="E228" s="9" t="n">
        <v>35</v>
      </c>
      <c r="F228" s="9" t="n">
        <v>35</v>
      </c>
      <c r="G228" s="10"/>
    </row>
    <row r="229" customFormat="false" ht="15" hidden="false" customHeight="false" outlineLevel="0" collapsed="false">
      <c r="A229" s="7" t="s">
        <v>525</v>
      </c>
      <c r="B229" s="8" t="s">
        <v>526</v>
      </c>
      <c r="C229" s="9" t="s">
        <v>33</v>
      </c>
      <c r="D229" s="8" t="s">
        <v>34</v>
      </c>
      <c r="E229" s="9" t="n">
        <v>39</v>
      </c>
      <c r="F229" s="9" t="n">
        <v>35</v>
      </c>
      <c r="G229" s="10"/>
    </row>
    <row r="230" customFormat="false" ht="15" hidden="false" customHeight="false" outlineLevel="0" collapsed="false">
      <c r="A230" s="7" t="s">
        <v>527</v>
      </c>
      <c r="B230" s="8" t="s">
        <v>528</v>
      </c>
      <c r="C230" s="9" t="s">
        <v>199</v>
      </c>
      <c r="D230" s="8" t="s">
        <v>200</v>
      </c>
      <c r="E230" s="9" t="n">
        <v>40</v>
      </c>
      <c r="F230" s="9" t="n">
        <v>35</v>
      </c>
      <c r="G230" s="10"/>
    </row>
    <row r="231" customFormat="false" ht="15" hidden="false" customHeight="false" outlineLevel="0" collapsed="false">
      <c r="A231" s="7" t="s">
        <v>529</v>
      </c>
      <c r="B231" s="8" t="s">
        <v>530</v>
      </c>
      <c r="C231" s="9" t="s">
        <v>33</v>
      </c>
      <c r="D231" s="8" t="s">
        <v>34</v>
      </c>
      <c r="E231" s="9" t="n">
        <v>34</v>
      </c>
      <c r="F231" s="9" t="n">
        <v>34</v>
      </c>
      <c r="G231" s="10"/>
    </row>
    <row r="232" customFormat="false" ht="15" hidden="false" customHeight="false" outlineLevel="0" collapsed="false">
      <c r="A232" s="7" t="s">
        <v>531</v>
      </c>
      <c r="B232" s="8" t="s">
        <v>532</v>
      </c>
      <c r="C232" s="9" t="s">
        <v>171</v>
      </c>
      <c r="D232" s="8" t="s">
        <v>172</v>
      </c>
      <c r="E232" s="9" t="n">
        <v>34</v>
      </c>
      <c r="F232" s="9" t="n">
        <v>34</v>
      </c>
      <c r="G232" s="10"/>
    </row>
    <row r="233" customFormat="false" ht="15" hidden="false" customHeight="false" outlineLevel="0" collapsed="false">
      <c r="A233" s="7" t="s">
        <v>533</v>
      </c>
      <c r="B233" s="8" t="s">
        <v>534</v>
      </c>
      <c r="C233" s="9" t="s">
        <v>171</v>
      </c>
      <c r="D233" s="8" t="s">
        <v>172</v>
      </c>
      <c r="E233" s="9" t="n">
        <v>34</v>
      </c>
      <c r="F233" s="9" t="n">
        <v>34</v>
      </c>
      <c r="G233" s="10"/>
    </row>
    <row r="234" customFormat="false" ht="15" hidden="false" customHeight="false" outlineLevel="0" collapsed="false">
      <c r="A234" s="7" t="s">
        <v>535</v>
      </c>
      <c r="B234" s="8" t="s">
        <v>536</v>
      </c>
      <c r="C234" s="9" t="s">
        <v>171</v>
      </c>
      <c r="D234" s="8" t="s">
        <v>172</v>
      </c>
      <c r="E234" s="9" t="n">
        <v>34</v>
      </c>
      <c r="F234" s="9" t="n">
        <v>34</v>
      </c>
      <c r="G234" s="10"/>
    </row>
    <row r="235" customFormat="false" ht="15" hidden="false" customHeight="false" outlineLevel="0" collapsed="false">
      <c r="A235" s="7" t="s">
        <v>537</v>
      </c>
      <c r="B235" s="8" t="s">
        <v>538</v>
      </c>
      <c r="C235" s="9" t="s">
        <v>405</v>
      </c>
      <c r="D235" s="8" t="s">
        <v>406</v>
      </c>
      <c r="E235" s="9" t="n">
        <v>33</v>
      </c>
      <c r="F235" s="9" t="n">
        <v>33</v>
      </c>
      <c r="G235" s="10"/>
    </row>
    <row r="236" customFormat="false" ht="15" hidden="false" customHeight="false" outlineLevel="0" collapsed="false">
      <c r="A236" s="7" t="s">
        <v>539</v>
      </c>
      <c r="B236" s="8" t="s">
        <v>540</v>
      </c>
      <c r="C236" s="9" t="s">
        <v>405</v>
      </c>
      <c r="D236" s="8" t="s">
        <v>406</v>
      </c>
      <c r="E236" s="9" t="n">
        <v>33</v>
      </c>
      <c r="F236" s="9" t="n">
        <v>33</v>
      </c>
      <c r="G236" s="10"/>
    </row>
    <row r="237" customFormat="false" ht="15" hidden="false" customHeight="false" outlineLevel="0" collapsed="false">
      <c r="A237" s="7" t="s">
        <v>541</v>
      </c>
      <c r="B237" s="8" t="s">
        <v>542</v>
      </c>
      <c r="C237" s="9" t="s">
        <v>33</v>
      </c>
      <c r="D237" s="8" t="s">
        <v>34</v>
      </c>
      <c r="E237" s="9" t="n">
        <v>33</v>
      </c>
      <c r="F237" s="9" t="n">
        <v>33</v>
      </c>
      <c r="G237" s="10"/>
    </row>
    <row r="238" customFormat="false" ht="15" hidden="false" customHeight="false" outlineLevel="0" collapsed="false">
      <c r="A238" s="7" t="s">
        <v>543</v>
      </c>
      <c r="B238" s="8" t="s">
        <v>544</v>
      </c>
      <c r="C238" s="9" t="s">
        <v>33</v>
      </c>
      <c r="D238" s="8" t="s">
        <v>34</v>
      </c>
      <c r="E238" s="9" t="n">
        <v>33</v>
      </c>
      <c r="F238" s="9" t="n">
        <v>33</v>
      </c>
      <c r="G238" s="10"/>
    </row>
    <row r="239" customFormat="false" ht="15" hidden="false" customHeight="false" outlineLevel="0" collapsed="false">
      <c r="A239" s="7" t="s">
        <v>545</v>
      </c>
      <c r="B239" s="8" t="s">
        <v>546</v>
      </c>
      <c r="C239" s="9" t="s">
        <v>405</v>
      </c>
      <c r="D239" s="8" t="s">
        <v>406</v>
      </c>
      <c r="E239" s="9" t="n">
        <v>32</v>
      </c>
      <c r="F239" s="9" t="n">
        <v>32</v>
      </c>
      <c r="G239" s="10"/>
    </row>
    <row r="240" customFormat="false" ht="15" hidden="false" customHeight="false" outlineLevel="0" collapsed="false">
      <c r="A240" s="7" t="s">
        <v>547</v>
      </c>
      <c r="B240" s="8" t="s">
        <v>548</v>
      </c>
      <c r="C240" s="9" t="s">
        <v>405</v>
      </c>
      <c r="D240" s="8" t="s">
        <v>406</v>
      </c>
      <c r="E240" s="9" t="n">
        <v>32</v>
      </c>
      <c r="F240" s="9" t="n">
        <v>32</v>
      </c>
      <c r="G240" s="10"/>
    </row>
    <row r="241" customFormat="false" ht="15" hidden="false" customHeight="false" outlineLevel="0" collapsed="false">
      <c r="A241" s="7" t="s">
        <v>549</v>
      </c>
      <c r="B241" s="8" t="s">
        <v>550</v>
      </c>
      <c r="C241" s="9" t="s">
        <v>171</v>
      </c>
      <c r="D241" s="8" t="s">
        <v>172</v>
      </c>
      <c r="E241" s="9" t="n">
        <v>32</v>
      </c>
      <c r="F241" s="9" t="n">
        <v>32</v>
      </c>
      <c r="G241" s="10"/>
    </row>
    <row r="242" customFormat="false" ht="15" hidden="false" customHeight="false" outlineLevel="0" collapsed="false">
      <c r="A242" s="7" t="s">
        <v>551</v>
      </c>
      <c r="B242" s="8" t="s">
        <v>552</v>
      </c>
      <c r="C242" s="9"/>
      <c r="D242" s="8"/>
      <c r="E242" s="9" t="n">
        <v>32</v>
      </c>
      <c r="F242" s="9" t="n">
        <v>32</v>
      </c>
      <c r="G242" s="10"/>
    </row>
    <row r="243" customFormat="false" ht="15" hidden="false" customHeight="false" outlineLevel="0" collapsed="false">
      <c r="A243" s="7" t="s">
        <v>553</v>
      </c>
      <c r="B243" s="8" t="s">
        <v>554</v>
      </c>
      <c r="C243" s="9" t="s">
        <v>211</v>
      </c>
      <c r="D243" s="8" t="s">
        <v>212</v>
      </c>
      <c r="E243" s="9" t="n">
        <v>32</v>
      </c>
      <c r="F243" s="9" t="n">
        <v>32</v>
      </c>
      <c r="G243" s="10"/>
    </row>
    <row r="244" customFormat="false" ht="15" hidden="false" customHeight="false" outlineLevel="0" collapsed="false">
      <c r="A244" s="7" t="s">
        <v>555</v>
      </c>
      <c r="B244" s="8" t="s">
        <v>556</v>
      </c>
      <c r="C244" s="9" t="s">
        <v>23</v>
      </c>
      <c r="D244" s="8" t="s">
        <v>24</v>
      </c>
      <c r="E244" s="9" t="n">
        <v>32</v>
      </c>
      <c r="F244" s="9" t="n">
        <v>32</v>
      </c>
      <c r="G244" s="10"/>
    </row>
    <row r="245" customFormat="false" ht="15" hidden="false" customHeight="false" outlineLevel="0" collapsed="false">
      <c r="A245" s="7" t="s">
        <v>557</v>
      </c>
      <c r="B245" s="8" t="s">
        <v>558</v>
      </c>
      <c r="C245" s="9" t="s">
        <v>171</v>
      </c>
      <c r="D245" s="8" t="s">
        <v>172</v>
      </c>
      <c r="E245" s="9" t="n">
        <v>32</v>
      </c>
      <c r="F245" s="9" t="n">
        <v>32</v>
      </c>
      <c r="G245" s="10"/>
    </row>
    <row r="246" customFormat="false" ht="15" hidden="false" customHeight="false" outlineLevel="0" collapsed="false">
      <c r="A246" s="7" t="s">
        <v>559</v>
      </c>
      <c r="B246" s="8" t="s">
        <v>560</v>
      </c>
      <c r="C246" s="9" t="s">
        <v>89</v>
      </c>
      <c r="D246" s="8" t="s">
        <v>90</v>
      </c>
      <c r="E246" s="9" t="n">
        <v>32</v>
      </c>
      <c r="F246" s="9" t="n">
        <v>32</v>
      </c>
      <c r="G246" s="10"/>
    </row>
    <row r="247" customFormat="false" ht="15" hidden="false" customHeight="false" outlineLevel="0" collapsed="false">
      <c r="A247" s="7" t="s">
        <v>561</v>
      </c>
      <c r="B247" s="8" t="s">
        <v>562</v>
      </c>
      <c r="C247" s="9"/>
      <c r="D247" s="8"/>
      <c r="E247" s="9" t="n">
        <v>32</v>
      </c>
      <c r="F247" s="9" t="n">
        <v>32</v>
      </c>
      <c r="G247" s="10"/>
    </row>
    <row r="248" customFormat="false" ht="15" hidden="false" customHeight="false" outlineLevel="0" collapsed="false">
      <c r="A248" s="7" t="s">
        <v>563</v>
      </c>
      <c r="B248" s="8" t="s">
        <v>564</v>
      </c>
      <c r="C248" s="9" t="s">
        <v>89</v>
      </c>
      <c r="D248" s="8" t="s">
        <v>90</v>
      </c>
      <c r="E248" s="9" t="n">
        <v>32</v>
      </c>
      <c r="F248" s="9" t="n">
        <v>32</v>
      </c>
      <c r="G248" s="10"/>
    </row>
    <row r="249" customFormat="false" ht="15" hidden="false" customHeight="false" outlineLevel="0" collapsed="false">
      <c r="A249" s="7" t="s">
        <v>565</v>
      </c>
      <c r="B249" s="8" t="s">
        <v>566</v>
      </c>
      <c r="C249" s="9" t="s">
        <v>33</v>
      </c>
      <c r="D249" s="8" t="s">
        <v>34</v>
      </c>
      <c r="E249" s="9" t="n">
        <v>32</v>
      </c>
      <c r="F249" s="9" t="n">
        <v>32</v>
      </c>
      <c r="G249" s="10"/>
    </row>
    <row r="250" customFormat="false" ht="15" hidden="false" customHeight="false" outlineLevel="0" collapsed="false">
      <c r="A250" s="7" t="s">
        <v>567</v>
      </c>
      <c r="B250" s="8" t="s">
        <v>568</v>
      </c>
      <c r="C250" s="9" t="s">
        <v>133</v>
      </c>
      <c r="D250" s="8" t="s">
        <v>134</v>
      </c>
      <c r="E250" s="9" t="n">
        <v>32</v>
      </c>
      <c r="F250" s="9" t="n">
        <v>32</v>
      </c>
      <c r="G250" s="10"/>
    </row>
    <row r="251" customFormat="false" ht="15" hidden="false" customHeight="false" outlineLevel="0" collapsed="false">
      <c r="A251" s="7" t="s">
        <v>569</v>
      </c>
      <c r="B251" s="8" t="s">
        <v>570</v>
      </c>
      <c r="C251" s="9" t="s">
        <v>211</v>
      </c>
      <c r="D251" s="8" t="s">
        <v>212</v>
      </c>
      <c r="E251" s="9" t="n">
        <v>32</v>
      </c>
      <c r="F251" s="9" t="n">
        <v>32</v>
      </c>
      <c r="G251" s="10"/>
    </row>
    <row r="252" customFormat="false" ht="15" hidden="false" customHeight="false" outlineLevel="0" collapsed="false">
      <c r="A252" s="7" t="s">
        <v>571</v>
      </c>
      <c r="B252" s="8" t="s">
        <v>572</v>
      </c>
      <c r="C252" s="9" t="s">
        <v>63</v>
      </c>
      <c r="D252" s="8" t="s">
        <v>64</v>
      </c>
      <c r="E252" s="9" t="n">
        <v>39</v>
      </c>
      <c r="F252" s="9" t="n">
        <v>32</v>
      </c>
      <c r="G252" s="10"/>
    </row>
    <row r="253" customFormat="false" ht="15" hidden="false" customHeight="false" outlineLevel="0" collapsed="false">
      <c r="A253" s="7" t="s">
        <v>573</v>
      </c>
      <c r="B253" s="8" t="s">
        <v>574</v>
      </c>
      <c r="C253" s="9" t="s">
        <v>171</v>
      </c>
      <c r="D253" s="8" t="s">
        <v>172</v>
      </c>
      <c r="E253" s="9" t="n">
        <v>32</v>
      </c>
      <c r="F253" s="9" t="n">
        <v>32</v>
      </c>
      <c r="G253" s="10"/>
    </row>
    <row r="254" customFormat="false" ht="15" hidden="false" customHeight="false" outlineLevel="0" collapsed="false">
      <c r="A254" s="7" t="s">
        <v>575</v>
      </c>
      <c r="B254" s="8" t="s">
        <v>576</v>
      </c>
      <c r="C254" s="9" t="s">
        <v>171</v>
      </c>
      <c r="D254" s="8" t="s">
        <v>172</v>
      </c>
      <c r="E254" s="9" t="n">
        <v>32</v>
      </c>
      <c r="F254" s="9" t="n">
        <v>32</v>
      </c>
      <c r="G254" s="10"/>
    </row>
    <row r="255" customFormat="false" ht="15" hidden="false" customHeight="false" outlineLevel="0" collapsed="false">
      <c r="A255" s="7" t="s">
        <v>577</v>
      </c>
      <c r="B255" s="8" t="s">
        <v>578</v>
      </c>
      <c r="C255" s="9" t="s">
        <v>199</v>
      </c>
      <c r="D255" s="8" t="s">
        <v>200</v>
      </c>
      <c r="E255" s="9" t="n">
        <v>31</v>
      </c>
      <c r="F255" s="9" t="n">
        <v>31</v>
      </c>
      <c r="G255" s="10"/>
    </row>
    <row r="256" customFormat="false" ht="15" hidden="false" customHeight="false" outlineLevel="0" collapsed="false">
      <c r="A256" s="7" t="s">
        <v>579</v>
      </c>
      <c r="B256" s="8" t="s">
        <v>580</v>
      </c>
      <c r="C256" s="9" t="s">
        <v>33</v>
      </c>
      <c r="D256" s="8" t="s">
        <v>34</v>
      </c>
      <c r="E256" s="9" t="n">
        <v>31</v>
      </c>
      <c r="F256" s="9" t="n">
        <v>31</v>
      </c>
      <c r="G256" s="10"/>
    </row>
    <row r="257" customFormat="false" ht="15" hidden="false" customHeight="false" outlineLevel="0" collapsed="false">
      <c r="A257" s="7" t="s">
        <v>581</v>
      </c>
      <c r="B257" s="8" t="s">
        <v>582</v>
      </c>
      <c r="C257" s="9" t="s">
        <v>171</v>
      </c>
      <c r="D257" s="8" t="s">
        <v>172</v>
      </c>
      <c r="E257" s="9" t="n">
        <v>31</v>
      </c>
      <c r="F257" s="9" t="n">
        <v>31</v>
      </c>
      <c r="G257" s="10"/>
    </row>
    <row r="258" customFormat="false" ht="15" hidden="false" customHeight="false" outlineLevel="0" collapsed="false">
      <c r="A258" s="7" t="s">
        <v>583</v>
      </c>
      <c r="B258" s="8" t="s">
        <v>584</v>
      </c>
      <c r="C258" s="9" t="s">
        <v>171</v>
      </c>
      <c r="D258" s="8" t="s">
        <v>172</v>
      </c>
      <c r="E258" s="9" t="n">
        <v>31</v>
      </c>
      <c r="F258" s="9" t="n">
        <v>31</v>
      </c>
      <c r="G258" s="10"/>
    </row>
    <row r="259" customFormat="false" ht="15" hidden="false" customHeight="false" outlineLevel="0" collapsed="false">
      <c r="A259" s="7" t="s">
        <v>585</v>
      </c>
      <c r="B259" s="8" t="s">
        <v>586</v>
      </c>
      <c r="C259" s="9" t="s">
        <v>171</v>
      </c>
      <c r="D259" s="8" t="s">
        <v>172</v>
      </c>
      <c r="E259" s="9" t="n">
        <v>31</v>
      </c>
      <c r="F259" s="9" t="n">
        <v>31</v>
      </c>
      <c r="G259" s="10"/>
    </row>
    <row r="260" customFormat="false" ht="15" hidden="false" customHeight="false" outlineLevel="0" collapsed="false">
      <c r="A260" s="7" t="s">
        <v>587</v>
      </c>
      <c r="B260" s="8" t="s">
        <v>588</v>
      </c>
      <c r="C260" s="9" t="s">
        <v>211</v>
      </c>
      <c r="D260" s="8" t="s">
        <v>212</v>
      </c>
      <c r="E260" s="9" t="n">
        <v>33</v>
      </c>
      <c r="F260" s="9" t="n">
        <v>30</v>
      </c>
      <c r="G260" s="10"/>
    </row>
    <row r="261" customFormat="false" ht="15" hidden="false" customHeight="false" outlineLevel="0" collapsed="false">
      <c r="A261" s="7" t="s">
        <v>589</v>
      </c>
      <c r="B261" s="8" t="s">
        <v>590</v>
      </c>
      <c r="C261" s="9" t="s">
        <v>63</v>
      </c>
      <c r="D261" s="8" t="s">
        <v>64</v>
      </c>
      <c r="E261" s="9" t="n">
        <v>30</v>
      </c>
      <c r="F261" s="9" t="n">
        <v>30</v>
      </c>
      <c r="G261" s="10"/>
    </row>
    <row r="262" customFormat="false" ht="15" hidden="false" customHeight="false" outlineLevel="0" collapsed="false">
      <c r="A262" s="7" t="s">
        <v>591</v>
      </c>
      <c r="B262" s="8" t="s">
        <v>592</v>
      </c>
      <c r="C262" s="9" t="s">
        <v>395</v>
      </c>
      <c r="D262" s="8" t="s">
        <v>396</v>
      </c>
      <c r="E262" s="9" t="n">
        <v>30</v>
      </c>
      <c r="F262" s="9" t="n">
        <v>29</v>
      </c>
      <c r="G262" s="10"/>
    </row>
    <row r="263" customFormat="false" ht="15" hidden="false" customHeight="false" outlineLevel="0" collapsed="false">
      <c r="A263" s="7" t="s">
        <v>593</v>
      </c>
      <c r="B263" s="8" t="s">
        <v>594</v>
      </c>
      <c r="C263" s="9"/>
      <c r="D263" s="8"/>
      <c r="E263" s="9" t="n">
        <v>36</v>
      </c>
      <c r="F263" s="9" t="n">
        <v>29</v>
      </c>
      <c r="G263" s="10"/>
    </row>
    <row r="264" customFormat="false" ht="15" hidden="false" customHeight="false" outlineLevel="0" collapsed="false">
      <c r="A264" s="7" t="s">
        <v>595</v>
      </c>
      <c r="B264" s="8" t="s">
        <v>596</v>
      </c>
      <c r="C264" s="9" t="s">
        <v>33</v>
      </c>
      <c r="D264" s="8" t="s">
        <v>34</v>
      </c>
      <c r="E264" s="9" t="n">
        <v>29</v>
      </c>
      <c r="F264" s="9" t="n">
        <v>29</v>
      </c>
      <c r="G264" s="10"/>
    </row>
    <row r="265" customFormat="false" ht="15" hidden="false" customHeight="false" outlineLevel="0" collapsed="false">
      <c r="A265" s="7" t="s">
        <v>597</v>
      </c>
      <c r="B265" s="8" t="s">
        <v>598</v>
      </c>
      <c r="C265" s="9" t="s">
        <v>171</v>
      </c>
      <c r="D265" s="8" t="s">
        <v>172</v>
      </c>
      <c r="E265" s="9" t="n">
        <v>30</v>
      </c>
      <c r="F265" s="9" t="n">
        <v>29</v>
      </c>
      <c r="G265" s="10"/>
    </row>
    <row r="266" customFormat="false" ht="15" hidden="false" customHeight="false" outlineLevel="0" collapsed="false">
      <c r="A266" s="7" t="s">
        <v>599</v>
      </c>
      <c r="B266" s="8" t="s">
        <v>600</v>
      </c>
      <c r="C266" s="9" t="s">
        <v>171</v>
      </c>
      <c r="D266" s="8" t="s">
        <v>172</v>
      </c>
      <c r="E266" s="9" t="n">
        <v>29</v>
      </c>
      <c r="F266" s="9" t="n">
        <v>29</v>
      </c>
      <c r="G266" s="10"/>
    </row>
    <row r="267" customFormat="false" ht="15" hidden="false" customHeight="false" outlineLevel="0" collapsed="false">
      <c r="A267" s="7" t="s">
        <v>601</v>
      </c>
      <c r="B267" s="8" t="s">
        <v>602</v>
      </c>
      <c r="C267" s="9" t="s">
        <v>69</v>
      </c>
      <c r="D267" s="8" t="s">
        <v>70</v>
      </c>
      <c r="E267" s="9" t="n">
        <v>30</v>
      </c>
      <c r="F267" s="9" t="n">
        <v>29</v>
      </c>
      <c r="G267" s="10"/>
    </row>
    <row r="268" customFormat="false" ht="15" hidden="false" customHeight="false" outlineLevel="0" collapsed="false">
      <c r="A268" s="7" t="s">
        <v>603</v>
      </c>
      <c r="B268" s="8" t="s">
        <v>604</v>
      </c>
      <c r="C268" s="9" t="s">
        <v>171</v>
      </c>
      <c r="D268" s="8" t="s">
        <v>172</v>
      </c>
      <c r="E268" s="9" t="n">
        <v>29</v>
      </c>
      <c r="F268" s="9" t="n">
        <v>29</v>
      </c>
      <c r="G268" s="10"/>
    </row>
    <row r="269" customFormat="false" ht="15" hidden="false" customHeight="false" outlineLevel="0" collapsed="false">
      <c r="A269" s="7" t="s">
        <v>605</v>
      </c>
      <c r="B269" s="8" t="s">
        <v>606</v>
      </c>
      <c r="C269" s="9" t="s">
        <v>199</v>
      </c>
      <c r="D269" s="8" t="s">
        <v>200</v>
      </c>
      <c r="E269" s="9" t="n">
        <v>28</v>
      </c>
      <c r="F269" s="9" t="n">
        <v>28</v>
      </c>
      <c r="G269" s="10"/>
    </row>
    <row r="270" customFormat="false" ht="15" hidden="false" customHeight="false" outlineLevel="0" collapsed="false">
      <c r="A270" s="7" t="s">
        <v>607</v>
      </c>
      <c r="B270" s="8" t="s">
        <v>608</v>
      </c>
      <c r="C270" s="9"/>
      <c r="D270" s="8"/>
      <c r="E270" s="9" t="n">
        <v>28</v>
      </c>
      <c r="F270" s="9" t="n">
        <v>28</v>
      </c>
      <c r="G270" s="10"/>
    </row>
    <row r="271" customFormat="false" ht="15" hidden="false" customHeight="false" outlineLevel="0" collapsed="false">
      <c r="A271" s="7" t="s">
        <v>609</v>
      </c>
      <c r="B271" s="8" t="s">
        <v>610</v>
      </c>
      <c r="C271" s="9" t="s">
        <v>395</v>
      </c>
      <c r="D271" s="8" t="s">
        <v>396</v>
      </c>
      <c r="E271" s="9" t="n">
        <v>28</v>
      </c>
      <c r="F271" s="9" t="n">
        <v>28</v>
      </c>
      <c r="G271" s="10"/>
    </row>
    <row r="272" customFormat="false" ht="15" hidden="false" customHeight="false" outlineLevel="0" collapsed="false">
      <c r="A272" s="7" t="s">
        <v>611</v>
      </c>
      <c r="B272" s="8" t="s">
        <v>612</v>
      </c>
      <c r="C272" s="9" t="s">
        <v>395</v>
      </c>
      <c r="D272" s="8" t="s">
        <v>396</v>
      </c>
      <c r="E272" s="9" t="n">
        <v>28</v>
      </c>
      <c r="F272" s="9" t="n">
        <v>28</v>
      </c>
      <c r="G272" s="10"/>
    </row>
    <row r="273" customFormat="false" ht="15" hidden="false" customHeight="false" outlineLevel="0" collapsed="false">
      <c r="A273" s="7" t="s">
        <v>613</v>
      </c>
      <c r="B273" s="8" t="s">
        <v>614</v>
      </c>
      <c r="C273" s="9"/>
      <c r="D273" s="8"/>
      <c r="E273" s="9" t="n">
        <v>30</v>
      </c>
      <c r="F273" s="9" t="n">
        <v>28</v>
      </c>
      <c r="G273" s="10"/>
    </row>
    <row r="274" customFormat="false" ht="15" hidden="false" customHeight="false" outlineLevel="0" collapsed="false">
      <c r="A274" s="7" t="s">
        <v>615</v>
      </c>
      <c r="B274" s="8" t="s">
        <v>616</v>
      </c>
      <c r="C274" s="9" t="s">
        <v>617</v>
      </c>
      <c r="D274" s="8" t="s">
        <v>618</v>
      </c>
      <c r="E274" s="9" t="n">
        <v>28</v>
      </c>
      <c r="F274" s="9" t="n">
        <v>28</v>
      </c>
      <c r="G274" s="10"/>
    </row>
    <row r="275" customFormat="false" ht="15" hidden="false" customHeight="false" outlineLevel="0" collapsed="false">
      <c r="A275" s="7" t="s">
        <v>619</v>
      </c>
      <c r="B275" s="8" t="s">
        <v>620</v>
      </c>
      <c r="C275" s="9" t="s">
        <v>405</v>
      </c>
      <c r="D275" s="8" t="s">
        <v>406</v>
      </c>
      <c r="E275" s="9" t="n">
        <v>32</v>
      </c>
      <c r="F275" s="9" t="n">
        <v>27</v>
      </c>
      <c r="G275" s="10"/>
    </row>
    <row r="276" customFormat="false" ht="15" hidden="false" customHeight="false" outlineLevel="0" collapsed="false">
      <c r="A276" s="7" t="s">
        <v>621</v>
      </c>
      <c r="B276" s="8" t="s">
        <v>622</v>
      </c>
      <c r="C276" s="9" t="s">
        <v>33</v>
      </c>
      <c r="D276" s="8" t="s">
        <v>34</v>
      </c>
      <c r="E276" s="9" t="n">
        <v>27</v>
      </c>
      <c r="F276" s="9" t="n">
        <v>27</v>
      </c>
      <c r="G276" s="10"/>
    </row>
    <row r="277" customFormat="false" ht="15" hidden="false" customHeight="false" outlineLevel="0" collapsed="false">
      <c r="A277" s="7" t="s">
        <v>623</v>
      </c>
      <c r="B277" s="8" t="s">
        <v>624</v>
      </c>
      <c r="C277" s="9" t="s">
        <v>171</v>
      </c>
      <c r="D277" s="8" t="s">
        <v>172</v>
      </c>
      <c r="E277" s="9" t="n">
        <v>27</v>
      </c>
      <c r="F277" s="9" t="n">
        <v>27</v>
      </c>
      <c r="G277" s="10"/>
    </row>
    <row r="278" customFormat="false" ht="15" hidden="false" customHeight="false" outlineLevel="0" collapsed="false">
      <c r="A278" s="7" t="s">
        <v>625</v>
      </c>
      <c r="B278" s="8" t="s">
        <v>626</v>
      </c>
      <c r="C278" s="9" t="s">
        <v>171</v>
      </c>
      <c r="D278" s="8" t="s">
        <v>172</v>
      </c>
      <c r="E278" s="9" t="n">
        <v>27</v>
      </c>
      <c r="F278" s="9" t="n">
        <v>27</v>
      </c>
      <c r="G278" s="10"/>
    </row>
    <row r="279" customFormat="false" ht="15" hidden="false" customHeight="false" outlineLevel="0" collapsed="false">
      <c r="A279" s="7" t="s">
        <v>627</v>
      </c>
      <c r="B279" s="8" t="s">
        <v>628</v>
      </c>
      <c r="C279" s="9" t="s">
        <v>171</v>
      </c>
      <c r="D279" s="8" t="s">
        <v>172</v>
      </c>
      <c r="E279" s="9" t="n">
        <v>27</v>
      </c>
      <c r="F279" s="9" t="n">
        <v>27</v>
      </c>
      <c r="G279" s="10"/>
    </row>
    <row r="280" customFormat="false" ht="15" hidden="false" customHeight="false" outlineLevel="0" collapsed="false">
      <c r="A280" s="7" t="s">
        <v>629</v>
      </c>
      <c r="B280" s="8" t="s">
        <v>630</v>
      </c>
      <c r="C280" s="9" t="s">
        <v>171</v>
      </c>
      <c r="D280" s="8" t="s">
        <v>172</v>
      </c>
      <c r="E280" s="9" t="n">
        <v>27</v>
      </c>
      <c r="F280" s="9" t="n">
        <v>27</v>
      </c>
      <c r="G280" s="10"/>
    </row>
    <row r="281" customFormat="false" ht="15" hidden="false" customHeight="false" outlineLevel="0" collapsed="false">
      <c r="A281" s="7" t="s">
        <v>631</v>
      </c>
      <c r="B281" s="8" t="s">
        <v>632</v>
      </c>
      <c r="C281" s="9" t="s">
        <v>171</v>
      </c>
      <c r="D281" s="8" t="s">
        <v>172</v>
      </c>
      <c r="E281" s="9" t="n">
        <v>28</v>
      </c>
      <c r="F281" s="9" t="n">
        <v>27</v>
      </c>
      <c r="G281" s="10"/>
    </row>
    <row r="282" customFormat="false" ht="15" hidden="false" customHeight="false" outlineLevel="0" collapsed="false">
      <c r="A282" s="7" t="s">
        <v>633</v>
      </c>
      <c r="B282" s="8" t="s">
        <v>634</v>
      </c>
      <c r="C282" s="9" t="s">
        <v>23</v>
      </c>
      <c r="D282" s="8" t="s">
        <v>24</v>
      </c>
      <c r="E282" s="9" t="n">
        <v>26</v>
      </c>
      <c r="F282" s="9" t="n">
        <v>26</v>
      </c>
      <c r="G282" s="10"/>
    </row>
    <row r="283" customFormat="false" ht="15" hidden="false" customHeight="false" outlineLevel="0" collapsed="false">
      <c r="A283" s="7" t="s">
        <v>635</v>
      </c>
      <c r="B283" s="8" t="s">
        <v>636</v>
      </c>
      <c r="C283" s="9" t="s">
        <v>33</v>
      </c>
      <c r="D283" s="8" t="s">
        <v>34</v>
      </c>
      <c r="E283" s="9" t="n">
        <v>28</v>
      </c>
      <c r="F283" s="9" t="n">
        <v>26</v>
      </c>
      <c r="G283" s="10"/>
    </row>
    <row r="284" customFormat="false" ht="15" hidden="false" customHeight="false" outlineLevel="0" collapsed="false">
      <c r="A284" s="7" t="s">
        <v>637</v>
      </c>
      <c r="B284" s="8" t="s">
        <v>638</v>
      </c>
      <c r="C284" s="9"/>
      <c r="D284" s="8"/>
      <c r="E284" s="9" t="n">
        <v>26</v>
      </c>
      <c r="F284" s="9" t="n">
        <v>26</v>
      </c>
      <c r="G284" s="10"/>
    </row>
    <row r="285" customFormat="false" ht="15" hidden="false" customHeight="false" outlineLevel="0" collapsed="false">
      <c r="A285" s="7" t="s">
        <v>639</v>
      </c>
      <c r="B285" s="8" t="s">
        <v>640</v>
      </c>
      <c r="C285" s="9" t="s">
        <v>63</v>
      </c>
      <c r="D285" s="8" t="s">
        <v>64</v>
      </c>
      <c r="E285" s="9" t="n">
        <v>26</v>
      </c>
      <c r="F285" s="9" t="n">
        <v>26</v>
      </c>
      <c r="G285" s="10"/>
    </row>
    <row r="286" customFormat="false" ht="15" hidden="false" customHeight="false" outlineLevel="0" collapsed="false">
      <c r="A286" s="7" t="s">
        <v>641</v>
      </c>
      <c r="B286" s="8" t="s">
        <v>642</v>
      </c>
      <c r="C286" s="9" t="s">
        <v>171</v>
      </c>
      <c r="D286" s="8" t="s">
        <v>172</v>
      </c>
      <c r="E286" s="9" t="n">
        <v>26</v>
      </c>
      <c r="F286" s="9" t="n">
        <v>26</v>
      </c>
      <c r="G286" s="10"/>
    </row>
    <row r="287" customFormat="false" ht="15" hidden="false" customHeight="false" outlineLevel="0" collapsed="false">
      <c r="A287" s="7" t="s">
        <v>643</v>
      </c>
      <c r="B287" s="8" t="s">
        <v>644</v>
      </c>
      <c r="C287" s="9" t="s">
        <v>33</v>
      </c>
      <c r="D287" s="8" t="s">
        <v>34</v>
      </c>
      <c r="E287" s="9" t="n">
        <v>25</v>
      </c>
      <c r="F287" s="9" t="n">
        <v>25</v>
      </c>
      <c r="G287" s="10"/>
    </row>
    <row r="288" customFormat="false" ht="15" hidden="false" customHeight="false" outlineLevel="0" collapsed="false">
      <c r="A288" s="7" t="s">
        <v>645</v>
      </c>
      <c r="B288" s="8" t="s">
        <v>646</v>
      </c>
      <c r="C288" s="9" t="s">
        <v>63</v>
      </c>
      <c r="D288" s="8" t="s">
        <v>64</v>
      </c>
      <c r="E288" s="9" t="n">
        <v>25</v>
      </c>
      <c r="F288" s="9" t="n">
        <v>25</v>
      </c>
      <c r="G288" s="10"/>
    </row>
    <row r="289" customFormat="false" ht="15" hidden="false" customHeight="false" outlineLevel="0" collapsed="false">
      <c r="A289" s="7" t="s">
        <v>647</v>
      </c>
      <c r="B289" s="8" t="s">
        <v>648</v>
      </c>
      <c r="C289" s="9" t="s">
        <v>33</v>
      </c>
      <c r="D289" s="8" t="s">
        <v>34</v>
      </c>
      <c r="E289" s="9" t="n">
        <v>25</v>
      </c>
      <c r="F289" s="9" t="n">
        <v>25</v>
      </c>
      <c r="G289" s="10"/>
    </row>
    <row r="290" customFormat="false" ht="15" hidden="false" customHeight="false" outlineLevel="0" collapsed="false">
      <c r="A290" s="7" t="s">
        <v>649</v>
      </c>
      <c r="B290" s="8" t="s">
        <v>650</v>
      </c>
      <c r="C290" s="9" t="s">
        <v>171</v>
      </c>
      <c r="D290" s="8" t="s">
        <v>172</v>
      </c>
      <c r="E290" s="9" t="n">
        <v>25</v>
      </c>
      <c r="F290" s="9" t="n">
        <v>25</v>
      </c>
      <c r="G290" s="10"/>
    </row>
    <row r="291" customFormat="false" ht="15" hidden="false" customHeight="false" outlineLevel="0" collapsed="false">
      <c r="A291" s="7" t="s">
        <v>651</v>
      </c>
      <c r="B291" s="8" t="s">
        <v>652</v>
      </c>
      <c r="C291" s="9" t="s">
        <v>171</v>
      </c>
      <c r="D291" s="8" t="s">
        <v>172</v>
      </c>
      <c r="E291" s="9" t="n">
        <v>25</v>
      </c>
      <c r="F291" s="9" t="n">
        <v>25</v>
      </c>
      <c r="G291" s="10"/>
    </row>
    <row r="292" customFormat="false" ht="15" hidden="false" customHeight="false" outlineLevel="0" collapsed="false">
      <c r="A292" s="7" t="s">
        <v>653</v>
      </c>
      <c r="B292" s="8" t="s">
        <v>654</v>
      </c>
      <c r="C292" s="9" t="s">
        <v>171</v>
      </c>
      <c r="D292" s="8" t="s">
        <v>172</v>
      </c>
      <c r="E292" s="9" t="n">
        <v>25</v>
      </c>
      <c r="F292" s="9" t="n">
        <v>25</v>
      </c>
      <c r="G292" s="10"/>
    </row>
    <row r="293" customFormat="false" ht="15" hidden="false" customHeight="false" outlineLevel="0" collapsed="false">
      <c r="A293" s="7" t="s">
        <v>655</v>
      </c>
      <c r="B293" s="8" t="s">
        <v>656</v>
      </c>
      <c r="C293" s="9" t="s">
        <v>405</v>
      </c>
      <c r="D293" s="8" t="s">
        <v>406</v>
      </c>
      <c r="E293" s="9" t="n">
        <v>24</v>
      </c>
      <c r="F293" s="9" t="n">
        <v>24</v>
      </c>
      <c r="G293" s="10"/>
    </row>
    <row r="294" customFormat="false" ht="15" hidden="false" customHeight="false" outlineLevel="0" collapsed="false">
      <c r="A294" s="7" t="s">
        <v>657</v>
      </c>
      <c r="B294" s="8" t="s">
        <v>658</v>
      </c>
      <c r="C294" s="9"/>
      <c r="D294" s="8"/>
      <c r="E294" s="9" t="n">
        <v>24</v>
      </c>
      <c r="F294" s="9" t="n">
        <v>24</v>
      </c>
      <c r="G294" s="10"/>
    </row>
    <row r="295" customFormat="false" ht="15" hidden="false" customHeight="false" outlineLevel="0" collapsed="false">
      <c r="A295" s="7" t="s">
        <v>659</v>
      </c>
      <c r="B295" s="8" t="s">
        <v>660</v>
      </c>
      <c r="C295" s="9"/>
      <c r="D295" s="8"/>
      <c r="E295" s="9" t="n">
        <v>24</v>
      </c>
      <c r="F295" s="9" t="n">
        <v>24</v>
      </c>
      <c r="G295" s="10"/>
    </row>
    <row r="296" customFormat="false" ht="15" hidden="false" customHeight="false" outlineLevel="0" collapsed="false">
      <c r="A296" s="7" t="s">
        <v>661</v>
      </c>
      <c r="B296" s="8" t="s">
        <v>662</v>
      </c>
      <c r="C296" s="9" t="s">
        <v>395</v>
      </c>
      <c r="D296" s="8" t="s">
        <v>396</v>
      </c>
      <c r="E296" s="9" t="n">
        <v>25</v>
      </c>
      <c r="F296" s="9" t="n">
        <v>24</v>
      </c>
      <c r="G296" s="10"/>
    </row>
    <row r="297" customFormat="false" ht="15" hidden="false" customHeight="false" outlineLevel="0" collapsed="false">
      <c r="A297" s="7" t="s">
        <v>663</v>
      </c>
      <c r="B297" s="8" t="s">
        <v>664</v>
      </c>
      <c r="C297" s="9" t="s">
        <v>33</v>
      </c>
      <c r="D297" s="8" t="s">
        <v>34</v>
      </c>
      <c r="E297" s="9" t="n">
        <v>24</v>
      </c>
      <c r="F297" s="9" t="n">
        <v>24</v>
      </c>
      <c r="G297" s="10"/>
    </row>
    <row r="298" customFormat="false" ht="15" hidden="false" customHeight="false" outlineLevel="0" collapsed="false">
      <c r="A298" s="7" t="s">
        <v>665</v>
      </c>
      <c r="B298" s="8" t="s">
        <v>666</v>
      </c>
      <c r="C298" s="9" t="s">
        <v>33</v>
      </c>
      <c r="D298" s="8" t="s">
        <v>34</v>
      </c>
      <c r="E298" s="9" t="n">
        <v>25</v>
      </c>
      <c r="F298" s="9" t="n">
        <v>24</v>
      </c>
      <c r="G298" s="10"/>
    </row>
    <row r="299" customFormat="false" ht="15" hidden="false" customHeight="false" outlineLevel="0" collapsed="false">
      <c r="A299" s="7" t="s">
        <v>667</v>
      </c>
      <c r="B299" s="8" t="s">
        <v>668</v>
      </c>
      <c r="C299" s="9" t="s">
        <v>89</v>
      </c>
      <c r="D299" s="8" t="s">
        <v>90</v>
      </c>
      <c r="E299" s="9" t="n">
        <v>24</v>
      </c>
      <c r="F299" s="9" t="n">
        <v>24</v>
      </c>
      <c r="G299" s="10"/>
    </row>
    <row r="300" customFormat="false" ht="15" hidden="false" customHeight="false" outlineLevel="0" collapsed="false">
      <c r="A300" s="7" t="s">
        <v>669</v>
      </c>
      <c r="B300" s="8" t="s">
        <v>670</v>
      </c>
      <c r="C300" s="9" t="s">
        <v>33</v>
      </c>
      <c r="D300" s="8" t="s">
        <v>34</v>
      </c>
      <c r="E300" s="9" t="n">
        <v>24</v>
      </c>
      <c r="F300" s="9" t="n">
        <v>24</v>
      </c>
      <c r="G300" s="10"/>
    </row>
    <row r="301" customFormat="false" ht="15" hidden="false" customHeight="false" outlineLevel="0" collapsed="false">
      <c r="A301" s="7" t="s">
        <v>671</v>
      </c>
      <c r="B301" s="8" t="s">
        <v>672</v>
      </c>
      <c r="C301" s="9" t="s">
        <v>171</v>
      </c>
      <c r="D301" s="8" t="s">
        <v>172</v>
      </c>
      <c r="E301" s="9" t="n">
        <v>25</v>
      </c>
      <c r="F301" s="9" t="n">
        <v>24</v>
      </c>
      <c r="G301" s="10"/>
    </row>
    <row r="302" customFormat="false" ht="15" hidden="false" customHeight="false" outlineLevel="0" collapsed="false">
      <c r="A302" s="7" t="s">
        <v>673</v>
      </c>
      <c r="B302" s="8" t="s">
        <v>674</v>
      </c>
      <c r="C302" s="9" t="s">
        <v>171</v>
      </c>
      <c r="D302" s="8" t="s">
        <v>172</v>
      </c>
      <c r="E302" s="9" t="n">
        <v>24</v>
      </c>
      <c r="F302" s="9" t="n">
        <v>24</v>
      </c>
      <c r="G302" s="10"/>
    </row>
    <row r="303" customFormat="false" ht="15" hidden="false" customHeight="false" outlineLevel="0" collapsed="false">
      <c r="A303" s="7" t="s">
        <v>675</v>
      </c>
      <c r="B303" s="8" t="s">
        <v>676</v>
      </c>
      <c r="C303" s="9" t="s">
        <v>23</v>
      </c>
      <c r="D303" s="8" t="s">
        <v>24</v>
      </c>
      <c r="E303" s="9" t="n">
        <v>23</v>
      </c>
      <c r="F303" s="9" t="n">
        <v>23</v>
      </c>
      <c r="G303" s="10"/>
    </row>
    <row r="304" customFormat="false" ht="15" hidden="false" customHeight="false" outlineLevel="0" collapsed="false">
      <c r="A304" s="7" t="s">
        <v>677</v>
      </c>
      <c r="B304" s="8" t="s">
        <v>678</v>
      </c>
      <c r="C304" s="9" t="s">
        <v>33</v>
      </c>
      <c r="D304" s="8" t="s">
        <v>34</v>
      </c>
      <c r="E304" s="9" t="n">
        <v>23</v>
      </c>
      <c r="F304" s="9" t="n">
        <v>23</v>
      </c>
      <c r="G304" s="10"/>
    </row>
    <row r="305" customFormat="false" ht="15" hidden="false" customHeight="false" outlineLevel="0" collapsed="false">
      <c r="A305" s="7" t="s">
        <v>679</v>
      </c>
      <c r="B305" s="8" t="s">
        <v>680</v>
      </c>
      <c r="C305" s="9" t="s">
        <v>211</v>
      </c>
      <c r="D305" s="8" t="s">
        <v>212</v>
      </c>
      <c r="E305" s="9" t="n">
        <v>23</v>
      </c>
      <c r="F305" s="9" t="n">
        <v>23</v>
      </c>
      <c r="G305" s="10"/>
    </row>
    <row r="306" customFormat="false" ht="15" hidden="false" customHeight="false" outlineLevel="0" collapsed="false">
      <c r="A306" s="7" t="s">
        <v>681</v>
      </c>
      <c r="B306" s="8" t="s">
        <v>682</v>
      </c>
      <c r="C306" s="9" t="s">
        <v>405</v>
      </c>
      <c r="D306" s="8" t="s">
        <v>406</v>
      </c>
      <c r="E306" s="9" t="n">
        <v>23</v>
      </c>
      <c r="F306" s="9" t="n">
        <v>23</v>
      </c>
      <c r="G306" s="10"/>
    </row>
    <row r="307" customFormat="false" ht="15" hidden="false" customHeight="false" outlineLevel="0" collapsed="false">
      <c r="A307" s="7" t="s">
        <v>683</v>
      </c>
      <c r="B307" s="8" t="s">
        <v>684</v>
      </c>
      <c r="C307" s="9" t="s">
        <v>33</v>
      </c>
      <c r="D307" s="8" t="s">
        <v>34</v>
      </c>
      <c r="E307" s="9" t="n">
        <v>23</v>
      </c>
      <c r="F307" s="9" t="n">
        <v>23</v>
      </c>
      <c r="G307" s="10"/>
    </row>
    <row r="308" customFormat="false" ht="15" hidden="false" customHeight="false" outlineLevel="0" collapsed="false">
      <c r="A308" s="7" t="s">
        <v>685</v>
      </c>
      <c r="B308" s="8" t="s">
        <v>686</v>
      </c>
      <c r="C308" s="9" t="s">
        <v>33</v>
      </c>
      <c r="D308" s="8" t="s">
        <v>34</v>
      </c>
      <c r="E308" s="9" t="n">
        <v>23</v>
      </c>
      <c r="F308" s="9" t="n">
        <v>23</v>
      </c>
      <c r="G308" s="10"/>
    </row>
    <row r="309" customFormat="false" ht="15" hidden="false" customHeight="false" outlineLevel="0" collapsed="false">
      <c r="A309" s="7" t="s">
        <v>687</v>
      </c>
      <c r="B309" s="8" t="s">
        <v>688</v>
      </c>
      <c r="C309" s="9" t="s">
        <v>33</v>
      </c>
      <c r="D309" s="8" t="s">
        <v>34</v>
      </c>
      <c r="E309" s="9" t="n">
        <v>23</v>
      </c>
      <c r="F309" s="9" t="n">
        <v>23</v>
      </c>
      <c r="G309" s="10"/>
    </row>
    <row r="310" customFormat="false" ht="15" hidden="false" customHeight="false" outlineLevel="0" collapsed="false">
      <c r="A310" s="7" t="s">
        <v>689</v>
      </c>
      <c r="B310" s="8" t="s">
        <v>690</v>
      </c>
      <c r="C310" s="9" t="s">
        <v>171</v>
      </c>
      <c r="D310" s="8" t="s">
        <v>172</v>
      </c>
      <c r="E310" s="9" t="n">
        <v>23</v>
      </c>
      <c r="F310" s="9" t="n">
        <v>23</v>
      </c>
      <c r="G310" s="10"/>
    </row>
    <row r="311" customFormat="false" ht="15" hidden="false" customHeight="false" outlineLevel="0" collapsed="false">
      <c r="A311" s="7" t="s">
        <v>691</v>
      </c>
      <c r="B311" s="8" t="s">
        <v>692</v>
      </c>
      <c r="C311" s="9" t="s">
        <v>171</v>
      </c>
      <c r="D311" s="8" t="s">
        <v>172</v>
      </c>
      <c r="E311" s="9" t="n">
        <v>23</v>
      </c>
      <c r="F311" s="9" t="n">
        <v>23</v>
      </c>
      <c r="G311" s="10"/>
    </row>
    <row r="312" customFormat="false" ht="15" hidden="false" customHeight="false" outlineLevel="0" collapsed="false">
      <c r="A312" s="7" t="s">
        <v>693</v>
      </c>
      <c r="B312" s="8" t="s">
        <v>694</v>
      </c>
      <c r="C312" s="9" t="s">
        <v>395</v>
      </c>
      <c r="D312" s="8" t="s">
        <v>396</v>
      </c>
      <c r="E312" s="9" t="n">
        <v>23</v>
      </c>
      <c r="F312" s="9" t="n">
        <v>22</v>
      </c>
      <c r="G312" s="10"/>
    </row>
    <row r="313" customFormat="false" ht="15" hidden="false" customHeight="false" outlineLevel="0" collapsed="false">
      <c r="A313" s="7" t="s">
        <v>695</v>
      </c>
      <c r="B313" s="8" t="s">
        <v>696</v>
      </c>
      <c r="C313" s="9" t="s">
        <v>33</v>
      </c>
      <c r="D313" s="8" t="s">
        <v>34</v>
      </c>
      <c r="E313" s="9" t="n">
        <v>22</v>
      </c>
      <c r="F313" s="9" t="n">
        <v>22</v>
      </c>
      <c r="G313" s="10"/>
    </row>
    <row r="314" customFormat="false" ht="15" hidden="false" customHeight="false" outlineLevel="0" collapsed="false">
      <c r="A314" s="7" t="s">
        <v>697</v>
      </c>
      <c r="B314" s="8" t="s">
        <v>698</v>
      </c>
      <c r="C314" s="9" t="s">
        <v>171</v>
      </c>
      <c r="D314" s="8" t="s">
        <v>172</v>
      </c>
      <c r="E314" s="9" t="n">
        <v>22</v>
      </c>
      <c r="F314" s="9" t="n">
        <v>22</v>
      </c>
      <c r="G314" s="10"/>
    </row>
    <row r="315" customFormat="false" ht="15" hidden="false" customHeight="false" outlineLevel="0" collapsed="false">
      <c r="A315" s="7" t="s">
        <v>699</v>
      </c>
      <c r="B315" s="8" t="s">
        <v>700</v>
      </c>
      <c r="C315" s="9" t="s">
        <v>315</v>
      </c>
      <c r="D315" s="8" t="s">
        <v>316</v>
      </c>
      <c r="E315" s="9" t="n">
        <v>22</v>
      </c>
      <c r="F315" s="9" t="n">
        <v>22</v>
      </c>
      <c r="G315" s="10"/>
    </row>
    <row r="316" customFormat="false" ht="15" hidden="false" customHeight="false" outlineLevel="0" collapsed="false">
      <c r="A316" s="7" t="s">
        <v>701</v>
      </c>
      <c r="B316" s="8" t="s">
        <v>702</v>
      </c>
      <c r="C316" s="9" t="s">
        <v>63</v>
      </c>
      <c r="D316" s="8" t="s">
        <v>64</v>
      </c>
      <c r="E316" s="9" t="n">
        <v>22</v>
      </c>
      <c r="F316" s="9" t="n">
        <v>22</v>
      </c>
      <c r="G316" s="10"/>
    </row>
    <row r="317" customFormat="false" ht="15" hidden="false" customHeight="false" outlineLevel="0" collapsed="false">
      <c r="A317" s="7" t="s">
        <v>703</v>
      </c>
      <c r="B317" s="8" t="s">
        <v>704</v>
      </c>
      <c r="C317" s="9" t="s">
        <v>63</v>
      </c>
      <c r="D317" s="8" t="s">
        <v>64</v>
      </c>
      <c r="E317" s="9" t="n">
        <v>22</v>
      </c>
      <c r="F317" s="9" t="n">
        <v>22</v>
      </c>
      <c r="G317" s="10"/>
    </row>
    <row r="318" customFormat="false" ht="15" hidden="false" customHeight="false" outlineLevel="0" collapsed="false">
      <c r="A318" s="7" t="s">
        <v>705</v>
      </c>
      <c r="B318" s="8" t="s">
        <v>706</v>
      </c>
      <c r="C318" s="9"/>
      <c r="D318" s="8"/>
      <c r="E318" s="9" t="n">
        <v>22</v>
      </c>
      <c r="F318" s="9" t="n">
        <v>22</v>
      </c>
      <c r="G318" s="10"/>
    </row>
    <row r="319" customFormat="false" ht="15" hidden="false" customHeight="false" outlineLevel="0" collapsed="false">
      <c r="A319" s="7" t="s">
        <v>707</v>
      </c>
      <c r="B319" s="8" t="s">
        <v>708</v>
      </c>
      <c r="C319" s="9" t="s">
        <v>171</v>
      </c>
      <c r="D319" s="8" t="s">
        <v>172</v>
      </c>
      <c r="E319" s="9" t="n">
        <v>22</v>
      </c>
      <c r="F319" s="9" t="n">
        <v>22</v>
      </c>
      <c r="G319" s="10"/>
    </row>
    <row r="320" customFormat="false" ht="15" hidden="false" customHeight="false" outlineLevel="0" collapsed="false">
      <c r="A320" s="7" t="s">
        <v>709</v>
      </c>
      <c r="B320" s="8" t="s">
        <v>710</v>
      </c>
      <c r="C320" s="9" t="s">
        <v>171</v>
      </c>
      <c r="D320" s="8" t="s">
        <v>172</v>
      </c>
      <c r="E320" s="9" t="n">
        <v>22</v>
      </c>
      <c r="F320" s="9" t="n">
        <v>22</v>
      </c>
      <c r="G320" s="10"/>
    </row>
    <row r="321" customFormat="false" ht="15" hidden="false" customHeight="false" outlineLevel="0" collapsed="false">
      <c r="A321" s="7" t="s">
        <v>711</v>
      </c>
      <c r="B321" s="8" t="s">
        <v>712</v>
      </c>
      <c r="C321" s="9" t="s">
        <v>171</v>
      </c>
      <c r="D321" s="8" t="s">
        <v>172</v>
      </c>
      <c r="E321" s="9" t="n">
        <v>22</v>
      </c>
      <c r="F321" s="9" t="n">
        <v>22</v>
      </c>
      <c r="G321" s="10"/>
    </row>
    <row r="322" customFormat="false" ht="15" hidden="false" customHeight="false" outlineLevel="0" collapsed="false">
      <c r="A322" s="7" t="s">
        <v>713</v>
      </c>
      <c r="B322" s="8" t="s">
        <v>714</v>
      </c>
      <c r="C322" s="9" t="s">
        <v>93</v>
      </c>
      <c r="D322" s="8" t="s">
        <v>94</v>
      </c>
      <c r="E322" s="9" t="n">
        <v>21</v>
      </c>
      <c r="F322" s="9" t="n">
        <v>21</v>
      </c>
      <c r="G322" s="10"/>
    </row>
    <row r="323" customFormat="false" ht="15" hidden="false" customHeight="false" outlineLevel="0" collapsed="false">
      <c r="A323" s="7" t="s">
        <v>715</v>
      </c>
      <c r="B323" s="8" t="s">
        <v>716</v>
      </c>
      <c r="C323" s="9" t="s">
        <v>395</v>
      </c>
      <c r="D323" s="8" t="s">
        <v>396</v>
      </c>
      <c r="E323" s="9" t="n">
        <v>21</v>
      </c>
      <c r="F323" s="9" t="n">
        <v>21</v>
      </c>
      <c r="G323" s="10"/>
    </row>
    <row r="324" customFormat="false" ht="15" hidden="false" customHeight="false" outlineLevel="0" collapsed="false">
      <c r="A324" s="7" t="s">
        <v>717</v>
      </c>
      <c r="B324" s="8" t="s">
        <v>718</v>
      </c>
      <c r="C324" s="9" t="s">
        <v>63</v>
      </c>
      <c r="D324" s="8" t="s">
        <v>64</v>
      </c>
      <c r="E324" s="9" t="n">
        <v>21</v>
      </c>
      <c r="F324" s="9" t="n">
        <v>21</v>
      </c>
      <c r="G324" s="10"/>
    </row>
    <row r="325" customFormat="false" ht="15" hidden="false" customHeight="false" outlineLevel="0" collapsed="false">
      <c r="A325" s="7" t="s">
        <v>719</v>
      </c>
      <c r="B325" s="8" t="s">
        <v>720</v>
      </c>
      <c r="C325" s="9" t="s">
        <v>171</v>
      </c>
      <c r="D325" s="8" t="s">
        <v>172</v>
      </c>
      <c r="E325" s="9" t="n">
        <v>21</v>
      </c>
      <c r="F325" s="9" t="n">
        <v>21</v>
      </c>
      <c r="G325" s="10"/>
    </row>
    <row r="326" customFormat="false" ht="15" hidden="false" customHeight="false" outlineLevel="0" collapsed="false">
      <c r="A326" s="7" t="s">
        <v>721</v>
      </c>
      <c r="B326" s="8" t="s">
        <v>722</v>
      </c>
      <c r="C326" s="9" t="s">
        <v>723</v>
      </c>
      <c r="D326" s="8" t="s">
        <v>724</v>
      </c>
      <c r="E326" s="9" t="n">
        <v>22</v>
      </c>
      <c r="F326" s="9" t="n">
        <v>21</v>
      </c>
      <c r="G326" s="10"/>
    </row>
    <row r="327" customFormat="false" ht="15" hidden="false" customHeight="false" outlineLevel="0" collapsed="false">
      <c r="A327" s="7" t="s">
        <v>725</v>
      </c>
      <c r="B327" s="8" t="s">
        <v>726</v>
      </c>
      <c r="C327" s="9" t="s">
        <v>405</v>
      </c>
      <c r="D327" s="8" t="s">
        <v>406</v>
      </c>
      <c r="E327" s="9" t="n">
        <v>38</v>
      </c>
      <c r="F327" s="9" t="n">
        <v>20</v>
      </c>
      <c r="G327" s="10"/>
    </row>
    <row r="328" customFormat="false" ht="15" hidden="false" customHeight="false" outlineLevel="0" collapsed="false">
      <c r="A328" s="7" t="s">
        <v>727</v>
      </c>
      <c r="B328" s="8" t="s">
        <v>728</v>
      </c>
      <c r="C328" s="9" t="s">
        <v>199</v>
      </c>
      <c r="D328" s="8" t="s">
        <v>200</v>
      </c>
      <c r="E328" s="9" t="n">
        <v>30</v>
      </c>
      <c r="F328" s="9" t="n">
        <v>20</v>
      </c>
      <c r="G328" s="10"/>
    </row>
    <row r="329" customFormat="false" ht="15" hidden="false" customHeight="false" outlineLevel="0" collapsed="false">
      <c r="A329" s="7" t="s">
        <v>729</v>
      </c>
      <c r="B329" s="8" t="s">
        <v>730</v>
      </c>
      <c r="C329" s="9" t="s">
        <v>199</v>
      </c>
      <c r="D329" s="8" t="s">
        <v>200</v>
      </c>
      <c r="E329" s="9" t="n">
        <v>25</v>
      </c>
      <c r="F329" s="9" t="n">
        <v>20</v>
      </c>
      <c r="G329" s="10"/>
    </row>
    <row r="330" customFormat="false" ht="15" hidden="false" customHeight="false" outlineLevel="0" collapsed="false">
      <c r="A330" s="7" t="s">
        <v>731</v>
      </c>
      <c r="B330" s="8" t="s">
        <v>732</v>
      </c>
      <c r="C330" s="9" t="s">
        <v>23</v>
      </c>
      <c r="D330" s="8" t="s">
        <v>24</v>
      </c>
      <c r="E330" s="9" t="n">
        <v>20</v>
      </c>
      <c r="F330" s="9" t="n">
        <v>20</v>
      </c>
      <c r="G330" s="10"/>
    </row>
    <row r="331" customFormat="false" ht="15" hidden="false" customHeight="false" outlineLevel="0" collapsed="false">
      <c r="A331" s="7" t="s">
        <v>733</v>
      </c>
      <c r="B331" s="8" t="s">
        <v>734</v>
      </c>
      <c r="C331" s="9" t="s">
        <v>33</v>
      </c>
      <c r="D331" s="8" t="s">
        <v>34</v>
      </c>
      <c r="E331" s="9" t="n">
        <v>20</v>
      </c>
      <c r="F331" s="9" t="n">
        <v>20</v>
      </c>
      <c r="G331" s="10"/>
    </row>
    <row r="332" customFormat="false" ht="15" hidden="false" customHeight="false" outlineLevel="0" collapsed="false">
      <c r="A332" s="7" t="s">
        <v>735</v>
      </c>
      <c r="B332" s="8" t="s">
        <v>736</v>
      </c>
      <c r="C332" s="9" t="s">
        <v>405</v>
      </c>
      <c r="D332" s="8" t="s">
        <v>406</v>
      </c>
      <c r="E332" s="9" t="n">
        <v>20</v>
      </c>
      <c r="F332" s="9" t="n">
        <v>20</v>
      </c>
      <c r="G332" s="10"/>
    </row>
    <row r="333" customFormat="false" ht="15" hidden="false" customHeight="false" outlineLevel="0" collapsed="false">
      <c r="A333" s="7" t="s">
        <v>737</v>
      </c>
      <c r="B333" s="8" t="s">
        <v>738</v>
      </c>
      <c r="C333" s="9"/>
      <c r="D333" s="8"/>
      <c r="E333" s="9" t="n">
        <v>20</v>
      </c>
      <c r="F333" s="9" t="n">
        <v>20</v>
      </c>
      <c r="G333" s="10"/>
    </row>
    <row r="334" customFormat="false" ht="15" hidden="false" customHeight="false" outlineLevel="0" collapsed="false">
      <c r="A334" s="7" t="s">
        <v>739</v>
      </c>
      <c r="B334" s="8" t="s">
        <v>740</v>
      </c>
      <c r="C334" s="9" t="s">
        <v>171</v>
      </c>
      <c r="D334" s="8" t="s">
        <v>172</v>
      </c>
      <c r="E334" s="9" t="n">
        <v>20</v>
      </c>
      <c r="F334" s="9" t="n">
        <v>20</v>
      </c>
      <c r="G334" s="10"/>
    </row>
    <row r="335" customFormat="false" ht="15" hidden="false" customHeight="false" outlineLevel="0" collapsed="false">
      <c r="A335" s="7" t="s">
        <v>741</v>
      </c>
      <c r="B335" s="8" t="s">
        <v>742</v>
      </c>
      <c r="C335" s="9" t="s">
        <v>171</v>
      </c>
      <c r="D335" s="8" t="s">
        <v>172</v>
      </c>
      <c r="E335" s="9" t="n">
        <v>20</v>
      </c>
      <c r="F335" s="9" t="n">
        <v>20</v>
      </c>
      <c r="G335" s="10"/>
    </row>
    <row r="336" customFormat="false" ht="15" hidden="false" customHeight="false" outlineLevel="0" collapsed="false">
      <c r="A336" s="7" t="s">
        <v>743</v>
      </c>
      <c r="B336" s="8" t="s">
        <v>744</v>
      </c>
      <c r="C336" s="9" t="s">
        <v>171</v>
      </c>
      <c r="D336" s="8" t="s">
        <v>172</v>
      </c>
      <c r="E336" s="9" t="n">
        <v>20</v>
      </c>
      <c r="F336" s="9" t="n">
        <v>20</v>
      </c>
      <c r="G336" s="10"/>
    </row>
    <row r="337" customFormat="false" ht="15" hidden="false" customHeight="false" outlineLevel="0" collapsed="false">
      <c r="A337" s="7" t="s">
        <v>745</v>
      </c>
      <c r="B337" s="8" t="s">
        <v>746</v>
      </c>
      <c r="C337" s="9" t="s">
        <v>69</v>
      </c>
      <c r="D337" s="8" t="s">
        <v>70</v>
      </c>
      <c r="E337" s="9" t="n">
        <v>19</v>
      </c>
      <c r="F337" s="9" t="n">
        <v>19</v>
      </c>
      <c r="G337" s="10"/>
    </row>
    <row r="338" customFormat="false" ht="15" hidden="false" customHeight="false" outlineLevel="0" collapsed="false">
      <c r="A338" s="7" t="s">
        <v>747</v>
      </c>
      <c r="B338" s="8" t="s">
        <v>748</v>
      </c>
      <c r="C338" s="9" t="s">
        <v>33</v>
      </c>
      <c r="D338" s="8" t="s">
        <v>34</v>
      </c>
      <c r="E338" s="9" t="n">
        <v>19</v>
      </c>
      <c r="F338" s="9" t="n">
        <v>19</v>
      </c>
      <c r="G338" s="10"/>
    </row>
    <row r="339" customFormat="false" ht="15" hidden="false" customHeight="false" outlineLevel="0" collapsed="false">
      <c r="A339" s="7" t="s">
        <v>749</v>
      </c>
      <c r="B339" s="8" t="s">
        <v>750</v>
      </c>
      <c r="C339" s="9" t="s">
        <v>33</v>
      </c>
      <c r="D339" s="8" t="s">
        <v>34</v>
      </c>
      <c r="E339" s="9" t="n">
        <v>19</v>
      </c>
      <c r="F339" s="9" t="n">
        <v>19</v>
      </c>
      <c r="G339" s="10"/>
    </row>
    <row r="340" customFormat="false" ht="15" hidden="false" customHeight="false" outlineLevel="0" collapsed="false">
      <c r="A340" s="7" t="s">
        <v>751</v>
      </c>
      <c r="B340" s="8" t="s">
        <v>752</v>
      </c>
      <c r="C340" s="9" t="s">
        <v>753</v>
      </c>
      <c r="D340" s="8" t="s">
        <v>754</v>
      </c>
      <c r="E340" s="9" t="n">
        <v>19</v>
      </c>
      <c r="F340" s="9" t="n">
        <v>19</v>
      </c>
      <c r="G340" s="10"/>
    </row>
    <row r="341" customFormat="false" ht="15" hidden="false" customHeight="false" outlineLevel="0" collapsed="false">
      <c r="A341" s="7" t="s">
        <v>755</v>
      </c>
      <c r="B341" s="8" t="s">
        <v>756</v>
      </c>
      <c r="C341" s="9" t="s">
        <v>33</v>
      </c>
      <c r="D341" s="8" t="s">
        <v>34</v>
      </c>
      <c r="E341" s="9" t="n">
        <v>19</v>
      </c>
      <c r="F341" s="9" t="n">
        <v>19</v>
      </c>
      <c r="G341" s="10"/>
    </row>
    <row r="342" customFormat="false" ht="15" hidden="false" customHeight="false" outlineLevel="0" collapsed="false">
      <c r="A342" s="7" t="s">
        <v>757</v>
      </c>
      <c r="B342" s="8" t="s">
        <v>758</v>
      </c>
      <c r="C342" s="9" t="s">
        <v>63</v>
      </c>
      <c r="D342" s="8" t="s">
        <v>64</v>
      </c>
      <c r="E342" s="9" t="n">
        <v>19</v>
      </c>
      <c r="F342" s="9" t="n">
        <v>19</v>
      </c>
      <c r="G342" s="10"/>
    </row>
    <row r="343" customFormat="false" ht="15" hidden="false" customHeight="false" outlineLevel="0" collapsed="false">
      <c r="A343" s="7" t="s">
        <v>759</v>
      </c>
      <c r="B343" s="8" t="s">
        <v>760</v>
      </c>
      <c r="C343" s="9" t="s">
        <v>171</v>
      </c>
      <c r="D343" s="8" t="s">
        <v>172</v>
      </c>
      <c r="E343" s="9" t="n">
        <v>19</v>
      </c>
      <c r="F343" s="9" t="n">
        <v>19</v>
      </c>
      <c r="G343" s="10"/>
    </row>
    <row r="344" customFormat="false" ht="15" hidden="false" customHeight="false" outlineLevel="0" collapsed="false">
      <c r="A344" s="7" t="s">
        <v>761</v>
      </c>
      <c r="B344" s="8" t="s">
        <v>762</v>
      </c>
      <c r="C344" s="9" t="s">
        <v>171</v>
      </c>
      <c r="D344" s="8" t="s">
        <v>172</v>
      </c>
      <c r="E344" s="9" t="n">
        <v>19</v>
      </c>
      <c r="F344" s="9" t="n">
        <v>19</v>
      </c>
      <c r="G344" s="10"/>
    </row>
    <row r="345" customFormat="false" ht="15" hidden="false" customHeight="false" outlineLevel="0" collapsed="false">
      <c r="A345" s="7" t="s">
        <v>763</v>
      </c>
      <c r="B345" s="8" t="s">
        <v>764</v>
      </c>
      <c r="C345" s="9" t="s">
        <v>171</v>
      </c>
      <c r="D345" s="8" t="s">
        <v>172</v>
      </c>
      <c r="E345" s="9" t="n">
        <v>19</v>
      </c>
      <c r="F345" s="9" t="n">
        <v>19</v>
      </c>
      <c r="G345" s="10"/>
    </row>
    <row r="346" customFormat="false" ht="15" hidden="false" customHeight="false" outlineLevel="0" collapsed="false">
      <c r="A346" s="7" t="s">
        <v>765</v>
      </c>
      <c r="B346" s="8" t="s">
        <v>766</v>
      </c>
      <c r="C346" s="9" t="s">
        <v>171</v>
      </c>
      <c r="D346" s="8" t="s">
        <v>172</v>
      </c>
      <c r="E346" s="9" t="n">
        <v>19</v>
      </c>
      <c r="F346" s="9" t="n">
        <v>19</v>
      </c>
      <c r="G346" s="10"/>
    </row>
    <row r="347" customFormat="false" ht="15" hidden="false" customHeight="false" outlineLevel="0" collapsed="false">
      <c r="A347" s="7" t="s">
        <v>767</v>
      </c>
      <c r="B347" s="8" t="s">
        <v>768</v>
      </c>
      <c r="C347" s="9" t="s">
        <v>315</v>
      </c>
      <c r="D347" s="8" t="s">
        <v>316</v>
      </c>
      <c r="E347" s="9" t="n">
        <v>18</v>
      </c>
      <c r="F347" s="9" t="n">
        <v>18</v>
      </c>
      <c r="G347" s="10"/>
    </row>
    <row r="348" customFormat="false" ht="15" hidden="false" customHeight="false" outlineLevel="0" collapsed="false">
      <c r="A348" s="7" t="s">
        <v>769</v>
      </c>
      <c r="B348" s="8" t="s">
        <v>770</v>
      </c>
      <c r="C348" s="9" t="s">
        <v>315</v>
      </c>
      <c r="D348" s="8" t="s">
        <v>316</v>
      </c>
      <c r="E348" s="9" t="n">
        <v>18</v>
      </c>
      <c r="F348" s="9" t="n">
        <v>18</v>
      </c>
      <c r="G348" s="10"/>
    </row>
    <row r="349" customFormat="false" ht="15" hidden="false" customHeight="false" outlineLevel="0" collapsed="false">
      <c r="A349" s="7" t="s">
        <v>771</v>
      </c>
      <c r="B349" s="8" t="s">
        <v>772</v>
      </c>
      <c r="C349" s="9" t="s">
        <v>33</v>
      </c>
      <c r="D349" s="8" t="s">
        <v>34</v>
      </c>
      <c r="E349" s="9" t="n">
        <v>18</v>
      </c>
      <c r="F349" s="9" t="n">
        <v>18</v>
      </c>
      <c r="G349" s="10"/>
    </row>
    <row r="350" customFormat="false" ht="15" hidden="false" customHeight="false" outlineLevel="0" collapsed="false">
      <c r="A350" s="7" t="s">
        <v>773</v>
      </c>
      <c r="B350" s="8" t="s">
        <v>774</v>
      </c>
      <c r="C350" s="9" t="s">
        <v>33</v>
      </c>
      <c r="D350" s="8" t="s">
        <v>34</v>
      </c>
      <c r="E350" s="9" t="n">
        <v>18</v>
      </c>
      <c r="F350" s="9" t="n">
        <v>18</v>
      </c>
      <c r="G350" s="10"/>
    </row>
    <row r="351" customFormat="false" ht="15" hidden="false" customHeight="false" outlineLevel="0" collapsed="false">
      <c r="A351" s="7" t="s">
        <v>775</v>
      </c>
      <c r="B351" s="8" t="s">
        <v>776</v>
      </c>
      <c r="C351" s="9" t="s">
        <v>33</v>
      </c>
      <c r="D351" s="8" t="s">
        <v>34</v>
      </c>
      <c r="E351" s="9" t="n">
        <v>18</v>
      </c>
      <c r="F351" s="9" t="n">
        <v>18</v>
      </c>
      <c r="G351" s="10"/>
    </row>
    <row r="352" customFormat="false" ht="15" hidden="false" customHeight="false" outlineLevel="0" collapsed="false">
      <c r="A352" s="7" t="s">
        <v>777</v>
      </c>
      <c r="B352" s="8" t="s">
        <v>778</v>
      </c>
      <c r="C352" s="9" t="s">
        <v>63</v>
      </c>
      <c r="D352" s="8" t="s">
        <v>64</v>
      </c>
      <c r="E352" s="9" t="n">
        <v>18</v>
      </c>
      <c r="F352" s="9" t="n">
        <v>18</v>
      </c>
      <c r="G352" s="10"/>
    </row>
    <row r="353" customFormat="false" ht="15" hidden="false" customHeight="false" outlineLevel="0" collapsed="false">
      <c r="A353" s="7" t="s">
        <v>779</v>
      </c>
      <c r="B353" s="8" t="s">
        <v>780</v>
      </c>
      <c r="C353" s="9" t="s">
        <v>63</v>
      </c>
      <c r="D353" s="8" t="s">
        <v>64</v>
      </c>
      <c r="E353" s="9" t="n">
        <v>18</v>
      </c>
      <c r="F353" s="9" t="n">
        <v>18</v>
      </c>
      <c r="G353" s="10"/>
    </row>
    <row r="354" customFormat="false" ht="15" hidden="false" customHeight="false" outlineLevel="0" collapsed="false">
      <c r="A354" s="7" t="s">
        <v>781</v>
      </c>
      <c r="B354" s="8" t="s">
        <v>782</v>
      </c>
      <c r="C354" s="9" t="s">
        <v>171</v>
      </c>
      <c r="D354" s="8" t="s">
        <v>172</v>
      </c>
      <c r="E354" s="9" t="n">
        <v>18</v>
      </c>
      <c r="F354" s="9" t="n">
        <v>18</v>
      </c>
      <c r="G354" s="10"/>
    </row>
    <row r="355" customFormat="false" ht="15" hidden="false" customHeight="false" outlineLevel="0" collapsed="false">
      <c r="A355" s="7" t="s">
        <v>783</v>
      </c>
      <c r="B355" s="8" t="s">
        <v>784</v>
      </c>
      <c r="C355" s="9" t="s">
        <v>171</v>
      </c>
      <c r="D355" s="8" t="s">
        <v>172</v>
      </c>
      <c r="E355" s="9" t="n">
        <v>18</v>
      </c>
      <c r="F355" s="9" t="n">
        <v>18</v>
      </c>
      <c r="G355" s="10"/>
    </row>
    <row r="356" customFormat="false" ht="15" hidden="false" customHeight="false" outlineLevel="0" collapsed="false">
      <c r="A356" s="7" t="s">
        <v>785</v>
      </c>
      <c r="B356" s="8" t="s">
        <v>786</v>
      </c>
      <c r="C356" s="9" t="s">
        <v>171</v>
      </c>
      <c r="D356" s="8" t="s">
        <v>172</v>
      </c>
      <c r="E356" s="9" t="n">
        <v>18</v>
      </c>
      <c r="F356" s="9" t="n">
        <v>18</v>
      </c>
      <c r="G356" s="10"/>
    </row>
    <row r="357" customFormat="false" ht="15" hidden="false" customHeight="false" outlineLevel="0" collapsed="false">
      <c r="A357" s="7" t="s">
        <v>787</v>
      </c>
      <c r="B357" s="8" t="s">
        <v>788</v>
      </c>
      <c r="C357" s="9" t="s">
        <v>171</v>
      </c>
      <c r="D357" s="8" t="s">
        <v>172</v>
      </c>
      <c r="E357" s="9" t="n">
        <v>18</v>
      </c>
      <c r="F357" s="9" t="n">
        <v>18</v>
      </c>
      <c r="G357" s="10"/>
    </row>
    <row r="358" customFormat="false" ht="15" hidden="false" customHeight="false" outlineLevel="0" collapsed="false">
      <c r="A358" s="7" t="s">
        <v>789</v>
      </c>
      <c r="B358" s="8" t="s">
        <v>790</v>
      </c>
      <c r="C358" s="9" t="s">
        <v>171</v>
      </c>
      <c r="D358" s="8" t="s">
        <v>172</v>
      </c>
      <c r="E358" s="9" t="n">
        <v>18</v>
      </c>
      <c r="F358" s="9" t="n">
        <v>18</v>
      </c>
      <c r="G358" s="10"/>
    </row>
    <row r="359" customFormat="false" ht="15" hidden="false" customHeight="false" outlineLevel="0" collapsed="false">
      <c r="A359" s="7" t="s">
        <v>791</v>
      </c>
      <c r="B359" s="8" t="s">
        <v>792</v>
      </c>
      <c r="C359" s="9" t="s">
        <v>171</v>
      </c>
      <c r="D359" s="8" t="s">
        <v>172</v>
      </c>
      <c r="E359" s="9" t="n">
        <v>19</v>
      </c>
      <c r="F359" s="9" t="n">
        <v>18</v>
      </c>
      <c r="G359" s="10"/>
    </row>
    <row r="360" customFormat="false" ht="15" hidden="false" customHeight="false" outlineLevel="0" collapsed="false">
      <c r="A360" s="7" t="s">
        <v>793</v>
      </c>
      <c r="B360" s="8" t="s">
        <v>794</v>
      </c>
      <c r="C360" s="9" t="s">
        <v>501</v>
      </c>
      <c r="D360" s="8" t="s">
        <v>502</v>
      </c>
      <c r="E360" s="9" t="n">
        <v>19</v>
      </c>
      <c r="F360" s="9" t="n">
        <v>18</v>
      </c>
      <c r="G360" s="10"/>
    </row>
    <row r="361" customFormat="false" ht="15" hidden="false" customHeight="false" outlineLevel="0" collapsed="false">
      <c r="A361" s="7" t="s">
        <v>795</v>
      </c>
      <c r="B361" s="8" t="s">
        <v>796</v>
      </c>
      <c r="C361" s="9" t="s">
        <v>133</v>
      </c>
      <c r="D361" s="8" t="s">
        <v>134</v>
      </c>
      <c r="E361" s="9" t="n">
        <v>17</v>
      </c>
      <c r="F361" s="9" t="n">
        <v>17</v>
      </c>
      <c r="G361" s="10"/>
    </row>
    <row r="362" customFormat="false" ht="15" hidden="false" customHeight="false" outlineLevel="0" collapsed="false">
      <c r="A362" s="7" t="s">
        <v>797</v>
      </c>
      <c r="B362" s="8" t="s">
        <v>798</v>
      </c>
      <c r="C362" s="9" t="s">
        <v>799</v>
      </c>
      <c r="D362" s="8" t="s">
        <v>800</v>
      </c>
      <c r="E362" s="9" t="n">
        <v>17</v>
      </c>
      <c r="F362" s="9" t="n">
        <v>17</v>
      </c>
      <c r="G362" s="10"/>
    </row>
    <row r="363" customFormat="false" ht="15" hidden="false" customHeight="false" outlineLevel="0" collapsed="false">
      <c r="A363" s="7" t="s">
        <v>801</v>
      </c>
      <c r="B363" s="8" t="s">
        <v>802</v>
      </c>
      <c r="C363" s="9" t="s">
        <v>89</v>
      </c>
      <c r="D363" s="8" t="s">
        <v>90</v>
      </c>
      <c r="E363" s="9" t="n">
        <v>17</v>
      </c>
      <c r="F363" s="9" t="n">
        <v>17</v>
      </c>
      <c r="G363" s="10"/>
    </row>
    <row r="364" customFormat="false" ht="15" hidden="false" customHeight="false" outlineLevel="0" collapsed="false">
      <c r="A364" s="7" t="s">
        <v>803</v>
      </c>
      <c r="B364" s="8" t="s">
        <v>804</v>
      </c>
      <c r="C364" s="9" t="s">
        <v>395</v>
      </c>
      <c r="D364" s="8" t="s">
        <v>396</v>
      </c>
      <c r="E364" s="9" t="n">
        <v>17</v>
      </c>
      <c r="F364" s="9" t="n">
        <v>17</v>
      </c>
      <c r="G364" s="10"/>
    </row>
    <row r="365" customFormat="false" ht="15" hidden="false" customHeight="false" outlineLevel="0" collapsed="false">
      <c r="A365" s="7" t="s">
        <v>805</v>
      </c>
      <c r="B365" s="8" t="s">
        <v>806</v>
      </c>
      <c r="C365" s="9" t="s">
        <v>33</v>
      </c>
      <c r="D365" s="8" t="s">
        <v>34</v>
      </c>
      <c r="E365" s="9" t="n">
        <v>17</v>
      </c>
      <c r="F365" s="9" t="n">
        <v>17</v>
      </c>
      <c r="G365" s="10"/>
    </row>
    <row r="366" customFormat="false" ht="15" hidden="false" customHeight="false" outlineLevel="0" collapsed="false">
      <c r="A366" s="7" t="s">
        <v>807</v>
      </c>
      <c r="B366" s="8" t="s">
        <v>808</v>
      </c>
      <c r="C366" s="9"/>
      <c r="D366" s="8"/>
      <c r="E366" s="9" t="n">
        <v>17</v>
      </c>
      <c r="F366" s="9" t="n">
        <v>17</v>
      </c>
      <c r="G366" s="10"/>
    </row>
    <row r="367" customFormat="false" ht="15" hidden="false" customHeight="false" outlineLevel="0" collapsed="false">
      <c r="A367" s="7" t="s">
        <v>809</v>
      </c>
      <c r="B367" s="8" t="s">
        <v>810</v>
      </c>
      <c r="C367" s="9" t="s">
        <v>405</v>
      </c>
      <c r="D367" s="8" t="s">
        <v>406</v>
      </c>
      <c r="E367" s="9" t="n">
        <v>16</v>
      </c>
      <c r="F367" s="9" t="n">
        <v>16</v>
      </c>
      <c r="G367" s="10"/>
    </row>
    <row r="368" customFormat="false" ht="15" hidden="false" customHeight="false" outlineLevel="0" collapsed="false">
      <c r="A368" s="7" t="s">
        <v>811</v>
      </c>
      <c r="B368" s="8" t="s">
        <v>812</v>
      </c>
      <c r="C368" s="9" t="s">
        <v>33</v>
      </c>
      <c r="D368" s="8" t="s">
        <v>34</v>
      </c>
      <c r="E368" s="9" t="n">
        <v>16</v>
      </c>
      <c r="F368" s="9" t="n">
        <v>16</v>
      </c>
      <c r="G368" s="10"/>
    </row>
    <row r="369" customFormat="false" ht="15" hidden="false" customHeight="false" outlineLevel="0" collapsed="false">
      <c r="A369" s="7" t="s">
        <v>813</v>
      </c>
      <c r="B369" s="8" t="s">
        <v>814</v>
      </c>
      <c r="C369" s="9" t="s">
        <v>315</v>
      </c>
      <c r="D369" s="8" t="s">
        <v>316</v>
      </c>
      <c r="E369" s="9" t="n">
        <v>16</v>
      </c>
      <c r="F369" s="9" t="n">
        <v>16</v>
      </c>
      <c r="G369" s="10"/>
    </row>
    <row r="370" customFormat="false" ht="15" hidden="false" customHeight="false" outlineLevel="0" collapsed="false">
      <c r="A370" s="7" t="s">
        <v>815</v>
      </c>
      <c r="B370" s="8" t="s">
        <v>816</v>
      </c>
      <c r="C370" s="9" t="s">
        <v>315</v>
      </c>
      <c r="D370" s="8" t="s">
        <v>316</v>
      </c>
      <c r="E370" s="9" t="n">
        <v>16</v>
      </c>
      <c r="F370" s="9" t="n">
        <v>16</v>
      </c>
      <c r="G370" s="10"/>
    </row>
    <row r="371" customFormat="false" ht="15" hidden="false" customHeight="false" outlineLevel="0" collapsed="false">
      <c r="A371" s="7" t="s">
        <v>817</v>
      </c>
      <c r="B371" s="8" t="s">
        <v>818</v>
      </c>
      <c r="C371" s="9" t="s">
        <v>33</v>
      </c>
      <c r="D371" s="8" t="s">
        <v>34</v>
      </c>
      <c r="E371" s="9" t="n">
        <v>17</v>
      </c>
      <c r="F371" s="9" t="n">
        <v>16</v>
      </c>
      <c r="G371" s="10"/>
    </row>
    <row r="372" customFormat="false" ht="15" hidden="false" customHeight="false" outlineLevel="0" collapsed="false">
      <c r="A372" s="7" t="s">
        <v>819</v>
      </c>
      <c r="B372" s="8" t="s">
        <v>820</v>
      </c>
      <c r="C372" s="9" t="s">
        <v>33</v>
      </c>
      <c r="D372" s="8" t="s">
        <v>34</v>
      </c>
      <c r="E372" s="9" t="n">
        <v>16</v>
      </c>
      <c r="F372" s="9" t="n">
        <v>16</v>
      </c>
      <c r="G372" s="10"/>
    </row>
    <row r="373" customFormat="false" ht="15" hidden="false" customHeight="false" outlineLevel="0" collapsed="false">
      <c r="A373" s="7" t="s">
        <v>821</v>
      </c>
      <c r="B373" s="8" t="s">
        <v>822</v>
      </c>
      <c r="C373" s="9" t="s">
        <v>171</v>
      </c>
      <c r="D373" s="8" t="s">
        <v>172</v>
      </c>
      <c r="E373" s="9" t="n">
        <v>21</v>
      </c>
      <c r="F373" s="9" t="n">
        <v>16</v>
      </c>
      <c r="G373" s="10"/>
    </row>
    <row r="374" customFormat="false" ht="15" hidden="false" customHeight="false" outlineLevel="0" collapsed="false">
      <c r="A374" s="7" t="s">
        <v>823</v>
      </c>
      <c r="B374" s="8" t="s">
        <v>824</v>
      </c>
      <c r="C374" s="9" t="s">
        <v>171</v>
      </c>
      <c r="D374" s="8" t="s">
        <v>172</v>
      </c>
      <c r="E374" s="9" t="n">
        <v>18</v>
      </c>
      <c r="F374" s="9" t="n">
        <v>16</v>
      </c>
      <c r="G374" s="10"/>
    </row>
    <row r="375" customFormat="false" ht="15" hidden="false" customHeight="false" outlineLevel="0" collapsed="false">
      <c r="A375" s="7" t="s">
        <v>825</v>
      </c>
      <c r="B375" s="8" t="s">
        <v>826</v>
      </c>
      <c r="C375" s="9" t="s">
        <v>171</v>
      </c>
      <c r="D375" s="8" t="s">
        <v>172</v>
      </c>
      <c r="E375" s="9" t="n">
        <v>16</v>
      </c>
      <c r="F375" s="9" t="n">
        <v>16</v>
      </c>
      <c r="G375" s="10"/>
    </row>
    <row r="376" customFormat="false" ht="15" hidden="false" customHeight="false" outlineLevel="0" collapsed="false">
      <c r="A376" s="7" t="s">
        <v>827</v>
      </c>
      <c r="B376" s="8" t="s">
        <v>828</v>
      </c>
      <c r="C376" s="9" t="s">
        <v>33</v>
      </c>
      <c r="D376" s="8" t="s">
        <v>34</v>
      </c>
      <c r="E376" s="9" t="n">
        <v>15</v>
      </c>
      <c r="F376" s="9" t="n">
        <v>15</v>
      </c>
      <c r="G376" s="10"/>
    </row>
    <row r="377" customFormat="false" ht="15" hidden="false" customHeight="false" outlineLevel="0" collapsed="false">
      <c r="A377" s="7" t="s">
        <v>829</v>
      </c>
      <c r="B377" s="8" t="s">
        <v>830</v>
      </c>
      <c r="C377" s="9" t="s">
        <v>211</v>
      </c>
      <c r="D377" s="8" t="s">
        <v>212</v>
      </c>
      <c r="E377" s="9" t="n">
        <v>16</v>
      </c>
      <c r="F377" s="9" t="n">
        <v>15</v>
      </c>
      <c r="G377" s="10"/>
    </row>
    <row r="378" customFormat="false" ht="15" hidden="false" customHeight="false" outlineLevel="0" collapsed="false">
      <c r="A378" s="7" t="s">
        <v>831</v>
      </c>
      <c r="B378" s="8" t="s">
        <v>832</v>
      </c>
      <c r="C378" s="9" t="s">
        <v>395</v>
      </c>
      <c r="D378" s="8" t="s">
        <v>396</v>
      </c>
      <c r="E378" s="9" t="n">
        <v>15</v>
      </c>
      <c r="F378" s="9" t="n">
        <v>15</v>
      </c>
      <c r="G378" s="10"/>
    </row>
    <row r="379" customFormat="false" ht="15" hidden="false" customHeight="false" outlineLevel="0" collapsed="false">
      <c r="A379" s="7" t="s">
        <v>833</v>
      </c>
      <c r="B379" s="8" t="s">
        <v>834</v>
      </c>
      <c r="C379" s="9" t="s">
        <v>33</v>
      </c>
      <c r="D379" s="8" t="s">
        <v>34</v>
      </c>
      <c r="E379" s="9" t="n">
        <v>15</v>
      </c>
      <c r="F379" s="9" t="n">
        <v>15</v>
      </c>
      <c r="G379" s="10"/>
    </row>
    <row r="380" customFormat="false" ht="15" hidden="false" customHeight="false" outlineLevel="0" collapsed="false">
      <c r="A380" s="7" t="s">
        <v>835</v>
      </c>
      <c r="B380" s="8" t="s">
        <v>836</v>
      </c>
      <c r="C380" s="9" t="s">
        <v>171</v>
      </c>
      <c r="D380" s="8" t="s">
        <v>172</v>
      </c>
      <c r="E380" s="9" t="n">
        <v>15</v>
      </c>
      <c r="F380" s="9" t="n">
        <v>15</v>
      </c>
      <c r="G380" s="10"/>
    </row>
    <row r="381" customFormat="false" ht="15" hidden="false" customHeight="false" outlineLevel="0" collapsed="false">
      <c r="A381" s="7" t="s">
        <v>837</v>
      </c>
      <c r="B381" s="8" t="s">
        <v>838</v>
      </c>
      <c r="C381" s="9" t="s">
        <v>171</v>
      </c>
      <c r="D381" s="8" t="s">
        <v>172</v>
      </c>
      <c r="E381" s="9" t="n">
        <v>15</v>
      </c>
      <c r="F381" s="9" t="n">
        <v>15</v>
      </c>
      <c r="G381" s="10"/>
    </row>
    <row r="382" customFormat="false" ht="15" hidden="false" customHeight="false" outlineLevel="0" collapsed="false">
      <c r="A382" s="7" t="s">
        <v>839</v>
      </c>
      <c r="B382" s="8" t="s">
        <v>840</v>
      </c>
      <c r="C382" s="9" t="s">
        <v>617</v>
      </c>
      <c r="D382" s="8" t="s">
        <v>618</v>
      </c>
      <c r="E382" s="9" t="n">
        <v>15</v>
      </c>
      <c r="F382" s="9" t="n">
        <v>15</v>
      </c>
      <c r="G382" s="10"/>
    </row>
    <row r="383" customFormat="false" ht="15" hidden="false" customHeight="false" outlineLevel="0" collapsed="false">
      <c r="A383" s="7" t="s">
        <v>841</v>
      </c>
      <c r="B383" s="8" t="s">
        <v>842</v>
      </c>
      <c r="C383" s="9" t="s">
        <v>171</v>
      </c>
      <c r="D383" s="8" t="s">
        <v>172</v>
      </c>
      <c r="E383" s="9" t="n">
        <v>15</v>
      </c>
      <c r="F383" s="9" t="n">
        <v>15</v>
      </c>
      <c r="G383" s="10"/>
    </row>
    <row r="384" customFormat="false" ht="15" hidden="false" customHeight="false" outlineLevel="0" collapsed="false">
      <c r="A384" s="7" t="s">
        <v>843</v>
      </c>
      <c r="B384" s="8" t="s">
        <v>844</v>
      </c>
      <c r="C384" s="9" t="s">
        <v>171</v>
      </c>
      <c r="D384" s="8" t="s">
        <v>172</v>
      </c>
      <c r="E384" s="9" t="n">
        <v>15</v>
      </c>
      <c r="F384" s="9" t="n">
        <v>15</v>
      </c>
      <c r="G384" s="10"/>
    </row>
    <row r="385" customFormat="false" ht="15" hidden="false" customHeight="false" outlineLevel="0" collapsed="false">
      <c r="A385" s="7" t="s">
        <v>845</v>
      </c>
      <c r="B385" s="8" t="s">
        <v>846</v>
      </c>
      <c r="C385" s="9" t="s">
        <v>171</v>
      </c>
      <c r="D385" s="8" t="s">
        <v>172</v>
      </c>
      <c r="E385" s="9" t="n">
        <v>16</v>
      </c>
      <c r="F385" s="9" t="n">
        <v>15</v>
      </c>
      <c r="G385" s="10"/>
    </row>
    <row r="386" customFormat="false" ht="15" hidden="false" customHeight="false" outlineLevel="0" collapsed="false">
      <c r="A386" s="7" t="s">
        <v>847</v>
      </c>
      <c r="B386" s="8" t="s">
        <v>848</v>
      </c>
      <c r="C386" s="9" t="s">
        <v>171</v>
      </c>
      <c r="D386" s="8" t="s">
        <v>172</v>
      </c>
      <c r="E386" s="9" t="n">
        <v>15</v>
      </c>
      <c r="F386" s="9" t="n">
        <v>15</v>
      </c>
      <c r="G386" s="10"/>
    </row>
    <row r="387" customFormat="false" ht="15" hidden="false" customHeight="false" outlineLevel="0" collapsed="false">
      <c r="A387" s="7" t="s">
        <v>849</v>
      </c>
      <c r="B387" s="8" t="s">
        <v>850</v>
      </c>
      <c r="C387" s="9" t="s">
        <v>171</v>
      </c>
      <c r="D387" s="8" t="s">
        <v>172</v>
      </c>
      <c r="E387" s="9" t="n">
        <v>15</v>
      </c>
      <c r="F387" s="9" t="n">
        <v>15</v>
      </c>
      <c r="G387" s="10"/>
    </row>
    <row r="388" customFormat="false" ht="15" hidden="false" customHeight="false" outlineLevel="0" collapsed="false">
      <c r="A388" s="7" t="s">
        <v>851</v>
      </c>
      <c r="B388" s="8" t="s">
        <v>852</v>
      </c>
      <c r="C388" s="9" t="s">
        <v>171</v>
      </c>
      <c r="D388" s="8" t="s">
        <v>172</v>
      </c>
      <c r="E388" s="9" t="n">
        <v>15</v>
      </c>
      <c r="F388" s="9" t="n">
        <v>15</v>
      </c>
      <c r="G388" s="10"/>
    </row>
    <row r="389" customFormat="false" ht="15" hidden="false" customHeight="false" outlineLevel="0" collapsed="false">
      <c r="A389" s="7" t="s">
        <v>853</v>
      </c>
      <c r="B389" s="8" t="s">
        <v>854</v>
      </c>
      <c r="C389" s="9" t="s">
        <v>171</v>
      </c>
      <c r="D389" s="8" t="s">
        <v>172</v>
      </c>
      <c r="E389" s="9" t="n">
        <v>15</v>
      </c>
      <c r="F389" s="9" t="n">
        <v>15</v>
      </c>
      <c r="G389" s="10"/>
    </row>
    <row r="390" customFormat="false" ht="15" hidden="false" customHeight="false" outlineLevel="0" collapsed="false">
      <c r="A390" s="7" t="s">
        <v>855</v>
      </c>
      <c r="B390" s="8" t="s">
        <v>856</v>
      </c>
      <c r="C390" s="9" t="s">
        <v>171</v>
      </c>
      <c r="D390" s="8" t="s">
        <v>172</v>
      </c>
      <c r="E390" s="9" t="n">
        <v>15</v>
      </c>
      <c r="F390" s="9" t="n">
        <v>15</v>
      </c>
      <c r="G390" s="10"/>
    </row>
    <row r="391" customFormat="false" ht="15" hidden="false" customHeight="false" outlineLevel="0" collapsed="false">
      <c r="A391" s="7" t="s">
        <v>857</v>
      </c>
      <c r="B391" s="8" t="s">
        <v>858</v>
      </c>
      <c r="C391" s="9" t="s">
        <v>171</v>
      </c>
      <c r="D391" s="8" t="s">
        <v>172</v>
      </c>
      <c r="E391" s="9" t="n">
        <v>15</v>
      </c>
      <c r="F391" s="9" t="n">
        <v>15</v>
      </c>
      <c r="G391" s="10"/>
    </row>
    <row r="392" customFormat="false" ht="15" hidden="false" customHeight="false" outlineLevel="0" collapsed="false">
      <c r="A392" s="7" t="s">
        <v>859</v>
      </c>
      <c r="B392" s="8" t="s">
        <v>860</v>
      </c>
      <c r="C392" s="9" t="s">
        <v>171</v>
      </c>
      <c r="D392" s="8" t="s">
        <v>172</v>
      </c>
      <c r="E392" s="9" t="n">
        <v>14</v>
      </c>
      <c r="F392" s="9" t="n">
        <v>14</v>
      </c>
      <c r="G392" s="10"/>
    </row>
    <row r="393" customFormat="false" ht="15" hidden="false" customHeight="false" outlineLevel="0" collapsed="false">
      <c r="A393" s="7" t="s">
        <v>861</v>
      </c>
      <c r="B393" s="8" t="s">
        <v>862</v>
      </c>
      <c r="C393" s="9" t="s">
        <v>89</v>
      </c>
      <c r="D393" s="8" t="s">
        <v>90</v>
      </c>
      <c r="E393" s="9" t="n">
        <v>14</v>
      </c>
      <c r="F393" s="9" t="n">
        <v>14</v>
      </c>
      <c r="G393" s="10"/>
    </row>
    <row r="394" customFormat="false" ht="15" hidden="false" customHeight="false" outlineLevel="0" collapsed="false">
      <c r="A394" s="7" t="s">
        <v>863</v>
      </c>
      <c r="B394" s="8" t="s">
        <v>864</v>
      </c>
      <c r="C394" s="9" t="s">
        <v>63</v>
      </c>
      <c r="D394" s="8" t="s">
        <v>64</v>
      </c>
      <c r="E394" s="9" t="n">
        <v>14</v>
      </c>
      <c r="F394" s="9" t="n">
        <v>14</v>
      </c>
      <c r="G394" s="10"/>
    </row>
    <row r="395" customFormat="false" ht="15" hidden="false" customHeight="false" outlineLevel="0" collapsed="false">
      <c r="A395" s="7" t="s">
        <v>865</v>
      </c>
      <c r="B395" s="8" t="s">
        <v>866</v>
      </c>
      <c r="C395" s="9" t="s">
        <v>171</v>
      </c>
      <c r="D395" s="8" t="s">
        <v>172</v>
      </c>
      <c r="E395" s="9" t="n">
        <v>14</v>
      </c>
      <c r="F395" s="9" t="n">
        <v>14</v>
      </c>
      <c r="G395" s="10"/>
    </row>
    <row r="396" customFormat="false" ht="15" hidden="false" customHeight="false" outlineLevel="0" collapsed="false">
      <c r="A396" s="7" t="s">
        <v>867</v>
      </c>
      <c r="B396" s="8" t="s">
        <v>868</v>
      </c>
      <c r="C396" s="9" t="s">
        <v>171</v>
      </c>
      <c r="D396" s="8" t="s">
        <v>172</v>
      </c>
      <c r="E396" s="9" t="n">
        <v>14</v>
      </c>
      <c r="F396" s="9" t="n">
        <v>14</v>
      </c>
      <c r="G396" s="10"/>
    </row>
    <row r="397" customFormat="false" ht="15" hidden="false" customHeight="false" outlineLevel="0" collapsed="false">
      <c r="A397" s="7" t="s">
        <v>869</v>
      </c>
      <c r="B397" s="8" t="s">
        <v>870</v>
      </c>
      <c r="C397" s="9" t="s">
        <v>171</v>
      </c>
      <c r="D397" s="8" t="s">
        <v>172</v>
      </c>
      <c r="E397" s="9" t="n">
        <v>14</v>
      </c>
      <c r="F397" s="9" t="n">
        <v>14</v>
      </c>
      <c r="G397" s="10"/>
    </row>
    <row r="398" customFormat="false" ht="15" hidden="false" customHeight="false" outlineLevel="0" collapsed="false">
      <c r="A398" s="7" t="s">
        <v>871</v>
      </c>
      <c r="B398" s="8" t="s">
        <v>872</v>
      </c>
      <c r="C398" s="9" t="s">
        <v>171</v>
      </c>
      <c r="D398" s="8" t="s">
        <v>172</v>
      </c>
      <c r="E398" s="9" t="n">
        <v>14</v>
      </c>
      <c r="F398" s="9" t="n">
        <v>14</v>
      </c>
      <c r="G398" s="10"/>
    </row>
    <row r="399" customFormat="false" ht="15" hidden="false" customHeight="false" outlineLevel="0" collapsed="false">
      <c r="A399" s="7" t="s">
        <v>873</v>
      </c>
      <c r="B399" s="8" t="s">
        <v>874</v>
      </c>
      <c r="C399" s="9"/>
      <c r="D399" s="8"/>
      <c r="E399" s="9" t="n">
        <v>13</v>
      </c>
      <c r="F399" s="9" t="n">
        <v>13</v>
      </c>
      <c r="G399" s="10"/>
    </row>
    <row r="400" customFormat="false" ht="15" hidden="false" customHeight="false" outlineLevel="0" collapsed="false">
      <c r="A400" s="7" t="s">
        <v>875</v>
      </c>
      <c r="B400" s="8" t="s">
        <v>876</v>
      </c>
      <c r="C400" s="9" t="s">
        <v>211</v>
      </c>
      <c r="D400" s="8" t="s">
        <v>212</v>
      </c>
      <c r="E400" s="9" t="n">
        <v>14</v>
      </c>
      <c r="F400" s="9" t="n">
        <v>13</v>
      </c>
      <c r="G400" s="10"/>
    </row>
    <row r="401" customFormat="false" ht="15" hidden="false" customHeight="false" outlineLevel="0" collapsed="false">
      <c r="A401" s="7" t="s">
        <v>877</v>
      </c>
      <c r="B401" s="8" t="s">
        <v>878</v>
      </c>
      <c r="C401" s="9" t="s">
        <v>879</v>
      </c>
      <c r="D401" s="8" t="s">
        <v>880</v>
      </c>
      <c r="E401" s="9" t="n">
        <v>13</v>
      </c>
      <c r="F401" s="9" t="n">
        <v>13</v>
      </c>
      <c r="G401" s="10"/>
    </row>
    <row r="402" customFormat="false" ht="15" hidden="false" customHeight="false" outlineLevel="0" collapsed="false">
      <c r="A402" s="7" t="s">
        <v>881</v>
      </c>
      <c r="B402" s="8" t="s">
        <v>882</v>
      </c>
      <c r="C402" s="9" t="s">
        <v>199</v>
      </c>
      <c r="D402" s="8" t="s">
        <v>200</v>
      </c>
      <c r="E402" s="9" t="n">
        <v>13</v>
      </c>
      <c r="F402" s="9" t="n">
        <v>13</v>
      </c>
      <c r="G402" s="10"/>
    </row>
    <row r="403" customFormat="false" ht="15" hidden="false" customHeight="false" outlineLevel="0" collapsed="false">
      <c r="A403" s="7" t="s">
        <v>883</v>
      </c>
      <c r="B403" s="8" t="s">
        <v>884</v>
      </c>
      <c r="C403" s="9" t="s">
        <v>199</v>
      </c>
      <c r="D403" s="8" t="s">
        <v>200</v>
      </c>
      <c r="E403" s="9" t="n">
        <v>16</v>
      </c>
      <c r="F403" s="9" t="n">
        <v>13</v>
      </c>
      <c r="G403" s="10"/>
    </row>
    <row r="404" customFormat="false" ht="15" hidden="false" customHeight="false" outlineLevel="0" collapsed="false">
      <c r="A404" s="7" t="s">
        <v>885</v>
      </c>
      <c r="B404" s="8" t="s">
        <v>886</v>
      </c>
      <c r="C404" s="9"/>
      <c r="D404" s="8"/>
      <c r="E404" s="9" t="n">
        <v>13</v>
      </c>
      <c r="F404" s="9" t="n">
        <v>13</v>
      </c>
      <c r="G404" s="10"/>
    </row>
    <row r="405" customFormat="false" ht="15" hidden="false" customHeight="false" outlineLevel="0" collapsed="false">
      <c r="A405" s="7" t="s">
        <v>887</v>
      </c>
      <c r="B405" s="8" t="s">
        <v>888</v>
      </c>
      <c r="C405" s="9" t="s">
        <v>171</v>
      </c>
      <c r="D405" s="8" t="s">
        <v>172</v>
      </c>
      <c r="E405" s="9" t="n">
        <v>13</v>
      </c>
      <c r="F405" s="9" t="n">
        <v>13</v>
      </c>
      <c r="G405" s="10"/>
    </row>
    <row r="406" customFormat="false" ht="15" hidden="false" customHeight="false" outlineLevel="0" collapsed="false">
      <c r="A406" s="7" t="s">
        <v>889</v>
      </c>
      <c r="B406" s="8" t="s">
        <v>890</v>
      </c>
      <c r="C406" s="9" t="s">
        <v>171</v>
      </c>
      <c r="D406" s="8" t="s">
        <v>172</v>
      </c>
      <c r="E406" s="9" t="n">
        <v>13</v>
      </c>
      <c r="F406" s="9" t="n">
        <v>13</v>
      </c>
      <c r="G406" s="10"/>
    </row>
    <row r="407" customFormat="false" ht="15" hidden="false" customHeight="false" outlineLevel="0" collapsed="false">
      <c r="A407" s="7" t="s">
        <v>891</v>
      </c>
      <c r="B407" s="8" t="s">
        <v>892</v>
      </c>
      <c r="C407" s="9" t="s">
        <v>171</v>
      </c>
      <c r="D407" s="8" t="s">
        <v>172</v>
      </c>
      <c r="E407" s="9" t="n">
        <v>14</v>
      </c>
      <c r="F407" s="9" t="n">
        <v>13</v>
      </c>
      <c r="G407" s="10"/>
    </row>
    <row r="408" customFormat="false" ht="15" hidden="false" customHeight="false" outlineLevel="0" collapsed="false">
      <c r="A408" s="7" t="s">
        <v>893</v>
      </c>
      <c r="B408" s="8" t="s">
        <v>894</v>
      </c>
      <c r="C408" s="9" t="s">
        <v>171</v>
      </c>
      <c r="D408" s="8" t="s">
        <v>172</v>
      </c>
      <c r="E408" s="9" t="n">
        <v>13</v>
      </c>
      <c r="F408" s="9" t="n">
        <v>13</v>
      </c>
      <c r="G408" s="10"/>
    </row>
    <row r="409" customFormat="false" ht="15" hidden="false" customHeight="false" outlineLevel="0" collapsed="false">
      <c r="A409" s="7" t="s">
        <v>895</v>
      </c>
      <c r="B409" s="8" t="s">
        <v>896</v>
      </c>
      <c r="C409" s="9" t="s">
        <v>171</v>
      </c>
      <c r="D409" s="8" t="s">
        <v>172</v>
      </c>
      <c r="E409" s="9" t="n">
        <v>13</v>
      </c>
      <c r="F409" s="9" t="n">
        <v>13</v>
      </c>
      <c r="G409" s="10"/>
    </row>
    <row r="410" customFormat="false" ht="15" hidden="false" customHeight="false" outlineLevel="0" collapsed="false">
      <c r="A410" s="7" t="s">
        <v>897</v>
      </c>
      <c r="B410" s="8" t="s">
        <v>898</v>
      </c>
      <c r="C410" s="9"/>
      <c r="D410" s="8"/>
      <c r="E410" s="9" t="n">
        <v>12</v>
      </c>
      <c r="F410" s="9" t="n">
        <v>12</v>
      </c>
      <c r="G410" s="10"/>
    </row>
    <row r="411" customFormat="false" ht="15" hidden="false" customHeight="false" outlineLevel="0" collapsed="false">
      <c r="A411" s="7" t="s">
        <v>899</v>
      </c>
      <c r="B411" s="8" t="s">
        <v>900</v>
      </c>
      <c r="C411" s="9" t="s">
        <v>405</v>
      </c>
      <c r="D411" s="8" t="s">
        <v>406</v>
      </c>
      <c r="E411" s="9" t="n">
        <v>12</v>
      </c>
      <c r="F411" s="9" t="n">
        <v>12</v>
      </c>
      <c r="G411" s="10"/>
    </row>
    <row r="412" customFormat="false" ht="15" hidden="false" customHeight="false" outlineLevel="0" collapsed="false">
      <c r="A412" s="7" t="s">
        <v>901</v>
      </c>
      <c r="B412" s="8" t="s">
        <v>902</v>
      </c>
      <c r="C412" s="9"/>
      <c r="D412" s="8"/>
      <c r="E412" s="9" t="n">
        <v>12</v>
      </c>
      <c r="F412" s="9" t="n">
        <v>12</v>
      </c>
      <c r="G412" s="10"/>
    </row>
    <row r="413" customFormat="false" ht="15" hidden="false" customHeight="false" outlineLevel="0" collapsed="false">
      <c r="A413" s="7" t="s">
        <v>903</v>
      </c>
      <c r="B413" s="8" t="s">
        <v>904</v>
      </c>
      <c r="C413" s="9" t="s">
        <v>171</v>
      </c>
      <c r="D413" s="8" t="s">
        <v>172</v>
      </c>
      <c r="E413" s="9" t="n">
        <v>12</v>
      </c>
      <c r="F413" s="9" t="n">
        <v>12</v>
      </c>
      <c r="G413" s="10"/>
    </row>
    <row r="414" customFormat="false" ht="15" hidden="false" customHeight="false" outlineLevel="0" collapsed="false">
      <c r="A414" s="7" t="s">
        <v>905</v>
      </c>
      <c r="B414" s="8" t="s">
        <v>906</v>
      </c>
      <c r="C414" s="9" t="s">
        <v>171</v>
      </c>
      <c r="D414" s="8" t="s">
        <v>172</v>
      </c>
      <c r="E414" s="9" t="n">
        <v>12</v>
      </c>
      <c r="F414" s="9" t="n">
        <v>12</v>
      </c>
      <c r="G414" s="10"/>
    </row>
    <row r="415" customFormat="false" ht="15" hidden="false" customHeight="false" outlineLevel="0" collapsed="false">
      <c r="A415" s="7" t="s">
        <v>907</v>
      </c>
      <c r="B415" s="8" t="s">
        <v>908</v>
      </c>
      <c r="C415" s="9" t="s">
        <v>69</v>
      </c>
      <c r="D415" s="8" t="s">
        <v>70</v>
      </c>
      <c r="E415" s="9" t="n">
        <v>13</v>
      </c>
      <c r="F415" s="9" t="n">
        <v>12</v>
      </c>
      <c r="G415" s="10"/>
    </row>
    <row r="416" customFormat="false" ht="15" hidden="false" customHeight="false" outlineLevel="0" collapsed="false">
      <c r="A416" s="7" t="s">
        <v>909</v>
      </c>
      <c r="B416" s="8" t="s">
        <v>910</v>
      </c>
      <c r="C416" s="9" t="s">
        <v>315</v>
      </c>
      <c r="D416" s="8" t="s">
        <v>316</v>
      </c>
      <c r="E416" s="9" t="n">
        <v>11</v>
      </c>
      <c r="F416" s="9" t="n">
        <v>11</v>
      </c>
      <c r="G416" s="10"/>
    </row>
    <row r="417" customFormat="false" ht="15" hidden="false" customHeight="false" outlineLevel="0" collapsed="false">
      <c r="A417" s="7" t="s">
        <v>911</v>
      </c>
      <c r="B417" s="8" t="s">
        <v>912</v>
      </c>
      <c r="C417" s="9" t="s">
        <v>141</v>
      </c>
      <c r="D417" s="8" t="s">
        <v>142</v>
      </c>
      <c r="E417" s="9" t="n">
        <v>11</v>
      </c>
      <c r="F417" s="9" t="n">
        <v>11</v>
      </c>
      <c r="G417" s="10"/>
    </row>
    <row r="418" customFormat="false" ht="15" hidden="false" customHeight="false" outlineLevel="0" collapsed="false">
      <c r="A418" s="7" t="s">
        <v>913</v>
      </c>
      <c r="B418" s="8" t="s">
        <v>914</v>
      </c>
      <c r="C418" s="9" t="s">
        <v>141</v>
      </c>
      <c r="D418" s="8" t="s">
        <v>142</v>
      </c>
      <c r="E418" s="9" t="n">
        <v>11</v>
      </c>
      <c r="F418" s="9" t="n">
        <v>11</v>
      </c>
      <c r="G418" s="10"/>
    </row>
    <row r="419" customFormat="false" ht="15" hidden="false" customHeight="false" outlineLevel="0" collapsed="false">
      <c r="A419" s="7" t="s">
        <v>915</v>
      </c>
      <c r="B419" s="8" t="s">
        <v>916</v>
      </c>
      <c r="C419" s="9" t="s">
        <v>211</v>
      </c>
      <c r="D419" s="8" t="s">
        <v>212</v>
      </c>
      <c r="E419" s="9" t="n">
        <v>11</v>
      </c>
      <c r="F419" s="9" t="n">
        <v>11</v>
      </c>
      <c r="G419" s="10"/>
    </row>
    <row r="420" customFormat="false" ht="15" hidden="false" customHeight="false" outlineLevel="0" collapsed="false">
      <c r="A420" s="7" t="s">
        <v>917</v>
      </c>
      <c r="B420" s="8" t="s">
        <v>918</v>
      </c>
      <c r="C420" s="9" t="s">
        <v>33</v>
      </c>
      <c r="D420" s="8" t="s">
        <v>34</v>
      </c>
      <c r="E420" s="9" t="n">
        <v>11</v>
      </c>
      <c r="F420" s="9" t="n">
        <v>11</v>
      </c>
      <c r="G420" s="10"/>
    </row>
    <row r="421" customFormat="false" ht="15" hidden="false" customHeight="false" outlineLevel="0" collapsed="false">
      <c r="A421" s="7" t="s">
        <v>919</v>
      </c>
      <c r="B421" s="8" t="s">
        <v>920</v>
      </c>
      <c r="C421" s="9" t="s">
        <v>315</v>
      </c>
      <c r="D421" s="8" t="s">
        <v>316</v>
      </c>
      <c r="E421" s="9" t="n">
        <v>11</v>
      </c>
      <c r="F421" s="9" t="n">
        <v>11</v>
      </c>
      <c r="G421" s="10"/>
    </row>
    <row r="422" customFormat="false" ht="15" hidden="false" customHeight="false" outlineLevel="0" collapsed="false">
      <c r="A422" s="7" t="s">
        <v>921</v>
      </c>
      <c r="B422" s="8" t="s">
        <v>922</v>
      </c>
      <c r="C422" s="9"/>
      <c r="D422" s="8"/>
      <c r="E422" s="9" t="n">
        <v>11</v>
      </c>
      <c r="F422" s="9" t="n">
        <v>11</v>
      </c>
      <c r="G422" s="10"/>
    </row>
    <row r="423" customFormat="false" ht="15" hidden="false" customHeight="false" outlineLevel="0" collapsed="false">
      <c r="A423" s="7" t="s">
        <v>923</v>
      </c>
      <c r="B423" s="8" t="s">
        <v>924</v>
      </c>
      <c r="C423" s="9" t="s">
        <v>171</v>
      </c>
      <c r="D423" s="8" t="s">
        <v>172</v>
      </c>
      <c r="E423" s="9" t="n">
        <v>11</v>
      </c>
      <c r="F423" s="9" t="n">
        <v>11</v>
      </c>
      <c r="G423" s="10"/>
    </row>
    <row r="424" customFormat="false" ht="15" hidden="false" customHeight="false" outlineLevel="0" collapsed="false">
      <c r="A424" s="7" t="s">
        <v>925</v>
      </c>
      <c r="B424" s="8" t="s">
        <v>926</v>
      </c>
      <c r="C424" s="9" t="s">
        <v>723</v>
      </c>
      <c r="D424" s="8" t="s">
        <v>724</v>
      </c>
      <c r="E424" s="9" t="n">
        <v>12</v>
      </c>
      <c r="F424" s="9" t="n">
        <v>11</v>
      </c>
      <c r="G424" s="10"/>
    </row>
    <row r="425" customFormat="false" ht="15" hidden="false" customHeight="false" outlineLevel="0" collapsed="false">
      <c r="A425" s="7" t="s">
        <v>927</v>
      </c>
      <c r="B425" s="8" t="s">
        <v>928</v>
      </c>
      <c r="C425" s="9" t="s">
        <v>723</v>
      </c>
      <c r="D425" s="8" t="s">
        <v>724</v>
      </c>
      <c r="E425" s="9" t="n">
        <v>12</v>
      </c>
      <c r="F425" s="9" t="n">
        <v>11</v>
      </c>
      <c r="G425" s="10"/>
    </row>
    <row r="426" customFormat="false" ht="15" hidden="false" customHeight="false" outlineLevel="0" collapsed="false">
      <c r="A426" s="7" t="s">
        <v>929</v>
      </c>
      <c r="B426" s="8" t="s">
        <v>930</v>
      </c>
      <c r="C426" s="9" t="s">
        <v>723</v>
      </c>
      <c r="D426" s="8" t="s">
        <v>724</v>
      </c>
      <c r="E426" s="9" t="n">
        <v>12</v>
      </c>
      <c r="F426" s="9" t="n">
        <v>11</v>
      </c>
      <c r="G426" s="10"/>
    </row>
    <row r="427" customFormat="false" ht="15" hidden="false" customHeight="false" outlineLevel="0" collapsed="false">
      <c r="A427" s="7" t="s">
        <v>931</v>
      </c>
      <c r="B427" s="8" t="s">
        <v>932</v>
      </c>
      <c r="C427" s="9" t="s">
        <v>723</v>
      </c>
      <c r="D427" s="8" t="s">
        <v>724</v>
      </c>
      <c r="E427" s="9" t="n">
        <v>12</v>
      </c>
      <c r="F427" s="9" t="n">
        <v>11</v>
      </c>
      <c r="G427" s="10"/>
    </row>
    <row r="428" customFormat="false" ht="15" hidden="false" customHeight="false" outlineLevel="0" collapsed="false">
      <c r="A428" s="7" t="s">
        <v>933</v>
      </c>
      <c r="B428" s="8" t="s">
        <v>934</v>
      </c>
      <c r="C428" s="9" t="s">
        <v>375</v>
      </c>
      <c r="D428" s="8" t="s">
        <v>376</v>
      </c>
      <c r="E428" s="9" t="n">
        <v>11</v>
      </c>
      <c r="F428" s="9" t="n">
        <v>11</v>
      </c>
      <c r="G428" s="10"/>
    </row>
    <row r="429" customFormat="false" ht="15" hidden="false" customHeight="false" outlineLevel="0" collapsed="false">
      <c r="A429" s="7" t="s">
        <v>935</v>
      </c>
      <c r="B429" s="8" t="s">
        <v>936</v>
      </c>
      <c r="C429" s="9" t="s">
        <v>315</v>
      </c>
      <c r="D429" s="8" t="s">
        <v>316</v>
      </c>
      <c r="E429" s="9" t="n">
        <v>15</v>
      </c>
      <c r="F429" s="9" t="n">
        <v>10</v>
      </c>
      <c r="G429" s="10"/>
    </row>
    <row r="430" customFormat="false" ht="15" hidden="false" customHeight="false" outlineLevel="0" collapsed="false">
      <c r="A430" s="7" t="s">
        <v>937</v>
      </c>
      <c r="B430" s="8" t="s">
        <v>938</v>
      </c>
      <c r="C430" s="9" t="s">
        <v>33</v>
      </c>
      <c r="D430" s="8" t="s">
        <v>34</v>
      </c>
      <c r="E430" s="9" t="n">
        <v>11</v>
      </c>
      <c r="F430" s="9" t="n">
        <v>10</v>
      </c>
      <c r="G430" s="10"/>
    </row>
    <row r="431" customFormat="false" ht="15" hidden="false" customHeight="false" outlineLevel="0" collapsed="false">
      <c r="A431" s="7" t="s">
        <v>939</v>
      </c>
      <c r="B431" s="8" t="s">
        <v>940</v>
      </c>
      <c r="C431" s="9" t="s">
        <v>395</v>
      </c>
      <c r="D431" s="8" t="s">
        <v>396</v>
      </c>
      <c r="E431" s="9" t="n">
        <v>10</v>
      </c>
      <c r="F431" s="9" t="n">
        <v>10</v>
      </c>
      <c r="G431" s="10"/>
    </row>
    <row r="432" customFormat="false" ht="15" hidden="false" customHeight="false" outlineLevel="0" collapsed="false">
      <c r="A432" s="7" t="s">
        <v>941</v>
      </c>
      <c r="B432" s="8" t="s">
        <v>942</v>
      </c>
      <c r="C432" s="9" t="s">
        <v>211</v>
      </c>
      <c r="D432" s="8" t="s">
        <v>212</v>
      </c>
      <c r="E432" s="9" t="n">
        <v>10</v>
      </c>
      <c r="F432" s="9" t="n">
        <v>10</v>
      </c>
      <c r="G432" s="10"/>
    </row>
    <row r="433" customFormat="false" ht="15" hidden="false" customHeight="false" outlineLevel="0" collapsed="false">
      <c r="A433" s="7" t="s">
        <v>943</v>
      </c>
      <c r="B433" s="8" t="s">
        <v>944</v>
      </c>
      <c r="C433" s="9" t="s">
        <v>375</v>
      </c>
      <c r="D433" s="8" t="s">
        <v>376</v>
      </c>
      <c r="E433" s="9" t="n">
        <v>10</v>
      </c>
      <c r="F433" s="9" t="n">
        <v>10</v>
      </c>
      <c r="G433" s="10"/>
    </row>
    <row r="434" customFormat="false" ht="15" hidden="false" customHeight="false" outlineLevel="0" collapsed="false">
      <c r="A434" s="7" t="s">
        <v>945</v>
      </c>
      <c r="B434" s="8" t="s">
        <v>946</v>
      </c>
      <c r="C434" s="9"/>
      <c r="D434" s="8"/>
      <c r="E434" s="9" t="n">
        <v>10</v>
      </c>
      <c r="F434" s="9" t="n">
        <v>10</v>
      </c>
      <c r="G434" s="10"/>
    </row>
    <row r="435" customFormat="false" ht="15" hidden="false" customHeight="false" outlineLevel="0" collapsed="false">
      <c r="A435" s="7" t="s">
        <v>947</v>
      </c>
      <c r="B435" s="8" t="s">
        <v>948</v>
      </c>
      <c r="C435" s="9" t="s">
        <v>375</v>
      </c>
      <c r="D435" s="8" t="s">
        <v>376</v>
      </c>
      <c r="E435" s="9" t="n">
        <v>10</v>
      </c>
      <c r="F435" s="9" t="n">
        <v>10</v>
      </c>
      <c r="G435" s="10"/>
    </row>
    <row r="436" customFormat="false" ht="15" hidden="false" customHeight="false" outlineLevel="0" collapsed="false">
      <c r="A436" s="7" t="s">
        <v>949</v>
      </c>
      <c r="B436" s="8" t="s">
        <v>950</v>
      </c>
      <c r="C436" s="9"/>
      <c r="D436" s="8"/>
      <c r="E436" s="9" t="n">
        <v>10</v>
      </c>
      <c r="F436" s="9" t="n">
        <v>10</v>
      </c>
      <c r="G436" s="10"/>
    </row>
    <row r="437" customFormat="false" ht="15" hidden="false" customHeight="false" outlineLevel="0" collapsed="false">
      <c r="A437" s="7" t="s">
        <v>951</v>
      </c>
      <c r="B437" s="8" t="s">
        <v>952</v>
      </c>
      <c r="C437" s="9" t="s">
        <v>33</v>
      </c>
      <c r="D437" s="8" t="s">
        <v>34</v>
      </c>
      <c r="E437" s="9" t="n">
        <v>10</v>
      </c>
      <c r="F437" s="9" t="n">
        <v>10</v>
      </c>
      <c r="G437" s="10"/>
    </row>
    <row r="438" customFormat="false" ht="15" hidden="false" customHeight="false" outlineLevel="0" collapsed="false">
      <c r="A438" s="7" t="s">
        <v>953</v>
      </c>
      <c r="B438" s="8" t="s">
        <v>954</v>
      </c>
      <c r="C438" s="9" t="s">
        <v>171</v>
      </c>
      <c r="D438" s="8" t="s">
        <v>172</v>
      </c>
      <c r="E438" s="9" t="n">
        <v>10</v>
      </c>
      <c r="F438" s="9" t="n">
        <v>10</v>
      </c>
      <c r="G438" s="10"/>
    </row>
    <row r="439" customFormat="false" ht="15" hidden="false" customHeight="false" outlineLevel="0" collapsed="false">
      <c r="A439" s="7" t="s">
        <v>955</v>
      </c>
      <c r="B439" s="8" t="s">
        <v>956</v>
      </c>
      <c r="C439" s="9"/>
      <c r="D439" s="8"/>
      <c r="E439" s="9" t="n">
        <v>10</v>
      </c>
      <c r="F439" s="9" t="n">
        <v>10</v>
      </c>
      <c r="G439" s="10"/>
    </row>
    <row r="440" customFormat="false" ht="15" hidden="false" customHeight="false" outlineLevel="0" collapsed="false">
      <c r="A440" s="7" t="s">
        <v>957</v>
      </c>
      <c r="B440" s="8" t="s">
        <v>958</v>
      </c>
      <c r="C440" s="9"/>
      <c r="D440" s="8"/>
      <c r="E440" s="9" t="n">
        <v>10</v>
      </c>
      <c r="F440" s="9" t="n">
        <v>10</v>
      </c>
      <c r="G440" s="10"/>
    </row>
    <row r="441" customFormat="false" ht="15" hidden="false" customHeight="false" outlineLevel="0" collapsed="false">
      <c r="A441" s="7" t="s">
        <v>959</v>
      </c>
      <c r="B441" s="8" t="s">
        <v>960</v>
      </c>
      <c r="C441" s="9" t="s">
        <v>171</v>
      </c>
      <c r="D441" s="8" t="s">
        <v>172</v>
      </c>
      <c r="E441" s="9" t="n">
        <v>10</v>
      </c>
      <c r="F441" s="9" t="n">
        <v>10</v>
      </c>
      <c r="G441" s="10"/>
    </row>
    <row r="442" customFormat="false" ht="15" hidden="false" customHeight="false" outlineLevel="0" collapsed="false">
      <c r="A442" s="7" t="s">
        <v>961</v>
      </c>
      <c r="B442" s="8" t="s">
        <v>962</v>
      </c>
      <c r="C442" s="9" t="s">
        <v>171</v>
      </c>
      <c r="D442" s="8" t="s">
        <v>172</v>
      </c>
      <c r="E442" s="9" t="n">
        <v>10</v>
      </c>
      <c r="F442" s="9" t="n">
        <v>10</v>
      </c>
      <c r="G442" s="10"/>
    </row>
    <row r="443" customFormat="false" ht="15" hidden="false" customHeight="false" outlineLevel="0" collapsed="false">
      <c r="A443" s="7" t="s">
        <v>963</v>
      </c>
      <c r="B443" s="8" t="s">
        <v>964</v>
      </c>
      <c r="C443" s="9" t="s">
        <v>171</v>
      </c>
      <c r="D443" s="8" t="s">
        <v>172</v>
      </c>
      <c r="E443" s="9" t="n">
        <v>10</v>
      </c>
      <c r="F443" s="9" t="n">
        <v>10</v>
      </c>
      <c r="G443" s="10"/>
    </row>
    <row r="444" customFormat="false" ht="15" hidden="false" customHeight="false" outlineLevel="0" collapsed="false">
      <c r="A444" s="7" t="s">
        <v>965</v>
      </c>
      <c r="B444" s="8" t="s">
        <v>966</v>
      </c>
      <c r="C444" s="9" t="s">
        <v>315</v>
      </c>
      <c r="D444" s="8" t="s">
        <v>316</v>
      </c>
      <c r="E444" s="9" t="n">
        <v>10</v>
      </c>
      <c r="F444" s="9" t="n">
        <v>10</v>
      </c>
      <c r="G444" s="10"/>
    </row>
    <row r="445" customFormat="false" ht="15" hidden="false" customHeight="false" outlineLevel="0" collapsed="false">
      <c r="A445" s="7" t="s">
        <v>967</v>
      </c>
      <c r="B445" s="8" t="s">
        <v>968</v>
      </c>
      <c r="C445" s="9" t="s">
        <v>315</v>
      </c>
      <c r="D445" s="8" t="s">
        <v>316</v>
      </c>
      <c r="E445" s="9" t="n">
        <v>10</v>
      </c>
      <c r="F445" s="9" t="n">
        <v>10</v>
      </c>
      <c r="G445" s="10"/>
    </row>
    <row r="446" customFormat="false" ht="15" hidden="false" customHeight="false" outlineLevel="0" collapsed="false">
      <c r="A446" s="7" t="s">
        <v>969</v>
      </c>
      <c r="B446" s="8" t="s">
        <v>970</v>
      </c>
      <c r="C446" s="9" t="s">
        <v>375</v>
      </c>
      <c r="D446" s="8" t="s">
        <v>376</v>
      </c>
      <c r="E446" s="9" t="n">
        <v>10</v>
      </c>
      <c r="F446" s="9" t="n">
        <v>10</v>
      </c>
      <c r="G446" s="10"/>
    </row>
    <row r="447" customFormat="false" ht="15" hidden="false" customHeight="false" outlineLevel="0" collapsed="false">
      <c r="A447" s="7" t="s">
        <v>971</v>
      </c>
      <c r="B447" s="8" t="s">
        <v>972</v>
      </c>
      <c r="C447" s="9" t="s">
        <v>375</v>
      </c>
      <c r="D447" s="8" t="s">
        <v>376</v>
      </c>
      <c r="E447" s="9" t="n">
        <v>10</v>
      </c>
      <c r="F447" s="9" t="n">
        <v>10</v>
      </c>
      <c r="G447" s="10"/>
    </row>
    <row r="448" customFormat="false" ht="15" hidden="false" customHeight="false" outlineLevel="0" collapsed="false">
      <c r="A448" s="7" t="s">
        <v>973</v>
      </c>
      <c r="B448" s="8" t="s">
        <v>974</v>
      </c>
      <c r="C448" s="9" t="s">
        <v>375</v>
      </c>
      <c r="D448" s="8" t="s">
        <v>376</v>
      </c>
      <c r="E448" s="9" t="n">
        <v>10</v>
      </c>
      <c r="F448" s="9" t="n">
        <v>10</v>
      </c>
      <c r="G448" s="10"/>
    </row>
    <row r="449" customFormat="false" ht="15" hidden="false" customHeight="false" outlineLevel="0" collapsed="false">
      <c r="A449" s="7" t="s">
        <v>975</v>
      </c>
      <c r="B449" s="8" t="s">
        <v>976</v>
      </c>
      <c r="C449" s="9" t="s">
        <v>375</v>
      </c>
      <c r="D449" s="8" t="s">
        <v>376</v>
      </c>
      <c r="E449" s="9" t="n">
        <v>10</v>
      </c>
      <c r="F449" s="9" t="n">
        <v>10</v>
      </c>
      <c r="G449" s="10"/>
    </row>
    <row r="450" customFormat="false" ht="15" hidden="false" customHeight="false" outlineLevel="0" collapsed="false">
      <c r="A450" s="7" t="s">
        <v>977</v>
      </c>
      <c r="B450" s="8" t="s">
        <v>978</v>
      </c>
      <c r="C450" s="9" t="s">
        <v>375</v>
      </c>
      <c r="D450" s="8" t="s">
        <v>376</v>
      </c>
      <c r="E450" s="9" t="n">
        <v>10</v>
      </c>
      <c r="F450" s="9" t="n">
        <v>10</v>
      </c>
      <c r="G450" s="10"/>
    </row>
    <row r="451" customFormat="false" ht="15" hidden="false" customHeight="false" outlineLevel="0" collapsed="false">
      <c r="A451" s="7" t="s">
        <v>979</v>
      </c>
      <c r="B451" s="8" t="s">
        <v>980</v>
      </c>
      <c r="C451" s="9" t="s">
        <v>375</v>
      </c>
      <c r="D451" s="8" t="s">
        <v>376</v>
      </c>
      <c r="E451" s="9" t="n">
        <v>10</v>
      </c>
      <c r="F451" s="9" t="n">
        <v>10</v>
      </c>
      <c r="G451" s="10"/>
    </row>
    <row r="452" customFormat="false" ht="15" hidden="false" customHeight="false" outlineLevel="0" collapsed="false">
      <c r="A452" s="7" t="s">
        <v>981</v>
      </c>
      <c r="B452" s="8" t="s">
        <v>982</v>
      </c>
      <c r="C452" s="9" t="s">
        <v>879</v>
      </c>
      <c r="D452" s="8" t="s">
        <v>880</v>
      </c>
      <c r="E452" s="9" t="n">
        <v>9</v>
      </c>
      <c r="F452" s="9" t="n">
        <v>9</v>
      </c>
      <c r="G452" s="10"/>
    </row>
    <row r="453" customFormat="false" ht="15" hidden="false" customHeight="false" outlineLevel="0" collapsed="false">
      <c r="A453" s="7" t="s">
        <v>983</v>
      </c>
      <c r="B453" s="8" t="s">
        <v>984</v>
      </c>
      <c r="C453" s="9" t="s">
        <v>63</v>
      </c>
      <c r="D453" s="8" t="s">
        <v>64</v>
      </c>
      <c r="E453" s="9" t="n">
        <v>9</v>
      </c>
      <c r="F453" s="9" t="n">
        <v>9</v>
      </c>
      <c r="G453" s="10"/>
    </row>
    <row r="454" customFormat="false" ht="15" hidden="false" customHeight="false" outlineLevel="0" collapsed="false">
      <c r="A454" s="7" t="s">
        <v>985</v>
      </c>
      <c r="B454" s="8" t="s">
        <v>986</v>
      </c>
      <c r="C454" s="9" t="s">
        <v>63</v>
      </c>
      <c r="D454" s="8" t="s">
        <v>64</v>
      </c>
      <c r="E454" s="9" t="n">
        <v>9</v>
      </c>
      <c r="F454" s="9" t="n">
        <v>9</v>
      </c>
      <c r="G454" s="10"/>
    </row>
    <row r="455" customFormat="false" ht="15" hidden="false" customHeight="false" outlineLevel="0" collapsed="false">
      <c r="A455" s="7" t="s">
        <v>987</v>
      </c>
      <c r="B455" s="8" t="s">
        <v>988</v>
      </c>
      <c r="C455" s="9"/>
      <c r="D455" s="8"/>
      <c r="E455" s="9" t="n">
        <v>9</v>
      </c>
      <c r="F455" s="9" t="n">
        <v>9</v>
      </c>
      <c r="G455" s="10"/>
    </row>
    <row r="456" customFormat="false" ht="15" hidden="false" customHeight="false" outlineLevel="0" collapsed="false">
      <c r="A456" s="7" t="s">
        <v>989</v>
      </c>
      <c r="B456" s="8" t="s">
        <v>990</v>
      </c>
      <c r="C456" s="9" t="s">
        <v>171</v>
      </c>
      <c r="D456" s="8" t="s">
        <v>172</v>
      </c>
      <c r="E456" s="9" t="n">
        <v>9</v>
      </c>
      <c r="F456" s="9" t="n">
        <v>9</v>
      </c>
      <c r="G456" s="10"/>
    </row>
    <row r="457" customFormat="false" ht="15" hidden="false" customHeight="false" outlineLevel="0" collapsed="false">
      <c r="A457" s="7" t="s">
        <v>991</v>
      </c>
      <c r="B457" s="8" t="s">
        <v>992</v>
      </c>
      <c r="C457" s="9" t="s">
        <v>315</v>
      </c>
      <c r="D457" s="8" t="s">
        <v>316</v>
      </c>
      <c r="E457" s="9" t="n">
        <v>9</v>
      </c>
      <c r="F457" s="9" t="n">
        <v>9</v>
      </c>
      <c r="G457" s="10"/>
    </row>
    <row r="458" customFormat="false" ht="15" hidden="false" customHeight="false" outlineLevel="0" collapsed="false">
      <c r="A458" s="7" t="s">
        <v>993</v>
      </c>
      <c r="B458" s="8" t="s">
        <v>994</v>
      </c>
      <c r="C458" s="9" t="s">
        <v>723</v>
      </c>
      <c r="D458" s="8" t="s">
        <v>724</v>
      </c>
      <c r="E458" s="9" t="n">
        <v>10</v>
      </c>
      <c r="F458" s="9" t="n">
        <v>9</v>
      </c>
      <c r="G458" s="10"/>
    </row>
    <row r="459" customFormat="false" ht="15" hidden="false" customHeight="false" outlineLevel="0" collapsed="false">
      <c r="A459" s="7" t="s">
        <v>995</v>
      </c>
      <c r="B459" s="8" t="s">
        <v>996</v>
      </c>
      <c r="C459" s="9" t="s">
        <v>375</v>
      </c>
      <c r="D459" s="8" t="s">
        <v>376</v>
      </c>
      <c r="E459" s="9" t="n">
        <v>9</v>
      </c>
      <c r="F459" s="9" t="n">
        <v>9</v>
      </c>
      <c r="G459" s="10"/>
    </row>
    <row r="460" customFormat="false" ht="15" hidden="false" customHeight="false" outlineLevel="0" collapsed="false">
      <c r="A460" s="7" t="s">
        <v>997</v>
      </c>
      <c r="B460" s="8" t="s">
        <v>998</v>
      </c>
      <c r="C460" s="9" t="s">
        <v>723</v>
      </c>
      <c r="D460" s="8" t="s">
        <v>724</v>
      </c>
      <c r="E460" s="9" t="n">
        <v>10</v>
      </c>
      <c r="F460" s="9" t="n">
        <v>9</v>
      </c>
      <c r="G460" s="10"/>
    </row>
    <row r="461" customFormat="false" ht="15" hidden="false" customHeight="false" outlineLevel="0" collapsed="false">
      <c r="A461" s="7" t="s">
        <v>999</v>
      </c>
      <c r="B461" s="8" t="s">
        <v>1000</v>
      </c>
      <c r="C461" s="9" t="s">
        <v>405</v>
      </c>
      <c r="D461" s="8" t="s">
        <v>406</v>
      </c>
      <c r="E461" s="9" t="n">
        <v>8</v>
      </c>
      <c r="F461" s="9" t="n">
        <v>8</v>
      </c>
      <c r="G461" s="10"/>
    </row>
    <row r="462" customFormat="false" ht="15" hidden="false" customHeight="false" outlineLevel="0" collapsed="false">
      <c r="A462" s="7" t="s">
        <v>1001</v>
      </c>
      <c r="B462" s="8" t="s">
        <v>1002</v>
      </c>
      <c r="C462" s="9" t="s">
        <v>1003</v>
      </c>
      <c r="D462" s="8" t="s">
        <v>1004</v>
      </c>
      <c r="E462" s="9" t="n">
        <v>8</v>
      </c>
      <c r="F462" s="9" t="n">
        <v>8</v>
      </c>
      <c r="G462" s="10"/>
    </row>
    <row r="463" customFormat="false" ht="15" hidden="false" customHeight="false" outlineLevel="0" collapsed="false">
      <c r="A463" s="7" t="s">
        <v>1005</v>
      </c>
      <c r="B463" s="8" t="s">
        <v>1006</v>
      </c>
      <c r="C463" s="9" t="s">
        <v>33</v>
      </c>
      <c r="D463" s="8" t="s">
        <v>34</v>
      </c>
      <c r="E463" s="9" t="n">
        <v>8</v>
      </c>
      <c r="F463" s="9" t="n">
        <v>8</v>
      </c>
      <c r="G463" s="10"/>
    </row>
    <row r="464" customFormat="false" ht="15" hidden="false" customHeight="false" outlineLevel="0" collapsed="false">
      <c r="A464" s="7" t="s">
        <v>1007</v>
      </c>
      <c r="B464" s="8" t="s">
        <v>1008</v>
      </c>
      <c r="C464" s="9" t="s">
        <v>49</v>
      </c>
      <c r="D464" s="8" t="s">
        <v>50</v>
      </c>
      <c r="E464" s="9" t="n">
        <v>8</v>
      </c>
      <c r="F464" s="9" t="n">
        <v>8</v>
      </c>
      <c r="G464" s="10"/>
    </row>
    <row r="465" customFormat="false" ht="15" hidden="false" customHeight="false" outlineLevel="0" collapsed="false">
      <c r="A465" s="7" t="s">
        <v>1009</v>
      </c>
      <c r="B465" s="8" t="s">
        <v>1010</v>
      </c>
      <c r="C465" s="9" t="s">
        <v>171</v>
      </c>
      <c r="D465" s="8" t="s">
        <v>172</v>
      </c>
      <c r="E465" s="9" t="n">
        <v>8</v>
      </c>
      <c r="F465" s="9" t="n">
        <v>8</v>
      </c>
      <c r="G465" s="10"/>
    </row>
    <row r="466" customFormat="false" ht="15" hidden="false" customHeight="false" outlineLevel="0" collapsed="false">
      <c r="A466" s="7" t="s">
        <v>1011</v>
      </c>
      <c r="B466" s="8" t="s">
        <v>1012</v>
      </c>
      <c r="C466" s="9" t="s">
        <v>315</v>
      </c>
      <c r="D466" s="8" t="s">
        <v>316</v>
      </c>
      <c r="E466" s="9" t="n">
        <v>8</v>
      </c>
      <c r="F466" s="9" t="n">
        <v>8</v>
      </c>
      <c r="G466" s="10"/>
    </row>
    <row r="467" customFormat="false" ht="15" hidden="false" customHeight="false" outlineLevel="0" collapsed="false">
      <c r="A467" s="7" t="s">
        <v>1013</v>
      </c>
      <c r="B467" s="8" t="s">
        <v>1014</v>
      </c>
      <c r="C467" s="9" t="s">
        <v>375</v>
      </c>
      <c r="D467" s="8" t="s">
        <v>376</v>
      </c>
      <c r="E467" s="9" t="n">
        <v>8</v>
      </c>
      <c r="F467" s="9" t="n">
        <v>8</v>
      </c>
      <c r="G467" s="10"/>
    </row>
    <row r="468" customFormat="false" ht="15" hidden="false" customHeight="false" outlineLevel="0" collapsed="false">
      <c r="A468" s="7" t="s">
        <v>1015</v>
      </c>
      <c r="B468" s="8" t="s">
        <v>1016</v>
      </c>
      <c r="C468" s="9" t="s">
        <v>375</v>
      </c>
      <c r="D468" s="8" t="s">
        <v>376</v>
      </c>
      <c r="E468" s="9" t="n">
        <v>8</v>
      </c>
      <c r="F468" s="9" t="n">
        <v>8</v>
      </c>
      <c r="G468" s="10"/>
    </row>
    <row r="469" customFormat="false" ht="15" hidden="false" customHeight="false" outlineLevel="0" collapsed="false">
      <c r="A469" s="7" t="s">
        <v>1017</v>
      </c>
      <c r="B469" s="8" t="s">
        <v>1018</v>
      </c>
      <c r="C469" s="9"/>
      <c r="D469" s="8"/>
      <c r="E469" s="9" t="n">
        <v>7</v>
      </c>
      <c r="F469" s="9" t="n">
        <v>7</v>
      </c>
      <c r="G469" s="10"/>
    </row>
    <row r="470" customFormat="false" ht="15" hidden="false" customHeight="false" outlineLevel="0" collapsed="false">
      <c r="A470" s="7" t="s">
        <v>1019</v>
      </c>
      <c r="B470" s="8" t="s">
        <v>1020</v>
      </c>
      <c r="C470" s="9"/>
      <c r="D470" s="8"/>
      <c r="E470" s="9" t="n">
        <v>7</v>
      </c>
      <c r="F470" s="9" t="n">
        <v>7</v>
      </c>
      <c r="G470" s="10"/>
    </row>
    <row r="471" customFormat="false" ht="15" hidden="false" customHeight="false" outlineLevel="0" collapsed="false">
      <c r="A471" s="7" t="s">
        <v>1021</v>
      </c>
      <c r="B471" s="8" t="s">
        <v>1022</v>
      </c>
      <c r="C471" s="9" t="s">
        <v>1023</v>
      </c>
      <c r="D471" s="8" t="s">
        <v>1024</v>
      </c>
      <c r="E471" s="9" t="n">
        <v>7</v>
      </c>
      <c r="F471" s="9" t="n">
        <v>7</v>
      </c>
      <c r="G471" s="10"/>
    </row>
    <row r="472" customFormat="false" ht="15" hidden="false" customHeight="false" outlineLevel="0" collapsed="false">
      <c r="A472" s="7" t="s">
        <v>1025</v>
      </c>
      <c r="B472" s="8" t="s">
        <v>1026</v>
      </c>
      <c r="C472" s="9" t="s">
        <v>723</v>
      </c>
      <c r="D472" s="8" t="s">
        <v>724</v>
      </c>
      <c r="E472" s="9" t="n">
        <v>8</v>
      </c>
      <c r="F472" s="9" t="n">
        <v>7</v>
      </c>
      <c r="G472" s="10"/>
    </row>
    <row r="473" customFormat="false" ht="15" hidden="false" customHeight="false" outlineLevel="0" collapsed="false">
      <c r="A473" s="7" t="s">
        <v>1027</v>
      </c>
      <c r="B473" s="8" t="s">
        <v>1028</v>
      </c>
      <c r="C473" s="9" t="s">
        <v>723</v>
      </c>
      <c r="D473" s="8" t="s">
        <v>724</v>
      </c>
      <c r="E473" s="9" t="n">
        <v>8</v>
      </c>
      <c r="F473" s="9" t="n">
        <v>7</v>
      </c>
      <c r="G473" s="10"/>
    </row>
    <row r="474" customFormat="false" ht="15" hidden="false" customHeight="false" outlineLevel="0" collapsed="false">
      <c r="A474" s="7" t="s">
        <v>1029</v>
      </c>
      <c r="B474" s="8" t="s">
        <v>1030</v>
      </c>
      <c r="C474" s="9" t="s">
        <v>723</v>
      </c>
      <c r="D474" s="8" t="s">
        <v>724</v>
      </c>
      <c r="E474" s="9" t="n">
        <v>8</v>
      </c>
      <c r="F474" s="9" t="n">
        <v>7</v>
      </c>
      <c r="G474" s="10"/>
    </row>
    <row r="475" customFormat="false" ht="15" hidden="false" customHeight="false" outlineLevel="0" collapsed="false">
      <c r="A475" s="7" t="s">
        <v>1031</v>
      </c>
      <c r="B475" s="8" t="s">
        <v>1032</v>
      </c>
      <c r="C475" s="9" t="s">
        <v>723</v>
      </c>
      <c r="D475" s="8" t="s">
        <v>724</v>
      </c>
      <c r="E475" s="9" t="n">
        <v>8</v>
      </c>
      <c r="F475" s="9" t="n">
        <v>7</v>
      </c>
      <c r="G475" s="10"/>
    </row>
    <row r="476" customFormat="false" ht="15" hidden="false" customHeight="false" outlineLevel="0" collapsed="false">
      <c r="A476" s="7" t="s">
        <v>1033</v>
      </c>
      <c r="B476" s="8" t="s">
        <v>1034</v>
      </c>
      <c r="C476" s="9" t="s">
        <v>33</v>
      </c>
      <c r="D476" s="8" t="s">
        <v>34</v>
      </c>
      <c r="E476" s="9" t="n">
        <v>7</v>
      </c>
      <c r="F476" s="9" t="n">
        <v>7</v>
      </c>
      <c r="G476" s="10"/>
    </row>
    <row r="477" customFormat="false" ht="15" hidden="false" customHeight="false" outlineLevel="0" collapsed="false">
      <c r="A477" s="7" t="s">
        <v>1035</v>
      </c>
      <c r="B477" s="8" t="s">
        <v>1036</v>
      </c>
      <c r="C477" s="9"/>
      <c r="D477" s="8"/>
      <c r="E477" s="9" t="n">
        <v>7</v>
      </c>
      <c r="F477" s="9" t="n">
        <v>7</v>
      </c>
      <c r="G477" s="10"/>
    </row>
    <row r="478" customFormat="false" ht="15" hidden="false" customHeight="false" outlineLevel="0" collapsed="false">
      <c r="A478" s="7" t="s">
        <v>1037</v>
      </c>
      <c r="B478" s="8" t="s">
        <v>1038</v>
      </c>
      <c r="C478" s="9" t="s">
        <v>723</v>
      </c>
      <c r="D478" s="8" t="s">
        <v>724</v>
      </c>
      <c r="E478" s="9" t="n">
        <v>8</v>
      </c>
      <c r="F478" s="9" t="n">
        <v>7</v>
      </c>
      <c r="G478" s="10"/>
    </row>
    <row r="479" customFormat="false" ht="15" hidden="false" customHeight="false" outlineLevel="0" collapsed="false">
      <c r="A479" s="7" t="s">
        <v>1039</v>
      </c>
      <c r="B479" s="8" t="s">
        <v>1040</v>
      </c>
      <c r="C479" s="9" t="s">
        <v>723</v>
      </c>
      <c r="D479" s="8" t="s">
        <v>724</v>
      </c>
      <c r="E479" s="9" t="n">
        <v>8</v>
      </c>
      <c r="F479" s="9" t="n">
        <v>7</v>
      </c>
      <c r="G479" s="10"/>
    </row>
    <row r="480" customFormat="false" ht="15" hidden="false" customHeight="false" outlineLevel="0" collapsed="false">
      <c r="A480" s="7" t="s">
        <v>1041</v>
      </c>
      <c r="B480" s="8" t="s">
        <v>1042</v>
      </c>
      <c r="C480" s="9" t="s">
        <v>723</v>
      </c>
      <c r="D480" s="8" t="s">
        <v>724</v>
      </c>
      <c r="E480" s="9" t="n">
        <v>8</v>
      </c>
      <c r="F480" s="9" t="n">
        <v>7</v>
      </c>
      <c r="G480" s="10"/>
    </row>
    <row r="481" customFormat="false" ht="15" hidden="false" customHeight="false" outlineLevel="0" collapsed="false">
      <c r="A481" s="7" t="s">
        <v>1043</v>
      </c>
      <c r="B481" s="8" t="s">
        <v>1044</v>
      </c>
      <c r="C481" s="9" t="s">
        <v>723</v>
      </c>
      <c r="D481" s="8" t="s">
        <v>724</v>
      </c>
      <c r="E481" s="9" t="n">
        <v>8</v>
      </c>
      <c r="F481" s="9" t="n">
        <v>7</v>
      </c>
      <c r="G481" s="10"/>
    </row>
    <row r="482" customFormat="false" ht="15" hidden="false" customHeight="false" outlineLevel="0" collapsed="false">
      <c r="A482" s="7" t="s">
        <v>1045</v>
      </c>
      <c r="B482" s="8" t="s">
        <v>1046</v>
      </c>
      <c r="C482" s="9" t="s">
        <v>315</v>
      </c>
      <c r="D482" s="8" t="s">
        <v>316</v>
      </c>
      <c r="E482" s="9" t="n">
        <v>6</v>
      </c>
      <c r="F482" s="9" t="n">
        <v>6</v>
      </c>
      <c r="G482" s="10"/>
    </row>
    <row r="483" customFormat="false" ht="15" hidden="false" customHeight="false" outlineLevel="0" collapsed="false">
      <c r="A483" s="7" t="s">
        <v>1047</v>
      </c>
      <c r="B483" s="8" t="s">
        <v>1048</v>
      </c>
      <c r="C483" s="9"/>
      <c r="D483" s="8"/>
      <c r="E483" s="9" t="n">
        <v>6</v>
      </c>
      <c r="F483" s="9" t="n">
        <v>6</v>
      </c>
      <c r="G483" s="10"/>
    </row>
    <row r="484" customFormat="false" ht="15" hidden="false" customHeight="false" outlineLevel="0" collapsed="false">
      <c r="A484" s="7" t="s">
        <v>1049</v>
      </c>
      <c r="B484" s="8" t="s">
        <v>1050</v>
      </c>
      <c r="C484" s="9" t="s">
        <v>395</v>
      </c>
      <c r="D484" s="8" t="s">
        <v>396</v>
      </c>
      <c r="E484" s="9" t="n">
        <v>6</v>
      </c>
      <c r="F484" s="9" t="n">
        <v>6</v>
      </c>
      <c r="G484" s="10"/>
    </row>
    <row r="485" customFormat="false" ht="15" hidden="false" customHeight="false" outlineLevel="0" collapsed="false">
      <c r="A485" s="7" t="s">
        <v>1051</v>
      </c>
      <c r="B485" s="8" t="s">
        <v>1052</v>
      </c>
      <c r="C485" s="9" t="s">
        <v>879</v>
      </c>
      <c r="D485" s="8" t="s">
        <v>880</v>
      </c>
      <c r="E485" s="9" t="n">
        <v>6</v>
      </c>
      <c r="F485" s="9" t="n">
        <v>6</v>
      </c>
      <c r="G485" s="10"/>
    </row>
    <row r="486" customFormat="false" ht="15" hidden="false" customHeight="false" outlineLevel="0" collapsed="false">
      <c r="A486" s="7" t="s">
        <v>1053</v>
      </c>
      <c r="B486" s="8" t="s">
        <v>1054</v>
      </c>
      <c r="C486" s="9" t="s">
        <v>33</v>
      </c>
      <c r="D486" s="8" t="s">
        <v>34</v>
      </c>
      <c r="E486" s="9" t="n">
        <v>6</v>
      </c>
      <c r="F486" s="9" t="n">
        <v>6</v>
      </c>
      <c r="G486" s="10"/>
    </row>
    <row r="487" customFormat="false" ht="15" hidden="false" customHeight="false" outlineLevel="0" collapsed="false">
      <c r="A487" s="7" t="s">
        <v>1055</v>
      </c>
      <c r="B487" s="8" t="s">
        <v>1056</v>
      </c>
      <c r="C487" s="9" t="s">
        <v>315</v>
      </c>
      <c r="D487" s="8" t="s">
        <v>316</v>
      </c>
      <c r="E487" s="9" t="n">
        <v>6</v>
      </c>
      <c r="F487" s="9" t="n">
        <v>6</v>
      </c>
      <c r="G487" s="10"/>
    </row>
    <row r="488" customFormat="false" ht="15" hidden="false" customHeight="false" outlineLevel="0" collapsed="false">
      <c r="A488" s="7" t="s">
        <v>1057</v>
      </c>
      <c r="B488" s="8" t="s">
        <v>1058</v>
      </c>
      <c r="C488" s="9" t="s">
        <v>33</v>
      </c>
      <c r="D488" s="8" t="s">
        <v>34</v>
      </c>
      <c r="E488" s="9" t="n">
        <v>6</v>
      </c>
      <c r="F488" s="9" t="n">
        <v>6</v>
      </c>
      <c r="G488" s="10"/>
    </row>
    <row r="489" customFormat="false" ht="15" hidden="false" customHeight="false" outlineLevel="0" collapsed="false">
      <c r="A489" s="7" t="s">
        <v>1059</v>
      </c>
      <c r="B489" s="8" t="s">
        <v>1060</v>
      </c>
      <c r="C489" s="9" t="s">
        <v>89</v>
      </c>
      <c r="D489" s="8" t="s">
        <v>90</v>
      </c>
      <c r="E489" s="9" t="n">
        <v>6</v>
      </c>
      <c r="F489" s="9" t="n">
        <v>6</v>
      </c>
      <c r="G489" s="10"/>
    </row>
    <row r="490" customFormat="false" ht="15" hidden="false" customHeight="false" outlineLevel="0" collapsed="false">
      <c r="A490" s="7" t="s">
        <v>1061</v>
      </c>
      <c r="B490" s="8" t="s">
        <v>1062</v>
      </c>
      <c r="C490" s="9"/>
      <c r="D490" s="8"/>
      <c r="E490" s="9" t="n">
        <v>6</v>
      </c>
      <c r="F490" s="9" t="n">
        <v>6</v>
      </c>
      <c r="G490" s="10"/>
    </row>
    <row r="491" customFormat="false" ht="15" hidden="false" customHeight="false" outlineLevel="0" collapsed="false">
      <c r="A491" s="7" t="s">
        <v>1063</v>
      </c>
      <c r="B491" s="8" t="s">
        <v>1064</v>
      </c>
      <c r="C491" s="9" t="s">
        <v>171</v>
      </c>
      <c r="D491" s="8" t="s">
        <v>172</v>
      </c>
      <c r="E491" s="9" t="n">
        <v>6</v>
      </c>
      <c r="F491" s="9" t="n">
        <v>6</v>
      </c>
      <c r="G491" s="10"/>
    </row>
    <row r="492" customFormat="false" ht="15" hidden="false" customHeight="false" outlineLevel="0" collapsed="false">
      <c r="A492" s="7" t="s">
        <v>1065</v>
      </c>
      <c r="B492" s="8" t="s">
        <v>1066</v>
      </c>
      <c r="C492" s="9" t="s">
        <v>375</v>
      </c>
      <c r="D492" s="8" t="s">
        <v>376</v>
      </c>
      <c r="E492" s="9" t="n">
        <v>6</v>
      </c>
      <c r="F492" s="9" t="n">
        <v>6</v>
      </c>
      <c r="G492" s="10"/>
    </row>
    <row r="493" customFormat="false" ht="15" hidden="false" customHeight="false" outlineLevel="0" collapsed="false">
      <c r="A493" s="7" t="s">
        <v>1067</v>
      </c>
      <c r="B493" s="8" t="s">
        <v>1068</v>
      </c>
      <c r="C493" s="9"/>
      <c r="D493" s="8"/>
      <c r="E493" s="9" t="n">
        <v>5</v>
      </c>
      <c r="F493" s="9" t="n">
        <v>5</v>
      </c>
      <c r="G493" s="10"/>
    </row>
    <row r="494" customFormat="false" ht="15" hidden="false" customHeight="false" outlineLevel="0" collapsed="false">
      <c r="A494" s="7" t="s">
        <v>1069</v>
      </c>
      <c r="B494" s="8" t="s">
        <v>1070</v>
      </c>
      <c r="C494" s="9"/>
      <c r="D494" s="8"/>
      <c r="E494" s="9" t="n">
        <v>5</v>
      </c>
      <c r="F494" s="9" t="n">
        <v>5</v>
      </c>
      <c r="G494" s="10"/>
    </row>
    <row r="495" customFormat="false" ht="15" hidden="false" customHeight="false" outlineLevel="0" collapsed="false">
      <c r="A495" s="7" t="s">
        <v>1071</v>
      </c>
      <c r="B495" s="8" t="s">
        <v>1072</v>
      </c>
      <c r="C495" s="9"/>
      <c r="D495" s="8"/>
      <c r="E495" s="9" t="n">
        <v>5</v>
      </c>
      <c r="F495" s="9" t="n">
        <v>5</v>
      </c>
      <c r="G495" s="10"/>
    </row>
    <row r="496" customFormat="false" ht="15" hidden="false" customHeight="false" outlineLevel="0" collapsed="false">
      <c r="A496" s="7" t="s">
        <v>1073</v>
      </c>
      <c r="B496" s="8" t="s">
        <v>1074</v>
      </c>
      <c r="C496" s="9" t="s">
        <v>33</v>
      </c>
      <c r="D496" s="8" t="s">
        <v>34</v>
      </c>
      <c r="E496" s="9" t="n">
        <v>5</v>
      </c>
      <c r="F496" s="9" t="n">
        <v>5</v>
      </c>
      <c r="G496" s="10"/>
    </row>
    <row r="497" customFormat="false" ht="15" hidden="false" customHeight="false" outlineLevel="0" collapsed="false">
      <c r="A497" s="7" t="s">
        <v>1075</v>
      </c>
      <c r="B497" s="8" t="s">
        <v>1076</v>
      </c>
      <c r="C497" s="9" t="s">
        <v>187</v>
      </c>
      <c r="D497" s="8" t="s">
        <v>188</v>
      </c>
      <c r="E497" s="9" t="n">
        <v>5</v>
      </c>
      <c r="F497" s="9" t="n">
        <v>5</v>
      </c>
      <c r="G497" s="10"/>
    </row>
    <row r="498" customFormat="false" ht="15" hidden="false" customHeight="false" outlineLevel="0" collapsed="false">
      <c r="A498" s="7" t="s">
        <v>1077</v>
      </c>
      <c r="B498" s="8" t="s">
        <v>1078</v>
      </c>
      <c r="C498" s="9" t="s">
        <v>375</v>
      </c>
      <c r="D498" s="8" t="s">
        <v>376</v>
      </c>
      <c r="E498" s="9" t="n">
        <v>5</v>
      </c>
      <c r="F498" s="9" t="n">
        <v>5</v>
      </c>
      <c r="G498" s="10"/>
    </row>
    <row r="499" customFormat="false" ht="15" hidden="false" customHeight="false" outlineLevel="0" collapsed="false">
      <c r="A499" s="7" t="s">
        <v>1079</v>
      </c>
      <c r="B499" s="8" t="s">
        <v>1080</v>
      </c>
      <c r="C499" s="9" t="s">
        <v>723</v>
      </c>
      <c r="D499" s="8" t="s">
        <v>724</v>
      </c>
      <c r="E499" s="9" t="n">
        <v>6</v>
      </c>
      <c r="F499" s="9" t="n">
        <v>5</v>
      </c>
      <c r="G499" s="10"/>
    </row>
    <row r="500" customFormat="false" ht="15" hidden="false" customHeight="false" outlineLevel="0" collapsed="false">
      <c r="A500" s="7" t="s">
        <v>1081</v>
      </c>
      <c r="B500" s="8" t="s">
        <v>1082</v>
      </c>
      <c r="C500" s="9" t="s">
        <v>1023</v>
      </c>
      <c r="D500" s="8" t="s">
        <v>1024</v>
      </c>
      <c r="E500" s="9" t="n">
        <v>5</v>
      </c>
      <c r="F500" s="9" t="n">
        <v>5</v>
      </c>
      <c r="G500" s="10"/>
    </row>
    <row r="501" customFormat="false" ht="15" hidden="false" customHeight="false" outlineLevel="0" collapsed="false">
      <c r="A501" s="7" t="s">
        <v>1083</v>
      </c>
      <c r="B501" s="8" t="s">
        <v>1084</v>
      </c>
      <c r="C501" s="9" t="s">
        <v>395</v>
      </c>
      <c r="D501" s="8" t="s">
        <v>396</v>
      </c>
      <c r="E501" s="9" t="n">
        <v>5</v>
      </c>
      <c r="F501" s="9" t="n">
        <v>5</v>
      </c>
      <c r="G501" s="10"/>
    </row>
    <row r="502" customFormat="false" ht="15" hidden="false" customHeight="false" outlineLevel="0" collapsed="false">
      <c r="A502" s="7" t="s">
        <v>1085</v>
      </c>
      <c r="B502" s="8" t="s">
        <v>1086</v>
      </c>
      <c r="C502" s="9" t="s">
        <v>405</v>
      </c>
      <c r="D502" s="8" t="s">
        <v>406</v>
      </c>
      <c r="E502" s="9" t="n">
        <v>5</v>
      </c>
      <c r="F502" s="9" t="n">
        <v>5</v>
      </c>
      <c r="G502" s="10"/>
    </row>
    <row r="503" customFormat="false" ht="15" hidden="false" customHeight="false" outlineLevel="0" collapsed="false">
      <c r="A503" s="7" t="s">
        <v>1087</v>
      </c>
      <c r="B503" s="8" t="s">
        <v>1088</v>
      </c>
      <c r="C503" s="9"/>
      <c r="D503" s="8"/>
      <c r="E503" s="9" t="n">
        <v>5</v>
      </c>
      <c r="F503" s="9" t="n">
        <v>5</v>
      </c>
      <c r="G503" s="10"/>
    </row>
    <row r="504" customFormat="false" ht="15" hidden="false" customHeight="false" outlineLevel="0" collapsed="false">
      <c r="A504" s="7" t="s">
        <v>1089</v>
      </c>
      <c r="B504" s="8" t="s">
        <v>1090</v>
      </c>
      <c r="C504" s="9" t="s">
        <v>723</v>
      </c>
      <c r="D504" s="8" t="s">
        <v>724</v>
      </c>
      <c r="E504" s="9" t="n">
        <v>6</v>
      </c>
      <c r="F504" s="9" t="n">
        <v>5</v>
      </c>
      <c r="G504" s="10"/>
    </row>
    <row r="505" customFormat="false" ht="15" hidden="false" customHeight="false" outlineLevel="0" collapsed="false">
      <c r="A505" s="7" t="s">
        <v>1091</v>
      </c>
      <c r="B505" s="8" t="s">
        <v>1092</v>
      </c>
      <c r="C505" s="9" t="s">
        <v>723</v>
      </c>
      <c r="D505" s="8" t="s">
        <v>724</v>
      </c>
      <c r="E505" s="9" t="n">
        <v>6</v>
      </c>
      <c r="F505" s="9" t="n">
        <v>5</v>
      </c>
      <c r="G505" s="10"/>
    </row>
    <row r="506" customFormat="false" ht="15" hidden="false" customHeight="false" outlineLevel="0" collapsed="false">
      <c r="A506" s="7" t="s">
        <v>1093</v>
      </c>
      <c r="B506" s="8" t="s">
        <v>1094</v>
      </c>
      <c r="C506" s="9" t="s">
        <v>723</v>
      </c>
      <c r="D506" s="8" t="s">
        <v>724</v>
      </c>
      <c r="E506" s="9" t="n">
        <v>6</v>
      </c>
      <c r="F506" s="9" t="n">
        <v>5</v>
      </c>
      <c r="G506" s="10"/>
    </row>
    <row r="507" customFormat="false" ht="15" hidden="false" customHeight="false" outlineLevel="0" collapsed="false">
      <c r="A507" s="7" t="s">
        <v>1095</v>
      </c>
      <c r="B507" s="8" t="s">
        <v>1096</v>
      </c>
      <c r="C507" s="9" t="s">
        <v>723</v>
      </c>
      <c r="D507" s="8" t="s">
        <v>724</v>
      </c>
      <c r="E507" s="9" t="n">
        <v>6</v>
      </c>
      <c r="F507" s="9" t="n">
        <v>5</v>
      </c>
      <c r="G507" s="10"/>
    </row>
    <row r="508" customFormat="false" ht="15" hidden="false" customHeight="false" outlineLevel="0" collapsed="false">
      <c r="A508" s="7" t="s">
        <v>1097</v>
      </c>
      <c r="B508" s="8" t="s">
        <v>1098</v>
      </c>
      <c r="C508" s="9" t="s">
        <v>723</v>
      </c>
      <c r="D508" s="8" t="s">
        <v>724</v>
      </c>
      <c r="E508" s="9" t="n">
        <v>6</v>
      </c>
      <c r="F508" s="9" t="n">
        <v>5</v>
      </c>
      <c r="G508" s="10"/>
    </row>
    <row r="509" customFormat="false" ht="15" hidden="false" customHeight="false" outlineLevel="0" collapsed="false">
      <c r="A509" s="7" t="s">
        <v>1099</v>
      </c>
      <c r="B509" s="8" t="s">
        <v>1100</v>
      </c>
      <c r="C509" s="9" t="s">
        <v>723</v>
      </c>
      <c r="D509" s="8" t="s">
        <v>724</v>
      </c>
      <c r="E509" s="9" t="n">
        <v>6</v>
      </c>
      <c r="F509" s="9" t="n">
        <v>5</v>
      </c>
      <c r="G509" s="10"/>
    </row>
    <row r="510" customFormat="false" ht="15" hidden="false" customHeight="false" outlineLevel="0" collapsed="false">
      <c r="A510" s="7" t="s">
        <v>1101</v>
      </c>
      <c r="B510" s="8" t="s">
        <v>1102</v>
      </c>
      <c r="C510" s="9" t="s">
        <v>723</v>
      </c>
      <c r="D510" s="8" t="s">
        <v>724</v>
      </c>
      <c r="E510" s="9" t="n">
        <v>6</v>
      </c>
      <c r="F510" s="9" t="n">
        <v>5</v>
      </c>
      <c r="G510" s="10"/>
    </row>
    <row r="511" customFormat="false" ht="15" hidden="false" customHeight="false" outlineLevel="0" collapsed="false">
      <c r="A511" s="7" t="s">
        <v>1103</v>
      </c>
      <c r="B511" s="8" t="s">
        <v>1104</v>
      </c>
      <c r="C511" s="9" t="s">
        <v>723</v>
      </c>
      <c r="D511" s="8" t="s">
        <v>724</v>
      </c>
      <c r="E511" s="9" t="n">
        <v>6</v>
      </c>
      <c r="F511" s="9" t="n">
        <v>5</v>
      </c>
      <c r="G511" s="10"/>
    </row>
    <row r="512" customFormat="false" ht="15" hidden="false" customHeight="false" outlineLevel="0" collapsed="false">
      <c r="A512" s="7" t="s">
        <v>1105</v>
      </c>
      <c r="B512" s="8" t="s">
        <v>1106</v>
      </c>
      <c r="C512" s="9" t="s">
        <v>723</v>
      </c>
      <c r="D512" s="8" t="s">
        <v>724</v>
      </c>
      <c r="E512" s="9" t="n">
        <v>6</v>
      </c>
      <c r="F512" s="9" t="n">
        <v>5</v>
      </c>
      <c r="G512" s="10"/>
    </row>
    <row r="513" customFormat="false" ht="15" hidden="false" customHeight="false" outlineLevel="0" collapsed="false">
      <c r="A513" s="7" t="s">
        <v>1107</v>
      </c>
      <c r="B513" s="8" t="s">
        <v>1108</v>
      </c>
      <c r="C513" s="9" t="s">
        <v>375</v>
      </c>
      <c r="D513" s="8" t="s">
        <v>376</v>
      </c>
      <c r="E513" s="9" t="n">
        <v>5</v>
      </c>
      <c r="F513" s="9" t="n">
        <v>5</v>
      </c>
      <c r="G513" s="10"/>
    </row>
    <row r="514" customFormat="false" ht="15" hidden="false" customHeight="false" outlineLevel="0" collapsed="false">
      <c r="A514" s="7" t="s">
        <v>1109</v>
      </c>
      <c r="B514" s="8" t="s">
        <v>1110</v>
      </c>
      <c r="C514" s="9" t="s">
        <v>375</v>
      </c>
      <c r="D514" s="8" t="s">
        <v>376</v>
      </c>
      <c r="E514" s="9" t="n">
        <v>5</v>
      </c>
      <c r="F514" s="9" t="n">
        <v>5</v>
      </c>
      <c r="G514" s="10"/>
    </row>
    <row r="515" customFormat="false" ht="15" hidden="false" customHeight="false" outlineLevel="0" collapsed="false">
      <c r="A515" s="7" t="s">
        <v>1111</v>
      </c>
      <c r="B515" s="8" t="s">
        <v>1112</v>
      </c>
      <c r="C515" s="9" t="s">
        <v>375</v>
      </c>
      <c r="D515" s="8" t="s">
        <v>376</v>
      </c>
      <c r="E515" s="9" t="n">
        <v>5</v>
      </c>
      <c r="F515" s="9" t="n">
        <v>5</v>
      </c>
      <c r="G515" s="10"/>
    </row>
    <row r="516" customFormat="false" ht="15" hidden="false" customHeight="false" outlineLevel="0" collapsed="false">
      <c r="A516" s="7" t="s">
        <v>1113</v>
      </c>
      <c r="B516" s="8" t="s">
        <v>1114</v>
      </c>
      <c r="C516" s="9" t="s">
        <v>375</v>
      </c>
      <c r="D516" s="8" t="s">
        <v>376</v>
      </c>
      <c r="E516" s="9" t="n">
        <v>5</v>
      </c>
      <c r="F516" s="9" t="n">
        <v>5</v>
      </c>
      <c r="G516" s="10"/>
    </row>
    <row r="517" customFormat="false" ht="15" hidden="false" customHeight="false" outlineLevel="0" collapsed="false">
      <c r="A517" s="7" t="s">
        <v>1115</v>
      </c>
      <c r="B517" s="8" t="s">
        <v>1116</v>
      </c>
      <c r="C517" s="9" t="s">
        <v>375</v>
      </c>
      <c r="D517" s="8" t="s">
        <v>376</v>
      </c>
      <c r="E517" s="9" t="n">
        <v>5</v>
      </c>
      <c r="F517" s="9" t="n">
        <v>5</v>
      </c>
      <c r="G517" s="10"/>
    </row>
    <row r="518" customFormat="false" ht="15" hidden="false" customHeight="false" outlineLevel="0" collapsed="false">
      <c r="A518" s="7" t="s">
        <v>1117</v>
      </c>
      <c r="B518" s="8" t="s">
        <v>1118</v>
      </c>
      <c r="C518" s="9" t="s">
        <v>375</v>
      </c>
      <c r="D518" s="8" t="s">
        <v>376</v>
      </c>
      <c r="E518" s="9" t="n">
        <v>5</v>
      </c>
      <c r="F518" s="9" t="n">
        <v>5</v>
      </c>
      <c r="G518" s="10"/>
    </row>
    <row r="519" customFormat="false" ht="15" hidden="false" customHeight="false" outlineLevel="0" collapsed="false">
      <c r="A519" s="7" t="s">
        <v>1119</v>
      </c>
      <c r="B519" s="8" t="s">
        <v>1120</v>
      </c>
      <c r="C519" s="9" t="s">
        <v>375</v>
      </c>
      <c r="D519" s="8" t="s">
        <v>376</v>
      </c>
      <c r="E519" s="9" t="n">
        <v>5</v>
      </c>
      <c r="F519" s="9" t="n">
        <v>5</v>
      </c>
      <c r="G519" s="10"/>
    </row>
    <row r="520" customFormat="false" ht="15" hidden="false" customHeight="false" outlineLevel="0" collapsed="false">
      <c r="A520" s="7" t="s">
        <v>1121</v>
      </c>
      <c r="B520" s="8" t="s">
        <v>1122</v>
      </c>
      <c r="C520" s="9" t="s">
        <v>375</v>
      </c>
      <c r="D520" s="8" t="s">
        <v>376</v>
      </c>
      <c r="E520" s="9" t="n">
        <v>5</v>
      </c>
      <c r="F520" s="9" t="n">
        <v>5</v>
      </c>
      <c r="G520" s="10"/>
    </row>
    <row r="521" customFormat="false" ht="15" hidden="false" customHeight="false" outlineLevel="0" collapsed="false">
      <c r="A521" s="7" t="s">
        <v>1123</v>
      </c>
      <c r="B521" s="8" t="s">
        <v>1124</v>
      </c>
      <c r="C521" s="9" t="s">
        <v>375</v>
      </c>
      <c r="D521" s="8" t="s">
        <v>376</v>
      </c>
      <c r="E521" s="9" t="n">
        <v>5</v>
      </c>
      <c r="F521" s="9" t="n">
        <v>5</v>
      </c>
      <c r="G521" s="10"/>
    </row>
    <row r="522" customFormat="false" ht="15" hidden="false" customHeight="false" outlineLevel="0" collapsed="false">
      <c r="A522" s="7" t="s">
        <v>1125</v>
      </c>
      <c r="B522" s="8" t="s">
        <v>1126</v>
      </c>
      <c r="C522" s="9" t="s">
        <v>375</v>
      </c>
      <c r="D522" s="8" t="s">
        <v>376</v>
      </c>
      <c r="E522" s="9" t="n">
        <v>5</v>
      </c>
      <c r="F522" s="9" t="n">
        <v>5</v>
      </c>
      <c r="G522" s="10"/>
    </row>
    <row r="523" customFormat="false" ht="15" hidden="false" customHeight="false" outlineLevel="0" collapsed="false">
      <c r="A523" s="7" t="s">
        <v>1127</v>
      </c>
      <c r="B523" s="8" t="s">
        <v>1128</v>
      </c>
      <c r="C523" s="9" t="s">
        <v>375</v>
      </c>
      <c r="D523" s="8" t="s">
        <v>376</v>
      </c>
      <c r="E523" s="9" t="n">
        <v>5</v>
      </c>
      <c r="F523" s="9" t="n">
        <v>5</v>
      </c>
      <c r="G523" s="10"/>
    </row>
    <row r="524" customFormat="false" ht="15" hidden="false" customHeight="false" outlineLevel="0" collapsed="false">
      <c r="A524" s="7" t="s">
        <v>1129</v>
      </c>
      <c r="B524" s="8" t="s">
        <v>1130</v>
      </c>
      <c r="C524" s="9" t="s">
        <v>375</v>
      </c>
      <c r="D524" s="8" t="s">
        <v>376</v>
      </c>
      <c r="E524" s="9" t="n">
        <v>5</v>
      </c>
      <c r="F524" s="9" t="n">
        <v>5</v>
      </c>
      <c r="G524" s="10"/>
    </row>
    <row r="525" customFormat="false" ht="15" hidden="false" customHeight="false" outlineLevel="0" collapsed="false">
      <c r="A525" s="7" t="s">
        <v>1131</v>
      </c>
      <c r="B525" s="8" t="s">
        <v>1132</v>
      </c>
      <c r="C525" s="9" t="s">
        <v>141</v>
      </c>
      <c r="D525" s="8" t="s">
        <v>142</v>
      </c>
      <c r="E525" s="9" t="n">
        <v>4</v>
      </c>
      <c r="F525" s="9" t="n">
        <v>4</v>
      </c>
      <c r="G525" s="10"/>
    </row>
    <row r="526" customFormat="false" ht="15" hidden="false" customHeight="false" outlineLevel="0" collapsed="false">
      <c r="A526" s="7" t="s">
        <v>1133</v>
      </c>
      <c r="B526" s="8" t="s">
        <v>1134</v>
      </c>
      <c r="C526" s="9" t="s">
        <v>395</v>
      </c>
      <c r="D526" s="8" t="s">
        <v>396</v>
      </c>
      <c r="E526" s="9" t="n">
        <v>5</v>
      </c>
      <c r="F526" s="9" t="n">
        <v>4</v>
      </c>
      <c r="G526" s="10"/>
    </row>
    <row r="527" customFormat="false" ht="15" hidden="false" customHeight="false" outlineLevel="0" collapsed="false">
      <c r="A527" s="7" t="s">
        <v>1135</v>
      </c>
      <c r="B527" s="8" t="s">
        <v>1136</v>
      </c>
      <c r="C527" s="9" t="s">
        <v>405</v>
      </c>
      <c r="D527" s="8" t="s">
        <v>406</v>
      </c>
      <c r="E527" s="9" t="n">
        <v>4</v>
      </c>
      <c r="F527" s="9" t="n">
        <v>4</v>
      </c>
      <c r="G527" s="10"/>
    </row>
    <row r="528" customFormat="false" ht="15" hidden="false" customHeight="false" outlineLevel="0" collapsed="false">
      <c r="A528" s="7" t="s">
        <v>1137</v>
      </c>
      <c r="B528" s="8" t="s">
        <v>1138</v>
      </c>
      <c r="C528" s="9" t="s">
        <v>33</v>
      </c>
      <c r="D528" s="8" t="s">
        <v>34</v>
      </c>
      <c r="E528" s="9" t="n">
        <v>4</v>
      </c>
      <c r="F528" s="9" t="n">
        <v>4</v>
      </c>
      <c r="G528" s="10"/>
    </row>
    <row r="529" customFormat="false" ht="15" hidden="false" customHeight="false" outlineLevel="0" collapsed="false">
      <c r="A529" s="7" t="s">
        <v>1139</v>
      </c>
      <c r="B529" s="8" t="s">
        <v>1140</v>
      </c>
      <c r="C529" s="9"/>
      <c r="D529" s="8"/>
      <c r="E529" s="9" t="n">
        <v>4</v>
      </c>
      <c r="F529" s="9" t="n">
        <v>4</v>
      </c>
      <c r="G529" s="10"/>
    </row>
    <row r="530" customFormat="false" ht="15" hidden="false" customHeight="false" outlineLevel="0" collapsed="false">
      <c r="A530" s="7" t="s">
        <v>1141</v>
      </c>
      <c r="B530" s="8" t="s">
        <v>1142</v>
      </c>
      <c r="C530" s="9" t="s">
        <v>879</v>
      </c>
      <c r="D530" s="8" t="s">
        <v>880</v>
      </c>
      <c r="E530" s="9" t="n">
        <v>4</v>
      </c>
      <c r="F530" s="9" t="n">
        <v>4</v>
      </c>
      <c r="G530" s="10"/>
    </row>
    <row r="531" customFormat="false" ht="15" hidden="false" customHeight="false" outlineLevel="0" collapsed="false">
      <c r="A531" s="7" t="s">
        <v>1143</v>
      </c>
      <c r="B531" s="8" t="s">
        <v>1144</v>
      </c>
      <c r="C531" s="9"/>
      <c r="D531" s="8"/>
      <c r="E531" s="9" t="n">
        <v>4</v>
      </c>
      <c r="F531" s="9" t="n">
        <v>4</v>
      </c>
      <c r="G531" s="10"/>
    </row>
    <row r="532" customFormat="false" ht="15" hidden="false" customHeight="false" outlineLevel="0" collapsed="false">
      <c r="A532" s="7" t="s">
        <v>1145</v>
      </c>
      <c r="B532" s="8" t="s">
        <v>1146</v>
      </c>
      <c r="C532" s="9" t="s">
        <v>171</v>
      </c>
      <c r="D532" s="8" t="s">
        <v>172</v>
      </c>
      <c r="E532" s="9" t="n">
        <v>4</v>
      </c>
      <c r="F532" s="9" t="n">
        <v>4</v>
      </c>
      <c r="G532" s="10"/>
    </row>
    <row r="533" customFormat="false" ht="15" hidden="false" customHeight="false" outlineLevel="0" collapsed="false">
      <c r="A533" s="7" t="s">
        <v>1147</v>
      </c>
      <c r="B533" s="8" t="s">
        <v>1148</v>
      </c>
      <c r="C533" s="9"/>
      <c r="D533" s="8"/>
      <c r="E533" s="9" t="n">
        <v>4</v>
      </c>
      <c r="F533" s="9" t="n">
        <v>4</v>
      </c>
      <c r="G533" s="10"/>
    </row>
    <row r="534" customFormat="false" ht="15" hidden="false" customHeight="false" outlineLevel="0" collapsed="false">
      <c r="A534" s="7" t="s">
        <v>1149</v>
      </c>
      <c r="B534" s="8" t="s">
        <v>1150</v>
      </c>
      <c r="C534" s="9" t="s">
        <v>723</v>
      </c>
      <c r="D534" s="8" t="s">
        <v>724</v>
      </c>
      <c r="E534" s="9" t="n">
        <v>5</v>
      </c>
      <c r="F534" s="9" t="n">
        <v>4</v>
      </c>
      <c r="G534" s="10"/>
    </row>
    <row r="535" customFormat="false" ht="15" hidden="false" customHeight="false" outlineLevel="0" collapsed="false">
      <c r="A535" s="7" t="s">
        <v>1151</v>
      </c>
      <c r="B535" s="8" t="s">
        <v>1152</v>
      </c>
      <c r="C535" s="9" t="s">
        <v>375</v>
      </c>
      <c r="D535" s="8" t="s">
        <v>376</v>
      </c>
      <c r="E535" s="9" t="n">
        <v>4</v>
      </c>
      <c r="F535" s="9" t="n">
        <v>4</v>
      </c>
      <c r="G535" s="10"/>
    </row>
    <row r="536" customFormat="false" ht="15" hidden="false" customHeight="false" outlineLevel="0" collapsed="false">
      <c r="A536" s="7" t="s">
        <v>1153</v>
      </c>
      <c r="B536" s="8" t="s">
        <v>1154</v>
      </c>
      <c r="C536" s="9" t="s">
        <v>199</v>
      </c>
      <c r="D536" s="8" t="s">
        <v>200</v>
      </c>
      <c r="E536" s="9" t="n">
        <v>3</v>
      </c>
      <c r="F536" s="9" t="n">
        <v>3</v>
      </c>
      <c r="G536" s="10"/>
    </row>
    <row r="537" customFormat="false" ht="15" hidden="false" customHeight="false" outlineLevel="0" collapsed="false">
      <c r="A537" s="7" t="s">
        <v>1155</v>
      </c>
      <c r="B537" s="8" t="s">
        <v>466</v>
      </c>
      <c r="C537" s="9" t="s">
        <v>211</v>
      </c>
      <c r="D537" s="8" t="s">
        <v>212</v>
      </c>
      <c r="E537" s="9" t="n">
        <v>3</v>
      </c>
      <c r="F537" s="9" t="n">
        <v>3</v>
      </c>
      <c r="G537" s="10"/>
    </row>
    <row r="538" customFormat="false" ht="15" hidden="false" customHeight="false" outlineLevel="0" collapsed="false">
      <c r="A538" s="7" t="s">
        <v>1156</v>
      </c>
      <c r="B538" s="8" t="s">
        <v>1157</v>
      </c>
      <c r="C538" s="9" t="s">
        <v>405</v>
      </c>
      <c r="D538" s="8" t="s">
        <v>406</v>
      </c>
      <c r="E538" s="9" t="n">
        <v>3</v>
      </c>
      <c r="F538" s="9" t="n">
        <v>3</v>
      </c>
      <c r="G538" s="10"/>
    </row>
    <row r="539" customFormat="false" ht="15" hidden="false" customHeight="false" outlineLevel="0" collapsed="false">
      <c r="A539" s="7" t="s">
        <v>1158</v>
      </c>
      <c r="B539" s="8" t="s">
        <v>1159</v>
      </c>
      <c r="C539" s="9" t="s">
        <v>171</v>
      </c>
      <c r="D539" s="8" t="s">
        <v>172</v>
      </c>
      <c r="E539" s="9" t="n">
        <v>3</v>
      </c>
      <c r="F539" s="9" t="n">
        <v>3</v>
      </c>
      <c r="G539" s="10"/>
    </row>
    <row r="540" customFormat="false" ht="15" hidden="false" customHeight="false" outlineLevel="0" collapsed="false">
      <c r="A540" s="7" t="s">
        <v>1160</v>
      </c>
      <c r="B540" s="8" t="s">
        <v>1161</v>
      </c>
      <c r="C540" s="9" t="s">
        <v>723</v>
      </c>
      <c r="D540" s="8" t="s">
        <v>724</v>
      </c>
      <c r="E540" s="9" t="n">
        <v>4</v>
      </c>
      <c r="F540" s="9" t="n">
        <v>3</v>
      </c>
      <c r="G540" s="10"/>
    </row>
    <row r="541" customFormat="false" ht="15" hidden="false" customHeight="false" outlineLevel="0" collapsed="false">
      <c r="A541" s="7" t="s">
        <v>1162</v>
      </c>
      <c r="B541" s="8" t="s">
        <v>1163</v>
      </c>
      <c r="C541" s="9" t="s">
        <v>723</v>
      </c>
      <c r="D541" s="8" t="s">
        <v>724</v>
      </c>
      <c r="E541" s="9" t="n">
        <v>4</v>
      </c>
      <c r="F541" s="9" t="n">
        <v>3</v>
      </c>
      <c r="G541" s="10"/>
    </row>
    <row r="542" customFormat="false" ht="15" hidden="false" customHeight="false" outlineLevel="0" collapsed="false">
      <c r="A542" s="7" t="s">
        <v>1164</v>
      </c>
      <c r="B542" s="8" t="s">
        <v>1165</v>
      </c>
      <c r="C542" s="9" t="s">
        <v>723</v>
      </c>
      <c r="D542" s="8" t="s">
        <v>724</v>
      </c>
      <c r="E542" s="9" t="n">
        <v>4</v>
      </c>
      <c r="F542" s="9" t="n">
        <v>3</v>
      </c>
      <c r="G542" s="10"/>
    </row>
    <row r="543" customFormat="false" ht="15" hidden="false" customHeight="false" outlineLevel="0" collapsed="false">
      <c r="A543" s="7" t="s">
        <v>1166</v>
      </c>
      <c r="B543" s="8" t="s">
        <v>1167</v>
      </c>
      <c r="C543" s="9" t="s">
        <v>723</v>
      </c>
      <c r="D543" s="8" t="s">
        <v>724</v>
      </c>
      <c r="E543" s="9" t="n">
        <v>4</v>
      </c>
      <c r="F543" s="9" t="n">
        <v>3</v>
      </c>
      <c r="G543" s="10"/>
    </row>
    <row r="544" customFormat="false" ht="15" hidden="false" customHeight="false" outlineLevel="0" collapsed="false">
      <c r="A544" s="7" t="s">
        <v>1168</v>
      </c>
      <c r="B544" s="8" t="s">
        <v>1169</v>
      </c>
      <c r="C544" s="9" t="s">
        <v>723</v>
      </c>
      <c r="D544" s="8" t="s">
        <v>724</v>
      </c>
      <c r="E544" s="9" t="n">
        <v>4</v>
      </c>
      <c r="F544" s="9" t="n">
        <v>3</v>
      </c>
      <c r="G544" s="10"/>
    </row>
    <row r="545" customFormat="false" ht="15" hidden="false" customHeight="false" outlineLevel="0" collapsed="false">
      <c r="A545" s="7" t="s">
        <v>1170</v>
      </c>
      <c r="B545" s="8" t="s">
        <v>1171</v>
      </c>
      <c r="C545" s="9" t="s">
        <v>375</v>
      </c>
      <c r="D545" s="8" t="s">
        <v>376</v>
      </c>
      <c r="E545" s="9" t="n">
        <v>3</v>
      </c>
      <c r="F545" s="9" t="n">
        <v>3</v>
      </c>
      <c r="G545" s="10"/>
    </row>
    <row r="546" customFormat="false" ht="15" hidden="false" customHeight="false" outlineLevel="0" collapsed="false">
      <c r="A546" s="7" t="s">
        <v>1172</v>
      </c>
      <c r="B546" s="8" t="s">
        <v>1173</v>
      </c>
      <c r="C546" s="9" t="s">
        <v>375</v>
      </c>
      <c r="D546" s="8" t="s">
        <v>376</v>
      </c>
      <c r="E546" s="9" t="n">
        <v>3</v>
      </c>
      <c r="F546" s="9" t="n">
        <v>3</v>
      </c>
      <c r="G546" s="10"/>
    </row>
    <row r="547" customFormat="false" ht="15" hidden="false" customHeight="false" outlineLevel="0" collapsed="false">
      <c r="A547" s="7" t="s">
        <v>1174</v>
      </c>
      <c r="B547" s="8" t="s">
        <v>1175</v>
      </c>
      <c r="C547" s="9" t="s">
        <v>375</v>
      </c>
      <c r="D547" s="8" t="s">
        <v>376</v>
      </c>
      <c r="E547" s="9" t="n">
        <v>3</v>
      </c>
      <c r="F547" s="9" t="n">
        <v>3</v>
      </c>
      <c r="G547" s="10"/>
    </row>
    <row r="548" customFormat="false" ht="15" hidden="false" customHeight="false" outlineLevel="0" collapsed="false">
      <c r="A548" s="7" t="s">
        <v>1176</v>
      </c>
      <c r="B548" s="8" t="s">
        <v>1177</v>
      </c>
      <c r="C548" s="9" t="s">
        <v>375</v>
      </c>
      <c r="D548" s="8" t="s">
        <v>376</v>
      </c>
      <c r="E548" s="9" t="n">
        <v>3</v>
      </c>
      <c r="F548" s="9" t="n">
        <v>3</v>
      </c>
      <c r="G548" s="10"/>
    </row>
    <row r="549" customFormat="false" ht="15" hidden="false" customHeight="false" outlineLevel="0" collapsed="false">
      <c r="A549" s="7" t="s">
        <v>1178</v>
      </c>
      <c r="B549" s="8" t="s">
        <v>1179</v>
      </c>
      <c r="C549" s="9" t="s">
        <v>375</v>
      </c>
      <c r="D549" s="8" t="s">
        <v>376</v>
      </c>
      <c r="E549" s="9" t="n">
        <v>3</v>
      </c>
      <c r="F549" s="9" t="n">
        <v>3</v>
      </c>
      <c r="G549" s="10"/>
    </row>
    <row r="550" customFormat="false" ht="15" hidden="false" customHeight="false" outlineLevel="0" collapsed="false">
      <c r="A550" s="7" t="s">
        <v>1180</v>
      </c>
      <c r="B550" s="8" t="s">
        <v>1181</v>
      </c>
      <c r="C550" s="9" t="s">
        <v>375</v>
      </c>
      <c r="D550" s="8" t="s">
        <v>376</v>
      </c>
      <c r="E550" s="9" t="n">
        <v>3</v>
      </c>
      <c r="F550" s="9" t="n">
        <v>3</v>
      </c>
      <c r="G550" s="10"/>
    </row>
    <row r="551" customFormat="false" ht="15" hidden="false" customHeight="false" outlineLevel="0" collapsed="false">
      <c r="A551" s="7" t="s">
        <v>1182</v>
      </c>
      <c r="B551" s="8" t="s">
        <v>1183</v>
      </c>
      <c r="C551" s="9" t="s">
        <v>375</v>
      </c>
      <c r="D551" s="8" t="s">
        <v>376</v>
      </c>
      <c r="E551" s="9" t="n">
        <v>3</v>
      </c>
      <c r="F551" s="9" t="n">
        <v>3</v>
      </c>
      <c r="G551" s="10"/>
    </row>
    <row r="552" customFormat="false" ht="15" hidden="false" customHeight="false" outlineLevel="0" collapsed="false">
      <c r="A552" s="7" t="s">
        <v>1184</v>
      </c>
      <c r="B552" s="8" t="s">
        <v>1185</v>
      </c>
      <c r="C552" s="9" t="s">
        <v>375</v>
      </c>
      <c r="D552" s="8" t="s">
        <v>376</v>
      </c>
      <c r="E552" s="9" t="n">
        <v>3</v>
      </c>
      <c r="F552" s="9" t="n">
        <v>3</v>
      </c>
      <c r="G552" s="10"/>
    </row>
    <row r="553" customFormat="false" ht="15" hidden="false" customHeight="false" outlineLevel="0" collapsed="false">
      <c r="A553" s="7" t="s">
        <v>1186</v>
      </c>
      <c r="B553" s="8" t="s">
        <v>1187</v>
      </c>
      <c r="C553" s="9" t="s">
        <v>375</v>
      </c>
      <c r="D553" s="8" t="s">
        <v>376</v>
      </c>
      <c r="E553" s="9" t="n">
        <v>3</v>
      </c>
      <c r="F553" s="9" t="n">
        <v>3</v>
      </c>
      <c r="G553" s="10"/>
    </row>
    <row r="554" customFormat="false" ht="15" hidden="false" customHeight="false" outlineLevel="0" collapsed="false">
      <c r="A554" s="7" t="s">
        <v>1188</v>
      </c>
      <c r="B554" s="8" t="s">
        <v>1189</v>
      </c>
      <c r="C554" s="9" t="s">
        <v>375</v>
      </c>
      <c r="D554" s="8" t="s">
        <v>376</v>
      </c>
      <c r="E554" s="9" t="n">
        <v>3</v>
      </c>
      <c r="F554" s="9" t="n">
        <v>3</v>
      </c>
      <c r="G554" s="10"/>
    </row>
    <row r="555" customFormat="false" ht="15" hidden="false" customHeight="false" outlineLevel="0" collapsed="false">
      <c r="A555" s="7" t="s">
        <v>1190</v>
      </c>
      <c r="B555" s="8" t="s">
        <v>1191</v>
      </c>
      <c r="C555" s="9" t="s">
        <v>375</v>
      </c>
      <c r="D555" s="8" t="s">
        <v>376</v>
      </c>
      <c r="E555" s="9" t="n">
        <v>3</v>
      </c>
      <c r="F555" s="9" t="n">
        <v>3</v>
      </c>
      <c r="G555" s="10"/>
    </row>
    <row r="556" customFormat="false" ht="15" hidden="false" customHeight="false" outlineLevel="0" collapsed="false">
      <c r="A556" s="7" t="s">
        <v>1192</v>
      </c>
      <c r="B556" s="8" t="s">
        <v>1193</v>
      </c>
      <c r="C556" s="9" t="s">
        <v>375</v>
      </c>
      <c r="D556" s="8" t="s">
        <v>376</v>
      </c>
      <c r="E556" s="9" t="n">
        <v>3</v>
      </c>
      <c r="F556" s="9" t="n">
        <v>3</v>
      </c>
      <c r="G556" s="10"/>
    </row>
    <row r="557" customFormat="false" ht="15" hidden="false" customHeight="false" outlineLevel="0" collapsed="false">
      <c r="A557" s="7" t="s">
        <v>1194</v>
      </c>
      <c r="B557" s="8" t="s">
        <v>1195</v>
      </c>
      <c r="C557" s="9" t="s">
        <v>375</v>
      </c>
      <c r="D557" s="8" t="s">
        <v>376</v>
      </c>
      <c r="E557" s="9" t="n">
        <v>3</v>
      </c>
      <c r="F557" s="9" t="n">
        <v>3</v>
      </c>
      <c r="G557" s="10"/>
    </row>
    <row r="558" customFormat="false" ht="15" hidden="false" customHeight="false" outlineLevel="0" collapsed="false">
      <c r="A558" s="7" t="s">
        <v>1196</v>
      </c>
      <c r="B558" s="8" t="s">
        <v>1197</v>
      </c>
      <c r="C558" s="9" t="s">
        <v>375</v>
      </c>
      <c r="D558" s="8" t="s">
        <v>376</v>
      </c>
      <c r="E558" s="9" t="n">
        <v>3</v>
      </c>
      <c r="F558" s="9" t="n">
        <v>3</v>
      </c>
      <c r="G558" s="10"/>
    </row>
    <row r="559" customFormat="false" ht="15" hidden="false" customHeight="false" outlineLevel="0" collapsed="false">
      <c r="A559" s="7" t="s">
        <v>1198</v>
      </c>
      <c r="B559" s="8" t="s">
        <v>1199</v>
      </c>
      <c r="C559" s="9" t="s">
        <v>375</v>
      </c>
      <c r="D559" s="8" t="s">
        <v>376</v>
      </c>
      <c r="E559" s="9" t="n">
        <v>3</v>
      </c>
      <c r="F559" s="9" t="n">
        <v>3</v>
      </c>
      <c r="G559" s="10"/>
    </row>
    <row r="560" customFormat="false" ht="15" hidden="false" customHeight="false" outlineLevel="0" collapsed="false">
      <c r="A560" s="7" t="s">
        <v>1200</v>
      </c>
      <c r="B560" s="8" t="s">
        <v>1201</v>
      </c>
      <c r="C560" s="9" t="s">
        <v>375</v>
      </c>
      <c r="D560" s="8" t="s">
        <v>376</v>
      </c>
      <c r="E560" s="9" t="n">
        <v>3</v>
      </c>
      <c r="F560" s="9" t="n">
        <v>3</v>
      </c>
      <c r="G560" s="10"/>
    </row>
    <row r="561" customFormat="false" ht="15" hidden="false" customHeight="false" outlineLevel="0" collapsed="false">
      <c r="A561" s="7" t="s">
        <v>1202</v>
      </c>
      <c r="B561" s="8" t="s">
        <v>1203</v>
      </c>
      <c r="C561" s="9"/>
      <c r="D561" s="8"/>
      <c r="E561" s="9" t="n">
        <v>2</v>
      </c>
      <c r="F561" s="9" t="n">
        <v>2</v>
      </c>
      <c r="G561" s="10"/>
    </row>
    <row r="562" customFormat="false" ht="15" hidden="false" customHeight="false" outlineLevel="0" collapsed="false">
      <c r="A562" s="7" t="s">
        <v>1204</v>
      </c>
      <c r="B562" s="8" t="s">
        <v>1205</v>
      </c>
      <c r="C562" s="9" t="s">
        <v>1206</v>
      </c>
      <c r="D562" s="8" t="s">
        <v>1207</v>
      </c>
      <c r="E562" s="9" t="n">
        <v>2</v>
      </c>
      <c r="F562" s="9" t="n">
        <v>2</v>
      </c>
      <c r="G562" s="10"/>
    </row>
    <row r="563" customFormat="false" ht="15" hidden="false" customHeight="false" outlineLevel="0" collapsed="false">
      <c r="A563" s="7" t="s">
        <v>1208</v>
      </c>
      <c r="B563" s="8" t="s">
        <v>1209</v>
      </c>
      <c r="C563" s="9" t="s">
        <v>37</v>
      </c>
      <c r="D563" s="8" t="s">
        <v>38</v>
      </c>
      <c r="E563" s="9" t="n">
        <v>2</v>
      </c>
      <c r="F563" s="9" t="n">
        <v>2</v>
      </c>
      <c r="G563" s="10"/>
    </row>
    <row r="564" customFormat="false" ht="15" hidden="false" customHeight="false" outlineLevel="0" collapsed="false">
      <c r="A564" s="7" t="s">
        <v>1210</v>
      </c>
      <c r="B564" s="8" t="s">
        <v>1211</v>
      </c>
      <c r="C564" s="9"/>
      <c r="D564" s="8"/>
      <c r="E564" s="9" t="n">
        <v>2</v>
      </c>
      <c r="F564" s="9" t="n">
        <v>2</v>
      </c>
      <c r="G564" s="10"/>
    </row>
    <row r="565" customFormat="false" ht="15" hidden="false" customHeight="false" outlineLevel="0" collapsed="false">
      <c r="A565" s="7" t="s">
        <v>1212</v>
      </c>
      <c r="B565" s="8" t="s">
        <v>1213</v>
      </c>
      <c r="C565" s="9" t="s">
        <v>171</v>
      </c>
      <c r="D565" s="8" t="s">
        <v>172</v>
      </c>
      <c r="E565" s="9" t="n">
        <v>2</v>
      </c>
      <c r="F565" s="9" t="n">
        <v>2</v>
      </c>
      <c r="G565" s="10"/>
    </row>
    <row r="566" customFormat="false" ht="15" hidden="false" customHeight="false" outlineLevel="0" collapsed="false">
      <c r="A566" s="7" t="s">
        <v>1214</v>
      </c>
      <c r="B566" s="8" t="s">
        <v>1215</v>
      </c>
      <c r="C566" s="9" t="s">
        <v>1023</v>
      </c>
      <c r="D566" s="8" t="s">
        <v>1024</v>
      </c>
      <c r="E566" s="9" t="n">
        <v>2</v>
      </c>
      <c r="F566" s="9" t="n">
        <v>2</v>
      </c>
      <c r="G566" s="10"/>
    </row>
    <row r="567" customFormat="false" ht="15" hidden="false" customHeight="false" outlineLevel="0" collapsed="false">
      <c r="A567" s="7" t="s">
        <v>1216</v>
      </c>
      <c r="B567" s="8" t="s">
        <v>1217</v>
      </c>
      <c r="C567" s="9" t="s">
        <v>1023</v>
      </c>
      <c r="D567" s="8" t="s">
        <v>1024</v>
      </c>
      <c r="E567" s="9" t="n">
        <v>2</v>
      </c>
      <c r="F567" s="9" t="n">
        <v>2</v>
      </c>
      <c r="G567" s="10"/>
    </row>
    <row r="568" customFormat="false" ht="15" hidden="false" customHeight="false" outlineLevel="0" collapsed="false">
      <c r="A568" s="7" t="s">
        <v>1218</v>
      </c>
      <c r="B568" s="8" t="s">
        <v>1219</v>
      </c>
      <c r="C568" s="9" t="s">
        <v>1220</v>
      </c>
      <c r="D568" s="8" t="s">
        <v>1221</v>
      </c>
      <c r="E568" s="9" t="n">
        <v>2</v>
      </c>
      <c r="F568" s="9" t="n">
        <v>2</v>
      </c>
      <c r="G568" s="10"/>
    </row>
    <row r="569" customFormat="false" ht="15" hidden="false" customHeight="false" outlineLevel="0" collapsed="false">
      <c r="A569" s="7" t="s">
        <v>1222</v>
      </c>
      <c r="B569" s="8" t="s">
        <v>1223</v>
      </c>
      <c r="C569" s="9" t="s">
        <v>879</v>
      </c>
      <c r="D569" s="8" t="s">
        <v>880</v>
      </c>
      <c r="E569" s="9" t="n">
        <v>2</v>
      </c>
      <c r="F569" s="9" t="n">
        <v>2</v>
      </c>
      <c r="G569" s="10"/>
    </row>
    <row r="570" customFormat="false" ht="15" hidden="false" customHeight="false" outlineLevel="0" collapsed="false">
      <c r="A570" s="7" t="s">
        <v>1224</v>
      </c>
      <c r="B570" s="8" t="s">
        <v>1225</v>
      </c>
      <c r="C570" s="9" t="s">
        <v>405</v>
      </c>
      <c r="D570" s="8" t="s">
        <v>406</v>
      </c>
      <c r="E570" s="9" t="n">
        <v>2</v>
      </c>
      <c r="F570" s="9" t="n">
        <v>2</v>
      </c>
      <c r="G570" s="10"/>
    </row>
    <row r="571" customFormat="false" ht="15" hidden="false" customHeight="false" outlineLevel="0" collapsed="false">
      <c r="A571" s="7" t="s">
        <v>1226</v>
      </c>
      <c r="B571" s="8" t="s">
        <v>1227</v>
      </c>
      <c r="C571" s="9" t="s">
        <v>405</v>
      </c>
      <c r="D571" s="8" t="s">
        <v>406</v>
      </c>
      <c r="E571" s="9" t="n">
        <v>2</v>
      </c>
      <c r="F571" s="9" t="n">
        <v>2</v>
      </c>
      <c r="G571" s="10"/>
    </row>
    <row r="572" customFormat="false" ht="15" hidden="false" customHeight="false" outlineLevel="0" collapsed="false">
      <c r="A572" s="7" t="s">
        <v>1228</v>
      </c>
      <c r="B572" s="8" t="s">
        <v>1229</v>
      </c>
      <c r="C572" s="9" t="s">
        <v>405</v>
      </c>
      <c r="D572" s="8" t="s">
        <v>406</v>
      </c>
      <c r="E572" s="9" t="n">
        <v>3</v>
      </c>
      <c r="F572" s="9" t="n">
        <v>2</v>
      </c>
      <c r="G572" s="10"/>
    </row>
    <row r="573" customFormat="false" ht="15" hidden="false" customHeight="false" outlineLevel="0" collapsed="false">
      <c r="A573" s="7" t="s">
        <v>1230</v>
      </c>
      <c r="B573" s="8" t="s">
        <v>1231</v>
      </c>
      <c r="C573" s="9" t="s">
        <v>89</v>
      </c>
      <c r="D573" s="8" t="s">
        <v>90</v>
      </c>
      <c r="E573" s="9" t="n">
        <v>2</v>
      </c>
      <c r="F573" s="9" t="n">
        <v>2</v>
      </c>
      <c r="G573" s="10"/>
    </row>
    <row r="574" customFormat="false" ht="15" hidden="false" customHeight="false" outlineLevel="0" collapsed="false">
      <c r="A574" s="7" t="s">
        <v>1232</v>
      </c>
      <c r="B574" s="8" t="s">
        <v>1233</v>
      </c>
      <c r="C574" s="9" t="s">
        <v>879</v>
      </c>
      <c r="D574" s="8" t="s">
        <v>880</v>
      </c>
      <c r="E574" s="9" t="n">
        <v>2</v>
      </c>
      <c r="F574" s="9" t="n">
        <v>2</v>
      </c>
      <c r="G574" s="10"/>
    </row>
    <row r="575" customFormat="false" ht="15" hidden="false" customHeight="false" outlineLevel="0" collapsed="false">
      <c r="A575" s="7" t="s">
        <v>1234</v>
      </c>
      <c r="B575" s="8" t="s">
        <v>1235</v>
      </c>
      <c r="C575" s="9" t="s">
        <v>723</v>
      </c>
      <c r="D575" s="8" t="s">
        <v>724</v>
      </c>
      <c r="E575" s="9" t="n">
        <v>3</v>
      </c>
      <c r="F575" s="9" t="n">
        <v>2</v>
      </c>
      <c r="G575" s="10"/>
    </row>
    <row r="576" customFormat="false" ht="15" hidden="false" customHeight="false" outlineLevel="0" collapsed="false">
      <c r="A576" s="7" t="s">
        <v>1236</v>
      </c>
      <c r="B576" s="8" t="s">
        <v>1237</v>
      </c>
      <c r="C576" s="9" t="s">
        <v>879</v>
      </c>
      <c r="D576" s="8" t="s">
        <v>880</v>
      </c>
      <c r="E576" s="9" t="n">
        <v>1</v>
      </c>
      <c r="F576" s="9" t="n">
        <v>1</v>
      </c>
      <c r="G576" s="10"/>
    </row>
    <row r="577" customFormat="false" ht="15" hidden="false" customHeight="false" outlineLevel="0" collapsed="false">
      <c r="A577" s="7" t="s">
        <v>1238</v>
      </c>
      <c r="B577" s="8" t="s">
        <v>1239</v>
      </c>
      <c r="C577" s="9" t="s">
        <v>161</v>
      </c>
      <c r="D577" s="8" t="s">
        <v>162</v>
      </c>
      <c r="E577" s="9" t="n">
        <v>1</v>
      </c>
      <c r="F577" s="9" t="n">
        <v>1</v>
      </c>
      <c r="G577" s="10"/>
    </row>
    <row r="578" customFormat="false" ht="15" hidden="false" customHeight="false" outlineLevel="0" collapsed="false">
      <c r="A578" s="7" t="s">
        <v>1240</v>
      </c>
      <c r="B578" s="8" t="s">
        <v>1241</v>
      </c>
      <c r="C578" s="9" t="s">
        <v>141</v>
      </c>
      <c r="D578" s="8" t="s">
        <v>142</v>
      </c>
      <c r="E578" s="9" t="n">
        <v>1</v>
      </c>
      <c r="F578" s="9" t="n">
        <v>1</v>
      </c>
      <c r="G578" s="10"/>
    </row>
    <row r="579" customFormat="false" ht="15" hidden="false" customHeight="false" outlineLevel="0" collapsed="false">
      <c r="A579" s="7" t="s">
        <v>1242</v>
      </c>
      <c r="B579" s="8" t="s">
        <v>1243</v>
      </c>
      <c r="C579" s="9" t="s">
        <v>1244</v>
      </c>
      <c r="D579" s="8" t="s">
        <v>1245</v>
      </c>
      <c r="E579" s="9" t="n">
        <v>1</v>
      </c>
      <c r="F579" s="9" t="n">
        <v>1</v>
      </c>
      <c r="G579" s="10"/>
    </row>
    <row r="580" customFormat="false" ht="15" hidden="false" customHeight="false" outlineLevel="0" collapsed="false">
      <c r="A580" s="7" t="s">
        <v>1246</v>
      </c>
      <c r="B580" s="8" t="s">
        <v>1247</v>
      </c>
      <c r="C580" s="9"/>
      <c r="D580" s="8"/>
      <c r="E580" s="9" t="n">
        <v>1</v>
      </c>
      <c r="F580" s="9" t="n">
        <v>1</v>
      </c>
      <c r="G580" s="10"/>
    </row>
    <row r="581" customFormat="false" ht="15" hidden="false" customHeight="false" outlineLevel="0" collapsed="false">
      <c r="A581" s="7" t="s">
        <v>1248</v>
      </c>
      <c r="B581" s="8" t="s">
        <v>1249</v>
      </c>
      <c r="C581" s="9"/>
      <c r="D581" s="8"/>
      <c r="E581" s="9" t="n">
        <v>1</v>
      </c>
      <c r="F581" s="9" t="n">
        <v>1</v>
      </c>
      <c r="G581" s="10"/>
    </row>
    <row r="582" customFormat="false" ht="15" hidden="false" customHeight="false" outlineLevel="0" collapsed="false">
      <c r="A582" s="7" t="s">
        <v>1250</v>
      </c>
      <c r="B582" s="8" t="s">
        <v>1251</v>
      </c>
      <c r="C582" s="9" t="s">
        <v>879</v>
      </c>
      <c r="D582" s="8" t="s">
        <v>880</v>
      </c>
      <c r="E582" s="9" t="n">
        <v>1</v>
      </c>
      <c r="F582" s="9" t="n">
        <v>1</v>
      </c>
      <c r="G582" s="10"/>
    </row>
    <row r="583" customFormat="false" ht="15" hidden="false" customHeight="false" outlineLevel="0" collapsed="false">
      <c r="A583" s="7" t="s">
        <v>1252</v>
      </c>
      <c r="B583" s="8" t="s">
        <v>1253</v>
      </c>
      <c r="C583" s="9" t="s">
        <v>879</v>
      </c>
      <c r="D583" s="8" t="s">
        <v>880</v>
      </c>
      <c r="E583" s="9" t="n">
        <v>1</v>
      </c>
      <c r="F583" s="9" t="n">
        <v>1</v>
      </c>
      <c r="G583" s="10"/>
    </row>
    <row r="584" customFormat="false" ht="15" hidden="false" customHeight="false" outlineLevel="0" collapsed="false">
      <c r="A584" s="7" t="s">
        <v>1254</v>
      </c>
      <c r="B584" s="8" t="s">
        <v>1255</v>
      </c>
      <c r="C584" s="9" t="s">
        <v>1003</v>
      </c>
      <c r="D584" s="8" t="s">
        <v>1004</v>
      </c>
      <c r="E584" s="9" t="n">
        <v>1</v>
      </c>
      <c r="F584" s="9" t="n">
        <v>1</v>
      </c>
      <c r="G584" s="10"/>
    </row>
    <row r="585" customFormat="false" ht="15" hidden="false" customHeight="false" outlineLevel="0" collapsed="false">
      <c r="A585" s="7" t="s">
        <v>1256</v>
      </c>
      <c r="B585" s="8" t="s">
        <v>1257</v>
      </c>
      <c r="C585" s="9" t="s">
        <v>395</v>
      </c>
      <c r="D585" s="8" t="s">
        <v>396</v>
      </c>
      <c r="E585" s="9" t="n">
        <v>1</v>
      </c>
      <c r="F585" s="9" t="n">
        <v>1</v>
      </c>
      <c r="G585" s="10"/>
    </row>
    <row r="586" customFormat="false" ht="15" hidden="false" customHeight="false" outlineLevel="0" collapsed="false">
      <c r="A586" s="7" t="s">
        <v>1258</v>
      </c>
      <c r="B586" s="8" t="s">
        <v>1259</v>
      </c>
      <c r="C586" s="9" t="s">
        <v>211</v>
      </c>
      <c r="D586" s="8" t="s">
        <v>212</v>
      </c>
      <c r="E586" s="9" t="n">
        <v>1</v>
      </c>
      <c r="F586" s="9" t="n">
        <v>1</v>
      </c>
      <c r="G586" s="10"/>
    </row>
    <row r="587" customFormat="false" ht="15" hidden="false" customHeight="false" outlineLevel="0" collapsed="false">
      <c r="A587" s="7" t="s">
        <v>1260</v>
      </c>
      <c r="B587" s="8" t="s">
        <v>1261</v>
      </c>
      <c r="C587" s="9" t="s">
        <v>879</v>
      </c>
      <c r="D587" s="8" t="s">
        <v>880</v>
      </c>
      <c r="E587" s="9" t="n">
        <v>1</v>
      </c>
      <c r="F587" s="9" t="n">
        <v>1</v>
      </c>
      <c r="G587" s="10"/>
    </row>
    <row r="588" customFormat="false" ht="15" hidden="false" customHeight="false" outlineLevel="0" collapsed="false">
      <c r="A588" s="7" t="s">
        <v>1262</v>
      </c>
      <c r="B588" s="8" t="s">
        <v>1263</v>
      </c>
      <c r="C588" s="9" t="s">
        <v>879</v>
      </c>
      <c r="D588" s="8" t="s">
        <v>880</v>
      </c>
      <c r="E588" s="9" t="n">
        <v>1</v>
      </c>
      <c r="F588" s="9" t="n">
        <v>1</v>
      </c>
      <c r="G588" s="10"/>
    </row>
    <row r="589" customFormat="false" ht="15" hidden="false" customHeight="false" outlineLevel="0" collapsed="false">
      <c r="A589" s="7" t="s">
        <v>1264</v>
      </c>
      <c r="B589" s="8" t="s">
        <v>1265</v>
      </c>
      <c r="C589" s="9" t="s">
        <v>405</v>
      </c>
      <c r="D589" s="8" t="s">
        <v>406</v>
      </c>
      <c r="E589" s="9" t="n">
        <v>1</v>
      </c>
      <c r="F589" s="9" t="n">
        <v>1</v>
      </c>
      <c r="G589" s="10"/>
    </row>
    <row r="590" customFormat="false" ht="15" hidden="false" customHeight="false" outlineLevel="0" collapsed="false">
      <c r="A590" s="7" t="s">
        <v>1266</v>
      </c>
      <c r="B590" s="8" t="s">
        <v>1267</v>
      </c>
      <c r="C590" s="9" t="s">
        <v>879</v>
      </c>
      <c r="D590" s="8" t="s">
        <v>880</v>
      </c>
      <c r="E590" s="9" t="n">
        <v>1</v>
      </c>
      <c r="F590" s="9" t="n">
        <v>1</v>
      </c>
      <c r="G590" s="10"/>
    </row>
    <row r="591" customFormat="false" ht="15" hidden="false" customHeight="false" outlineLevel="0" collapsed="false">
      <c r="A591" s="7" t="s">
        <v>1268</v>
      </c>
      <c r="B591" s="8" t="s">
        <v>1269</v>
      </c>
      <c r="C591" s="9" t="s">
        <v>879</v>
      </c>
      <c r="D591" s="8" t="s">
        <v>880</v>
      </c>
      <c r="E591" s="9" t="n">
        <v>1</v>
      </c>
      <c r="F591" s="9" t="n">
        <v>1</v>
      </c>
      <c r="G591" s="10"/>
    </row>
    <row r="592" customFormat="false" ht="15" hidden="false" customHeight="false" outlineLevel="0" collapsed="false">
      <c r="A592" s="7" t="s">
        <v>1270</v>
      </c>
      <c r="B592" s="8" t="s">
        <v>1271</v>
      </c>
      <c r="C592" s="9" t="s">
        <v>405</v>
      </c>
      <c r="D592" s="8" t="s">
        <v>406</v>
      </c>
      <c r="E592" s="9" t="n">
        <v>1</v>
      </c>
      <c r="F592" s="9" t="n">
        <v>1</v>
      </c>
      <c r="G592" s="10"/>
    </row>
    <row r="593" customFormat="false" ht="15" hidden="false" customHeight="false" outlineLevel="0" collapsed="false">
      <c r="A593" s="7" t="s">
        <v>1272</v>
      </c>
      <c r="B593" s="8" t="s">
        <v>1273</v>
      </c>
      <c r="C593" s="9" t="s">
        <v>1274</v>
      </c>
      <c r="D593" s="8" t="s">
        <v>1275</v>
      </c>
      <c r="E593" s="9" t="n">
        <v>1</v>
      </c>
      <c r="F593" s="9" t="n">
        <v>1</v>
      </c>
      <c r="G593" s="10"/>
    </row>
    <row r="594" customFormat="false" ht="15" hidden="false" customHeight="false" outlineLevel="0" collapsed="false">
      <c r="A594" s="7" t="s">
        <v>1276</v>
      </c>
      <c r="B594" s="8" t="s">
        <v>1277</v>
      </c>
      <c r="C594" s="9" t="s">
        <v>753</v>
      </c>
      <c r="D594" s="8" t="s">
        <v>754</v>
      </c>
      <c r="E594" s="9" t="n">
        <v>1</v>
      </c>
      <c r="F594" s="9" t="n">
        <v>1</v>
      </c>
      <c r="G594" s="10"/>
    </row>
    <row r="595" customFormat="false" ht="15" hidden="false" customHeight="false" outlineLevel="0" collapsed="false">
      <c r="A595" s="7" t="s">
        <v>1278</v>
      </c>
      <c r="B595" s="8" t="s">
        <v>1279</v>
      </c>
      <c r="C595" s="9"/>
      <c r="D595" s="8"/>
      <c r="E595" s="9" t="n">
        <v>1</v>
      </c>
      <c r="F595" s="9" t="n">
        <v>1</v>
      </c>
      <c r="G595" s="10"/>
    </row>
    <row r="596" customFormat="false" ht="15" hidden="false" customHeight="false" outlineLevel="0" collapsed="false">
      <c r="A596" s="7" t="s">
        <v>1280</v>
      </c>
      <c r="B596" s="8" t="s">
        <v>1281</v>
      </c>
      <c r="C596" s="9" t="s">
        <v>89</v>
      </c>
      <c r="D596" s="8" t="s">
        <v>90</v>
      </c>
      <c r="E596" s="9" t="n">
        <v>1</v>
      </c>
      <c r="F596" s="9" t="n">
        <v>1</v>
      </c>
      <c r="G596" s="10"/>
    </row>
    <row r="597" customFormat="false" ht="15" hidden="false" customHeight="false" outlineLevel="0" collapsed="false">
      <c r="A597" s="7" t="s">
        <v>1282</v>
      </c>
      <c r="B597" s="8" t="s">
        <v>1283</v>
      </c>
      <c r="C597" s="9" t="s">
        <v>879</v>
      </c>
      <c r="D597" s="8" t="s">
        <v>880</v>
      </c>
      <c r="E597" s="9" t="n">
        <v>1</v>
      </c>
      <c r="F597" s="9" t="n">
        <v>1</v>
      </c>
      <c r="G597" s="10"/>
    </row>
    <row r="598" customFormat="false" ht="15" hidden="false" customHeight="false" outlineLevel="0" collapsed="false">
      <c r="A598" s="7" t="s">
        <v>1284</v>
      </c>
      <c r="B598" s="8" t="s">
        <v>1285</v>
      </c>
      <c r="C598" s="9" t="s">
        <v>1286</v>
      </c>
      <c r="D598" s="8" t="s">
        <v>1287</v>
      </c>
      <c r="E598" s="9" t="n">
        <v>1</v>
      </c>
      <c r="F598" s="9" t="n">
        <v>1</v>
      </c>
      <c r="G598" s="10"/>
    </row>
    <row r="599" customFormat="false" ht="15" hidden="false" customHeight="false" outlineLevel="0" collapsed="false">
      <c r="A599" s="7" t="s">
        <v>1288</v>
      </c>
      <c r="B599" s="8" t="s">
        <v>1289</v>
      </c>
      <c r="C599" s="9" t="s">
        <v>1290</v>
      </c>
      <c r="D599" s="8" t="s">
        <v>1291</v>
      </c>
      <c r="E599" s="9" t="n">
        <v>1</v>
      </c>
      <c r="F599" s="9" t="n">
        <v>1</v>
      </c>
      <c r="G599" s="10"/>
    </row>
    <row r="600" customFormat="false" ht="15" hidden="false" customHeight="false" outlineLevel="0" collapsed="false">
      <c r="A600" s="7" t="s">
        <v>1292</v>
      </c>
      <c r="B600" s="8" t="s">
        <v>1293</v>
      </c>
      <c r="C600" s="9" t="s">
        <v>1290</v>
      </c>
      <c r="D600" s="8" t="s">
        <v>1291</v>
      </c>
      <c r="E600" s="9" t="n">
        <v>1</v>
      </c>
      <c r="F600" s="9" t="n">
        <v>1</v>
      </c>
      <c r="G600" s="10"/>
    </row>
    <row r="601" customFormat="false" ht="15" hidden="false" customHeight="false" outlineLevel="0" collapsed="false">
      <c r="A601" s="7" t="s">
        <v>1294</v>
      </c>
      <c r="B601" s="8" t="s">
        <v>1295</v>
      </c>
      <c r="C601" s="9" t="s">
        <v>1290</v>
      </c>
      <c r="D601" s="8" t="s">
        <v>1291</v>
      </c>
      <c r="E601" s="9" t="n">
        <v>1</v>
      </c>
      <c r="F601" s="9" t="n">
        <v>1</v>
      </c>
      <c r="G601" s="10"/>
    </row>
    <row r="602" customFormat="false" ht="15" hidden="false" customHeight="false" outlineLevel="0" collapsed="false">
      <c r="A602" s="7" t="s">
        <v>1296</v>
      </c>
      <c r="B602" s="8" t="s">
        <v>1297</v>
      </c>
      <c r="C602" s="9" t="s">
        <v>1290</v>
      </c>
      <c r="D602" s="8" t="s">
        <v>1291</v>
      </c>
      <c r="E602" s="9" t="n">
        <v>1</v>
      </c>
      <c r="F602" s="9" t="n">
        <v>1</v>
      </c>
      <c r="G602" s="10"/>
    </row>
    <row r="603" customFormat="false" ht="15" hidden="false" customHeight="false" outlineLevel="0" collapsed="false">
      <c r="A603" s="7" t="s">
        <v>1298</v>
      </c>
      <c r="B603" s="8" t="s">
        <v>1299</v>
      </c>
      <c r="C603" s="9" t="s">
        <v>1290</v>
      </c>
      <c r="D603" s="8" t="s">
        <v>1291</v>
      </c>
      <c r="E603" s="9" t="n">
        <v>1</v>
      </c>
      <c r="F603" s="9" t="n">
        <v>1</v>
      </c>
      <c r="G603" s="10"/>
    </row>
    <row r="604" customFormat="false" ht="15" hidden="false" customHeight="false" outlineLevel="0" collapsed="false">
      <c r="A604" s="7" t="s">
        <v>1300</v>
      </c>
      <c r="B604" s="8" t="s">
        <v>1301</v>
      </c>
      <c r="C604" s="9" t="s">
        <v>1290</v>
      </c>
      <c r="D604" s="8" t="s">
        <v>1291</v>
      </c>
      <c r="E604" s="9" t="n">
        <v>1</v>
      </c>
      <c r="F604" s="9" t="n">
        <v>1</v>
      </c>
      <c r="G604" s="10"/>
    </row>
    <row r="605" customFormat="false" ht="15" hidden="false" customHeight="false" outlineLevel="0" collapsed="false">
      <c r="A605" s="7" t="s">
        <v>1302</v>
      </c>
      <c r="B605" s="8" t="s">
        <v>1303</v>
      </c>
      <c r="C605" s="9" t="s">
        <v>1290</v>
      </c>
      <c r="D605" s="8" t="s">
        <v>1291</v>
      </c>
      <c r="E605" s="9" t="n">
        <v>1</v>
      </c>
      <c r="F605" s="9" t="n">
        <v>1</v>
      </c>
      <c r="G605" s="10"/>
    </row>
    <row r="606" customFormat="false" ht="15" hidden="false" customHeight="false" outlineLevel="0" collapsed="false">
      <c r="A606" s="7" t="s">
        <v>1304</v>
      </c>
      <c r="B606" s="8" t="s">
        <v>1305</v>
      </c>
      <c r="C606" s="9" t="s">
        <v>1290</v>
      </c>
      <c r="D606" s="8" t="s">
        <v>1291</v>
      </c>
      <c r="E606" s="9" t="n">
        <v>1</v>
      </c>
      <c r="F606" s="9" t="n">
        <v>1</v>
      </c>
      <c r="G606" s="10"/>
    </row>
    <row r="607" customFormat="false" ht="15" hidden="false" customHeight="false" outlineLevel="0" collapsed="false">
      <c r="A607" s="7" t="s">
        <v>1306</v>
      </c>
      <c r="B607" s="8" t="s">
        <v>1307</v>
      </c>
      <c r="C607" s="9" t="s">
        <v>1308</v>
      </c>
      <c r="D607" s="8" t="s">
        <v>1309</v>
      </c>
      <c r="E607" s="9" t="n">
        <v>1</v>
      </c>
      <c r="F607" s="9" t="n">
        <v>1</v>
      </c>
      <c r="G607" s="10"/>
    </row>
    <row r="608" customFormat="false" ht="15" hidden="false" customHeight="false" outlineLevel="0" collapsed="false">
      <c r="A608" s="7" t="s">
        <v>1310</v>
      </c>
      <c r="B608" s="8" t="s">
        <v>1311</v>
      </c>
      <c r="C608" s="9" t="s">
        <v>375</v>
      </c>
      <c r="D608" s="8" t="s">
        <v>376</v>
      </c>
      <c r="E608" s="9" t="n">
        <v>1</v>
      </c>
      <c r="F608" s="9" t="n">
        <v>1</v>
      </c>
      <c r="G608" s="10"/>
    </row>
    <row r="609" customFormat="false" ht="15" hidden="false" customHeight="false" outlineLevel="0" collapsed="false">
      <c r="A609" s="7" t="s">
        <v>1312</v>
      </c>
      <c r="B609" s="8" t="s">
        <v>1313</v>
      </c>
      <c r="C609" s="9" t="s">
        <v>375</v>
      </c>
      <c r="D609" s="8" t="s">
        <v>376</v>
      </c>
      <c r="E609" s="9" t="n">
        <v>1</v>
      </c>
      <c r="F609" s="9" t="n">
        <v>1</v>
      </c>
      <c r="G609" s="10"/>
    </row>
    <row r="610" customFormat="false" ht="15" hidden="false" customHeight="false" outlineLevel="0" collapsed="false">
      <c r="A610" s="7" t="s">
        <v>1314</v>
      </c>
      <c r="B610" s="8" t="s">
        <v>1315</v>
      </c>
      <c r="C610" s="9" t="s">
        <v>375</v>
      </c>
      <c r="D610" s="8" t="s">
        <v>376</v>
      </c>
      <c r="E610" s="9" t="n">
        <v>1</v>
      </c>
      <c r="F610" s="9" t="n">
        <v>1</v>
      </c>
      <c r="G610" s="10"/>
    </row>
    <row r="611" customFormat="false" ht="15" hidden="false" customHeight="false" outlineLevel="0" collapsed="false">
      <c r="A611" s="7" t="s">
        <v>1316</v>
      </c>
      <c r="B611" s="8" t="s">
        <v>1317</v>
      </c>
      <c r="C611" s="9" t="s">
        <v>375</v>
      </c>
      <c r="D611" s="8" t="s">
        <v>376</v>
      </c>
      <c r="E611" s="9" t="n">
        <v>1</v>
      </c>
      <c r="F611" s="9" t="n">
        <v>1</v>
      </c>
      <c r="G611" s="10"/>
    </row>
    <row r="612" customFormat="false" ht="15" hidden="false" customHeight="false" outlineLevel="0" collapsed="false">
      <c r="A612" s="7" t="s">
        <v>1318</v>
      </c>
      <c r="B612" s="8" t="s">
        <v>1319</v>
      </c>
      <c r="C612" s="9" t="s">
        <v>375</v>
      </c>
      <c r="D612" s="8" t="s">
        <v>376</v>
      </c>
      <c r="E612" s="9" t="n">
        <v>1</v>
      </c>
      <c r="F612" s="9" t="n">
        <v>1</v>
      </c>
      <c r="G612" s="10"/>
    </row>
    <row r="613" customFormat="false" ht="15" hidden="false" customHeight="false" outlineLevel="0" collapsed="false">
      <c r="A613" s="7" t="s">
        <v>1320</v>
      </c>
      <c r="B613" s="8" t="s">
        <v>1321</v>
      </c>
      <c r="C613" s="9" t="s">
        <v>375</v>
      </c>
      <c r="D613" s="8" t="s">
        <v>376</v>
      </c>
      <c r="E613" s="9" t="n">
        <v>1</v>
      </c>
      <c r="F613" s="9" t="n">
        <v>1</v>
      </c>
      <c r="G613" s="10"/>
    </row>
    <row r="614" customFormat="false" ht="15" hidden="false" customHeight="false" outlineLevel="0" collapsed="false">
      <c r="A614" s="7" t="s">
        <v>1322</v>
      </c>
      <c r="B614" s="8" t="s">
        <v>1323</v>
      </c>
      <c r="C614" s="9" t="s">
        <v>375</v>
      </c>
      <c r="D614" s="8" t="s">
        <v>376</v>
      </c>
      <c r="E614" s="9" t="n">
        <v>1</v>
      </c>
      <c r="F614" s="9" t="n">
        <v>1</v>
      </c>
      <c r="G614" s="10"/>
    </row>
    <row r="615" customFormat="false" ht="15" hidden="false" customHeight="false" outlineLevel="0" collapsed="false">
      <c r="A615" s="7" t="s">
        <v>1324</v>
      </c>
      <c r="B615" s="8" t="s">
        <v>1325</v>
      </c>
      <c r="C615" s="9" t="s">
        <v>375</v>
      </c>
      <c r="D615" s="8" t="s">
        <v>376</v>
      </c>
      <c r="E615" s="9" t="n">
        <v>1</v>
      </c>
      <c r="F615" s="9" t="n">
        <v>1</v>
      </c>
      <c r="G615" s="10"/>
    </row>
    <row r="616" customFormat="false" ht="15" hidden="false" customHeight="false" outlineLevel="0" collapsed="false">
      <c r="A616" s="7" t="s">
        <v>1326</v>
      </c>
      <c r="B616" s="8" t="s">
        <v>1327</v>
      </c>
      <c r="C616" s="9" t="s">
        <v>375</v>
      </c>
      <c r="D616" s="8" t="s">
        <v>376</v>
      </c>
      <c r="E616" s="9" t="n">
        <v>1</v>
      </c>
      <c r="F616" s="9" t="n">
        <v>1</v>
      </c>
      <c r="G616" s="10"/>
    </row>
    <row r="617" customFormat="false" ht="15" hidden="false" customHeight="false" outlineLevel="0" collapsed="false">
      <c r="A617" s="7" t="s">
        <v>1328</v>
      </c>
      <c r="B617" s="8" t="s">
        <v>1329</v>
      </c>
      <c r="C617" s="9" t="s">
        <v>375</v>
      </c>
      <c r="D617" s="8" t="s">
        <v>376</v>
      </c>
      <c r="E617" s="9" t="n">
        <v>1</v>
      </c>
      <c r="F617" s="9" t="n">
        <v>1</v>
      </c>
      <c r="G617" s="10"/>
    </row>
    <row r="618" customFormat="false" ht="15" hidden="false" customHeight="false" outlineLevel="0" collapsed="false">
      <c r="A618" s="7" t="s">
        <v>1330</v>
      </c>
      <c r="B618" s="8" t="s">
        <v>1331</v>
      </c>
      <c r="C618" s="9" t="s">
        <v>375</v>
      </c>
      <c r="D618" s="8" t="s">
        <v>376</v>
      </c>
      <c r="E618" s="9" t="n">
        <v>1</v>
      </c>
      <c r="F618" s="9" t="n">
        <v>1</v>
      </c>
      <c r="G618" s="10"/>
    </row>
    <row r="619" customFormat="false" ht="15" hidden="false" customHeight="false" outlineLevel="0" collapsed="false">
      <c r="A619" s="7" t="s">
        <v>1332</v>
      </c>
      <c r="B619" s="8" t="s">
        <v>1333</v>
      </c>
      <c r="C619" s="9" t="s">
        <v>375</v>
      </c>
      <c r="D619" s="8" t="s">
        <v>376</v>
      </c>
      <c r="E619" s="9" t="n">
        <v>1</v>
      </c>
      <c r="F619" s="9" t="n">
        <v>1</v>
      </c>
      <c r="G619" s="10"/>
    </row>
    <row r="620" customFormat="false" ht="15" hidden="false" customHeight="false" outlineLevel="0" collapsed="false">
      <c r="A620" s="7" t="s">
        <v>1334</v>
      </c>
      <c r="B620" s="8" t="s">
        <v>1335</v>
      </c>
      <c r="C620" s="9" t="s">
        <v>375</v>
      </c>
      <c r="D620" s="8" t="s">
        <v>376</v>
      </c>
      <c r="E620" s="9" t="n">
        <v>1</v>
      </c>
      <c r="F620" s="9" t="n">
        <v>1</v>
      </c>
      <c r="G620" s="10"/>
    </row>
    <row r="621" customFormat="false" ht="15" hidden="false" customHeight="false" outlineLevel="0" collapsed="false">
      <c r="A621" s="7" t="s">
        <v>1336</v>
      </c>
      <c r="B621" s="8" t="s">
        <v>1337</v>
      </c>
      <c r="C621" s="9" t="s">
        <v>375</v>
      </c>
      <c r="D621" s="8" t="s">
        <v>376</v>
      </c>
      <c r="E621" s="9" t="n">
        <v>1</v>
      </c>
      <c r="F621" s="9" t="n">
        <v>1</v>
      </c>
      <c r="G621" s="10"/>
    </row>
    <row r="622" customFormat="false" ht="15" hidden="false" customHeight="false" outlineLevel="0" collapsed="false">
      <c r="A622" s="7" t="s">
        <v>1338</v>
      </c>
      <c r="B622" s="8" t="s">
        <v>1339</v>
      </c>
      <c r="C622" s="9" t="s">
        <v>375</v>
      </c>
      <c r="D622" s="8" t="s">
        <v>376</v>
      </c>
      <c r="E622" s="9" t="n">
        <v>1</v>
      </c>
      <c r="F622" s="9" t="n">
        <v>1</v>
      </c>
      <c r="G622" s="10"/>
    </row>
    <row r="623" customFormat="false" ht="15" hidden="false" customHeight="false" outlineLevel="0" collapsed="false">
      <c r="A623" s="7" t="s">
        <v>1340</v>
      </c>
      <c r="B623" s="8" t="s">
        <v>1341</v>
      </c>
      <c r="C623" s="9" t="s">
        <v>375</v>
      </c>
      <c r="D623" s="8" t="s">
        <v>376</v>
      </c>
      <c r="E623" s="9" t="n">
        <v>1</v>
      </c>
      <c r="F623" s="9" t="n">
        <v>1</v>
      </c>
      <c r="G623" s="10"/>
    </row>
    <row r="624" customFormat="false" ht="15" hidden="false" customHeight="false" outlineLevel="0" collapsed="false">
      <c r="A624" s="7" t="s">
        <v>1342</v>
      </c>
      <c r="B624" s="8" t="s">
        <v>1343</v>
      </c>
      <c r="C624" s="9" t="s">
        <v>375</v>
      </c>
      <c r="D624" s="8" t="s">
        <v>376</v>
      </c>
      <c r="E624" s="9" t="n">
        <v>1</v>
      </c>
      <c r="F624" s="9" t="n">
        <v>1</v>
      </c>
      <c r="G624" s="10"/>
    </row>
    <row r="625" customFormat="false" ht="15" hidden="false" customHeight="false" outlineLevel="0" collapsed="false">
      <c r="A625" s="7" t="s">
        <v>1344</v>
      </c>
      <c r="B625" s="8" t="s">
        <v>1345</v>
      </c>
      <c r="C625" s="9" t="s">
        <v>375</v>
      </c>
      <c r="D625" s="8" t="s">
        <v>376</v>
      </c>
      <c r="E625" s="9" t="n">
        <v>1</v>
      </c>
      <c r="F625" s="9" t="n">
        <v>1</v>
      </c>
      <c r="G625" s="10"/>
    </row>
    <row r="626" customFormat="false" ht="15" hidden="false" customHeight="false" outlineLevel="0" collapsed="false">
      <c r="A626" s="7" t="s">
        <v>1346</v>
      </c>
      <c r="B626" s="8" t="s">
        <v>1347</v>
      </c>
      <c r="C626" s="9" t="s">
        <v>375</v>
      </c>
      <c r="D626" s="8" t="s">
        <v>376</v>
      </c>
      <c r="E626" s="9" t="n">
        <v>1</v>
      </c>
      <c r="F626" s="9" t="n">
        <v>1</v>
      </c>
      <c r="G626" s="10"/>
    </row>
    <row r="627" customFormat="false" ht="15" hidden="false" customHeight="false" outlineLevel="0" collapsed="false">
      <c r="A627" s="7" t="s">
        <v>1348</v>
      </c>
      <c r="B627" s="8" t="s">
        <v>1349</v>
      </c>
      <c r="C627" s="9" t="s">
        <v>375</v>
      </c>
      <c r="D627" s="8" t="s">
        <v>376</v>
      </c>
      <c r="E627" s="9" t="n">
        <v>1</v>
      </c>
      <c r="F627" s="9" t="n">
        <v>1</v>
      </c>
      <c r="G627" s="10"/>
    </row>
    <row r="628" customFormat="false" ht="15" hidden="false" customHeight="false" outlineLevel="0" collapsed="false">
      <c r="A628" s="7" t="s">
        <v>1350</v>
      </c>
      <c r="B628" s="8" t="s">
        <v>1351</v>
      </c>
      <c r="C628" s="9" t="s">
        <v>375</v>
      </c>
      <c r="D628" s="8" t="s">
        <v>376</v>
      </c>
      <c r="E628" s="9" t="n">
        <v>1</v>
      </c>
      <c r="F628" s="9" t="n">
        <v>1</v>
      </c>
      <c r="G628" s="10"/>
    </row>
    <row r="629" customFormat="false" ht="15" hidden="false" customHeight="false" outlineLevel="0" collapsed="false">
      <c r="A629" s="7" t="s">
        <v>1352</v>
      </c>
      <c r="B629" s="8" t="s">
        <v>1353</v>
      </c>
      <c r="C629" s="9" t="s">
        <v>375</v>
      </c>
      <c r="D629" s="8" t="s">
        <v>376</v>
      </c>
      <c r="E629" s="9" t="n">
        <v>1</v>
      </c>
      <c r="F629" s="9" t="n">
        <v>1</v>
      </c>
      <c r="G629" s="10"/>
    </row>
    <row r="630" customFormat="false" ht="15" hidden="false" customHeight="false" outlineLevel="0" collapsed="false">
      <c r="A630" s="7" t="s">
        <v>1354</v>
      </c>
      <c r="B630" s="8" t="s">
        <v>1355</v>
      </c>
      <c r="C630" s="9" t="s">
        <v>375</v>
      </c>
      <c r="D630" s="8" t="s">
        <v>376</v>
      </c>
      <c r="E630" s="9" t="n">
        <v>1</v>
      </c>
      <c r="F630" s="9" t="n">
        <v>1</v>
      </c>
      <c r="G630" s="10"/>
    </row>
    <row r="631" customFormat="false" ht="15" hidden="false" customHeight="false" outlineLevel="0" collapsed="false">
      <c r="A631" s="7" t="s">
        <v>1356</v>
      </c>
      <c r="B631" s="8" t="s">
        <v>1357</v>
      </c>
      <c r="C631" s="9" t="s">
        <v>375</v>
      </c>
      <c r="D631" s="8" t="s">
        <v>376</v>
      </c>
      <c r="E631" s="9" t="n">
        <v>1</v>
      </c>
      <c r="F631" s="9" t="n">
        <v>1</v>
      </c>
      <c r="G631" s="10"/>
    </row>
    <row r="632" customFormat="false" ht="15" hidden="false" customHeight="false" outlineLevel="0" collapsed="false">
      <c r="A632" s="7" t="s">
        <v>1358</v>
      </c>
      <c r="B632" s="8" t="s">
        <v>1359</v>
      </c>
      <c r="C632" s="9" t="s">
        <v>375</v>
      </c>
      <c r="D632" s="8" t="s">
        <v>376</v>
      </c>
      <c r="E632" s="9" t="n">
        <v>1</v>
      </c>
      <c r="F632" s="9" t="n">
        <v>1</v>
      </c>
      <c r="G632" s="10"/>
    </row>
    <row r="633" customFormat="false" ht="15" hidden="false" customHeight="false" outlineLevel="0" collapsed="false">
      <c r="A633" s="7" t="s">
        <v>1360</v>
      </c>
      <c r="B633" s="8" t="s">
        <v>1361</v>
      </c>
      <c r="C633" s="9" t="s">
        <v>375</v>
      </c>
      <c r="D633" s="8" t="s">
        <v>376</v>
      </c>
      <c r="E633" s="9" t="n">
        <v>1</v>
      </c>
      <c r="F633" s="9" t="n">
        <v>1</v>
      </c>
      <c r="G633" s="10"/>
    </row>
    <row r="634" customFormat="false" ht="15" hidden="false" customHeight="false" outlineLevel="0" collapsed="false">
      <c r="A634" s="7" t="s">
        <v>1362</v>
      </c>
      <c r="B634" s="8" t="s">
        <v>1363</v>
      </c>
      <c r="C634" s="9" t="s">
        <v>375</v>
      </c>
      <c r="D634" s="8" t="s">
        <v>376</v>
      </c>
      <c r="E634" s="9" t="n">
        <v>1</v>
      </c>
      <c r="F634" s="9" t="n">
        <v>1</v>
      </c>
      <c r="G634" s="10"/>
    </row>
    <row r="635" customFormat="false" ht="15" hidden="false" customHeight="false" outlineLevel="0" collapsed="false">
      <c r="A635" s="7" t="s">
        <v>1364</v>
      </c>
      <c r="B635" s="8" t="s">
        <v>1365</v>
      </c>
      <c r="C635" s="9" t="s">
        <v>375</v>
      </c>
      <c r="D635" s="8" t="s">
        <v>376</v>
      </c>
      <c r="E635" s="9" t="n">
        <v>1</v>
      </c>
      <c r="F635" s="9" t="n">
        <v>1</v>
      </c>
      <c r="G635" s="10"/>
    </row>
    <row r="636" customFormat="false" ht="15" hidden="false" customHeight="false" outlineLevel="0" collapsed="false">
      <c r="A636" s="7" t="s">
        <v>1366</v>
      </c>
      <c r="B636" s="8" t="s">
        <v>1367</v>
      </c>
      <c r="C636" s="9"/>
      <c r="D636" s="8"/>
      <c r="E636" s="9" t="n">
        <v>0</v>
      </c>
      <c r="F636" s="9" t="n">
        <v>0</v>
      </c>
      <c r="G636" s="10"/>
    </row>
    <row r="637" customFormat="false" ht="15" hidden="false" customHeight="false" outlineLevel="0" collapsed="false">
      <c r="A637" s="7" t="s">
        <v>1368</v>
      </c>
      <c r="B637" s="8" t="s">
        <v>1369</v>
      </c>
      <c r="C637" s="9"/>
      <c r="D637" s="8"/>
      <c r="E637" s="9" t="n">
        <v>0</v>
      </c>
      <c r="F637" s="9" t="n">
        <v>0</v>
      </c>
      <c r="G637" s="10"/>
    </row>
    <row r="638" customFormat="false" ht="15" hidden="false" customHeight="false" outlineLevel="0" collapsed="false">
      <c r="A638" s="7" t="s">
        <v>1370</v>
      </c>
      <c r="B638" s="8" t="s">
        <v>1371</v>
      </c>
      <c r="C638" s="9"/>
      <c r="D638" s="8"/>
      <c r="E638" s="9"/>
      <c r="F638" s="9" t="n">
        <v>0</v>
      </c>
      <c r="G638" s="10"/>
    </row>
    <row r="639" customFormat="false" ht="15" hidden="false" customHeight="false" outlineLevel="0" collapsed="false">
      <c r="A639" s="7" t="s">
        <v>1372</v>
      </c>
      <c r="B639" s="8" t="s">
        <v>1373</v>
      </c>
      <c r="C639" s="9"/>
      <c r="D639" s="8"/>
      <c r="E639" s="9" t="n">
        <v>0</v>
      </c>
      <c r="F639" s="9" t="n">
        <v>0</v>
      </c>
      <c r="G639" s="10"/>
    </row>
    <row r="640" customFormat="false" ht="15" hidden="false" customHeight="false" outlineLevel="0" collapsed="false">
      <c r="A640" s="7" t="s">
        <v>1374</v>
      </c>
      <c r="B640" s="8" t="s">
        <v>1375</v>
      </c>
      <c r="C640" s="9"/>
      <c r="D640" s="8"/>
      <c r="E640" s="9" t="n">
        <v>0</v>
      </c>
      <c r="F640" s="9" t="n">
        <v>0</v>
      </c>
      <c r="G640" s="10"/>
    </row>
    <row r="641" customFormat="false" ht="15" hidden="false" customHeight="false" outlineLevel="0" collapsed="false">
      <c r="A641" s="7" t="s">
        <v>1376</v>
      </c>
      <c r="B641" s="8" t="s">
        <v>1377</v>
      </c>
      <c r="C641" s="9"/>
      <c r="D641" s="8"/>
      <c r="E641" s="9"/>
      <c r="F641" s="9" t="n">
        <v>0</v>
      </c>
      <c r="G641" s="10"/>
    </row>
    <row r="642" customFormat="false" ht="15" hidden="false" customHeight="false" outlineLevel="0" collapsed="false">
      <c r="A642" s="7" t="s">
        <v>1378</v>
      </c>
      <c r="B642" s="8" t="s">
        <v>1379</v>
      </c>
      <c r="C642" s="9"/>
      <c r="D642" s="8"/>
      <c r="E642" s="9" t="n">
        <v>0</v>
      </c>
      <c r="F642" s="9" t="n">
        <v>0</v>
      </c>
      <c r="G642" s="10"/>
    </row>
    <row r="643" customFormat="false" ht="15" hidden="false" customHeight="false" outlineLevel="0" collapsed="false">
      <c r="A643" s="7" t="s">
        <v>1380</v>
      </c>
      <c r="B643" s="8" t="s">
        <v>1381</v>
      </c>
      <c r="C643" s="9"/>
      <c r="D643" s="8"/>
      <c r="E643" s="9" t="n">
        <v>0</v>
      </c>
      <c r="F643" s="9" t="n">
        <v>0</v>
      </c>
      <c r="G643" s="10"/>
    </row>
    <row r="644" customFormat="false" ht="15" hidden="false" customHeight="false" outlineLevel="0" collapsed="false">
      <c r="A644" s="7" t="s">
        <v>1382</v>
      </c>
      <c r="B644" s="8" t="s">
        <v>1383</v>
      </c>
      <c r="C644" s="9"/>
      <c r="D644" s="8"/>
      <c r="E644" s="9" t="n">
        <v>0</v>
      </c>
      <c r="F644" s="9" t="n">
        <v>0</v>
      </c>
      <c r="G644" s="10"/>
    </row>
    <row r="645" customFormat="false" ht="15" hidden="false" customHeight="false" outlineLevel="0" collapsed="false">
      <c r="A645" s="7" t="s">
        <v>1384</v>
      </c>
      <c r="B645" s="8" t="s">
        <v>1385</v>
      </c>
      <c r="C645" s="9" t="s">
        <v>1386</v>
      </c>
      <c r="D645" s="8" t="s">
        <v>1387</v>
      </c>
      <c r="E645" s="9" t="n">
        <v>0</v>
      </c>
      <c r="F645" s="9" t="n">
        <v>0</v>
      </c>
      <c r="G645" s="10"/>
    </row>
    <row r="646" customFormat="false" ht="15" hidden="false" customHeight="false" outlineLevel="0" collapsed="false">
      <c r="A646" s="7" t="s">
        <v>1388</v>
      </c>
      <c r="B646" s="8" t="s">
        <v>1389</v>
      </c>
      <c r="C646" s="9" t="s">
        <v>1390</v>
      </c>
      <c r="D646" s="8" t="s">
        <v>1391</v>
      </c>
      <c r="E646" s="9" t="n">
        <v>0</v>
      </c>
      <c r="F646" s="9" t="n">
        <v>0</v>
      </c>
      <c r="G646" s="10"/>
    </row>
    <row r="647" customFormat="false" ht="15" hidden="false" customHeight="false" outlineLevel="0" collapsed="false">
      <c r="A647" s="7" t="s">
        <v>1392</v>
      </c>
      <c r="B647" s="8" t="s">
        <v>1393</v>
      </c>
      <c r="C647" s="9" t="s">
        <v>171</v>
      </c>
      <c r="D647" s="8" t="s">
        <v>172</v>
      </c>
      <c r="E647" s="9" t="n">
        <v>0</v>
      </c>
      <c r="F647" s="9" t="n">
        <v>0</v>
      </c>
      <c r="G647" s="10"/>
    </row>
    <row r="648" customFormat="false" ht="15" hidden="false" customHeight="false" outlineLevel="0" collapsed="false">
      <c r="A648" s="7" t="s">
        <v>1394</v>
      </c>
      <c r="B648" s="8" t="s">
        <v>1395</v>
      </c>
      <c r="C648" s="9" t="s">
        <v>171</v>
      </c>
      <c r="D648" s="8" t="s">
        <v>172</v>
      </c>
      <c r="E648" s="9" t="n">
        <v>0</v>
      </c>
      <c r="F648" s="9" t="n">
        <v>0</v>
      </c>
      <c r="G648" s="10"/>
    </row>
    <row r="649" customFormat="false" ht="15" hidden="false" customHeight="false" outlineLevel="0" collapsed="false">
      <c r="A649" s="7" t="s">
        <v>1396</v>
      </c>
      <c r="B649" s="8" t="s">
        <v>1397</v>
      </c>
      <c r="C649" s="9"/>
      <c r="D649" s="8"/>
      <c r="E649" s="9" t="n">
        <v>0</v>
      </c>
      <c r="F649" s="9" t="n">
        <v>0</v>
      </c>
      <c r="G649" s="10"/>
    </row>
    <row r="650" customFormat="false" ht="15" hidden="false" customHeight="false" outlineLevel="0" collapsed="false">
      <c r="A650" s="7" t="s">
        <v>1398</v>
      </c>
      <c r="B650" s="8" t="s">
        <v>1399</v>
      </c>
      <c r="C650" s="9"/>
      <c r="D650" s="8"/>
      <c r="E650" s="9" t="n">
        <v>0</v>
      </c>
      <c r="F650" s="9" t="n">
        <v>0</v>
      </c>
      <c r="G650" s="10"/>
    </row>
    <row r="651" customFormat="false" ht="15" hidden="false" customHeight="false" outlineLevel="0" collapsed="false">
      <c r="A651" s="7" t="s">
        <v>1400</v>
      </c>
      <c r="B651" s="8" t="s">
        <v>1401</v>
      </c>
      <c r="C651" s="9"/>
      <c r="D651" s="8"/>
      <c r="E651" s="9" t="n">
        <v>0</v>
      </c>
      <c r="F651" s="9" t="n">
        <v>0</v>
      </c>
      <c r="G651" s="10"/>
    </row>
    <row r="652" customFormat="false" ht="15" hidden="false" customHeight="false" outlineLevel="0" collapsed="false">
      <c r="A652" s="7" t="s">
        <v>1402</v>
      </c>
      <c r="B652" s="8" t="s">
        <v>1403</v>
      </c>
      <c r="C652" s="9"/>
      <c r="D652" s="8"/>
      <c r="E652" s="9" t="n">
        <v>0</v>
      </c>
      <c r="F652" s="9" t="n">
        <v>0</v>
      </c>
      <c r="G652" s="10"/>
    </row>
    <row r="653" customFormat="false" ht="15" hidden="false" customHeight="false" outlineLevel="0" collapsed="false">
      <c r="A653" s="7" t="s">
        <v>1404</v>
      </c>
      <c r="B653" s="8" t="s">
        <v>1405</v>
      </c>
      <c r="C653" s="9"/>
      <c r="D653" s="8"/>
      <c r="E653" s="9"/>
      <c r="F653" s="9" t="n">
        <v>0</v>
      </c>
      <c r="G653" s="10"/>
    </row>
    <row r="654" customFormat="false" ht="15" hidden="false" customHeight="false" outlineLevel="0" collapsed="false">
      <c r="A654" s="7" t="s">
        <v>1406</v>
      </c>
      <c r="B654" s="8" t="s">
        <v>1407</v>
      </c>
      <c r="C654" s="9"/>
      <c r="D654" s="8"/>
      <c r="E654" s="9"/>
      <c r="F654" s="9" t="n">
        <v>0</v>
      </c>
      <c r="G654" s="10"/>
    </row>
    <row r="655" customFormat="false" ht="15" hidden="false" customHeight="false" outlineLevel="0" collapsed="false">
      <c r="A655" s="7" t="s">
        <v>1408</v>
      </c>
      <c r="B655" s="8" t="s">
        <v>1409</v>
      </c>
      <c r="C655" s="9" t="s">
        <v>199</v>
      </c>
      <c r="D655" s="8" t="s">
        <v>200</v>
      </c>
      <c r="E655" s="9" t="n">
        <v>0</v>
      </c>
      <c r="F655" s="9" t="n">
        <v>0</v>
      </c>
      <c r="G655" s="10"/>
    </row>
    <row r="656" customFormat="false" ht="15" hidden="false" customHeight="false" outlineLevel="0" collapsed="false">
      <c r="A656" s="7" t="s">
        <v>1410</v>
      </c>
      <c r="B656" s="8" t="s">
        <v>1411</v>
      </c>
      <c r="C656" s="9"/>
      <c r="D656" s="8"/>
      <c r="E656" s="9" t="n">
        <v>0</v>
      </c>
      <c r="F656" s="9" t="n">
        <v>0</v>
      </c>
      <c r="G656" s="10"/>
    </row>
    <row r="657" customFormat="false" ht="15" hidden="false" customHeight="false" outlineLevel="0" collapsed="false">
      <c r="A657" s="7" t="s">
        <v>1412</v>
      </c>
      <c r="B657" s="8" t="s">
        <v>1413</v>
      </c>
      <c r="C657" s="9"/>
      <c r="D657" s="8"/>
      <c r="E657" s="9"/>
      <c r="F657" s="9" t="n">
        <v>0</v>
      </c>
      <c r="G657" s="10"/>
    </row>
    <row r="658" customFormat="false" ht="15" hidden="false" customHeight="false" outlineLevel="0" collapsed="false">
      <c r="A658" s="7" t="s">
        <v>1414</v>
      </c>
      <c r="B658" s="8" t="s">
        <v>1415</v>
      </c>
      <c r="C658" s="9" t="s">
        <v>69</v>
      </c>
      <c r="D658" s="8" t="s">
        <v>70</v>
      </c>
      <c r="E658" s="9" t="n">
        <v>0</v>
      </c>
      <c r="F658" s="9" t="n">
        <v>0</v>
      </c>
      <c r="G658" s="10"/>
    </row>
    <row r="659" customFormat="false" ht="15" hidden="false" customHeight="false" outlineLevel="0" collapsed="false">
      <c r="A659" s="7" t="s">
        <v>1416</v>
      </c>
      <c r="B659" s="8" t="s">
        <v>1417</v>
      </c>
      <c r="C659" s="9" t="s">
        <v>69</v>
      </c>
      <c r="D659" s="8" t="s">
        <v>70</v>
      </c>
      <c r="E659" s="9" t="n">
        <v>0</v>
      </c>
      <c r="F659" s="9" t="n">
        <v>0</v>
      </c>
      <c r="G659" s="10"/>
    </row>
    <row r="660" customFormat="false" ht="15" hidden="false" customHeight="false" outlineLevel="0" collapsed="false">
      <c r="A660" s="7" t="s">
        <v>1418</v>
      </c>
      <c r="B660" s="8" t="s">
        <v>1419</v>
      </c>
      <c r="C660" s="9" t="s">
        <v>69</v>
      </c>
      <c r="D660" s="8" t="s">
        <v>70</v>
      </c>
      <c r="E660" s="9" t="n">
        <v>0</v>
      </c>
      <c r="F660" s="9" t="n">
        <v>0</v>
      </c>
      <c r="G660" s="10"/>
    </row>
    <row r="661" customFormat="false" ht="15" hidden="false" customHeight="false" outlineLevel="0" collapsed="false">
      <c r="A661" s="7" t="s">
        <v>1420</v>
      </c>
      <c r="B661" s="8" t="s">
        <v>1421</v>
      </c>
      <c r="C661" s="9" t="s">
        <v>69</v>
      </c>
      <c r="D661" s="8" t="s">
        <v>70</v>
      </c>
      <c r="E661" s="9" t="n">
        <v>0</v>
      </c>
      <c r="F661" s="9" t="n">
        <v>0</v>
      </c>
      <c r="G661" s="10"/>
    </row>
    <row r="662" customFormat="false" ht="15" hidden="false" customHeight="false" outlineLevel="0" collapsed="false">
      <c r="A662" s="7" t="s">
        <v>1422</v>
      </c>
      <c r="B662" s="8" t="s">
        <v>1423</v>
      </c>
      <c r="C662" s="9" t="s">
        <v>69</v>
      </c>
      <c r="D662" s="8" t="s">
        <v>70</v>
      </c>
      <c r="E662" s="9" t="n">
        <v>0</v>
      </c>
      <c r="F662" s="9" t="n">
        <v>0</v>
      </c>
      <c r="G662" s="10"/>
    </row>
    <row r="663" customFormat="false" ht="15" hidden="false" customHeight="false" outlineLevel="0" collapsed="false">
      <c r="A663" s="7" t="s">
        <v>1424</v>
      </c>
      <c r="B663" s="8" t="s">
        <v>1425</v>
      </c>
      <c r="C663" s="9" t="s">
        <v>1426</v>
      </c>
      <c r="D663" s="8" t="s">
        <v>1427</v>
      </c>
      <c r="E663" s="9" t="n">
        <v>0</v>
      </c>
      <c r="F663" s="9" t="n">
        <v>0</v>
      </c>
      <c r="G663" s="10"/>
    </row>
    <row r="664" customFormat="false" ht="15" hidden="false" customHeight="false" outlineLevel="0" collapsed="false">
      <c r="A664" s="7" t="s">
        <v>1428</v>
      </c>
      <c r="B664" s="8" t="s">
        <v>1429</v>
      </c>
      <c r="C664" s="9" t="s">
        <v>879</v>
      </c>
      <c r="D664" s="8" t="s">
        <v>880</v>
      </c>
      <c r="E664" s="9" t="n">
        <v>0</v>
      </c>
      <c r="F664" s="9" t="n">
        <v>0</v>
      </c>
      <c r="G664" s="10"/>
    </row>
    <row r="665" customFormat="false" ht="15" hidden="false" customHeight="false" outlineLevel="0" collapsed="false">
      <c r="A665" s="7" t="s">
        <v>1430</v>
      </c>
      <c r="B665" s="8" t="s">
        <v>1431</v>
      </c>
      <c r="C665" s="9" t="s">
        <v>879</v>
      </c>
      <c r="D665" s="8" t="s">
        <v>880</v>
      </c>
      <c r="E665" s="9"/>
      <c r="F665" s="9" t="n">
        <v>0</v>
      </c>
      <c r="G665" s="10"/>
    </row>
    <row r="666" customFormat="false" ht="15" hidden="false" customHeight="false" outlineLevel="0" collapsed="false">
      <c r="A666" s="7" t="s">
        <v>1432</v>
      </c>
      <c r="B666" s="8" t="s">
        <v>1433</v>
      </c>
      <c r="C666" s="9" t="s">
        <v>879</v>
      </c>
      <c r="D666" s="8" t="s">
        <v>880</v>
      </c>
      <c r="E666" s="9" t="n">
        <v>0</v>
      </c>
      <c r="F666" s="9" t="n">
        <v>0</v>
      </c>
      <c r="G666" s="10"/>
    </row>
    <row r="667" customFormat="false" ht="15" hidden="false" customHeight="false" outlineLevel="0" collapsed="false">
      <c r="A667" s="7" t="s">
        <v>1434</v>
      </c>
      <c r="B667" s="8" t="s">
        <v>1435</v>
      </c>
      <c r="C667" s="9" t="s">
        <v>879</v>
      </c>
      <c r="D667" s="8" t="s">
        <v>880</v>
      </c>
      <c r="E667" s="9" t="n">
        <v>0</v>
      </c>
      <c r="F667" s="9" t="n">
        <v>0</v>
      </c>
      <c r="G667" s="10"/>
    </row>
    <row r="668" customFormat="false" ht="15" hidden="false" customHeight="false" outlineLevel="0" collapsed="false">
      <c r="A668" s="7" t="s">
        <v>1436</v>
      </c>
      <c r="B668" s="8" t="s">
        <v>1437</v>
      </c>
      <c r="C668" s="9" t="s">
        <v>141</v>
      </c>
      <c r="D668" s="8" t="s">
        <v>142</v>
      </c>
      <c r="E668" s="9" t="n">
        <v>0</v>
      </c>
      <c r="F668" s="9" t="n">
        <v>0</v>
      </c>
      <c r="G668" s="10"/>
    </row>
    <row r="669" customFormat="false" ht="15" hidden="false" customHeight="false" outlineLevel="0" collapsed="false">
      <c r="A669" s="7" t="s">
        <v>1438</v>
      </c>
      <c r="B669" s="8" t="s">
        <v>1439</v>
      </c>
      <c r="C669" s="9" t="s">
        <v>1206</v>
      </c>
      <c r="D669" s="8" t="s">
        <v>1207</v>
      </c>
      <c r="E669" s="9" t="n">
        <v>0</v>
      </c>
      <c r="F669" s="9" t="n">
        <v>0</v>
      </c>
      <c r="G669" s="10"/>
    </row>
    <row r="670" customFormat="false" ht="15" hidden="false" customHeight="false" outlineLevel="0" collapsed="false">
      <c r="A670" s="7" t="s">
        <v>1440</v>
      </c>
      <c r="B670" s="8" t="s">
        <v>1441</v>
      </c>
      <c r="C670" s="9" t="s">
        <v>171</v>
      </c>
      <c r="D670" s="8" t="s">
        <v>172</v>
      </c>
      <c r="E670" s="9" t="n">
        <v>0</v>
      </c>
      <c r="F670" s="9" t="n">
        <v>0</v>
      </c>
      <c r="G670" s="10"/>
    </row>
    <row r="671" customFormat="false" ht="15" hidden="false" customHeight="false" outlineLevel="0" collapsed="false">
      <c r="A671" s="7" t="s">
        <v>1442</v>
      </c>
      <c r="B671" s="8" t="s">
        <v>1443</v>
      </c>
      <c r="C671" s="9" t="s">
        <v>187</v>
      </c>
      <c r="D671" s="8" t="s">
        <v>188</v>
      </c>
      <c r="E671" s="9" t="n">
        <v>0</v>
      </c>
      <c r="F671" s="9" t="n">
        <v>0</v>
      </c>
      <c r="G671" s="10"/>
    </row>
    <row r="672" customFormat="false" ht="15" hidden="false" customHeight="false" outlineLevel="0" collapsed="false">
      <c r="A672" s="7" t="s">
        <v>1444</v>
      </c>
      <c r="B672" s="8" t="s">
        <v>1445</v>
      </c>
      <c r="C672" s="9" t="s">
        <v>187</v>
      </c>
      <c r="D672" s="8" t="s">
        <v>188</v>
      </c>
      <c r="E672" s="9" t="n">
        <v>0</v>
      </c>
      <c r="F672" s="9" t="n">
        <v>0</v>
      </c>
      <c r="G672" s="10"/>
    </row>
    <row r="673" customFormat="false" ht="15" hidden="false" customHeight="false" outlineLevel="0" collapsed="false">
      <c r="A673" s="7" t="s">
        <v>1446</v>
      </c>
      <c r="B673" s="8" t="s">
        <v>1447</v>
      </c>
      <c r="C673" s="9" t="s">
        <v>1448</v>
      </c>
      <c r="D673" s="8" t="s">
        <v>1449</v>
      </c>
      <c r="E673" s="9" t="n">
        <v>0</v>
      </c>
      <c r="F673" s="9" t="n">
        <v>0</v>
      </c>
      <c r="G673" s="10"/>
    </row>
    <row r="674" customFormat="false" ht="15" hidden="false" customHeight="false" outlineLevel="0" collapsed="false">
      <c r="A674" s="7" t="s">
        <v>1450</v>
      </c>
      <c r="B674" s="8" t="s">
        <v>1451</v>
      </c>
      <c r="C674" s="9" t="s">
        <v>199</v>
      </c>
      <c r="D674" s="8" t="s">
        <v>200</v>
      </c>
      <c r="E674" s="9" t="n">
        <v>0</v>
      </c>
      <c r="F674" s="9" t="n">
        <v>0</v>
      </c>
      <c r="G674" s="10"/>
    </row>
    <row r="675" customFormat="false" ht="15" hidden="false" customHeight="false" outlineLevel="0" collapsed="false">
      <c r="A675" s="7" t="s">
        <v>1452</v>
      </c>
      <c r="B675" s="8" t="s">
        <v>1453</v>
      </c>
      <c r="C675" s="9" t="s">
        <v>19</v>
      </c>
      <c r="D675" s="8" t="s">
        <v>20</v>
      </c>
      <c r="E675" s="9" t="n">
        <v>0</v>
      </c>
      <c r="F675" s="9" t="n">
        <v>0</v>
      </c>
      <c r="G675" s="10"/>
    </row>
    <row r="676" customFormat="false" ht="15" hidden="false" customHeight="false" outlineLevel="0" collapsed="false">
      <c r="A676" s="7" t="s">
        <v>1454</v>
      </c>
      <c r="B676" s="8" t="s">
        <v>1455</v>
      </c>
      <c r="C676" s="9" t="s">
        <v>1244</v>
      </c>
      <c r="D676" s="8" t="s">
        <v>1245</v>
      </c>
      <c r="E676" s="9" t="n">
        <v>0</v>
      </c>
      <c r="F676" s="9" t="n">
        <v>0</v>
      </c>
      <c r="G676" s="10"/>
    </row>
    <row r="677" customFormat="false" ht="15" hidden="false" customHeight="false" outlineLevel="0" collapsed="false">
      <c r="A677" s="7" t="s">
        <v>1456</v>
      </c>
      <c r="B677" s="8" t="s">
        <v>1457</v>
      </c>
      <c r="C677" s="9" t="s">
        <v>1244</v>
      </c>
      <c r="D677" s="8" t="s">
        <v>1245</v>
      </c>
      <c r="E677" s="9" t="n">
        <v>0</v>
      </c>
      <c r="F677" s="9" t="n">
        <v>0</v>
      </c>
      <c r="G677" s="10"/>
    </row>
    <row r="678" customFormat="false" ht="15" hidden="false" customHeight="false" outlineLevel="0" collapsed="false">
      <c r="A678" s="7" t="s">
        <v>1458</v>
      </c>
      <c r="B678" s="8" t="s">
        <v>1459</v>
      </c>
      <c r="C678" s="9" t="s">
        <v>1244</v>
      </c>
      <c r="D678" s="8" t="s">
        <v>1245</v>
      </c>
      <c r="E678" s="9" t="n">
        <v>0</v>
      </c>
      <c r="F678" s="9" t="n">
        <v>0</v>
      </c>
      <c r="G678" s="10"/>
    </row>
    <row r="679" customFormat="false" ht="15" hidden="false" customHeight="false" outlineLevel="0" collapsed="false">
      <c r="A679" s="7" t="s">
        <v>1460</v>
      </c>
      <c r="B679" s="8" t="s">
        <v>1461</v>
      </c>
      <c r="C679" s="9" t="s">
        <v>1244</v>
      </c>
      <c r="D679" s="8" t="s">
        <v>1245</v>
      </c>
      <c r="E679" s="9" t="n">
        <v>0</v>
      </c>
      <c r="F679" s="9" t="n">
        <v>0</v>
      </c>
      <c r="G679" s="10"/>
    </row>
    <row r="680" customFormat="false" ht="15" hidden="false" customHeight="false" outlineLevel="0" collapsed="false">
      <c r="A680" s="7" t="s">
        <v>1462</v>
      </c>
      <c r="B680" s="8" t="s">
        <v>1463</v>
      </c>
      <c r="C680" s="9" t="s">
        <v>1244</v>
      </c>
      <c r="D680" s="8" t="s">
        <v>1245</v>
      </c>
      <c r="E680" s="9" t="n">
        <v>0</v>
      </c>
      <c r="F680" s="9" t="n">
        <v>0</v>
      </c>
      <c r="G680" s="10"/>
    </row>
    <row r="681" customFormat="false" ht="15" hidden="false" customHeight="false" outlineLevel="0" collapsed="false">
      <c r="A681" s="7" t="s">
        <v>1464</v>
      </c>
      <c r="B681" s="8" t="s">
        <v>1465</v>
      </c>
      <c r="C681" s="9" t="s">
        <v>1244</v>
      </c>
      <c r="D681" s="8" t="s">
        <v>1245</v>
      </c>
      <c r="E681" s="9" t="n">
        <v>0</v>
      </c>
      <c r="F681" s="9" t="n">
        <v>0</v>
      </c>
      <c r="G681" s="10"/>
    </row>
    <row r="682" customFormat="false" ht="15" hidden="false" customHeight="false" outlineLevel="0" collapsed="false">
      <c r="A682" s="7" t="s">
        <v>1466</v>
      </c>
      <c r="B682" s="8" t="s">
        <v>1467</v>
      </c>
      <c r="C682" s="9" t="s">
        <v>1244</v>
      </c>
      <c r="D682" s="8" t="s">
        <v>1245</v>
      </c>
      <c r="E682" s="9" t="n">
        <v>0</v>
      </c>
      <c r="F682" s="9" t="n">
        <v>0</v>
      </c>
      <c r="G682" s="10"/>
    </row>
    <row r="683" customFormat="false" ht="15" hidden="false" customHeight="false" outlineLevel="0" collapsed="false">
      <c r="A683" s="7" t="s">
        <v>1468</v>
      </c>
      <c r="B683" s="8" t="s">
        <v>1469</v>
      </c>
      <c r="C683" s="9" t="s">
        <v>19</v>
      </c>
      <c r="D683" s="8" t="s">
        <v>20</v>
      </c>
      <c r="E683" s="9" t="n">
        <v>0</v>
      </c>
      <c r="F683" s="9" t="n">
        <v>0</v>
      </c>
      <c r="G683" s="10"/>
    </row>
    <row r="684" customFormat="false" ht="15" hidden="false" customHeight="false" outlineLevel="0" collapsed="false">
      <c r="A684" s="7" t="s">
        <v>1470</v>
      </c>
      <c r="B684" s="8" t="s">
        <v>1471</v>
      </c>
      <c r="C684" s="9" t="s">
        <v>19</v>
      </c>
      <c r="D684" s="8" t="s">
        <v>20</v>
      </c>
      <c r="E684" s="9" t="n">
        <v>0</v>
      </c>
      <c r="F684" s="9" t="n">
        <v>0</v>
      </c>
      <c r="G684" s="10"/>
    </row>
    <row r="685" customFormat="false" ht="15" hidden="false" customHeight="false" outlineLevel="0" collapsed="false">
      <c r="A685" s="7" t="s">
        <v>1472</v>
      </c>
      <c r="B685" s="8" t="s">
        <v>1473</v>
      </c>
      <c r="C685" s="9" t="s">
        <v>1474</v>
      </c>
      <c r="D685" s="8" t="s">
        <v>1475</v>
      </c>
      <c r="E685" s="9" t="n">
        <v>0</v>
      </c>
      <c r="F685" s="9" t="n">
        <v>0</v>
      </c>
      <c r="G685" s="10"/>
    </row>
    <row r="686" customFormat="false" ht="15" hidden="false" customHeight="false" outlineLevel="0" collapsed="false">
      <c r="A686" s="7" t="s">
        <v>1476</v>
      </c>
      <c r="B686" s="8" t="s">
        <v>1477</v>
      </c>
      <c r="C686" s="9" t="s">
        <v>69</v>
      </c>
      <c r="D686" s="8" t="s">
        <v>70</v>
      </c>
      <c r="E686" s="9" t="n">
        <v>0</v>
      </c>
      <c r="F686" s="9" t="n">
        <v>0</v>
      </c>
      <c r="G686" s="10"/>
    </row>
    <row r="687" customFormat="false" ht="15" hidden="false" customHeight="false" outlineLevel="0" collapsed="false">
      <c r="A687" s="7" t="s">
        <v>1478</v>
      </c>
      <c r="B687" s="8" t="s">
        <v>1479</v>
      </c>
      <c r="C687" s="9" t="s">
        <v>1244</v>
      </c>
      <c r="D687" s="8" t="s">
        <v>1245</v>
      </c>
      <c r="E687" s="9" t="n">
        <v>0</v>
      </c>
      <c r="F687" s="9" t="n">
        <v>0</v>
      </c>
      <c r="G687" s="10"/>
    </row>
    <row r="688" customFormat="false" ht="15" hidden="false" customHeight="false" outlineLevel="0" collapsed="false">
      <c r="A688" s="7" t="s">
        <v>1480</v>
      </c>
      <c r="B688" s="8" t="s">
        <v>1481</v>
      </c>
      <c r="C688" s="9" t="s">
        <v>1244</v>
      </c>
      <c r="D688" s="8" t="s">
        <v>1245</v>
      </c>
      <c r="E688" s="9" t="n">
        <v>0</v>
      </c>
      <c r="F688" s="9" t="n">
        <v>0</v>
      </c>
      <c r="G688" s="10"/>
    </row>
    <row r="689" customFormat="false" ht="15" hidden="false" customHeight="false" outlineLevel="0" collapsed="false">
      <c r="A689" s="7" t="s">
        <v>1482</v>
      </c>
      <c r="B689" s="8" t="s">
        <v>1483</v>
      </c>
      <c r="C689" s="9" t="s">
        <v>171</v>
      </c>
      <c r="D689" s="8" t="s">
        <v>172</v>
      </c>
      <c r="E689" s="9" t="n">
        <v>0</v>
      </c>
      <c r="F689" s="9" t="n">
        <v>0</v>
      </c>
      <c r="G689" s="10"/>
    </row>
    <row r="690" customFormat="false" ht="15" hidden="false" customHeight="false" outlineLevel="0" collapsed="false">
      <c r="A690" s="7" t="s">
        <v>1484</v>
      </c>
      <c r="B690" s="8" t="s">
        <v>1485</v>
      </c>
      <c r="C690" s="9" t="s">
        <v>171</v>
      </c>
      <c r="D690" s="8" t="s">
        <v>172</v>
      </c>
      <c r="E690" s="9" t="n">
        <v>0</v>
      </c>
      <c r="F690" s="9" t="n">
        <v>0</v>
      </c>
      <c r="G690" s="10"/>
    </row>
    <row r="691" customFormat="false" ht="15" hidden="false" customHeight="false" outlineLevel="0" collapsed="false">
      <c r="A691" s="7" t="s">
        <v>1486</v>
      </c>
      <c r="B691" s="8" t="s">
        <v>1487</v>
      </c>
      <c r="C691" s="9" t="s">
        <v>171</v>
      </c>
      <c r="D691" s="8" t="s">
        <v>172</v>
      </c>
      <c r="E691" s="9" t="n">
        <v>0</v>
      </c>
      <c r="F691" s="9" t="n">
        <v>0</v>
      </c>
      <c r="G691" s="10"/>
    </row>
    <row r="692" customFormat="false" ht="15" hidden="false" customHeight="false" outlineLevel="0" collapsed="false">
      <c r="A692" s="7" t="s">
        <v>1488</v>
      </c>
      <c r="B692" s="8" t="s">
        <v>1489</v>
      </c>
      <c r="C692" s="9" t="s">
        <v>1244</v>
      </c>
      <c r="D692" s="8" t="s">
        <v>1245</v>
      </c>
      <c r="E692" s="9" t="n">
        <v>0</v>
      </c>
      <c r="F692" s="9" t="n">
        <v>0</v>
      </c>
      <c r="G692" s="10"/>
    </row>
    <row r="693" customFormat="false" ht="15" hidden="false" customHeight="false" outlineLevel="0" collapsed="false">
      <c r="A693" s="7" t="s">
        <v>1490</v>
      </c>
      <c r="B693" s="8" t="s">
        <v>1491</v>
      </c>
      <c r="C693" s="9" t="s">
        <v>1244</v>
      </c>
      <c r="D693" s="8" t="s">
        <v>1245</v>
      </c>
      <c r="E693" s="9" t="n">
        <v>0</v>
      </c>
      <c r="F693" s="9" t="n">
        <v>0</v>
      </c>
      <c r="G693" s="10"/>
    </row>
    <row r="694" customFormat="false" ht="15" hidden="false" customHeight="false" outlineLevel="0" collapsed="false">
      <c r="A694" s="7" t="s">
        <v>1492</v>
      </c>
      <c r="B694" s="8" t="s">
        <v>1493</v>
      </c>
      <c r="C694" s="9" t="s">
        <v>1244</v>
      </c>
      <c r="D694" s="8" t="s">
        <v>1245</v>
      </c>
      <c r="E694" s="9" t="n">
        <v>0</v>
      </c>
      <c r="F694" s="9" t="n">
        <v>0</v>
      </c>
      <c r="G694" s="10"/>
    </row>
    <row r="695" customFormat="false" ht="15" hidden="false" customHeight="false" outlineLevel="0" collapsed="false">
      <c r="A695" s="7" t="s">
        <v>1494</v>
      </c>
      <c r="B695" s="8" t="s">
        <v>1495</v>
      </c>
      <c r="C695" s="9" t="s">
        <v>1244</v>
      </c>
      <c r="D695" s="8" t="s">
        <v>1245</v>
      </c>
      <c r="E695" s="9" t="n">
        <v>0</v>
      </c>
      <c r="F695" s="9" t="n">
        <v>0</v>
      </c>
      <c r="G695" s="10"/>
    </row>
    <row r="696" customFormat="false" ht="15" hidden="false" customHeight="false" outlineLevel="0" collapsed="false">
      <c r="A696" s="7" t="s">
        <v>1496</v>
      </c>
      <c r="B696" s="8" t="s">
        <v>1497</v>
      </c>
      <c r="C696" s="9" t="s">
        <v>799</v>
      </c>
      <c r="D696" s="8" t="s">
        <v>800</v>
      </c>
      <c r="E696" s="9" t="n">
        <v>0</v>
      </c>
      <c r="F696" s="9" t="n">
        <v>0</v>
      </c>
      <c r="G696" s="10"/>
    </row>
    <row r="697" customFormat="false" ht="15" hidden="false" customHeight="false" outlineLevel="0" collapsed="false">
      <c r="A697" s="7" t="s">
        <v>1498</v>
      </c>
      <c r="B697" s="8" t="s">
        <v>1499</v>
      </c>
      <c r="C697" s="9" t="s">
        <v>171</v>
      </c>
      <c r="D697" s="8" t="s">
        <v>172</v>
      </c>
      <c r="E697" s="9" t="n">
        <v>0</v>
      </c>
      <c r="F697" s="9" t="n">
        <v>0</v>
      </c>
      <c r="G697" s="10"/>
    </row>
    <row r="698" customFormat="false" ht="15" hidden="false" customHeight="false" outlineLevel="0" collapsed="false">
      <c r="A698" s="7" t="s">
        <v>1500</v>
      </c>
      <c r="B698" s="8" t="s">
        <v>1501</v>
      </c>
      <c r="C698" s="9" t="s">
        <v>1474</v>
      </c>
      <c r="D698" s="8" t="s">
        <v>1475</v>
      </c>
      <c r="E698" s="9" t="n">
        <v>0</v>
      </c>
      <c r="F698" s="9" t="n">
        <v>0</v>
      </c>
      <c r="G698" s="10"/>
    </row>
    <row r="699" customFormat="false" ht="15" hidden="false" customHeight="false" outlineLevel="0" collapsed="false">
      <c r="A699" s="7" t="s">
        <v>1502</v>
      </c>
      <c r="B699" s="8" t="s">
        <v>1503</v>
      </c>
      <c r="C699" s="9" t="s">
        <v>405</v>
      </c>
      <c r="D699" s="8" t="s">
        <v>406</v>
      </c>
      <c r="E699" s="9" t="n">
        <v>0</v>
      </c>
      <c r="F699" s="9" t="n">
        <v>0</v>
      </c>
      <c r="G699" s="10"/>
    </row>
    <row r="700" customFormat="false" ht="15" hidden="false" customHeight="false" outlineLevel="0" collapsed="false">
      <c r="A700" s="7" t="s">
        <v>1504</v>
      </c>
      <c r="B700" s="8" t="s">
        <v>1505</v>
      </c>
      <c r="C700" s="9" t="s">
        <v>405</v>
      </c>
      <c r="D700" s="8" t="s">
        <v>406</v>
      </c>
      <c r="E700" s="9" t="n">
        <v>0</v>
      </c>
      <c r="F700" s="9" t="n">
        <v>0</v>
      </c>
      <c r="G700" s="10"/>
    </row>
    <row r="701" customFormat="false" ht="15" hidden="false" customHeight="false" outlineLevel="0" collapsed="false">
      <c r="A701" s="7" t="s">
        <v>1506</v>
      </c>
      <c r="B701" s="8" t="s">
        <v>1507</v>
      </c>
      <c r="C701" s="9" t="s">
        <v>1244</v>
      </c>
      <c r="D701" s="8" t="s">
        <v>1245</v>
      </c>
      <c r="E701" s="9" t="n">
        <v>0</v>
      </c>
      <c r="F701" s="9" t="n">
        <v>0</v>
      </c>
      <c r="G701" s="10"/>
    </row>
    <row r="702" customFormat="false" ht="15" hidden="false" customHeight="false" outlineLevel="0" collapsed="false">
      <c r="A702" s="7" t="s">
        <v>1508</v>
      </c>
      <c r="B702" s="8" t="s">
        <v>1509</v>
      </c>
      <c r="C702" s="9" t="s">
        <v>33</v>
      </c>
      <c r="D702" s="8" t="s">
        <v>34</v>
      </c>
      <c r="E702" s="9" t="n">
        <v>0</v>
      </c>
      <c r="F702" s="9" t="n">
        <v>0</v>
      </c>
      <c r="G702" s="10"/>
    </row>
    <row r="703" customFormat="false" ht="15" hidden="false" customHeight="false" outlineLevel="0" collapsed="false">
      <c r="A703" s="7" t="s">
        <v>1510</v>
      </c>
      <c r="B703" s="8" t="s">
        <v>1511</v>
      </c>
      <c r="C703" s="9" t="s">
        <v>1206</v>
      </c>
      <c r="D703" s="8" t="s">
        <v>1207</v>
      </c>
      <c r="E703" s="9" t="n">
        <v>0</v>
      </c>
      <c r="F703" s="9" t="n">
        <v>0</v>
      </c>
      <c r="G703" s="10"/>
    </row>
    <row r="704" customFormat="false" ht="15" hidden="false" customHeight="false" outlineLevel="0" collapsed="false">
      <c r="A704" s="7" t="s">
        <v>1512</v>
      </c>
      <c r="B704" s="8" t="s">
        <v>1513</v>
      </c>
      <c r="C704" s="9" t="s">
        <v>1023</v>
      </c>
      <c r="D704" s="8" t="s">
        <v>1024</v>
      </c>
      <c r="E704" s="9" t="n">
        <v>0</v>
      </c>
      <c r="F704" s="9" t="n">
        <v>0</v>
      </c>
      <c r="G704" s="10"/>
    </row>
    <row r="705" customFormat="false" ht="15" hidden="false" customHeight="false" outlineLevel="0" collapsed="false">
      <c r="A705" s="7" t="s">
        <v>1514</v>
      </c>
      <c r="B705" s="8" t="s">
        <v>1515</v>
      </c>
      <c r="C705" s="9" t="s">
        <v>395</v>
      </c>
      <c r="D705" s="8" t="s">
        <v>396</v>
      </c>
      <c r="E705" s="9" t="n">
        <v>0</v>
      </c>
      <c r="F705" s="9" t="n">
        <v>0</v>
      </c>
      <c r="G705" s="10"/>
    </row>
    <row r="706" customFormat="false" ht="15" hidden="false" customHeight="false" outlineLevel="0" collapsed="false">
      <c r="A706" s="7" t="s">
        <v>1516</v>
      </c>
      <c r="B706" s="8" t="s">
        <v>1517</v>
      </c>
      <c r="C706" s="9" t="s">
        <v>463</v>
      </c>
      <c r="D706" s="8" t="s">
        <v>464</v>
      </c>
      <c r="E706" s="9" t="n">
        <v>0</v>
      </c>
      <c r="F706" s="9" t="n">
        <v>0</v>
      </c>
      <c r="G706" s="10"/>
    </row>
    <row r="707" customFormat="false" ht="15" hidden="false" customHeight="false" outlineLevel="0" collapsed="false">
      <c r="A707" s="7" t="s">
        <v>1518</v>
      </c>
      <c r="B707" s="8" t="s">
        <v>1519</v>
      </c>
      <c r="C707" s="9" t="s">
        <v>211</v>
      </c>
      <c r="D707" s="8" t="s">
        <v>212</v>
      </c>
      <c r="E707" s="9" t="n">
        <v>0</v>
      </c>
      <c r="F707" s="9" t="n">
        <v>0</v>
      </c>
      <c r="G707" s="10"/>
    </row>
    <row r="708" customFormat="false" ht="15" hidden="false" customHeight="false" outlineLevel="0" collapsed="false">
      <c r="A708" s="7" t="s">
        <v>1520</v>
      </c>
      <c r="B708" s="8" t="s">
        <v>1521</v>
      </c>
      <c r="C708" s="9" t="s">
        <v>211</v>
      </c>
      <c r="D708" s="8" t="s">
        <v>212</v>
      </c>
      <c r="E708" s="9" t="n">
        <v>0</v>
      </c>
      <c r="F708" s="9" t="n">
        <v>0</v>
      </c>
      <c r="G708" s="10"/>
    </row>
    <row r="709" customFormat="false" ht="15" hidden="false" customHeight="false" outlineLevel="0" collapsed="false">
      <c r="A709" s="7" t="s">
        <v>1522</v>
      </c>
      <c r="B709" s="8" t="s">
        <v>1523</v>
      </c>
      <c r="C709" s="9" t="s">
        <v>879</v>
      </c>
      <c r="D709" s="8" t="s">
        <v>880</v>
      </c>
      <c r="E709" s="9" t="n">
        <v>0</v>
      </c>
      <c r="F709" s="9" t="n">
        <v>0</v>
      </c>
      <c r="G709" s="10"/>
    </row>
    <row r="710" customFormat="false" ht="15" hidden="false" customHeight="false" outlineLevel="0" collapsed="false">
      <c r="A710" s="7" t="s">
        <v>1524</v>
      </c>
      <c r="B710" s="8" t="s">
        <v>1525</v>
      </c>
      <c r="C710" s="9" t="s">
        <v>879</v>
      </c>
      <c r="D710" s="8" t="s">
        <v>880</v>
      </c>
      <c r="E710" s="9" t="n">
        <v>0</v>
      </c>
      <c r="F710" s="9" t="n">
        <v>0</v>
      </c>
      <c r="G710" s="10"/>
    </row>
    <row r="711" customFormat="false" ht="15" hidden="false" customHeight="false" outlineLevel="0" collapsed="false">
      <c r="A711" s="7" t="s">
        <v>1526</v>
      </c>
      <c r="B711" s="8" t="s">
        <v>1527</v>
      </c>
      <c r="C711" s="9" t="s">
        <v>879</v>
      </c>
      <c r="D711" s="8" t="s">
        <v>880</v>
      </c>
      <c r="E711" s="9" t="n">
        <v>0</v>
      </c>
      <c r="F711" s="9" t="n">
        <v>0</v>
      </c>
      <c r="G711" s="10"/>
    </row>
    <row r="712" customFormat="false" ht="15" hidden="false" customHeight="false" outlineLevel="0" collapsed="false">
      <c r="A712" s="7" t="s">
        <v>1528</v>
      </c>
      <c r="B712" s="8" t="s">
        <v>1529</v>
      </c>
      <c r="C712" s="9" t="s">
        <v>879</v>
      </c>
      <c r="D712" s="8" t="s">
        <v>880</v>
      </c>
      <c r="E712" s="9" t="n">
        <v>0</v>
      </c>
      <c r="F712" s="9" t="n">
        <v>0</v>
      </c>
      <c r="G712" s="10"/>
    </row>
    <row r="713" customFormat="false" ht="15" hidden="false" customHeight="false" outlineLevel="0" collapsed="false">
      <c r="A713" s="7" t="s">
        <v>1530</v>
      </c>
      <c r="B713" s="8" t="s">
        <v>1531</v>
      </c>
      <c r="C713" s="9" t="s">
        <v>879</v>
      </c>
      <c r="D713" s="8" t="s">
        <v>880</v>
      </c>
      <c r="E713" s="9" t="n">
        <v>0</v>
      </c>
      <c r="F713" s="9" t="n">
        <v>0</v>
      </c>
      <c r="G713" s="10"/>
    </row>
    <row r="714" customFormat="false" ht="15" hidden="false" customHeight="false" outlineLevel="0" collapsed="false">
      <c r="A714" s="7" t="s">
        <v>1532</v>
      </c>
      <c r="B714" s="8" t="s">
        <v>1533</v>
      </c>
      <c r="C714" s="9" t="s">
        <v>879</v>
      </c>
      <c r="D714" s="8" t="s">
        <v>880</v>
      </c>
      <c r="E714" s="9" t="n">
        <v>0</v>
      </c>
      <c r="F714" s="9" t="n">
        <v>0</v>
      </c>
      <c r="G714" s="10"/>
    </row>
    <row r="715" customFormat="false" ht="15" hidden="false" customHeight="false" outlineLevel="0" collapsed="false">
      <c r="A715" s="7" t="s">
        <v>1534</v>
      </c>
      <c r="B715" s="8" t="s">
        <v>1535</v>
      </c>
      <c r="C715" s="9" t="s">
        <v>879</v>
      </c>
      <c r="D715" s="8" t="s">
        <v>880</v>
      </c>
      <c r="E715" s="9" t="n">
        <v>0</v>
      </c>
      <c r="F715" s="9" t="n">
        <v>0</v>
      </c>
      <c r="G715" s="10"/>
    </row>
    <row r="716" customFormat="false" ht="15" hidden="false" customHeight="false" outlineLevel="0" collapsed="false">
      <c r="A716" s="7" t="s">
        <v>1536</v>
      </c>
      <c r="B716" s="8" t="s">
        <v>1537</v>
      </c>
      <c r="C716" s="9" t="s">
        <v>879</v>
      </c>
      <c r="D716" s="8" t="s">
        <v>880</v>
      </c>
      <c r="E716" s="9" t="n">
        <v>0</v>
      </c>
      <c r="F716" s="9" t="n">
        <v>0</v>
      </c>
      <c r="G716" s="10"/>
    </row>
    <row r="717" customFormat="false" ht="15" hidden="false" customHeight="false" outlineLevel="0" collapsed="false">
      <c r="A717" s="7" t="s">
        <v>1538</v>
      </c>
      <c r="B717" s="8" t="s">
        <v>1539</v>
      </c>
      <c r="C717" s="9" t="s">
        <v>879</v>
      </c>
      <c r="D717" s="8" t="s">
        <v>880</v>
      </c>
      <c r="E717" s="9" t="n">
        <v>0</v>
      </c>
      <c r="F717" s="9" t="n">
        <v>0</v>
      </c>
      <c r="G717" s="10"/>
    </row>
    <row r="718" customFormat="false" ht="15" hidden="false" customHeight="false" outlineLevel="0" collapsed="false">
      <c r="A718" s="7" t="s">
        <v>1540</v>
      </c>
      <c r="B718" s="8" t="s">
        <v>1541</v>
      </c>
      <c r="C718" s="9" t="s">
        <v>879</v>
      </c>
      <c r="D718" s="8" t="s">
        <v>880</v>
      </c>
      <c r="E718" s="9" t="n">
        <v>0</v>
      </c>
      <c r="F718" s="9" t="n">
        <v>0</v>
      </c>
      <c r="G718" s="10"/>
    </row>
    <row r="719" customFormat="false" ht="15" hidden="false" customHeight="false" outlineLevel="0" collapsed="false">
      <c r="A719" s="7" t="s">
        <v>1542</v>
      </c>
      <c r="B719" s="8" t="s">
        <v>1543</v>
      </c>
      <c r="C719" s="9" t="s">
        <v>879</v>
      </c>
      <c r="D719" s="8" t="s">
        <v>880</v>
      </c>
      <c r="E719" s="9"/>
      <c r="F719" s="9" t="n">
        <v>0</v>
      </c>
      <c r="G719" s="10"/>
    </row>
    <row r="720" customFormat="false" ht="15" hidden="false" customHeight="false" outlineLevel="0" collapsed="false">
      <c r="A720" s="7" t="s">
        <v>1544</v>
      </c>
      <c r="B720" s="8" t="s">
        <v>1545</v>
      </c>
      <c r="C720" s="9" t="s">
        <v>879</v>
      </c>
      <c r="D720" s="8" t="s">
        <v>880</v>
      </c>
      <c r="E720" s="9" t="n">
        <v>0</v>
      </c>
      <c r="F720" s="9" t="n">
        <v>0</v>
      </c>
      <c r="G720" s="10"/>
    </row>
    <row r="721" customFormat="false" ht="15" hidden="false" customHeight="false" outlineLevel="0" collapsed="false">
      <c r="A721" s="7" t="s">
        <v>1546</v>
      </c>
      <c r="B721" s="8" t="s">
        <v>1547</v>
      </c>
      <c r="C721" s="9" t="s">
        <v>879</v>
      </c>
      <c r="D721" s="8" t="s">
        <v>880</v>
      </c>
      <c r="E721" s="9" t="n">
        <v>0</v>
      </c>
      <c r="F721" s="9" t="n">
        <v>0</v>
      </c>
      <c r="G721" s="10"/>
    </row>
    <row r="722" customFormat="false" ht="15" hidden="false" customHeight="false" outlineLevel="0" collapsed="false">
      <c r="A722" s="7" t="s">
        <v>1548</v>
      </c>
      <c r="B722" s="8" t="s">
        <v>1549</v>
      </c>
      <c r="C722" s="9" t="s">
        <v>879</v>
      </c>
      <c r="D722" s="8" t="s">
        <v>880</v>
      </c>
      <c r="E722" s="9" t="n">
        <v>0</v>
      </c>
      <c r="F722" s="9" t="n">
        <v>0</v>
      </c>
      <c r="G722" s="10"/>
    </row>
    <row r="723" customFormat="false" ht="15" hidden="false" customHeight="false" outlineLevel="0" collapsed="false">
      <c r="A723" s="7" t="s">
        <v>1550</v>
      </c>
      <c r="B723" s="8" t="s">
        <v>1551</v>
      </c>
      <c r="C723" s="9" t="s">
        <v>879</v>
      </c>
      <c r="D723" s="8" t="s">
        <v>880</v>
      </c>
      <c r="E723" s="9" t="n">
        <v>0</v>
      </c>
      <c r="F723" s="9" t="n">
        <v>0</v>
      </c>
      <c r="G723" s="10"/>
    </row>
    <row r="724" customFormat="false" ht="15" hidden="false" customHeight="false" outlineLevel="0" collapsed="false">
      <c r="A724" s="7" t="s">
        <v>1552</v>
      </c>
      <c r="B724" s="8" t="s">
        <v>1553</v>
      </c>
      <c r="C724" s="9" t="s">
        <v>879</v>
      </c>
      <c r="D724" s="8" t="s">
        <v>880</v>
      </c>
      <c r="E724" s="9" t="n">
        <v>0</v>
      </c>
      <c r="F724" s="9" t="n">
        <v>0</v>
      </c>
      <c r="G724" s="10"/>
    </row>
    <row r="725" customFormat="false" ht="15" hidden="false" customHeight="false" outlineLevel="0" collapsed="false">
      <c r="A725" s="7" t="s">
        <v>1554</v>
      </c>
      <c r="B725" s="8" t="s">
        <v>1555</v>
      </c>
      <c r="C725" s="9" t="s">
        <v>879</v>
      </c>
      <c r="D725" s="8" t="s">
        <v>880</v>
      </c>
      <c r="E725" s="9" t="n">
        <v>0</v>
      </c>
      <c r="F725" s="9" t="n">
        <v>0</v>
      </c>
      <c r="G725" s="10"/>
    </row>
    <row r="726" customFormat="false" ht="15" hidden="false" customHeight="false" outlineLevel="0" collapsed="false">
      <c r="A726" s="7" t="s">
        <v>1556</v>
      </c>
      <c r="B726" s="8" t="s">
        <v>1557</v>
      </c>
      <c r="C726" s="9" t="s">
        <v>405</v>
      </c>
      <c r="D726" s="8" t="s">
        <v>406</v>
      </c>
      <c r="E726" s="9" t="n">
        <v>3</v>
      </c>
      <c r="F726" s="9" t="n">
        <v>0</v>
      </c>
      <c r="G726" s="10"/>
    </row>
    <row r="727" customFormat="false" ht="15" hidden="false" customHeight="false" outlineLevel="0" collapsed="false">
      <c r="A727" s="7" t="s">
        <v>1558</v>
      </c>
      <c r="B727" s="8" t="s">
        <v>1559</v>
      </c>
      <c r="C727" s="9" t="s">
        <v>879</v>
      </c>
      <c r="D727" s="8" t="s">
        <v>880</v>
      </c>
      <c r="E727" s="9" t="n">
        <v>0</v>
      </c>
      <c r="F727" s="9" t="n">
        <v>0</v>
      </c>
      <c r="G727" s="10"/>
    </row>
    <row r="728" customFormat="false" ht="15" hidden="false" customHeight="false" outlineLevel="0" collapsed="false">
      <c r="A728" s="7" t="s">
        <v>1560</v>
      </c>
      <c r="B728" s="8" t="s">
        <v>1225</v>
      </c>
      <c r="C728" s="9" t="s">
        <v>879</v>
      </c>
      <c r="D728" s="8" t="s">
        <v>880</v>
      </c>
      <c r="E728" s="9" t="n">
        <v>0</v>
      </c>
      <c r="F728" s="9" t="n">
        <v>0</v>
      </c>
      <c r="G728" s="10"/>
    </row>
    <row r="729" customFormat="false" ht="15" hidden="false" customHeight="false" outlineLevel="0" collapsed="false">
      <c r="A729" s="7" t="s">
        <v>1561</v>
      </c>
      <c r="B729" s="8" t="s">
        <v>1562</v>
      </c>
      <c r="C729" s="9" t="s">
        <v>879</v>
      </c>
      <c r="D729" s="8" t="s">
        <v>880</v>
      </c>
      <c r="E729" s="9" t="n">
        <v>0</v>
      </c>
      <c r="F729" s="9" t="n">
        <v>0</v>
      </c>
      <c r="G729" s="10"/>
    </row>
    <row r="730" customFormat="false" ht="15" hidden="false" customHeight="false" outlineLevel="0" collapsed="false">
      <c r="A730" s="7" t="s">
        <v>1563</v>
      </c>
      <c r="B730" s="8" t="s">
        <v>1564</v>
      </c>
      <c r="C730" s="9" t="s">
        <v>879</v>
      </c>
      <c r="D730" s="8" t="s">
        <v>880</v>
      </c>
      <c r="E730" s="9" t="n">
        <v>0</v>
      </c>
      <c r="F730" s="9" t="n">
        <v>0</v>
      </c>
      <c r="G730" s="10"/>
    </row>
    <row r="731" customFormat="false" ht="15" hidden="false" customHeight="false" outlineLevel="0" collapsed="false">
      <c r="A731" s="7" t="s">
        <v>1565</v>
      </c>
      <c r="B731" s="8" t="s">
        <v>1566</v>
      </c>
      <c r="C731" s="9" t="s">
        <v>879</v>
      </c>
      <c r="D731" s="8" t="s">
        <v>880</v>
      </c>
      <c r="E731" s="9" t="n">
        <v>0</v>
      </c>
      <c r="F731" s="9" t="n">
        <v>0</v>
      </c>
      <c r="G731" s="10"/>
    </row>
    <row r="732" customFormat="false" ht="15" hidden="false" customHeight="false" outlineLevel="0" collapsed="false">
      <c r="A732" s="7" t="s">
        <v>1567</v>
      </c>
      <c r="B732" s="8" t="s">
        <v>1568</v>
      </c>
      <c r="C732" s="9" t="s">
        <v>879</v>
      </c>
      <c r="D732" s="8" t="s">
        <v>880</v>
      </c>
      <c r="E732" s="9" t="n">
        <v>0</v>
      </c>
      <c r="F732" s="9" t="n">
        <v>0</v>
      </c>
      <c r="G732" s="10"/>
    </row>
    <row r="733" customFormat="false" ht="15" hidden="false" customHeight="false" outlineLevel="0" collapsed="false">
      <c r="A733" s="7" t="s">
        <v>1569</v>
      </c>
      <c r="B733" s="8" t="s">
        <v>900</v>
      </c>
      <c r="C733" s="9" t="s">
        <v>879</v>
      </c>
      <c r="D733" s="8" t="s">
        <v>880</v>
      </c>
      <c r="E733" s="9" t="n">
        <v>0</v>
      </c>
      <c r="F733" s="9" t="n">
        <v>0</v>
      </c>
      <c r="G733" s="10"/>
    </row>
    <row r="734" customFormat="false" ht="15" hidden="false" customHeight="false" outlineLevel="0" collapsed="false">
      <c r="A734" s="7" t="s">
        <v>1570</v>
      </c>
      <c r="B734" s="8" t="s">
        <v>1571</v>
      </c>
      <c r="C734" s="9" t="s">
        <v>879</v>
      </c>
      <c r="D734" s="8" t="s">
        <v>880</v>
      </c>
      <c r="E734" s="9" t="n">
        <v>0</v>
      </c>
      <c r="F734" s="9" t="n">
        <v>0</v>
      </c>
      <c r="G734" s="10"/>
    </row>
    <row r="735" customFormat="false" ht="15" hidden="false" customHeight="false" outlineLevel="0" collapsed="false">
      <c r="A735" s="7" t="s">
        <v>1572</v>
      </c>
      <c r="B735" s="8" t="s">
        <v>1227</v>
      </c>
      <c r="C735" s="9" t="s">
        <v>879</v>
      </c>
      <c r="D735" s="8" t="s">
        <v>880</v>
      </c>
      <c r="E735" s="9" t="n">
        <v>0</v>
      </c>
      <c r="F735" s="9" t="n">
        <v>0</v>
      </c>
      <c r="G735" s="10"/>
    </row>
    <row r="736" customFormat="false" ht="15" hidden="false" customHeight="false" outlineLevel="0" collapsed="false">
      <c r="A736" s="7" t="s">
        <v>1573</v>
      </c>
      <c r="B736" s="8" t="s">
        <v>1574</v>
      </c>
      <c r="C736" s="9" t="s">
        <v>879</v>
      </c>
      <c r="D736" s="8" t="s">
        <v>880</v>
      </c>
      <c r="E736" s="9" t="n">
        <v>0</v>
      </c>
      <c r="F736" s="9" t="n">
        <v>0</v>
      </c>
      <c r="G736" s="10"/>
    </row>
    <row r="737" customFormat="false" ht="15" hidden="false" customHeight="false" outlineLevel="0" collapsed="false">
      <c r="A737" s="7" t="s">
        <v>1575</v>
      </c>
      <c r="B737" s="8" t="s">
        <v>1576</v>
      </c>
      <c r="C737" s="9" t="s">
        <v>879</v>
      </c>
      <c r="D737" s="8" t="s">
        <v>880</v>
      </c>
      <c r="E737" s="9" t="n">
        <v>0</v>
      </c>
      <c r="F737" s="9" t="n">
        <v>0</v>
      </c>
      <c r="G737" s="10"/>
    </row>
    <row r="738" customFormat="false" ht="15" hidden="false" customHeight="false" outlineLevel="0" collapsed="false">
      <c r="A738" s="7" t="s">
        <v>1577</v>
      </c>
      <c r="B738" s="8" t="s">
        <v>1578</v>
      </c>
      <c r="C738" s="9" t="s">
        <v>879</v>
      </c>
      <c r="D738" s="8" t="s">
        <v>880</v>
      </c>
      <c r="E738" s="9" t="n">
        <v>0</v>
      </c>
      <c r="F738" s="9" t="n">
        <v>0</v>
      </c>
      <c r="G738" s="10"/>
    </row>
    <row r="739" customFormat="false" ht="15" hidden="false" customHeight="false" outlineLevel="0" collapsed="false">
      <c r="A739" s="7" t="s">
        <v>1579</v>
      </c>
      <c r="B739" s="8" t="s">
        <v>1580</v>
      </c>
      <c r="C739" s="9" t="s">
        <v>879</v>
      </c>
      <c r="D739" s="8" t="s">
        <v>880</v>
      </c>
      <c r="E739" s="9" t="n">
        <v>0</v>
      </c>
      <c r="F739" s="9" t="n">
        <v>0</v>
      </c>
      <c r="G739" s="10"/>
    </row>
    <row r="740" customFormat="false" ht="15" hidden="false" customHeight="false" outlineLevel="0" collapsed="false">
      <c r="A740" s="7" t="s">
        <v>1581</v>
      </c>
      <c r="B740" s="8" t="s">
        <v>1265</v>
      </c>
      <c r="C740" s="9" t="s">
        <v>879</v>
      </c>
      <c r="D740" s="8" t="s">
        <v>880</v>
      </c>
      <c r="E740" s="9" t="n">
        <v>0</v>
      </c>
      <c r="F740" s="9" t="n">
        <v>0</v>
      </c>
      <c r="G740" s="10"/>
    </row>
    <row r="741" customFormat="false" ht="15" hidden="false" customHeight="false" outlineLevel="0" collapsed="false">
      <c r="A741" s="7" t="s">
        <v>1582</v>
      </c>
      <c r="B741" s="8" t="s">
        <v>1583</v>
      </c>
      <c r="C741" s="9" t="s">
        <v>879</v>
      </c>
      <c r="D741" s="8" t="s">
        <v>880</v>
      </c>
      <c r="E741" s="9" t="n">
        <v>0</v>
      </c>
      <c r="F741" s="9" t="n">
        <v>0</v>
      </c>
      <c r="G741" s="10"/>
    </row>
    <row r="742" customFormat="false" ht="15" hidden="false" customHeight="false" outlineLevel="0" collapsed="false">
      <c r="A742" s="7" t="s">
        <v>1584</v>
      </c>
      <c r="B742" s="8" t="s">
        <v>1585</v>
      </c>
      <c r="C742" s="9" t="s">
        <v>879</v>
      </c>
      <c r="D742" s="8" t="s">
        <v>880</v>
      </c>
      <c r="E742" s="9" t="n">
        <v>0</v>
      </c>
      <c r="F742" s="9" t="n">
        <v>0</v>
      </c>
      <c r="G742" s="10"/>
    </row>
    <row r="743" customFormat="false" ht="15" hidden="false" customHeight="false" outlineLevel="0" collapsed="false">
      <c r="A743" s="7" t="s">
        <v>1586</v>
      </c>
      <c r="B743" s="8" t="s">
        <v>1587</v>
      </c>
      <c r="C743" s="9" t="s">
        <v>1274</v>
      </c>
      <c r="D743" s="8" t="s">
        <v>1275</v>
      </c>
      <c r="E743" s="9" t="n">
        <v>0</v>
      </c>
      <c r="F743" s="9" t="n">
        <v>0</v>
      </c>
      <c r="G743" s="10"/>
    </row>
    <row r="744" customFormat="false" ht="15" hidden="false" customHeight="false" outlineLevel="0" collapsed="false">
      <c r="A744" s="7" t="s">
        <v>1588</v>
      </c>
      <c r="B744" s="8" t="s">
        <v>1589</v>
      </c>
      <c r="C744" s="9" t="s">
        <v>1274</v>
      </c>
      <c r="D744" s="8" t="s">
        <v>1275</v>
      </c>
      <c r="E744" s="9" t="n">
        <v>0</v>
      </c>
      <c r="F744" s="9" t="n">
        <v>0</v>
      </c>
      <c r="G744" s="10"/>
    </row>
    <row r="745" customFormat="false" ht="15" hidden="false" customHeight="false" outlineLevel="0" collapsed="false">
      <c r="A745" s="7" t="s">
        <v>1590</v>
      </c>
      <c r="B745" s="8" t="s">
        <v>1591</v>
      </c>
      <c r="C745" s="9" t="s">
        <v>1274</v>
      </c>
      <c r="D745" s="8" t="s">
        <v>1275</v>
      </c>
      <c r="E745" s="9" t="n">
        <v>0</v>
      </c>
      <c r="F745" s="9" t="n">
        <v>0</v>
      </c>
      <c r="G745" s="10"/>
    </row>
    <row r="746" customFormat="false" ht="15" hidden="false" customHeight="false" outlineLevel="0" collapsed="false">
      <c r="A746" s="7" t="s">
        <v>1592</v>
      </c>
      <c r="B746" s="8" t="s">
        <v>1593</v>
      </c>
      <c r="C746" s="9" t="s">
        <v>1274</v>
      </c>
      <c r="D746" s="8" t="s">
        <v>1275</v>
      </c>
      <c r="E746" s="9" t="n">
        <v>0</v>
      </c>
      <c r="F746" s="9" t="n">
        <v>0</v>
      </c>
      <c r="G746" s="10"/>
    </row>
    <row r="747" customFormat="false" ht="15" hidden="false" customHeight="false" outlineLevel="0" collapsed="false">
      <c r="A747" s="7" t="s">
        <v>1594</v>
      </c>
      <c r="B747" s="8" t="s">
        <v>1595</v>
      </c>
      <c r="C747" s="9" t="s">
        <v>1274</v>
      </c>
      <c r="D747" s="8" t="s">
        <v>1275</v>
      </c>
      <c r="E747" s="9" t="n">
        <v>0</v>
      </c>
      <c r="F747" s="9" t="n">
        <v>0</v>
      </c>
      <c r="G747" s="10"/>
    </row>
    <row r="748" customFormat="false" ht="15" hidden="false" customHeight="false" outlineLevel="0" collapsed="false">
      <c r="A748" s="7" t="s">
        <v>1596</v>
      </c>
      <c r="B748" s="8" t="s">
        <v>1597</v>
      </c>
      <c r="C748" s="9"/>
      <c r="D748" s="8"/>
      <c r="E748" s="9" t="n">
        <v>0</v>
      </c>
      <c r="F748" s="9" t="n">
        <v>0</v>
      </c>
      <c r="G748" s="10"/>
    </row>
    <row r="749" customFormat="false" ht="15" hidden="false" customHeight="false" outlineLevel="0" collapsed="false">
      <c r="A749" s="7" t="s">
        <v>1598</v>
      </c>
      <c r="B749" s="8" t="s">
        <v>1599</v>
      </c>
      <c r="C749" s="9" t="s">
        <v>879</v>
      </c>
      <c r="D749" s="8" t="s">
        <v>880</v>
      </c>
      <c r="E749" s="9" t="n">
        <v>0</v>
      </c>
      <c r="F749" s="9" t="n">
        <v>0</v>
      </c>
      <c r="G749" s="10"/>
    </row>
    <row r="750" customFormat="false" ht="15" hidden="false" customHeight="false" outlineLevel="0" collapsed="false">
      <c r="A750" s="7" t="s">
        <v>1600</v>
      </c>
      <c r="B750" s="8" t="s">
        <v>1601</v>
      </c>
      <c r="C750" s="9"/>
      <c r="D750" s="8"/>
      <c r="E750" s="9" t="n">
        <v>0</v>
      </c>
      <c r="F750" s="9" t="n">
        <v>0</v>
      </c>
      <c r="G750" s="10"/>
    </row>
    <row r="751" customFormat="false" ht="15" hidden="false" customHeight="false" outlineLevel="0" collapsed="false">
      <c r="A751" s="7" t="s">
        <v>1602</v>
      </c>
      <c r="B751" s="8" t="s">
        <v>1603</v>
      </c>
      <c r="C751" s="9" t="s">
        <v>1286</v>
      </c>
      <c r="D751" s="8" t="s">
        <v>1287</v>
      </c>
      <c r="E751" s="9" t="n">
        <v>0</v>
      </c>
      <c r="F751" s="9" t="n">
        <v>0</v>
      </c>
      <c r="G751" s="10"/>
    </row>
    <row r="752" customFormat="false" ht="15" hidden="false" customHeight="false" outlineLevel="0" collapsed="false">
      <c r="A752" s="7" t="s">
        <v>1604</v>
      </c>
      <c r="B752" s="8" t="s">
        <v>1605</v>
      </c>
      <c r="C752" s="9" t="s">
        <v>1286</v>
      </c>
      <c r="D752" s="8" t="s">
        <v>1287</v>
      </c>
      <c r="E752" s="9" t="n">
        <v>0</v>
      </c>
      <c r="F752" s="9" t="n">
        <v>0</v>
      </c>
      <c r="G752" s="10"/>
    </row>
    <row r="753" customFormat="false" ht="15" hidden="false" customHeight="false" outlineLevel="0" collapsed="false">
      <c r="A753" s="7" t="s">
        <v>1606</v>
      </c>
      <c r="B753" s="8" t="s">
        <v>1607</v>
      </c>
      <c r="C753" s="9" t="s">
        <v>161</v>
      </c>
      <c r="D753" s="8" t="s">
        <v>162</v>
      </c>
      <c r="E753" s="9"/>
      <c r="F753" s="9" t="n">
        <v>0</v>
      </c>
      <c r="G753" s="10"/>
    </row>
    <row r="754" customFormat="false" ht="15" hidden="false" customHeight="false" outlineLevel="0" collapsed="false">
      <c r="A754" s="7" t="s">
        <v>1608</v>
      </c>
      <c r="B754" s="8" t="s">
        <v>1609</v>
      </c>
      <c r="C754" s="9" t="s">
        <v>63</v>
      </c>
      <c r="D754" s="8" t="s">
        <v>64</v>
      </c>
      <c r="E754" s="9" t="n">
        <v>0</v>
      </c>
      <c r="F754" s="9" t="n">
        <v>0</v>
      </c>
      <c r="G754" s="10"/>
    </row>
    <row r="755" customFormat="false" ht="15" hidden="false" customHeight="false" outlineLevel="0" collapsed="false">
      <c r="A755" s="7" t="s">
        <v>1610</v>
      </c>
      <c r="B755" s="8" t="s">
        <v>1611</v>
      </c>
      <c r="C755" s="9" t="s">
        <v>63</v>
      </c>
      <c r="D755" s="8" t="s">
        <v>64</v>
      </c>
      <c r="E755" s="9" t="n">
        <v>0</v>
      </c>
      <c r="F755" s="9" t="n">
        <v>0</v>
      </c>
      <c r="G755" s="10"/>
    </row>
    <row r="756" customFormat="false" ht="15" hidden="false" customHeight="false" outlineLevel="0" collapsed="false">
      <c r="A756" s="7" t="s">
        <v>1612</v>
      </c>
      <c r="B756" s="8" t="s">
        <v>1613</v>
      </c>
      <c r="C756" s="9" t="s">
        <v>617</v>
      </c>
      <c r="D756" s="8" t="s">
        <v>618</v>
      </c>
      <c r="E756" s="9" t="n">
        <v>0</v>
      </c>
      <c r="F756" s="9" t="n">
        <v>0</v>
      </c>
      <c r="G756" s="10"/>
    </row>
    <row r="757" customFormat="false" ht="15" hidden="false" customHeight="false" outlineLevel="0" collapsed="false">
      <c r="A757" s="7" t="s">
        <v>1614</v>
      </c>
      <c r="B757" s="8" t="s">
        <v>1615</v>
      </c>
      <c r="C757" s="9" t="s">
        <v>1616</v>
      </c>
      <c r="D757" s="8" t="s">
        <v>1617</v>
      </c>
      <c r="E757" s="9" t="n">
        <v>0</v>
      </c>
      <c r="F757" s="9" t="n">
        <v>0</v>
      </c>
      <c r="G757" s="10"/>
    </row>
    <row r="758" customFormat="false" ht="15" hidden="false" customHeight="false" outlineLevel="0" collapsed="false">
      <c r="A758" s="7" t="s">
        <v>1618</v>
      </c>
      <c r="B758" s="8" t="s">
        <v>1619</v>
      </c>
      <c r="C758" s="9"/>
      <c r="D758" s="8"/>
      <c r="E758" s="9" t="n">
        <v>0</v>
      </c>
      <c r="F758" s="9" t="n">
        <v>0</v>
      </c>
      <c r="G758" s="10"/>
    </row>
    <row r="759" customFormat="false" ht="15" hidden="false" customHeight="false" outlineLevel="0" collapsed="false">
      <c r="A759" s="7" t="s">
        <v>1620</v>
      </c>
      <c r="B759" s="8" t="s">
        <v>1621</v>
      </c>
      <c r="C759" s="9" t="s">
        <v>33</v>
      </c>
      <c r="D759" s="8" t="s">
        <v>34</v>
      </c>
      <c r="E759" s="9" t="n">
        <v>0</v>
      </c>
      <c r="F759" s="9" t="n">
        <v>0</v>
      </c>
      <c r="G759" s="10"/>
    </row>
    <row r="760" customFormat="false" ht="15" hidden="false" customHeight="false" outlineLevel="0" collapsed="false">
      <c r="A760" s="7" t="s">
        <v>1622</v>
      </c>
      <c r="B760" s="8" t="s">
        <v>1623</v>
      </c>
      <c r="C760" s="9" t="s">
        <v>49</v>
      </c>
      <c r="D760" s="8" t="s">
        <v>50</v>
      </c>
      <c r="E760" s="9" t="n">
        <v>0</v>
      </c>
      <c r="F760" s="9" t="n">
        <v>0</v>
      </c>
      <c r="G760" s="10"/>
    </row>
    <row r="761" customFormat="false" ht="15" hidden="false" customHeight="false" outlineLevel="0" collapsed="false">
      <c r="A761" s="7" t="s">
        <v>1624</v>
      </c>
      <c r="B761" s="8" t="s">
        <v>1625</v>
      </c>
      <c r="C761" s="9"/>
      <c r="D761" s="8"/>
      <c r="E761" s="9" t="n">
        <v>0</v>
      </c>
      <c r="F761" s="9" t="n">
        <v>0</v>
      </c>
      <c r="G761" s="10"/>
    </row>
    <row r="762" customFormat="false" ht="15" hidden="false" customHeight="false" outlineLevel="0" collapsed="false">
      <c r="A762" s="7" t="s">
        <v>1626</v>
      </c>
      <c r="B762" s="8" t="s">
        <v>1627</v>
      </c>
      <c r="C762" s="9"/>
      <c r="D762" s="8"/>
      <c r="E762" s="9" t="n">
        <v>0</v>
      </c>
      <c r="F762" s="9" t="n">
        <v>0</v>
      </c>
      <c r="G762" s="10"/>
    </row>
    <row r="763" customFormat="false" ht="15" hidden="false" customHeight="false" outlineLevel="0" collapsed="false">
      <c r="A763" s="7" t="s">
        <v>1628</v>
      </c>
      <c r="B763" s="8" t="s">
        <v>1629</v>
      </c>
      <c r="C763" s="9" t="s">
        <v>171</v>
      </c>
      <c r="D763" s="8" t="s">
        <v>172</v>
      </c>
      <c r="E763" s="9" t="n">
        <v>5</v>
      </c>
      <c r="F763" s="9" t="n">
        <v>0</v>
      </c>
      <c r="G763" s="10"/>
    </row>
    <row r="764" customFormat="false" ht="15" hidden="false" customHeight="false" outlineLevel="0" collapsed="false">
      <c r="A764" s="7" t="s">
        <v>1630</v>
      </c>
      <c r="B764" s="8" t="s">
        <v>1631</v>
      </c>
      <c r="C764" s="9"/>
      <c r="D764" s="8"/>
      <c r="E764" s="9" t="n">
        <v>0</v>
      </c>
      <c r="F764" s="9" t="n">
        <v>0</v>
      </c>
      <c r="G764" s="10"/>
    </row>
    <row r="765" customFormat="false" ht="15" hidden="false" customHeight="false" outlineLevel="0" collapsed="false">
      <c r="A765" s="7" t="s">
        <v>1632</v>
      </c>
      <c r="B765" s="8" t="s">
        <v>1633</v>
      </c>
      <c r="C765" s="9" t="s">
        <v>171</v>
      </c>
      <c r="D765" s="8" t="s">
        <v>172</v>
      </c>
      <c r="E765" s="9" t="n">
        <v>0</v>
      </c>
      <c r="F765" s="9" t="n">
        <v>0</v>
      </c>
      <c r="G765" s="10"/>
    </row>
    <row r="766" customFormat="false" ht="15" hidden="false" customHeight="false" outlineLevel="0" collapsed="false">
      <c r="A766" s="7" t="s">
        <v>1634</v>
      </c>
      <c r="B766" s="8" t="s">
        <v>1635</v>
      </c>
      <c r="C766" s="9"/>
      <c r="D766" s="8"/>
      <c r="E766" s="9" t="n">
        <v>0</v>
      </c>
      <c r="F766" s="9" t="n">
        <v>0</v>
      </c>
      <c r="G766" s="10"/>
    </row>
    <row r="767" customFormat="false" ht="15" hidden="false" customHeight="false" outlineLevel="0" collapsed="false">
      <c r="A767" s="7" t="s">
        <v>1636</v>
      </c>
      <c r="B767" s="8" t="s">
        <v>1637</v>
      </c>
      <c r="C767" s="9"/>
      <c r="D767" s="8"/>
      <c r="E767" s="9" t="n">
        <v>0</v>
      </c>
      <c r="F767" s="9" t="n">
        <v>0</v>
      </c>
      <c r="G767" s="10"/>
    </row>
    <row r="768" customFormat="false" ht="15" hidden="false" customHeight="false" outlineLevel="0" collapsed="false">
      <c r="A768" s="7" t="s">
        <v>1638</v>
      </c>
      <c r="B768" s="8" t="s">
        <v>1639</v>
      </c>
      <c r="C768" s="9"/>
      <c r="D768" s="8"/>
      <c r="E768" s="9" t="n">
        <v>0</v>
      </c>
      <c r="F768" s="9" t="n">
        <v>0</v>
      </c>
      <c r="G768" s="10"/>
    </row>
    <row r="769" customFormat="false" ht="15" hidden="false" customHeight="false" outlineLevel="0" collapsed="false">
      <c r="A769" s="7" t="s">
        <v>1640</v>
      </c>
      <c r="B769" s="8" t="s">
        <v>1641</v>
      </c>
      <c r="C769" s="9"/>
      <c r="D769" s="8"/>
      <c r="E769" s="9" t="n">
        <v>0</v>
      </c>
      <c r="F769" s="9" t="n">
        <v>0</v>
      </c>
      <c r="G769" s="10"/>
    </row>
    <row r="770" customFormat="false" ht="15" hidden="false" customHeight="false" outlineLevel="0" collapsed="false">
      <c r="A770" s="7" t="s">
        <v>1642</v>
      </c>
      <c r="B770" s="8" t="s">
        <v>1643</v>
      </c>
      <c r="C770" s="9"/>
      <c r="D770" s="8"/>
      <c r="E770" s="9" t="n">
        <v>0</v>
      </c>
      <c r="F770" s="9" t="n">
        <v>0</v>
      </c>
      <c r="G770" s="10"/>
    </row>
    <row r="771" customFormat="false" ht="15" hidden="false" customHeight="false" outlineLevel="0" collapsed="false">
      <c r="A771" s="7" t="s">
        <v>1644</v>
      </c>
      <c r="B771" s="8" t="s">
        <v>1645</v>
      </c>
      <c r="C771" s="9" t="s">
        <v>69</v>
      </c>
      <c r="D771" s="8" t="s">
        <v>70</v>
      </c>
      <c r="E771" s="9" t="n">
        <v>0</v>
      </c>
      <c r="F771" s="9" t="n">
        <v>0</v>
      </c>
      <c r="G771" s="10"/>
    </row>
    <row r="772" customFormat="false" ht="15" hidden="false" customHeight="false" outlineLevel="0" collapsed="false">
      <c r="A772" s="7" t="s">
        <v>1646</v>
      </c>
      <c r="B772" s="8" t="s">
        <v>1647</v>
      </c>
      <c r="C772" s="9" t="s">
        <v>69</v>
      </c>
      <c r="D772" s="8" t="s">
        <v>70</v>
      </c>
      <c r="E772" s="9" t="n">
        <v>0</v>
      </c>
      <c r="F772" s="9" t="n">
        <v>0</v>
      </c>
      <c r="G772" s="10"/>
    </row>
    <row r="773" customFormat="false" ht="15" hidden="false" customHeight="false" outlineLevel="0" collapsed="false">
      <c r="A773" s="7" t="s">
        <v>1648</v>
      </c>
      <c r="B773" s="8"/>
      <c r="C773" s="9"/>
      <c r="D773" s="8"/>
      <c r="E773" s="9"/>
      <c r="F773" s="9" t="n">
        <v>33178.5</v>
      </c>
      <c r="G773" s="10"/>
    </row>
    <row r="774" customFormat="false" ht="15" hidden="false" customHeight="false" outlineLevel="0" collapsed="false">
      <c r="A774" s="7" t="s">
        <v>1649</v>
      </c>
      <c r="B774" s="8" t="s">
        <v>736</v>
      </c>
      <c r="C774" s="9"/>
      <c r="D774" s="8"/>
      <c r="E774" s="9"/>
      <c r="F774" s="9" t="n">
        <v>0</v>
      </c>
      <c r="G774" s="10" t="s">
        <v>1650</v>
      </c>
    </row>
    <row r="775" customFormat="false" ht="15" hidden="false" customHeight="false" outlineLevel="0" collapsed="false">
      <c r="A775" s="7" t="s">
        <v>1651</v>
      </c>
      <c r="B775" s="8" t="s">
        <v>1652</v>
      </c>
      <c r="C775" s="9"/>
      <c r="D775" s="8"/>
      <c r="E775" s="9"/>
      <c r="F775" s="9" t="n">
        <v>0</v>
      </c>
      <c r="G775" s="10" t="s">
        <v>1650</v>
      </c>
    </row>
    <row r="776" customFormat="false" ht="15" hidden="false" customHeight="false" outlineLevel="0" collapsed="false">
      <c r="A776" s="7" t="s">
        <v>1653</v>
      </c>
      <c r="B776" s="8" t="s">
        <v>1654</v>
      </c>
      <c r="C776" s="9"/>
      <c r="D776" s="8"/>
      <c r="E776" s="9"/>
      <c r="F776" s="9" t="n">
        <v>0</v>
      </c>
      <c r="G776" s="10" t="s">
        <v>1650</v>
      </c>
    </row>
    <row r="777" customFormat="false" ht="15" hidden="false" customHeight="false" outlineLevel="0" collapsed="false">
      <c r="A777" s="7" t="s">
        <v>1655</v>
      </c>
      <c r="B777" s="8" t="s">
        <v>1656</v>
      </c>
      <c r="C777" s="9"/>
      <c r="D777" s="8"/>
      <c r="E777" s="9"/>
      <c r="F777" s="9" t="n">
        <v>0</v>
      </c>
      <c r="G777" s="10" t="s">
        <v>1650</v>
      </c>
    </row>
    <row r="778" customFormat="false" ht="15" hidden="false" customHeight="false" outlineLevel="0" collapsed="false">
      <c r="A778" s="7" t="s">
        <v>1657</v>
      </c>
      <c r="B778" s="8" t="s">
        <v>1658</v>
      </c>
      <c r="C778" s="9"/>
      <c r="D778" s="8"/>
      <c r="E778" s="9"/>
      <c r="F778" s="9" t="n">
        <v>0</v>
      </c>
      <c r="G778" s="10" t="s">
        <v>1650</v>
      </c>
    </row>
    <row r="779" customFormat="false" ht="15" hidden="false" customHeight="false" outlineLevel="0" collapsed="false">
      <c r="A779" s="7" t="s">
        <v>1659</v>
      </c>
      <c r="B779" s="8" t="s">
        <v>1660</v>
      </c>
      <c r="C779" s="9"/>
      <c r="D779" s="8"/>
      <c r="E779" s="9"/>
      <c r="F779" s="9" t="n">
        <v>0</v>
      </c>
      <c r="G779" s="10" t="s">
        <v>1650</v>
      </c>
    </row>
    <row r="780" customFormat="false" ht="15" hidden="false" customHeight="false" outlineLevel="0" collapsed="false">
      <c r="A780" s="7" t="s">
        <v>1661</v>
      </c>
      <c r="B780" s="8" t="s">
        <v>1662</v>
      </c>
      <c r="C780" s="9"/>
      <c r="D780" s="8"/>
      <c r="E780" s="9"/>
      <c r="F780" s="9" t="n">
        <v>0</v>
      </c>
      <c r="G780" s="10" t="s">
        <v>1650</v>
      </c>
    </row>
    <row r="781" customFormat="false" ht="15" hidden="false" customHeight="false" outlineLevel="0" collapsed="false">
      <c r="A781" s="7" t="s">
        <v>1663</v>
      </c>
      <c r="B781" s="8" t="s">
        <v>1664</v>
      </c>
      <c r="C781" s="9"/>
      <c r="D781" s="8"/>
      <c r="E781" s="9"/>
      <c r="F781" s="9" t="n">
        <v>0</v>
      </c>
      <c r="G781" s="10" t="s">
        <v>1650</v>
      </c>
    </row>
    <row r="782" customFormat="false" ht="15" hidden="false" customHeight="false" outlineLevel="0" collapsed="false">
      <c r="A782" s="7" t="s">
        <v>1665</v>
      </c>
      <c r="B782" s="8" t="s">
        <v>1666</v>
      </c>
      <c r="C782" s="9"/>
      <c r="D782" s="8"/>
      <c r="E782" s="9"/>
      <c r="F782" s="9" t="n">
        <v>0</v>
      </c>
      <c r="G782" s="10" t="s">
        <v>1650</v>
      </c>
    </row>
    <row r="783" customFormat="false" ht="15" hidden="false" customHeight="false" outlineLevel="0" collapsed="false">
      <c r="A783" s="7" t="s">
        <v>1667</v>
      </c>
      <c r="B783" s="8" t="s">
        <v>1668</v>
      </c>
      <c r="C783" s="9"/>
      <c r="D783" s="8"/>
      <c r="E783" s="9"/>
      <c r="F783" s="9" t="n">
        <v>0</v>
      </c>
      <c r="G783" s="10" t="s">
        <v>1650</v>
      </c>
    </row>
    <row r="784" customFormat="false" ht="15" hidden="false" customHeight="false" outlineLevel="0" collapsed="false">
      <c r="A784" s="7" t="s">
        <v>1669</v>
      </c>
      <c r="B784" s="8" t="s">
        <v>1670</v>
      </c>
      <c r="C784" s="9"/>
      <c r="D784" s="8"/>
      <c r="E784" s="9"/>
      <c r="F784" s="9" t="n">
        <v>0</v>
      </c>
      <c r="G784" s="10" t="s">
        <v>1650</v>
      </c>
    </row>
    <row r="785" customFormat="false" ht="15" hidden="false" customHeight="false" outlineLevel="0" collapsed="false">
      <c r="A785" s="7" t="s">
        <v>1671</v>
      </c>
      <c r="B785" s="8" t="s">
        <v>1672</v>
      </c>
      <c r="C785" s="9"/>
      <c r="D785" s="8"/>
      <c r="E785" s="9"/>
      <c r="F785" s="9" t="n">
        <v>0</v>
      </c>
      <c r="G785" s="10" t="s">
        <v>1650</v>
      </c>
    </row>
    <row r="786" customFormat="false" ht="15" hidden="false" customHeight="false" outlineLevel="0" collapsed="false">
      <c r="A786" s="7" t="s">
        <v>1673</v>
      </c>
      <c r="B786" s="8" t="s">
        <v>1674</v>
      </c>
      <c r="C786" s="9"/>
      <c r="D786" s="8"/>
      <c r="E786" s="9"/>
      <c r="F786" s="9" t="n">
        <v>0</v>
      </c>
      <c r="G786" s="10" t="s">
        <v>1650</v>
      </c>
    </row>
    <row r="787" customFormat="false" ht="15" hidden="false" customHeight="false" outlineLevel="0" collapsed="false">
      <c r="A787" s="7" t="s">
        <v>1675</v>
      </c>
      <c r="B787" s="8" t="s">
        <v>1676</v>
      </c>
      <c r="C787" s="9"/>
      <c r="D787" s="8"/>
      <c r="E787" s="9"/>
      <c r="F787" s="9" t="n">
        <v>0</v>
      </c>
      <c r="G787" s="10" t="s">
        <v>1650</v>
      </c>
    </row>
    <row r="788" customFormat="false" ht="15" hidden="false" customHeight="false" outlineLevel="0" collapsed="false">
      <c r="A788" s="7" t="s">
        <v>1677</v>
      </c>
      <c r="B788" s="8" t="s">
        <v>1678</v>
      </c>
      <c r="C788" s="9"/>
      <c r="D788" s="8"/>
      <c r="E788" s="9"/>
      <c r="F788" s="9" t="n">
        <v>0</v>
      </c>
      <c r="G788" s="10" t="s">
        <v>1650</v>
      </c>
    </row>
    <row r="789" customFormat="false" ht="15" hidden="false" customHeight="false" outlineLevel="0" collapsed="false">
      <c r="A789" s="7" t="s">
        <v>1679</v>
      </c>
      <c r="B789" s="8" t="s">
        <v>1680</v>
      </c>
      <c r="C789" s="9"/>
      <c r="D789" s="8"/>
      <c r="E789" s="9"/>
      <c r="F789" s="9" t="n">
        <v>0</v>
      </c>
      <c r="G789" s="10" t="s">
        <v>1650</v>
      </c>
    </row>
    <row r="790" customFormat="false" ht="15" hidden="false" customHeight="false" outlineLevel="0" collapsed="false">
      <c r="A790" s="7" t="s">
        <v>1681</v>
      </c>
      <c r="B790" s="8" t="s">
        <v>1682</v>
      </c>
      <c r="C790" s="9"/>
      <c r="D790" s="8"/>
      <c r="E790" s="9"/>
      <c r="F790" s="9" t="n">
        <v>0</v>
      </c>
      <c r="G790" s="10" t="s">
        <v>1650</v>
      </c>
    </row>
    <row r="791" customFormat="false" ht="15" hidden="false" customHeight="false" outlineLevel="0" collapsed="false">
      <c r="A791" s="7" t="s">
        <v>1683</v>
      </c>
      <c r="B791" s="8" t="s">
        <v>1684</v>
      </c>
      <c r="C791" s="9"/>
      <c r="D791" s="8"/>
      <c r="E791" s="9"/>
      <c r="F791" s="9" t="n">
        <v>0</v>
      </c>
      <c r="G791" s="10" t="s">
        <v>1650</v>
      </c>
    </row>
    <row r="792" customFormat="false" ht="15" hidden="false" customHeight="false" outlineLevel="0" collapsed="false">
      <c r="A792" s="7" t="s">
        <v>1685</v>
      </c>
      <c r="B792" s="8" t="s">
        <v>1686</v>
      </c>
      <c r="C792" s="9"/>
      <c r="D792" s="8"/>
      <c r="E792" s="9"/>
      <c r="F792" s="9" t="n">
        <v>0</v>
      </c>
      <c r="G792" s="10" t="s">
        <v>1650</v>
      </c>
    </row>
    <row r="793" customFormat="false" ht="15" hidden="false" customHeight="false" outlineLevel="0" collapsed="false">
      <c r="A793" s="7" t="s">
        <v>1687</v>
      </c>
      <c r="B793" s="8" t="s">
        <v>1688</v>
      </c>
      <c r="C793" s="9"/>
      <c r="D793" s="8"/>
      <c r="E793" s="9"/>
      <c r="F793" s="9" t="n">
        <v>0</v>
      </c>
      <c r="G793" s="10" t="s">
        <v>1650</v>
      </c>
    </row>
    <row r="794" customFormat="false" ht="15" hidden="false" customHeight="false" outlineLevel="0" collapsed="false">
      <c r="A794" s="7" t="s">
        <v>1689</v>
      </c>
      <c r="B794" s="8" t="s">
        <v>1690</v>
      </c>
      <c r="C794" s="9"/>
      <c r="D794" s="8"/>
      <c r="E794" s="9"/>
      <c r="F794" s="9" t="n">
        <v>0</v>
      </c>
      <c r="G794" s="10" t="s">
        <v>1650</v>
      </c>
    </row>
    <row r="795" customFormat="false" ht="15" hidden="false" customHeight="false" outlineLevel="0" collapsed="false">
      <c r="A795" s="7" t="s">
        <v>1691</v>
      </c>
      <c r="B795" s="8" t="s">
        <v>1692</v>
      </c>
      <c r="C795" s="9"/>
      <c r="D795" s="8"/>
      <c r="E795" s="9"/>
      <c r="F795" s="9" t="n">
        <v>0</v>
      </c>
      <c r="G795" s="10" t="s">
        <v>1650</v>
      </c>
    </row>
    <row r="796" customFormat="false" ht="15" hidden="false" customHeight="false" outlineLevel="0" collapsed="false">
      <c r="A796" s="7" t="s">
        <v>1693</v>
      </c>
      <c r="B796" s="8" t="s">
        <v>1694</v>
      </c>
      <c r="C796" s="9"/>
      <c r="D796" s="8"/>
      <c r="E796" s="9"/>
      <c r="F796" s="9" t="n">
        <v>0</v>
      </c>
      <c r="G796" s="10" t="s">
        <v>1650</v>
      </c>
    </row>
    <row r="797" customFormat="false" ht="15" hidden="false" customHeight="false" outlineLevel="0" collapsed="false">
      <c r="A797" s="7" t="s">
        <v>1695</v>
      </c>
      <c r="B797" s="8" t="s">
        <v>1696</v>
      </c>
      <c r="C797" s="9"/>
      <c r="D797" s="8"/>
      <c r="E797" s="9"/>
      <c r="F797" s="9" t="n">
        <v>0</v>
      </c>
      <c r="G797" s="10" t="s">
        <v>1650</v>
      </c>
    </row>
    <row r="798" customFormat="false" ht="15" hidden="false" customHeight="false" outlineLevel="0" collapsed="false">
      <c r="A798" s="7" t="s">
        <v>1697</v>
      </c>
      <c r="B798" s="8" t="s">
        <v>1698</v>
      </c>
      <c r="C798" s="9"/>
      <c r="D798" s="8"/>
      <c r="E798" s="9"/>
      <c r="F798" s="9" t="n">
        <v>0</v>
      </c>
      <c r="G798" s="10" t="s">
        <v>1650</v>
      </c>
    </row>
    <row r="799" customFormat="false" ht="15" hidden="false" customHeight="false" outlineLevel="0" collapsed="false">
      <c r="A799" s="7" t="s">
        <v>1699</v>
      </c>
      <c r="B799" s="8" t="s">
        <v>1700</v>
      </c>
      <c r="C799" s="9"/>
      <c r="D799" s="8"/>
      <c r="E799" s="9"/>
      <c r="F799" s="9" t="n">
        <v>0</v>
      </c>
      <c r="G799" s="10" t="s">
        <v>1650</v>
      </c>
    </row>
    <row r="800" customFormat="false" ht="15" hidden="false" customHeight="false" outlineLevel="0" collapsed="false">
      <c r="A800" s="7" t="s">
        <v>1701</v>
      </c>
      <c r="B800" s="8" t="s">
        <v>1702</v>
      </c>
      <c r="C800" s="9"/>
      <c r="D800" s="8"/>
      <c r="E800" s="9"/>
      <c r="F800" s="9" t="n">
        <v>0</v>
      </c>
      <c r="G800" s="10" t="s">
        <v>1650</v>
      </c>
    </row>
    <row r="801" customFormat="false" ht="15" hidden="false" customHeight="false" outlineLevel="0" collapsed="false">
      <c r="A801" s="7" t="s">
        <v>1703</v>
      </c>
      <c r="B801" s="8" t="s">
        <v>1704</v>
      </c>
      <c r="C801" s="9"/>
      <c r="D801" s="8"/>
      <c r="E801" s="9"/>
      <c r="F801" s="9" t="n">
        <v>0</v>
      </c>
      <c r="G801" s="10" t="s">
        <v>1650</v>
      </c>
    </row>
    <row r="802" customFormat="false" ht="15" hidden="false" customHeight="false" outlineLevel="0" collapsed="false">
      <c r="A802" s="7" t="s">
        <v>1705</v>
      </c>
      <c r="B802" s="8" t="s">
        <v>1706</v>
      </c>
      <c r="C802" s="9"/>
      <c r="D802" s="8"/>
      <c r="E802" s="9"/>
      <c r="F802" s="9" t="n">
        <v>0</v>
      </c>
      <c r="G802" s="10" t="s">
        <v>1650</v>
      </c>
    </row>
    <row r="803" customFormat="false" ht="15" hidden="false" customHeight="false" outlineLevel="0" collapsed="false">
      <c r="A803" s="7" t="s">
        <v>1707</v>
      </c>
      <c r="B803" s="8" t="s">
        <v>1708</v>
      </c>
      <c r="C803" s="9"/>
      <c r="D803" s="8"/>
      <c r="E803" s="9"/>
      <c r="F803" s="9" t="n">
        <v>0</v>
      </c>
      <c r="G803" s="10" t="s">
        <v>1650</v>
      </c>
    </row>
    <row r="804" customFormat="false" ht="15" hidden="false" customHeight="false" outlineLevel="0" collapsed="false">
      <c r="A804" s="7" t="s">
        <v>1709</v>
      </c>
      <c r="B804" s="8" t="s">
        <v>1710</v>
      </c>
      <c r="C804" s="9"/>
      <c r="D804" s="8"/>
      <c r="E804" s="9"/>
      <c r="F804" s="9" t="n">
        <v>0</v>
      </c>
      <c r="G804" s="10" t="s">
        <v>1650</v>
      </c>
    </row>
    <row r="805" customFormat="false" ht="15" hidden="false" customHeight="false" outlineLevel="0" collapsed="false">
      <c r="A805" s="7" t="s">
        <v>1711</v>
      </c>
      <c r="B805" s="8" t="s">
        <v>1712</v>
      </c>
      <c r="C805" s="9"/>
      <c r="D805" s="8"/>
      <c r="E805" s="9"/>
      <c r="F805" s="9" t="n">
        <v>0</v>
      </c>
      <c r="G805" s="10" t="s">
        <v>1650</v>
      </c>
    </row>
    <row r="806" customFormat="false" ht="15" hidden="false" customHeight="false" outlineLevel="0" collapsed="false">
      <c r="A806" s="7" t="s">
        <v>1713</v>
      </c>
      <c r="B806" s="8" t="s">
        <v>1714</v>
      </c>
      <c r="C806" s="9"/>
      <c r="D806" s="8"/>
      <c r="E806" s="9"/>
      <c r="F806" s="9" t="n">
        <v>0</v>
      </c>
      <c r="G806" s="10" t="s">
        <v>1650</v>
      </c>
    </row>
    <row r="807" customFormat="false" ht="15" hidden="false" customHeight="false" outlineLevel="0" collapsed="false">
      <c r="A807" s="7" t="s">
        <v>1715</v>
      </c>
      <c r="B807" s="8" t="s">
        <v>1716</v>
      </c>
      <c r="C807" s="9"/>
      <c r="D807" s="8"/>
      <c r="E807" s="9"/>
      <c r="F807" s="9" t="n">
        <v>0</v>
      </c>
      <c r="G807" s="10" t="s">
        <v>1650</v>
      </c>
    </row>
    <row r="808" customFormat="false" ht="15" hidden="false" customHeight="false" outlineLevel="0" collapsed="false">
      <c r="A808" s="7" t="s">
        <v>1717</v>
      </c>
      <c r="B808" s="8" t="s">
        <v>1718</v>
      </c>
      <c r="C808" s="9"/>
      <c r="D808" s="8"/>
      <c r="E808" s="9"/>
      <c r="F808" s="9" t="n">
        <v>0</v>
      </c>
      <c r="G808" s="10" t="s">
        <v>1650</v>
      </c>
    </row>
    <row r="809" customFormat="false" ht="15" hidden="false" customHeight="false" outlineLevel="0" collapsed="false">
      <c r="A809" s="7" t="s">
        <v>1719</v>
      </c>
      <c r="B809" s="8" t="s">
        <v>1720</v>
      </c>
      <c r="C809" s="9"/>
      <c r="D809" s="8"/>
      <c r="E809" s="9"/>
      <c r="F809" s="9" t="n">
        <v>0</v>
      </c>
      <c r="G809" s="10" t="s">
        <v>1650</v>
      </c>
    </row>
    <row r="810" customFormat="false" ht="15" hidden="false" customHeight="false" outlineLevel="0" collapsed="false">
      <c r="A810" s="7" t="s">
        <v>1721</v>
      </c>
      <c r="B810" s="8" t="s">
        <v>1722</v>
      </c>
      <c r="C810" s="9"/>
      <c r="D810" s="8"/>
      <c r="E810" s="9"/>
      <c r="F810" s="9" t="n">
        <v>0</v>
      </c>
      <c r="G810" s="10" t="s">
        <v>1650</v>
      </c>
    </row>
    <row r="811" customFormat="false" ht="15" hidden="false" customHeight="false" outlineLevel="0" collapsed="false">
      <c r="A811" s="7" t="s">
        <v>1723</v>
      </c>
      <c r="B811" s="8" t="s">
        <v>1724</v>
      </c>
      <c r="C811" s="9"/>
      <c r="D811" s="8"/>
      <c r="E811" s="9"/>
      <c r="F811" s="9" t="n">
        <v>0</v>
      </c>
      <c r="G811" s="10" t="s">
        <v>1650</v>
      </c>
    </row>
    <row r="812" customFormat="false" ht="15" hidden="false" customHeight="false" outlineLevel="0" collapsed="false">
      <c r="A812" s="7" t="s">
        <v>1725</v>
      </c>
      <c r="B812" s="8" t="s">
        <v>1726</v>
      </c>
      <c r="C812" s="9"/>
      <c r="D812" s="8"/>
      <c r="E812" s="9"/>
      <c r="F812" s="9" t="n">
        <v>0</v>
      </c>
      <c r="G812" s="10" t="s">
        <v>1650</v>
      </c>
    </row>
    <row r="813" customFormat="false" ht="15" hidden="false" customHeight="false" outlineLevel="0" collapsed="false">
      <c r="A813" s="7" t="s">
        <v>1727</v>
      </c>
      <c r="B813" s="8" t="s">
        <v>1728</v>
      </c>
      <c r="C813" s="9"/>
      <c r="D813" s="8"/>
      <c r="E813" s="9"/>
      <c r="F813" s="9" t="n">
        <v>0</v>
      </c>
      <c r="G813" s="10" t="s">
        <v>1650</v>
      </c>
    </row>
    <row r="814" customFormat="false" ht="15" hidden="false" customHeight="false" outlineLevel="0" collapsed="false">
      <c r="A814" s="7" t="s">
        <v>1729</v>
      </c>
      <c r="B814" s="8" t="s">
        <v>1730</v>
      </c>
      <c r="C814" s="9"/>
      <c r="D814" s="8"/>
      <c r="E814" s="9"/>
      <c r="F814" s="9" t="n">
        <v>0</v>
      </c>
      <c r="G814" s="10" t="s">
        <v>1650</v>
      </c>
    </row>
    <row r="815" customFormat="false" ht="15" hidden="false" customHeight="false" outlineLevel="0" collapsed="false">
      <c r="A815" s="7" t="s">
        <v>1731</v>
      </c>
      <c r="B815" s="8" t="s">
        <v>1732</v>
      </c>
      <c r="C815" s="9"/>
      <c r="D815" s="8"/>
      <c r="E815" s="9"/>
      <c r="F815" s="9" t="n">
        <v>0</v>
      </c>
      <c r="G815" s="10" t="s">
        <v>1650</v>
      </c>
    </row>
    <row r="816" customFormat="false" ht="15" hidden="false" customHeight="false" outlineLevel="0" collapsed="false">
      <c r="A816" s="7" t="s">
        <v>1733</v>
      </c>
      <c r="B816" s="8" t="s">
        <v>1734</v>
      </c>
      <c r="C816" s="9"/>
      <c r="D816" s="8"/>
      <c r="E816" s="9"/>
      <c r="F816" s="9" t="n">
        <v>0</v>
      </c>
      <c r="G816" s="10" t="s">
        <v>1650</v>
      </c>
    </row>
    <row r="817" customFormat="false" ht="15" hidden="false" customHeight="false" outlineLevel="0" collapsed="false">
      <c r="A817" s="7" t="s">
        <v>1735</v>
      </c>
      <c r="B817" s="8" t="s">
        <v>1736</v>
      </c>
      <c r="C817" s="9"/>
      <c r="D817" s="8"/>
      <c r="E817" s="9"/>
      <c r="F817" s="9" t="n">
        <v>0</v>
      </c>
      <c r="G817" s="10" t="s">
        <v>1650</v>
      </c>
    </row>
    <row r="818" customFormat="false" ht="15" hidden="false" customHeight="false" outlineLevel="0" collapsed="false">
      <c r="A818" s="7" t="s">
        <v>1737</v>
      </c>
      <c r="B818" s="8" t="s">
        <v>1738</v>
      </c>
      <c r="C818" s="9"/>
      <c r="D818" s="8"/>
      <c r="E818" s="9"/>
      <c r="F818" s="9" t="n">
        <v>0</v>
      </c>
      <c r="G818" s="10" t="s">
        <v>1650</v>
      </c>
    </row>
    <row r="819" customFormat="false" ht="15" hidden="false" customHeight="false" outlineLevel="0" collapsed="false">
      <c r="A819" s="7" t="s">
        <v>1739</v>
      </c>
      <c r="B819" s="8" t="s">
        <v>1740</v>
      </c>
      <c r="C819" s="9"/>
      <c r="D819" s="8"/>
      <c r="E819" s="9"/>
      <c r="F819" s="9" t="n">
        <v>0</v>
      </c>
      <c r="G819" s="10" t="s">
        <v>1650</v>
      </c>
    </row>
    <row r="820" customFormat="false" ht="15" hidden="false" customHeight="false" outlineLevel="0" collapsed="false">
      <c r="A820" s="7" t="s">
        <v>1741</v>
      </c>
      <c r="B820" s="8" t="s">
        <v>1742</v>
      </c>
      <c r="C820" s="9"/>
      <c r="D820" s="8"/>
      <c r="E820" s="9"/>
      <c r="F820" s="9" t="n">
        <v>0</v>
      </c>
      <c r="G820" s="10" t="s">
        <v>1650</v>
      </c>
    </row>
    <row r="821" customFormat="false" ht="15" hidden="false" customHeight="false" outlineLevel="0" collapsed="false">
      <c r="A821" s="7" t="s">
        <v>1743</v>
      </c>
      <c r="B821" s="8" t="s">
        <v>1744</v>
      </c>
      <c r="C821" s="9"/>
      <c r="D821" s="8"/>
      <c r="E821" s="9"/>
      <c r="F821" s="9" t="n">
        <v>0</v>
      </c>
      <c r="G821" s="10" t="s">
        <v>1650</v>
      </c>
    </row>
    <row r="822" customFormat="false" ht="15" hidden="false" customHeight="false" outlineLevel="0" collapsed="false">
      <c r="A822" s="7" t="s">
        <v>1745</v>
      </c>
      <c r="B822" s="8" t="s">
        <v>1746</v>
      </c>
      <c r="C822" s="9"/>
      <c r="D822" s="8"/>
      <c r="E822" s="9"/>
      <c r="F822" s="9" t="n">
        <v>0</v>
      </c>
      <c r="G822" s="10" t="s">
        <v>1650</v>
      </c>
    </row>
    <row r="823" customFormat="false" ht="15" hidden="false" customHeight="false" outlineLevel="0" collapsed="false">
      <c r="A823" s="7" t="s">
        <v>1747</v>
      </c>
      <c r="B823" s="8" t="s">
        <v>1748</v>
      </c>
      <c r="C823" s="9"/>
      <c r="D823" s="8"/>
      <c r="E823" s="9"/>
      <c r="F823" s="9" t="n">
        <v>0</v>
      </c>
      <c r="G823" s="10" t="s">
        <v>1650</v>
      </c>
    </row>
    <row r="824" customFormat="false" ht="15" hidden="false" customHeight="false" outlineLevel="0" collapsed="false">
      <c r="A824" s="7" t="s">
        <v>1749</v>
      </c>
      <c r="B824" s="8" t="s">
        <v>1750</v>
      </c>
      <c r="C824" s="9"/>
      <c r="D824" s="8"/>
      <c r="E824" s="9"/>
      <c r="F824" s="9" t="n">
        <v>0</v>
      </c>
      <c r="G824" s="10" t="s">
        <v>1650</v>
      </c>
    </row>
    <row r="825" customFormat="false" ht="15" hidden="false" customHeight="false" outlineLevel="0" collapsed="false">
      <c r="A825" s="7" t="s">
        <v>1751</v>
      </c>
      <c r="B825" s="8" t="s">
        <v>1752</v>
      </c>
      <c r="C825" s="9"/>
      <c r="D825" s="8"/>
      <c r="E825" s="9"/>
      <c r="F825" s="9" t="n">
        <v>0</v>
      </c>
      <c r="G825" s="10" t="s">
        <v>1650</v>
      </c>
    </row>
    <row r="826" customFormat="false" ht="15" hidden="false" customHeight="false" outlineLevel="0" collapsed="false">
      <c r="A826" s="7" t="s">
        <v>1753</v>
      </c>
      <c r="B826" s="8" t="s">
        <v>1754</v>
      </c>
      <c r="C826" s="9"/>
      <c r="D826" s="8"/>
      <c r="E826" s="9"/>
      <c r="F826" s="9" t="n">
        <v>0</v>
      </c>
      <c r="G826" s="10" t="s">
        <v>1650</v>
      </c>
    </row>
    <row r="827" customFormat="false" ht="15" hidden="false" customHeight="false" outlineLevel="0" collapsed="false">
      <c r="A827" s="7" t="s">
        <v>1755</v>
      </c>
      <c r="B827" s="8" t="s">
        <v>194</v>
      </c>
      <c r="C827" s="9"/>
      <c r="D827" s="8"/>
      <c r="E827" s="9"/>
      <c r="F827" s="9" t="n">
        <v>0</v>
      </c>
      <c r="G827" s="10" t="s">
        <v>1650</v>
      </c>
    </row>
    <row r="828" customFormat="false" ht="15" hidden="false" customHeight="false" outlineLevel="0" collapsed="false">
      <c r="A828" s="7" t="s">
        <v>1756</v>
      </c>
      <c r="B828" s="8" t="s">
        <v>1757</v>
      </c>
      <c r="C828" s="9"/>
      <c r="D828" s="8"/>
      <c r="E828" s="9"/>
      <c r="F828" s="9" t="n">
        <v>0</v>
      </c>
      <c r="G828" s="10" t="s">
        <v>1650</v>
      </c>
    </row>
    <row r="829" customFormat="false" ht="15" hidden="false" customHeight="false" outlineLevel="0" collapsed="false">
      <c r="A829" s="7" t="s">
        <v>1758</v>
      </c>
      <c r="B829" s="8" t="s">
        <v>1759</v>
      </c>
      <c r="C829" s="9"/>
      <c r="D829" s="8"/>
      <c r="E829" s="9"/>
      <c r="F829" s="9" t="n">
        <v>0</v>
      </c>
      <c r="G829" s="10" t="s">
        <v>1650</v>
      </c>
    </row>
    <row r="830" customFormat="false" ht="15" hidden="false" customHeight="false" outlineLevel="0" collapsed="false">
      <c r="A830" s="7" t="s">
        <v>1760</v>
      </c>
      <c r="B830" s="8" t="s">
        <v>1761</v>
      </c>
      <c r="C830" s="9"/>
      <c r="D830" s="8"/>
      <c r="E830" s="9"/>
      <c r="F830" s="9" t="n">
        <v>0</v>
      </c>
      <c r="G830" s="10" t="s">
        <v>1650</v>
      </c>
    </row>
    <row r="831" customFormat="false" ht="15" hidden="false" customHeight="false" outlineLevel="0" collapsed="false">
      <c r="A831" s="7" t="s">
        <v>1762</v>
      </c>
      <c r="B831" s="8" t="s">
        <v>1763</v>
      </c>
      <c r="C831" s="9"/>
      <c r="D831" s="8"/>
      <c r="E831" s="9"/>
      <c r="F831" s="9" t="n">
        <v>0</v>
      </c>
      <c r="G831" s="10" t="s">
        <v>1650</v>
      </c>
    </row>
    <row r="832" customFormat="false" ht="15" hidden="false" customHeight="false" outlineLevel="0" collapsed="false">
      <c r="A832" s="7" t="s">
        <v>1764</v>
      </c>
      <c r="B832" s="8" t="s">
        <v>1765</v>
      </c>
      <c r="C832" s="9"/>
      <c r="D832" s="8"/>
      <c r="E832" s="9"/>
      <c r="F832" s="9" t="n">
        <v>0</v>
      </c>
      <c r="G832" s="10" t="s">
        <v>1650</v>
      </c>
    </row>
    <row r="833" customFormat="false" ht="15" hidden="false" customHeight="false" outlineLevel="0" collapsed="false">
      <c r="A833" s="7" t="s">
        <v>1766</v>
      </c>
      <c r="B833" s="8" t="s">
        <v>1767</v>
      </c>
      <c r="C833" s="9"/>
      <c r="D833" s="8"/>
      <c r="E833" s="9"/>
      <c r="F833" s="9" t="n">
        <v>0</v>
      </c>
      <c r="G833" s="10" t="s">
        <v>1650</v>
      </c>
    </row>
    <row r="834" customFormat="false" ht="15" hidden="false" customHeight="false" outlineLevel="0" collapsed="false">
      <c r="A834" s="7" t="s">
        <v>1768</v>
      </c>
      <c r="B834" s="8" t="s">
        <v>1769</v>
      </c>
      <c r="C834" s="9"/>
      <c r="D834" s="8"/>
      <c r="E834" s="9"/>
      <c r="F834" s="9" t="n">
        <v>0</v>
      </c>
      <c r="G834" s="10" t="s">
        <v>1650</v>
      </c>
    </row>
    <row r="835" customFormat="false" ht="15" hidden="false" customHeight="false" outlineLevel="0" collapsed="false">
      <c r="A835" s="7" t="s">
        <v>1770</v>
      </c>
      <c r="B835" s="8" t="s">
        <v>554</v>
      </c>
      <c r="C835" s="9"/>
      <c r="D835" s="8"/>
      <c r="E835" s="9"/>
      <c r="F835" s="9" t="n">
        <v>0</v>
      </c>
      <c r="G835" s="10" t="s">
        <v>1650</v>
      </c>
    </row>
    <row r="836" customFormat="false" ht="15" hidden="false" customHeight="false" outlineLevel="0" collapsed="false">
      <c r="A836" s="7" t="s">
        <v>1771</v>
      </c>
      <c r="B836" s="8" t="s">
        <v>492</v>
      </c>
      <c r="C836" s="9"/>
      <c r="D836" s="8"/>
      <c r="E836" s="9"/>
      <c r="F836" s="9" t="n">
        <v>0</v>
      </c>
      <c r="G836" s="10" t="s">
        <v>1650</v>
      </c>
    </row>
    <row r="837" customFormat="false" ht="15" hidden="false" customHeight="false" outlineLevel="0" collapsed="false">
      <c r="A837" s="7" t="s">
        <v>1772</v>
      </c>
      <c r="B837" s="8" t="s">
        <v>1773</v>
      </c>
      <c r="C837" s="9"/>
      <c r="D837" s="8"/>
      <c r="E837" s="9"/>
      <c r="F837" s="9" t="n">
        <v>0</v>
      </c>
      <c r="G837" s="10" t="s">
        <v>1650</v>
      </c>
    </row>
    <row r="838" customFormat="false" ht="15" hidden="false" customHeight="false" outlineLevel="0" collapsed="false">
      <c r="A838" s="7" t="s">
        <v>1774</v>
      </c>
      <c r="B838" s="8" t="s">
        <v>1775</v>
      </c>
      <c r="C838" s="9"/>
      <c r="D838" s="8"/>
      <c r="E838" s="9"/>
      <c r="F838" s="9" t="n">
        <v>0</v>
      </c>
      <c r="G838" s="10" t="s">
        <v>1650</v>
      </c>
    </row>
    <row r="839" customFormat="false" ht="15" hidden="false" customHeight="false" outlineLevel="0" collapsed="false">
      <c r="A839" s="7" t="s">
        <v>1776</v>
      </c>
      <c r="B839" s="8" t="s">
        <v>1777</v>
      </c>
      <c r="C839" s="9"/>
      <c r="D839" s="8"/>
      <c r="E839" s="9"/>
      <c r="F839" s="9" t="n">
        <v>0</v>
      </c>
      <c r="G839" s="10" t="s">
        <v>1650</v>
      </c>
    </row>
    <row r="840" customFormat="false" ht="15" hidden="false" customHeight="false" outlineLevel="0" collapsed="false">
      <c r="A840" s="7" t="s">
        <v>1778</v>
      </c>
      <c r="B840" s="8" t="s">
        <v>1779</v>
      </c>
      <c r="C840" s="9"/>
      <c r="D840" s="8"/>
      <c r="E840" s="9"/>
      <c r="F840" s="9" t="n">
        <v>0</v>
      </c>
      <c r="G840" s="10" t="s">
        <v>1650</v>
      </c>
    </row>
    <row r="841" customFormat="false" ht="15" hidden="false" customHeight="false" outlineLevel="0" collapsed="false">
      <c r="A841" s="7" t="s">
        <v>1780</v>
      </c>
      <c r="B841" s="8" t="s">
        <v>1781</v>
      </c>
      <c r="C841" s="9"/>
      <c r="D841" s="8"/>
      <c r="E841" s="9"/>
      <c r="F841" s="9" t="n">
        <v>0</v>
      </c>
      <c r="G841" s="10" t="s">
        <v>1650</v>
      </c>
    </row>
    <row r="842" customFormat="false" ht="15" hidden="false" customHeight="false" outlineLevel="0" collapsed="false">
      <c r="A842" s="7" t="s">
        <v>1782</v>
      </c>
      <c r="B842" s="8" t="s">
        <v>1783</v>
      </c>
      <c r="C842" s="9"/>
      <c r="D842" s="8"/>
      <c r="E842" s="9"/>
      <c r="F842" s="9" t="n">
        <v>0</v>
      </c>
      <c r="G842" s="10" t="s">
        <v>1650</v>
      </c>
    </row>
    <row r="843" customFormat="false" ht="15" hidden="false" customHeight="false" outlineLevel="0" collapsed="false">
      <c r="A843" s="7" t="s">
        <v>1784</v>
      </c>
      <c r="B843" s="8" t="s">
        <v>1785</v>
      </c>
      <c r="C843" s="9"/>
      <c r="D843" s="8"/>
      <c r="E843" s="9"/>
      <c r="F843" s="9" t="n">
        <v>0</v>
      </c>
      <c r="G843" s="10" t="s">
        <v>1650</v>
      </c>
    </row>
    <row r="844" customFormat="false" ht="15" hidden="false" customHeight="false" outlineLevel="0" collapsed="false">
      <c r="A844" s="7" t="s">
        <v>1786</v>
      </c>
      <c r="B844" s="8" t="s">
        <v>1787</v>
      </c>
      <c r="C844" s="9"/>
      <c r="D844" s="8"/>
      <c r="E844" s="9"/>
      <c r="F844" s="9" t="n">
        <v>0</v>
      </c>
      <c r="G844" s="10" t="s">
        <v>1650</v>
      </c>
    </row>
    <row r="845" customFormat="false" ht="15" hidden="false" customHeight="false" outlineLevel="0" collapsed="false">
      <c r="A845" s="7" t="s">
        <v>1788</v>
      </c>
      <c r="B845" s="8" t="s">
        <v>1789</v>
      </c>
      <c r="C845" s="9"/>
      <c r="D845" s="8"/>
      <c r="E845" s="9"/>
      <c r="F845" s="9" t="n">
        <v>0</v>
      </c>
      <c r="G845" s="10" t="s">
        <v>1650</v>
      </c>
    </row>
    <row r="846" customFormat="false" ht="15" hidden="false" customHeight="false" outlineLevel="0" collapsed="false">
      <c r="A846" s="7" t="s">
        <v>1790</v>
      </c>
      <c r="B846" s="8" t="s">
        <v>1791</v>
      </c>
      <c r="C846" s="9"/>
      <c r="D846" s="8"/>
      <c r="E846" s="9"/>
      <c r="F846" s="9" t="n">
        <v>0</v>
      </c>
      <c r="G846" s="10" t="s">
        <v>1650</v>
      </c>
    </row>
    <row r="847" customFormat="false" ht="15" hidden="false" customHeight="false" outlineLevel="0" collapsed="false">
      <c r="A847" s="7" t="s">
        <v>1792</v>
      </c>
      <c r="B847" s="8" t="s">
        <v>1793</v>
      </c>
      <c r="C847" s="9"/>
      <c r="D847" s="8"/>
      <c r="E847" s="9"/>
      <c r="F847" s="9" t="n">
        <v>0</v>
      </c>
      <c r="G847" s="10" t="s">
        <v>1650</v>
      </c>
    </row>
    <row r="848" customFormat="false" ht="15" hidden="false" customHeight="false" outlineLevel="0" collapsed="false">
      <c r="A848" s="7" t="s">
        <v>1794</v>
      </c>
      <c r="B848" s="8" t="s">
        <v>1795</v>
      </c>
      <c r="C848" s="9"/>
      <c r="D848" s="8"/>
      <c r="E848" s="9"/>
      <c r="F848" s="9" t="n">
        <v>0</v>
      </c>
      <c r="G848" s="10" t="s">
        <v>1650</v>
      </c>
    </row>
    <row r="849" customFormat="false" ht="15" hidden="false" customHeight="false" outlineLevel="0" collapsed="false">
      <c r="A849" s="7" t="s">
        <v>1796</v>
      </c>
      <c r="B849" s="8" t="s">
        <v>1797</v>
      </c>
      <c r="C849" s="9"/>
      <c r="D849" s="8"/>
      <c r="E849" s="9"/>
      <c r="F849" s="9" t="n">
        <v>0</v>
      </c>
      <c r="G849" s="10" t="s">
        <v>1650</v>
      </c>
    </row>
    <row r="850" customFormat="false" ht="15" hidden="false" customHeight="false" outlineLevel="0" collapsed="false">
      <c r="A850" s="7" t="s">
        <v>1798</v>
      </c>
      <c r="B850" s="8" t="s">
        <v>1799</v>
      </c>
      <c r="C850" s="9"/>
      <c r="D850" s="8"/>
      <c r="E850" s="9"/>
      <c r="F850" s="9" t="n">
        <v>0</v>
      </c>
      <c r="G850" s="10" t="s">
        <v>1650</v>
      </c>
    </row>
    <row r="851" customFormat="false" ht="15" hidden="false" customHeight="false" outlineLevel="0" collapsed="false">
      <c r="A851" s="7" t="s">
        <v>1800</v>
      </c>
      <c r="B851" s="8" t="s">
        <v>1801</v>
      </c>
      <c r="C851" s="9"/>
      <c r="D851" s="8"/>
      <c r="E851" s="9"/>
      <c r="F851" s="9" t="n">
        <v>0</v>
      </c>
      <c r="G851" s="10" t="s">
        <v>1650</v>
      </c>
    </row>
    <row r="852" customFormat="false" ht="15" hidden="false" customHeight="false" outlineLevel="0" collapsed="false">
      <c r="A852" s="7" t="s">
        <v>1802</v>
      </c>
      <c r="B852" s="8" t="s">
        <v>1803</v>
      </c>
      <c r="C852" s="9"/>
      <c r="D852" s="8"/>
      <c r="E852" s="9"/>
      <c r="F852" s="9" t="n">
        <v>0</v>
      </c>
      <c r="G852" s="10" t="s">
        <v>1650</v>
      </c>
    </row>
    <row r="853" customFormat="false" ht="15" hidden="false" customHeight="false" outlineLevel="0" collapsed="false">
      <c r="A853" s="7" t="s">
        <v>1804</v>
      </c>
      <c r="B853" s="8" t="s">
        <v>1805</v>
      </c>
      <c r="C853" s="9"/>
      <c r="D853" s="8"/>
      <c r="E853" s="9"/>
      <c r="F853" s="9" t="n">
        <v>0</v>
      </c>
      <c r="G853" s="10" t="s">
        <v>1650</v>
      </c>
    </row>
    <row r="854" customFormat="false" ht="15" hidden="false" customHeight="false" outlineLevel="0" collapsed="false">
      <c r="A854" s="7" t="s">
        <v>1806</v>
      </c>
      <c r="B854" s="8" t="s">
        <v>1807</v>
      </c>
      <c r="C854" s="9"/>
      <c r="D854" s="8"/>
      <c r="E854" s="9"/>
      <c r="F854" s="9" t="n">
        <v>0</v>
      </c>
      <c r="G854" s="10" t="s">
        <v>1650</v>
      </c>
    </row>
    <row r="855" customFormat="false" ht="15" hidden="false" customHeight="false" outlineLevel="0" collapsed="false">
      <c r="A855" s="7" t="s">
        <v>1808</v>
      </c>
      <c r="B855" s="8" t="s">
        <v>1809</v>
      </c>
      <c r="C855" s="9"/>
      <c r="D855" s="8"/>
      <c r="E855" s="9"/>
      <c r="F855" s="9" t="n">
        <v>0</v>
      </c>
      <c r="G855" s="10" t="s">
        <v>1650</v>
      </c>
    </row>
    <row r="856" customFormat="false" ht="15" hidden="false" customHeight="false" outlineLevel="0" collapsed="false">
      <c r="A856" s="7" t="s">
        <v>1810</v>
      </c>
      <c r="B856" s="8" t="s">
        <v>1811</v>
      </c>
      <c r="C856" s="9"/>
      <c r="D856" s="8"/>
      <c r="E856" s="9"/>
      <c r="F856" s="9" t="n">
        <v>0</v>
      </c>
      <c r="G856" s="10" t="s">
        <v>1650</v>
      </c>
    </row>
    <row r="857" customFormat="false" ht="15" hidden="false" customHeight="false" outlineLevel="0" collapsed="false">
      <c r="A857" s="7" t="s">
        <v>1812</v>
      </c>
      <c r="B857" s="8" t="s">
        <v>1813</v>
      </c>
      <c r="C857" s="9"/>
      <c r="D857" s="8"/>
      <c r="E857" s="9"/>
      <c r="F857" s="9" t="n">
        <v>0</v>
      </c>
      <c r="G857" s="10" t="s">
        <v>1650</v>
      </c>
    </row>
    <row r="858" customFormat="false" ht="15" hidden="false" customHeight="false" outlineLevel="0" collapsed="false">
      <c r="A858" s="7" t="s">
        <v>1814</v>
      </c>
      <c r="B858" s="8" t="s">
        <v>1815</v>
      </c>
      <c r="C858" s="9"/>
      <c r="D858" s="8"/>
      <c r="E858" s="9"/>
      <c r="F858" s="9" t="n">
        <v>0</v>
      </c>
      <c r="G858" s="10" t="s">
        <v>1650</v>
      </c>
    </row>
    <row r="859" customFormat="false" ht="15" hidden="false" customHeight="false" outlineLevel="0" collapsed="false">
      <c r="A859" s="7" t="s">
        <v>1816</v>
      </c>
      <c r="B859" s="8" t="s">
        <v>1817</v>
      </c>
      <c r="C859" s="9"/>
      <c r="D859" s="8"/>
      <c r="E859" s="9"/>
      <c r="F859" s="9" t="n">
        <v>0</v>
      </c>
      <c r="G859" s="10" t="s">
        <v>1650</v>
      </c>
    </row>
    <row r="860" customFormat="false" ht="15" hidden="false" customHeight="false" outlineLevel="0" collapsed="false">
      <c r="A860" s="7" t="s">
        <v>1818</v>
      </c>
      <c r="B860" s="8" t="s">
        <v>1819</v>
      </c>
      <c r="C860" s="9"/>
      <c r="D860" s="8"/>
      <c r="E860" s="9"/>
      <c r="F860" s="9" t="n">
        <v>0</v>
      </c>
      <c r="G860" s="10" t="s">
        <v>1650</v>
      </c>
    </row>
    <row r="861" customFormat="false" ht="15" hidden="false" customHeight="false" outlineLevel="0" collapsed="false">
      <c r="A861" s="7" t="s">
        <v>1820</v>
      </c>
      <c r="B861" s="8" t="s">
        <v>1821</v>
      </c>
      <c r="C861" s="9"/>
      <c r="D861" s="8"/>
      <c r="E861" s="9"/>
      <c r="F861" s="9" t="n">
        <v>0</v>
      </c>
      <c r="G861" s="10" t="s">
        <v>1650</v>
      </c>
    </row>
    <row r="862" customFormat="false" ht="15" hidden="false" customHeight="false" outlineLevel="0" collapsed="false">
      <c r="A862" s="7" t="s">
        <v>1822</v>
      </c>
      <c r="B862" s="8" t="s">
        <v>1557</v>
      </c>
      <c r="C862" s="9"/>
      <c r="D862" s="8"/>
      <c r="E862" s="9"/>
      <c r="F862" s="9" t="n">
        <v>0</v>
      </c>
      <c r="G862" s="10" t="s">
        <v>1650</v>
      </c>
    </row>
    <row r="863" customFormat="false" ht="15" hidden="false" customHeight="false" outlineLevel="0" collapsed="false">
      <c r="A863" s="7" t="s">
        <v>1823</v>
      </c>
      <c r="B863" s="8" t="s">
        <v>1824</v>
      </c>
      <c r="C863" s="9"/>
      <c r="D863" s="8"/>
      <c r="E863" s="9"/>
      <c r="F863" s="9" t="n">
        <v>0</v>
      </c>
      <c r="G863" s="10" t="s">
        <v>1650</v>
      </c>
    </row>
    <row r="864" customFormat="false" ht="15" hidden="false" customHeight="false" outlineLevel="0" collapsed="false">
      <c r="A864" s="7" t="s">
        <v>1825</v>
      </c>
      <c r="B864" s="8" t="s">
        <v>682</v>
      </c>
      <c r="C864" s="9"/>
      <c r="D864" s="8"/>
      <c r="E864" s="9"/>
      <c r="F864" s="9" t="n">
        <v>0</v>
      </c>
      <c r="G864" s="10" t="s">
        <v>1650</v>
      </c>
    </row>
    <row r="865" customFormat="false" ht="15" hidden="false" customHeight="false" outlineLevel="0" collapsed="false">
      <c r="A865" s="7" t="s">
        <v>1826</v>
      </c>
      <c r="B865" s="8" t="s">
        <v>1827</v>
      </c>
      <c r="C865" s="9"/>
      <c r="D865" s="8"/>
      <c r="E865" s="9"/>
      <c r="F865" s="9" t="n">
        <v>0</v>
      </c>
      <c r="G865" s="10" t="s">
        <v>1650</v>
      </c>
    </row>
    <row r="866" customFormat="false" ht="15" hidden="false" customHeight="false" outlineLevel="0" collapsed="false">
      <c r="A866" s="7" t="s">
        <v>1828</v>
      </c>
      <c r="B866" s="8" t="s">
        <v>404</v>
      </c>
      <c r="C866" s="9"/>
      <c r="D866" s="8"/>
      <c r="E866" s="9"/>
      <c r="F866" s="9" t="n">
        <v>0</v>
      </c>
      <c r="G866" s="10" t="s">
        <v>1650</v>
      </c>
    </row>
    <row r="867" customFormat="false" ht="15" hidden="false" customHeight="false" outlineLevel="0" collapsed="false">
      <c r="A867" s="7" t="s">
        <v>1829</v>
      </c>
      <c r="B867" s="8" t="s">
        <v>1830</v>
      </c>
      <c r="C867" s="9"/>
      <c r="D867" s="8"/>
      <c r="E867" s="9"/>
      <c r="F867" s="9" t="n">
        <v>0</v>
      </c>
      <c r="G867" s="10" t="s">
        <v>1650</v>
      </c>
    </row>
    <row r="868" customFormat="false" ht="15" hidden="false" customHeight="false" outlineLevel="0" collapsed="false">
      <c r="A868" s="7" t="s">
        <v>1831</v>
      </c>
      <c r="B868" s="8" t="s">
        <v>1832</v>
      </c>
      <c r="C868" s="9"/>
      <c r="D868" s="8"/>
      <c r="E868" s="9"/>
      <c r="F868" s="9" t="n">
        <v>0</v>
      </c>
      <c r="G868" s="10" t="s">
        <v>1650</v>
      </c>
    </row>
    <row r="869" customFormat="false" ht="15" hidden="false" customHeight="false" outlineLevel="0" collapsed="false">
      <c r="A869" s="7" t="s">
        <v>1833</v>
      </c>
      <c r="B869" s="8" t="s">
        <v>1834</v>
      </c>
      <c r="C869" s="9"/>
      <c r="D869" s="8"/>
      <c r="E869" s="9"/>
      <c r="F869" s="9" t="n">
        <v>0</v>
      </c>
      <c r="G869" s="10" t="s">
        <v>1650</v>
      </c>
    </row>
    <row r="870" customFormat="false" ht="15" hidden="false" customHeight="false" outlineLevel="0" collapsed="false">
      <c r="A870" s="7" t="s">
        <v>1835</v>
      </c>
      <c r="B870" s="8" t="s">
        <v>1836</v>
      </c>
      <c r="C870" s="9"/>
      <c r="D870" s="8"/>
      <c r="E870" s="9"/>
      <c r="F870" s="9" t="n">
        <v>0</v>
      </c>
      <c r="G870" s="10" t="s">
        <v>1650</v>
      </c>
    </row>
    <row r="871" customFormat="false" ht="15" hidden="false" customHeight="false" outlineLevel="0" collapsed="false">
      <c r="A871" s="7" t="s">
        <v>1837</v>
      </c>
      <c r="B871" s="8" t="s">
        <v>1838</v>
      </c>
      <c r="C871" s="9"/>
      <c r="D871" s="8"/>
      <c r="E871" s="9"/>
      <c r="F871" s="9" t="n">
        <v>0</v>
      </c>
      <c r="G871" s="10" t="s">
        <v>1650</v>
      </c>
    </row>
    <row r="872" customFormat="false" ht="15" hidden="false" customHeight="false" outlineLevel="0" collapsed="false">
      <c r="A872" s="7" t="s">
        <v>1839</v>
      </c>
      <c r="B872" s="8" t="s">
        <v>1840</v>
      </c>
      <c r="C872" s="9"/>
      <c r="D872" s="8"/>
      <c r="E872" s="9"/>
      <c r="F872" s="9" t="n">
        <v>0</v>
      </c>
      <c r="G872" s="10" t="s">
        <v>1650</v>
      </c>
    </row>
    <row r="873" customFormat="false" ht="15" hidden="false" customHeight="false" outlineLevel="0" collapsed="false">
      <c r="A873" s="7" t="s">
        <v>1841</v>
      </c>
      <c r="B873" s="8" t="s">
        <v>1842</v>
      </c>
      <c r="C873" s="9"/>
      <c r="D873" s="8"/>
      <c r="E873" s="9"/>
      <c r="F873" s="9" t="n">
        <v>0</v>
      </c>
      <c r="G873" s="10" t="s">
        <v>1650</v>
      </c>
    </row>
    <row r="874" customFormat="false" ht="15" hidden="false" customHeight="false" outlineLevel="0" collapsed="false">
      <c r="A874" s="7" t="s">
        <v>1843</v>
      </c>
      <c r="B874" s="8" t="s">
        <v>1844</v>
      </c>
      <c r="C874" s="9"/>
      <c r="D874" s="8"/>
      <c r="E874" s="9"/>
      <c r="F874" s="9" t="n">
        <v>0</v>
      </c>
      <c r="G874" s="10" t="s">
        <v>1650</v>
      </c>
    </row>
    <row r="875" customFormat="false" ht="15" hidden="false" customHeight="false" outlineLevel="0" collapsed="false">
      <c r="A875" s="7" t="s">
        <v>1845</v>
      </c>
      <c r="B875" s="8" t="s">
        <v>1846</v>
      </c>
      <c r="C875" s="9"/>
      <c r="D875" s="8"/>
      <c r="E875" s="9"/>
      <c r="F875" s="9" t="n">
        <v>0</v>
      </c>
      <c r="G875" s="10" t="s">
        <v>1650</v>
      </c>
    </row>
    <row r="876" customFormat="false" ht="15" hidden="false" customHeight="false" outlineLevel="0" collapsed="false">
      <c r="A876" s="7" t="s">
        <v>1847</v>
      </c>
      <c r="B876" s="8" t="s">
        <v>1848</v>
      </c>
      <c r="C876" s="9"/>
      <c r="D876" s="8"/>
      <c r="E876" s="9"/>
      <c r="F876" s="9" t="n">
        <v>0</v>
      </c>
      <c r="G876" s="10" t="s">
        <v>1650</v>
      </c>
    </row>
    <row r="877" customFormat="false" ht="15" hidden="false" customHeight="false" outlineLevel="0" collapsed="false">
      <c r="A877" s="7" t="s">
        <v>1849</v>
      </c>
      <c r="B877" s="8" t="s">
        <v>1850</v>
      </c>
      <c r="C877" s="9"/>
      <c r="D877" s="8"/>
      <c r="E877" s="9"/>
      <c r="F877" s="9" t="n">
        <v>0</v>
      </c>
      <c r="G877" s="10" t="s">
        <v>1650</v>
      </c>
    </row>
    <row r="878" customFormat="false" ht="15" hidden="false" customHeight="false" outlineLevel="0" collapsed="false">
      <c r="A878" s="7" t="s">
        <v>1851</v>
      </c>
      <c r="B878" s="8" t="s">
        <v>1852</v>
      </c>
      <c r="C878" s="9"/>
      <c r="D878" s="8"/>
      <c r="E878" s="9"/>
      <c r="F878" s="9" t="n">
        <v>0</v>
      </c>
      <c r="G878" s="10" t="s">
        <v>1650</v>
      </c>
    </row>
    <row r="879" customFormat="false" ht="15" hidden="false" customHeight="false" outlineLevel="0" collapsed="false">
      <c r="A879" s="7" t="s">
        <v>1853</v>
      </c>
      <c r="B879" s="8" t="s">
        <v>1854</v>
      </c>
      <c r="C879" s="9"/>
      <c r="D879" s="8"/>
      <c r="E879" s="9"/>
      <c r="F879" s="9" t="n">
        <v>0</v>
      </c>
      <c r="G879" s="10" t="s">
        <v>1650</v>
      </c>
    </row>
    <row r="880" customFormat="false" ht="15" hidden="false" customHeight="false" outlineLevel="0" collapsed="false">
      <c r="A880" s="7" t="s">
        <v>1855</v>
      </c>
      <c r="B880" s="8" t="s">
        <v>1856</v>
      </c>
      <c r="C880" s="9"/>
      <c r="D880" s="8"/>
      <c r="E880" s="9"/>
      <c r="F880" s="9" t="n">
        <v>0</v>
      </c>
      <c r="G880" s="10" t="s">
        <v>1650</v>
      </c>
    </row>
    <row r="881" customFormat="false" ht="15" hidden="false" customHeight="false" outlineLevel="0" collapsed="false">
      <c r="A881" s="7" t="s">
        <v>1857</v>
      </c>
      <c r="B881" s="8" t="s">
        <v>1858</v>
      </c>
      <c r="C881" s="9"/>
      <c r="D881" s="8"/>
      <c r="E881" s="9"/>
      <c r="F881" s="9" t="n">
        <v>0</v>
      </c>
      <c r="G881" s="10" t="s">
        <v>1650</v>
      </c>
    </row>
    <row r="882" customFormat="false" ht="15" hidden="false" customHeight="false" outlineLevel="0" collapsed="false">
      <c r="A882" s="7" t="s">
        <v>1859</v>
      </c>
      <c r="B882" s="8" t="s">
        <v>1860</v>
      </c>
      <c r="C882" s="9"/>
      <c r="D882" s="8"/>
      <c r="E882" s="9"/>
      <c r="F882" s="9" t="n">
        <v>0</v>
      </c>
      <c r="G882" s="10" t="s">
        <v>1650</v>
      </c>
    </row>
    <row r="883" customFormat="false" ht="15" hidden="false" customHeight="false" outlineLevel="0" collapsed="false">
      <c r="A883" s="7" t="s">
        <v>1861</v>
      </c>
      <c r="B883" s="8" t="s">
        <v>1862</v>
      </c>
      <c r="C883" s="9"/>
      <c r="D883" s="8"/>
      <c r="E883" s="9"/>
      <c r="F883" s="9" t="n">
        <v>0</v>
      </c>
      <c r="G883" s="10" t="s">
        <v>1650</v>
      </c>
    </row>
    <row r="884" customFormat="false" ht="15" hidden="false" customHeight="false" outlineLevel="0" collapsed="false">
      <c r="A884" s="7" t="s">
        <v>1863</v>
      </c>
      <c r="B884" s="8" t="s">
        <v>1864</v>
      </c>
      <c r="C884" s="9"/>
      <c r="D884" s="8"/>
      <c r="E884" s="9"/>
      <c r="F884" s="9" t="n">
        <v>0</v>
      </c>
      <c r="G884" s="10" t="s">
        <v>1650</v>
      </c>
    </row>
    <row r="885" customFormat="false" ht="15" hidden="false" customHeight="false" outlineLevel="0" collapsed="false">
      <c r="A885" s="7" t="s">
        <v>1865</v>
      </c>
      <c r="B885" s="8" t="s">
        <v>1866</v>
      </c>
      <c r="C885" s="9"/>
      <c r="D885" s="8"/>
      <c r="E885" s="9"/>
      <c r="F885" s="9" t="n">
        <v>0</v>
      </c>
      <c r="G885" s="10" t="s">
        <v>1650</v>
      </c>
    </row>
    <row r="886" customFormat="false" ht="15" hidden="false" customHeight="false" outlineLevel="0" collapsed="false">
      <c r="A886" s="7" t="s">
        <v>1867</v>
      </c>
      <c r="B886" s="8" t="s">
        <v>1868</v>
      </c>
      <c r="C886" s="9"/>
      <c r="D886" s="8"/>
      <c r="E886" s="9"/>
      <c r="F886" s="9" t="n">
        <v>0</v>
      </c>
      <c r="G886" s="10" t="s">
        <v>1650</v>
      </c>
    </row>
    <row r="887" customFormat="false" ht="15" hidden="false" customHeight="false" outlineLevel="0" collapsed="false">
      <c r="A887" s="7" t="s">
        <v>1869</v>
      </c>
      <c r="B887" s="8" t="s">
        <v>1870</v>
      </c>
      <c r="C887" s="9"/>
      <c r="D887" s="8"/>
      <c r="E887" s="9"/>
      <c r="F887" s="9" t="n">
        <v>0</v>
      </c>
      <c r="G887" s="10" t="s">
        <v>1650</v>
      </c>
    </row>
    <row r="888" customFormat="false" ht="15" hidden="false" customHeight="false" outlineLevel="0" collapsed="false">
      <c r="A888" s="7" t="s">
        <v>1871</v>
      </c>
      <c r="B888" s="8" t="s">
        <v>1872</v>
      </c>
      <c r="C888" s="9"/>
      <c r="D888" s="8"/>
      <c r="E888" s="9"/>
      <c r="F888" s="9" t="n">
        <v>0</v>
      </c>
      <c r="G888" s="10" t="s">
        <v>1650</v>
      </c>
    </row>
    <row r="889" customFormat="false" ht="15" hidden="false" customHeight="false" outlineLevel="0" collapsed="false">
      <c r="A889" s="7" t="s">
        <v>1873</v>
      </c>
      <c r="B889" s="8" t="s">
        <v>1874</v>
      </c>
      <c r="C889" s="9"/>
      <c r="D889" s="8"/>
      <c r="E889" s="9"/>
      <c r="F889" s="9" t="n">
        <v>0</v>
      </c>
      <c r="G889" s="10" t="s">
        <v>1650</v>
      </c>
    </row>
    <row r="890" customFormat="false" ht="15" hidden="false" customHeight="false" outlineLevel="0" collapsed="false">
      <c r="A890" s="7" t="s">
        <v>1875</v>
      </c>
      <c r="B890" s="8" t="s">
        <v>1876</v>
      </c>
      <c r="C890" s="9"/>
      <c r="D890" s="8"/>
      <c r="E890" s="9"/>
      <c r="F890" s="9" t="n">
        <v>0</v>
      </c>
      <c r="G890" s="10" t="s">
        <v>1650</v>
      </c>
    </row>
    <row r="891" customFormat="false" ht="15" hidden="false" customHeight="false" outlineLevel="0" collapsed="false">
      <c r="A891" s="7" t="s">
        <v>1877</v>
      </c>
      <c r="B891" s="8" t="s">
        <v>1878</v>
      </c>
      <c r="C891" s="9"/>
      <c r="D891" s="8"/>
      <c r="E891" s="9"/>
      <c r="F891" s="9" t="n">
        <v>0</v>
      </c>
      <c r="G891" s="10" t="s">
        <v>1650</v>
      </c>
    </row>
    <row r="892" customFormat="false" ht="15" hidden="false" customHeight="false" outlineLevel="0" collapsed="false">
      <c r="A892" s="7" t="s">
        <v>1879</v>
      </c>
      <c r="B892" s="8" t="s">
        <v>1880</v>
      </c>
      <c r="C892" s="9"/>
      <c r="D892" s="8"/>
      <c r="E892" s="9"/>
      <c r="F892" s="9" t="n">
        <v>0</v>
      </c>
      <c r="G892" s="10" t="s">
        <v>1650</v>
      </c>
    </row>
    <row r="893" customFormat="false" ht="15" hidden="false" customHeight="false" outlineLevel="0" collapsed="false">
      <c r="A893" s="7" t="s">
        <v>1881</v>
      </c>
      <c r="B893" s="8" t="s">
        <v>1882</v>
      </c>
      <c r="C893" s="9"/>
      <c r="D893" s="8"/>
      <c r="E893" s="9"/>
      <c r="F893" s="9" t="n">
        <v>0</v>
      </c>
      <c r="G893" s="10" t="s">
        <v>1650</v>
      </c>
    </row>
    <row r="894" customFormat="false" ht="15" hidden="false" customHeight="false" outlineLevel="0" collapsed="false">
      <c r="A894" s="7" t="s">
        <v>1883</v>
      </c>
      <c r="B894" s="8" t="s">
        <v>1884</v>
      </c>
      <c r="C894" s="9"/>
      <c r="D894" s="8"/>
      <c r="E894" s="9"/>
      <c r="F894" s="9" t="n">
        <v>0</v>
      </c>
      <c r="G894" s="10" t="s">
        <v>1650</v>
      </c>
    </row>
    <row r="895" customFormat="false" ht="15" hidden="false" customHeight="false" outlineLevel="0" collapsed="false">
      <c r="A895" s="7" t="s">
        <v>1885</v>
      </c>
      <c r="B895" s="8" t="s">
        <v>1886</v>
      </c>
      <c r="C895" s="9"/>
      <c r="D895" s="8"/>
      <c r="E895" s="9"/>
      <c r="F895" s="9" t="n">
        <v>0</v>
      </c>
      <c r="G895" s="10" t="s">
        <v>1650</v>
      </c>
    </row>
    <row r="896" customFormat="false" ht="15" hidden="false" customHeight="false" outlineLevel="0" collapsed="false">
      <c r="A896" s="7" t="s">
        <v>1887</v>
      </c>
      <c r="B896" s="8" t="s">
        <v>1888</v>
      </c>
      <c r="C896" s="9"/>
      <c r="D896" s="8"/>
      <c r="E896" s="9"/>
      <c r="F896" s="9" t="n">
        <v>0</v>
      </c>
      <c r="G896" s="10" t="s">
        <v>1650</v>
      </c>
    </row>
    <row r="897" customFormat="false" ht="15" hidden="false" customHeight="false" outlineLevel="0" collapsed="false">
      <c r="A897" s="7" t="s">
        <v>1889</v>
      </c>
      <c r="B897" s="8" t="s">
        <v>1890</v>
      </c>
      <c r="C897" s="9"/>
      <c r="D897" s="8"/>
      <c r="E897" s="9"/>
      <c r="F897" s="9" t="n">
        <v>0</v>
      </c>
      <c r="G897" s="10" t="s">
        <v>1650</v>
      </c>
    </row>
    <row r="898" customFormat="false" ht="15" hidden="false" customHeight="false" outlineLevel="0" collapsed="false">
      <c r="A898" s="7" t="s">
        <v>1891</v>
      </c>
      <c r="B898" s="8" t="s">
        <v>1892</v>
      </c>
      <c r="C898" s="9"/>
      <c r="D898" s="8"/>
      <c r="E898" s="9"/>
      <c r="F898" s="9" t="n">
        <v>0</v>
      </c>
      <c r="G898" s="10" t="s">
        <v>1650</v>
      </c>
    </row>
    <row r="899" customFormat="false" ht="15" hidden="false" customHeight="false" outlineLevel="0" collapsed="false">
      <c r="A899" s="7" t="s">
        <v>1893</v>
      </c>
      <c r="B899" s="8" t="s">
        <v>1894</v>
      </c>
      <c r="C899" s="9"/>
      <c r="D899" s="8"/>
      <c r="E899" s="9"/>
      <c r="F899" s="9" t="n">
        <v>0</v>
      </c>
      <c r="G899" s="10" t="s">
        <v>1650</v>
      </c>
    </row>
    <row r="900" customFormat="false" ht="15" hidden="false" customHeight="false" outlineLevel="0" collapsed="false">
      <c r="A900" s="7" t="s">
        <v>1895</v>
      </c>
      <c r="B900" s="8" t="s">
        <v>1896</v>
      </c>
      <c r="C900" s="9"/>
      <c r="D900" s="8"/>
      <c r="E900" s="9"/>
      <c r="F900" s="9" t="n">
        <v>0</v>
      </c>
      <c r="G900" s="10" t="s">
        <v>1650</v>
      </c>
    </row>
    <row r="901" customFormat="false" ht="15" hidden="false" customHeight="false" outlineLevel="0" collapsed="false">
      <c r="A901" s="7" t="s">
        <v>1897</v>
      </c>
      <c r="B901" s="8" t="s">
        <v>1898</v>
      </c>
      <c r="C901" s="9"/>
      <c r="D901" s="8"/>
      <c r="E901" s="9"/>
      <c r="F901" s="9" t="n">
        <v>0</v>
      </c>
      <c r="G901" s="10" t="s">
        <v>1650</v>
      </c>
    </row>
    <row r="902" customFormat="false" ht="15" hidden="false" customHeight="false" outlineLevel="0" collapsed="false">
      <c r="A902" s="7" t="s">
        <v>1899</v>
      </c>
      <c r="B902" s="8" t="s">
        <v>1900</v>
      </c>
      <c r="C902" s="9"/>
      <c r="D902" s="8"/>
      <c r="E902" s="9"/>
      <c r="F902" s="9" t="n">
        <v>0</v>
      </c>
      <c r="G902" s="10" t="s">
        <v>1650</v>
      </c>
    </row>
    <row r="903" customFormat="false" ht="15" hidden="false" customHeight="false" outlineLevel="0" collapsed="false">
      <c r="A903" s="7" t="s">
        <v>1901</v>
      </c>
      <c r="B903" s="8" t="s">
        <v>1902</v>
      </c>
      <c r="C903" s="9"/>
      <c r="D903" s="8"/>
      <c r="E903" s="9"/>
      <c r="F903" s="9" t="n">
        <v>0</v>
      </c>
      <c r="G903" s="10" t="s">
        <v>1650</v>
      </c>
    </row>
    <row r="904" customFormat="false" ht="15" hidden="false" customHeight="false" outlineLevel="0" collapsed="false">
      <c r="A904" s="7" t="s">
        <v>1903</v>
      </c>
      <c r="B904" s="8" t="s">
        <v>1904</v>
      </c>
      <c r="C904" s="9"/>
      <c r="D904" s="8"/>
      <c r="E904" s="9"/>
      <c r="F904" s="9" t="n">
        <v>0</v>
      </c>
      <c r="G904" s="10" t="s">
        <v>1650</v>
      </c>
    </row>
    <row r="905" customFormat="false" ht="15" hidden="false" customHeight="false" outlineLevel="0" collapsed="false">
      <c r="A905" s="7" t="s">
        <v>1905</v>
      </c>
      <c r="B905" s="8" t="s">
        <v>1906</v>
      </c>
      <c r="C905" s="9"/>
      <c r="D905" s="8"/>
      <c r="E905" s="9"/>
      <c r="F905" s="9" t="n">
        <v>0</v>
      </c>
      <c r="G905" s="10" t="s">
        <v>1650</v>
      </c>
    </row>
    <row r="906" customFormat="false" ht="15" hidden="false" customHeight="false" outlineLevel="0" collapsed="false">
      <c r="A906" s="7" t="s">
        <v>1907</v>
      </c>
      <c r="B906" s="8" t="s">
        <v>1908</v>
      </c>
      <c r="C906" s="9"/>
      <c r="D906" s="8"/>
      <c r="E906" s="9"/>
      <c r="F906" s="9" t="n">
        <v>0</v>
      </c>
      <c r="G906" s="10" t="s">
        <v>1650</v>
      </c>
    </row>
    <row r="907" customFormat="false" ht="15" hidden="false" customHeight="false" outlineLevel="0" collapsed="false">
      <c r="A907" s="7" t="s">
        <v>1909</v>
      </c>
      <c r="B907" s="8" t="s">
        <v>1910</v>
      </c>
      <c r="C907" s="9"/>
      <c r="D907" s="8"/>
      <c r="E907" s="9"/>
      <c r="F907" s="9" t="n">
        <v>0</v>
      </c>
      <c r="G907" s="10" t="s">
        <v>1650</v>
      </c>
    </row>
    <row r="908" customFormat="false" ht="15" hidden="false" customHeight="false" outlineLevel="0" collapsed="false">
      <c r="A908" s="7" t="s">
        <v>1911</v>
      </c>
      <c r="B908" s="8" t="s">
        <v>1912</v>
      </c>
      <c r="C908" s="9"/>
      <c r="D908" s="8"/>
      <c r="E908" s="9"/>
      <c r="F908" s="9" t="n">
        <v>0</v>
      </c>
      <c r="G908" s="10" t="s">
        <v>1650</v>
      </c>
    </row>
    <row r="909" customFormat="false" ht="15" hidden="false" customHeight="false" outlineLevel="0" collapsed="false">
      <c r="A909" s="7" t="s">
        <v>1913</v>
      </c>
      <c r="B909" s="8" t="s">
        <v>1914</v>
      </c>
      <c r="C909" s="9"/>
      <c r="D909" s="8"/>
      <c r="E909" s="9"/>
      <c r="F909" s="9" t="n">
        <v>0</v>
      </c>
      <c r="G909" s="10" t="s">
        <v>1650</v>
      </c>
    </row>
    <row r="910" customFormat="false" ht="15" hidden="false" customHeight="false" outlineLevel="0" collapsed="false">
      <c r="A910" s="7" t="s">
        <v>1915</v>
      </c>
      <c r="B910" s="8" t="s">
        <v>1916</v>
      </c>
      <c r="C910" s="9"/>
      <c r="D910" s="8"/>
      <c r="E910" s="9"/>
      <c r="F910" s="9" t="n">
        <v>0</v>
      </c>
      <c r="G910" s="10" t="s">
        <v>1650</v>
      </c>
    </row>
    <row r="911" customFormat="false" ht="15" hidden="false" customHeight="false" outlineLevel="0" collapsed="false">
      <c r="A911" s="7" t="s">
        <v>1917</v>
      </c>
      <c r="B911" s="8" t="s">
        <v>1918</v>
      </c>
      <c r="C911" s="9"/>
      <c r="D911" s="8"/>
      <c r="E911" s="9"/>
      <c r="F911" s="9" t="n">
        <v>0</v>
      </c>
      <c r="G911" s="10" t="s">
        <v>1650</v>
      </c>
    </row>
    <row r="912" customFormat="false" ht="15" hidden="false" customHeight="false" outlineLevel="0" collapsed="false">
      <c r="A912" s="7" t="s">
        <v>1919</v>
      </c>
      <c r="B912" s="8"/>
      <c r="C912" s="9"/>
      <c r="D912" s="8"/>
      <c r="E912" s="9"/>
      <c r="F912" s="9" t="n">
        <v>0</v>
      </c>
      <c r="G912" s="10" t="s">
        <v>1650</v>
      </c>
    </row>
    <row r="913" customFormat="false" ht="15" hidden="false" customHeight="false" outlineLevel="0" collapsed="false">
      <c r="A913" s="7" t="s">
        <v>1920</v>
      </c>
      <c r="B913" s="8"/>
      <c r="C913" s="9"/>
      <c r="D913" s="8"/>
      <c r="E913" s="9"/>
      <c r="F913" s="9" t="n">
        <v>0</v>
      </c>
      <c r="G913" s="10" t="s">
        <v>1650</v>
      </c>
    </row>
    <row r="914" customFormat="false" ht="15" hidden="false" customHeight="false" outlineLevel="0" collapsed="false">
      <c r="A914" s="7" t="s">
        <v>1921</v>
      </c>
      <c r="B914" s="8"/>
      <c r="C914" s="9"/>
      <c r="D914" s="8"/>
      <c r="E914" s="9"/>
      <c r="F914" s="9" t="n">
        <v>0</v>
      </c>
      <c r="G914" s="10" t="s">
        <v>1650</v>
      </c>
    </row>
    <row r="915" customFormat="false" ht="15" hidden="false" customHeight="false" outlineLevel="0" collapsed="false">
      <c r="A915" s="7" t="s">
        <v>1922</v>
      </c>
      <c r="B915" s="8"/>
      <c r="C915" s="9"/>
      <c r="D915" s="8"/>
      <c r="E915" s="9"/>
      <c r="F915" s="9" t="n">
        <v>0</v>
      </c>
      <c r="G915" s="10" t="s">
        <v>1650</v>
      </c>
    </row>
    <row r="916" customFormat="false" ht="15" hidden="false" customHeight="false" outlineLevel="0" collapsed="false">
      <c r="A916" s="7" t="s">
        <v>1923</v>
      </c>
      <c r="B916" s="8"/>
      <c r="C916" s="9"/>
      <c r="D916" s="8"/>
      <c r="E916" s="9"/>
      <c r="F916" s="9" t="n">
        <v>0</v>
      </c>
      <c r="G916" s="10" t="s">
        <v>1650</v>
      </c>
    </row>
    <row r="917" customFormat="false" ht="15" hidden="false" customHeight="false" outlineLevel="0" collapsed="false">
      <c r="A917" s="7" t="s">
        <v>1924</v>
      </c>
      <c r="B917" s="8"/>
      <c r="C917" s="9"/>
      <c r="D917" s="8"/>
      <c r="E917" s="9"/>
      <c r="F917" s="9" t="n">
        <v>0</v>
      </c>
      <c r="G917" s="10" t="s">
        <v>1650</v>
      </c>
    </row>
    <row r="918" customFormat="false" ht="15" hidden="false" customHeight="false" outlineLevel="0" collapsed="false">
      <c r="A918" s="7" t="s">
        <v>1925</v>
      </c>
      <c r="B918" s="8"/>
      <c r="C918" s="9"/>
      <c r="D918" s="8"/>
      <c r="E918" s="9"/>
      <c r="F918" s="9" t="n">
        <v>0</v>
      </c>
      <c r="G918" s="10" t="s">
        <v>1650</v>
      </c>
    </row>
    <row r="919" customFormat="false" ht="15" hidden="false" customHeight="false" outlineLevel="0" collapsed="false">
      <c r="A919" s="7" t="s">
        <v>1926</v>
      </c>
      <c r="B919" s="8"/>
      <c r="C919" s="9"/>
      <c r="D919" s="8"/>
      <c r="E919" s="9"/>
      <c r="F919" s="9" t="n">
        <v>0</v>
      </c>
      <c r="G919" s="10" t="s">
        <v>1650</v>
      </c>
    </row>
    <row r="920" customFormat="false" ht="15" hidden="false" customHeight="false" outlineLevel="0" collapsed="false">
      <c r="A920" s="7" t="s">
        <v>1927</v>
      </c>
      <c r="B920" s="8"/>
      <c r="C920" s="9"/>
      <c r="D920" s="8"/>
      <c r="E920" s="9"/>
      <c r="F920" s="9" t="n">
        <v>0</v>
      </c>
      <c r="G920" s="10" t="s">
        <v>1650</v>
      </c>
    </row>
    <row r="921" customFormat="false" ht="15" hidden="false" customHeight="false" outlineLevel="0" collapsed="false">
      <c r="A921" s="7" t="s">
        <v>1928</v>
      </c>
      <c r="B921" s="8"/>
      <c r="C921" s="9"/>
      <c r="D921" s="8"/>
      <c r="E921" s="9"/>
      <c r="F921" s="9" t="n">
        <v>0</v>
      </c>
      <c r="G921" s="10" t="s">
        <v>1650</v>
      </c>
    </row>
    <row r="922" customFormat="false" ht="15" hidden="false" customHeight="false" outlineLevel="0" collapsed="false">
      <c r="A922" s="7" t="s">
        <v>1929</v>
      </c>
      <c r="B922" s="8"/>
      <c r="C922" s="9"/>
      <c r="D922" s="8"/>
      <c r="E922" s="9"/>
      <c r="F922" s="9" t="n">
        <v>0</v>
      </c>
      <c r="G922" s="10" t="s">
        <v>1650</v>
      </c>
    </row>
    <row r="923" customFormat="false" ht="15" hidden="false" customHeight="false" outlineLevel="0" collapsed="false">
      <c r="A923" s="7" t="s">
        <v>1930</v>
      </c>
      <c r="B923" s="8"/>
      <c r="C923" s="9"/>
      <c r="D923" s="8"/>
      <c r="E923" s="9"/>
      <c r="F923" s="9" t="n">
        <v>0</v>
      </c>
      <c r="G923" s="10" t="s">
        <v>1650</v>
      </c>
    </row>
    <row r="924" customFormat="false" ht="15" hidden="false" customHeight="false" outlineLevel="0" collapsed="false">
      <c r="A924" s="7" t="s">
        <v>1931</v>
      </c>
      <c r="B924" s="8"/>
      <c r="C924" s="9"/>
      <c r="D924" s="8"/>
      <c r="E924" s="9"/>
      <c r="F924" s="9" t="n">
        <v>0</v>
      </c>
      <c r="G924" s="10" t="s">
        <v>1650</v>
      </c>
    </row>
    <row r="925" customFormat="false" ht="15" hidden="false" customHeight="false" outlineLevel="0" collapsed="false">
      <c r="A925" s="7" t="s">
        <v>1932</v>
      </c>
      <c r="B925" s="8"/>
      <c r="C925" s="9"/>
      <c r="D925" s="8"/>
      <c r="E925" s="9"/>
      <c r="F925" s="9" t="n">
        <v>0</v>
      </c>
      <c r="G925" s="10" t="s">
        <v>1650</v>
      </c>
    </row>
    <row r="926" customFormat="false" ht="15" hidden="false" customHeight="false" outlineLevel="0" collapsed="false">
      <c r="A926" s="7" t="s">
        <v>1933</v>
      </c>
      <c r="B926" s="8"/>
      <c r="C926" s="9"/>
      <c r="D926" s="8"/>
      <c r="E926" s="9"/>
      <c r="F926" s="9" t="n">
        <v>0</v>
      </c>
      <c r="G926" s="10" t="s">
        <v>1650</v>
      </c>
    </row>
    <row r="927" customFormat="false" ht="15" hidden="false" customHeight="false" outlineLevel="0" collapsed="false">
      <c r="A927" s="7" t="s">
        <v>1934</v>
      </c>
      <c r="B927" s="8"/>
      <c r="C927" s="9"/>
      <c r="D927" s="8"/>
      <c r="E927" s="9"/>
      <c r="F927" s="9" t="n">
        <v>0</v>
      </c>
      <c r="G927" s="10" t="s">
        <v>1650</v>
      </c>
    </row>
    <row r="928" customFormat="false" ht="15" hidden="false" customHeight="false" outlineLevel="0" collapsed="false">
      <c r="A928" s="7" t="s">
        <v>1935</v>
      </c>
      <c r="B928" s="8"/>
      <c r="C928" s="9"/>
      <c r="D928" s="8"/>
      <c r="E928" s="9"/>
      <c r="F928" s="9" t="n">
        <v>0</v>
      </c>
      <c r="G928" s="10" t="s">
        <v>1650</v>
      </c>
    </row>
    <row r="929" customFormat="false" ht="15" hidden="false" customHeight="false" outlineLevel="0" collapsed="false">
      <c r="A929" s="7" t="s">
        <v>1936</v>
      </c>
      <c r="B929" s="8"/>
      <c r="C929" s="9"/>
      <c r="D929" s="8"/>
      <c r="E929" s="9"/>
      <c r="F929" s="9" t="n">
        <v>0</v>
      </c>
      <c r="G929" s="10" t="s">
        <v>1650</v>
      </c>
    </row>
    <row r="930" customFormat="false" ht="15" hidden="false" customHeight="false" outlineLevel="0" collapsed="false">
      <c r="A930" s="7" t="s">
        <v>1937</v>
      </c>
      <c r="B930" s="8"/>
      <c r="C930" s="9"/>
      <c r="D930" s="8"/>
      <c r="E930" s="9"/>
      <c r="F930" s="9" t="n">
        <v>0</v>
      </c>
      <c r="G930" s="10" t="s">
        <v>1650</v>
      </c>
    </row>
    <row r="931" customFormat="false" ht="15" hidden="false" customHeight="false" outlineLevel="0" collapsed="false">
      <c r="A931" s="7" t="s">
        <v>1938</v>
      </c>
      <c r="B931" s="8"/>
      <c r="C931" s="9"/>
      <c r="D931" s="8"/>
      <c r="E931" s="9"/>
      <c r="F931" s="9" t="n">
        <v>0</v>
      </c>
      <c r="G931" s="10" t="s">
        <v>1650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8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13" min="2" style="0" width="9"/>
    <col collapsed="false" customWidth="true" hidden="false" outlineLevel="0" max="14" min="14" style="0" width="11"/>
  </cols>
  <sheetData>
    <row r="1" customFormat="false" ht="15" hidden="false" customHeight="false" outlineLevel="0" collapsed="false">
      <c r="A1" s="6" t="s">
        <v>8</v>
      </c>
      <c r="B1" s="6" t="s">
        <v>1939</v>
      </c>
      <c r="C1" s="6" t="s">
        <v>1940</v>
      </c>
      <c r="D1" s="6" t="s">
        <v>1941</v>
      </c>
      <c r="E1" s="6" t="s">
        <v>1942</v>
      </c>
      <c r="F1" s="6" t="s">
        <v>1943</v>
      </c>
      <c r="G1" s="6" t="s">
        <v>1944</v>
      </c>
      <c r="H1" s="6" t="s">
        <v>1945</v>
      </c>
      <c r="I1" s="6" t="s">
        <v>1946</v>
      </c>
      <c r="J1" s="6" t="s">
        <v>1947</v>
      </c>
      <c r="K1" s="6" t="s">
        <v>1948</v>
      </c>
      <c r="L1" s="6" t="s">
        <v>1949</v>
      </c>
      <c r="M1" s="6" t="s">
        <v>1950</v>
      </c>
      <c r="N1" s="6" t="s">
        <v>1951</v>
      </c>
    </row>
    <row r="2" customFormat="false" ht="15" hidden="false" customHeight="false" outlineLevel="0" collapsed="false">
      <c r="A2" s="11" t="s">
        <v>21</v>
      </c>
      <c r="B2" s="9" t="n">
        <v>195</v>
      </c>
      <c r="C2" s="9" t="n">
        <v>251</v>
      </c>
      <c r="D2" s="9" t="n">
        <v>334</v>
      </c>
      <c r="E2" s="9" t="n">
        <v>325</v>
      </c>
      <c r="F2" s="9" t="n">
        <v>183</v>
      </c>
      <c r="G2" s="9" t="n">
        <v>276</v>
      </c>
      <c r="H2" s="9" t="n">
        <v>303</v>
      </c>
      <c r="I2" s="9" t="n">
        <v>245</v>
      </c>
      <c r="J2" s="9" t="n">
        <v>103</v>
      </c>
      <c r="K2" s="9" t="n">
        <v>0</v>
      </c>
      <c r="L2" s="9" t="n">
        <v>0</v>
      </c>
      <c r="M2" s="9" t="n">
        <v>0</v>
      </c>
      <c r="N2" s="12" t="n">
        <f aca="true">IFERROR(ROUND(SUM(OFFSET(B2,0,0,1,POSTAVKE!$B$7))/POSTAVKE!$B$7,2),0)</f>
        <v>264</v>
      </c>
    </row>
    <row r="3" customFormat="false" ht="15" hidden="false" customHeight="false" outlineLevel="0" collapsed="false">
      <c r="A3" s="11" t="s">
        <v>117</v>
      </c>
      <c r="B3" s="9" t="n">
        <v>134</v>
      </c>
      <c r="C3" s="9" t="n">
        <v>73</v>
      </c>
      <c r="D3" s="9" t="n">
        <v>121</v>
      </c>
      <c r="E3" s="9" t="n">
        <v>121</v>
      </c>
      <c r="F3" s="9" t="n">
        <v>77</v>
      </c>
      <c r="G3" s="9" t="n">
        <v>108</v>
      </c>
      <c r="H3" s="9" t="n">
        <v>145</v>
      </c>
      <c r="I3" s="9" t="n">
        <v>97</v>
      </c>
      <c r="J3" s="9" t="n">
        <v>47</v>
      </c>
      <c r="K3" s="9" t="n">
        <v>0</v>
      </c>
      <c r="L3" s="9" t="n">
        <v>0</v>
      </c>
      <c r="M3" s="9" t="n">
        <v>0</v>
      </c>
      <c r="N3" s="12" t="n">
        <f aca="true">IFERROR(ROUND(SUM(OFFSET(B3,0,0,1,POSTAVKE!$B$7))/POSTAVKE!$B$7,2),0)</f>
        <v>109.5</v>
      </c>
    </row>
    <row r="4" customFormat="false" ht="15" hidden="false" customHeight="false" outlineLevel="0" collapsed="false">
      <c r="A4" s="11" t="s">
        <v>85</v>
      </c>
      <c r="B4" s="9" t="n">
        <v>125</v>
      </c>
      <c r="C4" s="9" t="n">
        <v>102</v>
      </c>
      <c r="D4" s="9" t="n">
        <v>129</v>
      </c>
      <c r="E4" s="9" t="n">
        <v>124</v>
      </c>
      <c r="F4" s="9" t="n">
        <v>96</v>
      </c>
      <c r="G4" s="9" t="n">
        <v>154</v>
      </c>
      <c r="H4" s="9" t="n">
        <v>157</v>
      </c>
      <c r="I4" s="9" t="n">
        <v>121</v>
      </c>
      <c r="J4" s="9" t="n">
        <v>36</v>
      </c>
      <c r="K4" s="9" t="n">
        <v>0</v>
      </c>
      <c r="L4" s="9" t="n">
        <v>0</v>
      </c>
      <c r="M4" s="9" t="n">
        <v>0</v>
      </c>
      <c r="N4" s="12" t="n">
        <f aca="true">IFERROR(ROUND(SUM(OFFSET(B4,0,0,1,POSTAVKE!$B$7))/POSTAVKE!$B$7,2),0)</f>
        <v>126</v>
      </c>
    </row>
    <row r="5" customFormat="false" ht="15" hidden="false" customHeight="false" outlineLevel="0" collapsed="false">
      <c r="A5" s="11" t="s">
        <v>31</v>
      </c>
      <c r="B5" s="9" t="n">
        <v>112</v>
      </c>
      <c r="C5" s="9" t="n">
        <v>196</v>
      </c>
      <c r="D5" s="9" t="n">
        <v>87</v>
      </c>
      <c r="E5" s="9" t="n">
        <v>114</v>
      </c>
      <c r="F5" s="9" t="n">
        <v>114</v>
      </c>
      <c r="G5" s="9" t="n">
        <v>111</v>
      </c>
      <c r="H5" s="9" t="n">
        <v>220</v>
      </c>
      <c r="I5" s="9" t="n">
        <v>206</v>
      </c>
      <c r="J5" s="9" t="n">
        <v>36</v>
      </c>
      <c r="K5" s="9" t="n">
        <v>0</v>
      </c>
      <c r="L5" s="9" t="n">
        <v>0</v>
      </c>
      <c r="M5" s="9" t="n">
        <v>0</v>
      </c>
      <c r="N5" s="12" t="n">
        <f aca="true">IFERROR(ROUND(SUM(OFFSET(B5,0,0,1,POSTAVKE!$B$7))/POSTAVKE!$B$7,2),0)</f>
        <v>145</v>
      </c>
    </row>
    <row r="6" customFormat="false" ht="15" hidden="false" customHeight="false" outlineLevel="0" collapsed="false">
      <c r="A6" s="11" t="s">
        <v>77</v>
      </c>
      <c r="B6" s="9" t="n">
        <v>108</v>
      </c>
      <c r="C6" s="9" t="n">
        <v>58</v>
      </c>
      <c r="D6" s="9" t="n">
        <v>182</v>
      </c>
      <c r="E6" s="9" t="n">
        <v>132</v>
      </c>
      <c r="F6" s="9" t="n">
        <v>118</v>
      </c>
      <c r="G6" s="9" t="n">
        <v>171</v>
      </c>
      <c r="H6" s="9" t="n">
        <v>111</v>
      </c>
      <c r="I6" s="9" t="n">
        <v>108</v>
      </c>
      <c r="J6" s="9" t="n">
        <v>50</v>
      </c>
      <c r="K6" s="9" t="n">
        <v>0</v>
      </c>
      <c r="L6" s="9" t="n">
        <v>0</v>
      </c>
      <c r="M6" s="9" t="n">
        <v>0</v>
      </c>
      <c r="N6" s="12" t="n">
        <f aca="true">IFERROR(ROUND(SUM(OFFSET(B6,0,0,1,POSTAVKE!$B$7))/POSTAVKE!$B$7,2),0)</f>
        <v>123.5</v>
      </c>
    </row>
    <row r="7" customFormat="false" ht="15" hidden="false" customHeight="false" outlineLevel="0" collapsed="false">
      <c r="A7" s="11" t="s">
        <v>159</v>
      </c>
      <c r="B7" s="9" t="n">
        <v>100</v>
      </c>
      <c r="C7" s="9" t="n">
        <v>88</v>
      </c>
      <c r="D7" s="9" t="n">
        <v>145</v>
      </c>
      <c r="E7" s="9" t="n">
        <v>182</v>
      </c>
      <c r="F7" s="9" t="n">
        <v>76</v>
      </c>
      <c r="G7" s="9" t="n">
        <v>15</v>
      </c>
      <c r="H7" s="9" t="n">
        <v>144</v>
      </c>
      <c r="I7" s="9" t="n">
        <v>147</v>
      </c>
      <c r="J7" s="9" t="n">
        <v>76</v>
      </c>
      <c r="K7" s="9" t="n">
        <v>0</v>
      </c>
      <c r="L7" s="9" t="n">
        <v>0</v>
      </c>
      <c r="M7" s="9" t="n">
        <v>0</v>
      </c>
      <c r="N7" s="12" t="n">
        <f aca="true">IFERROR(ROUND(SUM(OFFSET(B7,0,0,1,POSTAVKE!$B$7))/POSTAVKE!$B$7,2),0)</f>
        <v>112.13</v>
      </c>
    </row>
    <row r="8" customFormat="false" ht="15" hidden="false" customHeight="false" outlineLevel="0" collapsed="false">
      <c r="A8" s="11" t="s">
        <v>91</v>
      </c>
      <c r="B8" s="9" t="n">
        <v>80</v>
      </c>
      <c r="C8" s="9" t="n">
        <v>91</v>
      </c>
      <c r="D8" s="9" t="n">
        <v>83</v>
      </c>
      <c r="E8" s="9" t="n">
        <v>131</v>
      </c>
      <c r="F8" s="9" t="n">
        <v>79</v>
      </c>
      <c r="G8" s="9" t="n">
        <v>76</v>
      </c>
      <c r="H8" s="9" t="n">
        <v>79</v>
      </c>
      <c r="I8" s="9" t="n">
        <v>71</v>
      </c>
      <c r="J8" s="9" t="n">
        <v>0</v>
      </c>
      <c r="K8" s="9" t="n">
        <v>0</v>
      </c>
      <c r="L8" s="9" t="n">
        <v>0</v>
      </c>
      <c r="M8" s="9" t="n">
        <v>0</v>
      </c>
      <c r="N8" s="12" t="n">
        <f aca="true">IFERROR(ROUND(SUM(OFFSET(B8,0,0,1,POSTAVKE!$B$7))/POSTAVKE!$B$7,2),0)</f>
        <v>86.25</v>
      </c>
    </row>
    <row r="9" customFormat="false" ht="15" hidden="false" customHeight="false" outlineLevel="0" collapsed="false">
      <c r="A9" s="11" t="s">
        <v>73</v>
      </c>
      <c r="B9" s="9" t="n">
        <v>80</v>
      </c>
      <c r="C9" s="9" t="n">
        <v>42</v>
      </c>
      <c r="D9" s="9" t="n">
        <v>29</v>
      </c>
      <c r="E9" s="9" t="n">
        <v>20</v>
      </c>
      <c r="F9" s="9" t="n">
        <v>59</v>
      </c>
      <c r="G9" s="9" t="n">
        <v>74</v>
      </c>
      <c r="H9" s="9" t="n">
        <v>53</v>
      </c>
      <c r="I9" s="9" t="n">
        <v>56</v>
      </c>
      <c r="J9" s="9" t="n">
        <v>24</v>
      </c>
      <c r="K9" s="9" t="n">
        <v>0</v>
      </c>
      <c r="L9" s="9" t="n">
        <v>0</v>
      </c>
      <c r="M9" s="9" t="n">
        <v>0</v>
      </c>
      <c r="N9" s="12" t="n">
        <f aca="true">IFERROR(ROUND(SUM(OFFSET(B9,0,0,1,POSTAVKE!$B$7))/POSTAVKE!$B$7,2),0)</f>
        <v>51.63</v>
      </c>
    </row>
    <row r="10" customFormat="false" ht="15" hidden="false" customHeight="false" outlineLevel="0" collapsed="false">
      <c r="A10" s="11" t="s">
        <v>75</v>
      </c>
      <c r="B10" s="9" t="n">
        <v>77</v>
      </c>
      <c r="C10" s="9" t="n">
        <v>121</v>
      </c>
      <c r="D10" s="9" t="n">
        <v>138</v>
      </c>
      <c r="E10" s="9" t="n">
        <v>163</v>
      </c>
      <c r="F10" s="9" t="n">
        <v>114</v>
      </c>
      <c r="G10" s="9" t="n">
        <v>126</v>
      </c>
      <c r="H10" s="9" t="n">
        <v>177</v>
      </c>
      <c r="I10" s="9" t="n">
        <v>120</v>
      </c>
      <c r="J10" s="9" t="n">
        <v>0</v>
      </c>
      <c r="K10" s="9" t="n">
        <v>0</v>
      </c>
      <c r="L10" s="9" t="n">
        <v>0</v>
      </c>
      <c r="M10" s="9" t="n">
        <v>0</v>
      </c>
      <c r="N10" s="12" t="n">
        <f aca="true">IFERROR(ROUND(SUM(OFFSET(B10,0,0,1,POSTAVKE!$B$7))/POSTAVKE!$B$7,2),0)</f>
        <v>129.5</v>
      </c>
    </row>
    <row r="11" customFormat="false" ht="15" hidden="false" customHeight="false" outlineLevel="0" collapsed="false">
      <c r="A11" s="11" t="s">
        <v>99</v>
      </c>
      <c r="B11" s="9" t="n">
        <v>70</v>
      </c>
      <c r="C11" s="9" t="n">
        <v>44</v>
      </c>
      <c r="D11" s="9" t="n">
        <v>61</v>
      </c>
      <c r="E11" s="9" t="n">
        <v>54</v>
      </c>
      <c r="F11" s="9" t="n">
        <v>33</v>
      </c>
      <c r="G11" s="9" t="n">
        <v>35</v>
      </c>
      <c r="H11" s="9" t="n">
        <v>45</v>
      </c>
      <c r="I11" s="9" t="n">
        <v>50</v>
      </c>
      <c r="J11" s="9" t="n">
        <v>11</v>
      </c>
      <c r="K11" s="9" t="n">
        <v>0</v>
      </c>
      <c r="L11" s="9" t="n">
        <v>0</v>
      </c>
      <c r="M11" s="9" t="n">
        <v>0</v>
      </c>
      <c r="N11" s="12" t="n">
        <f aca="true">IFERROR(ROUND(SUM(OFFSET(B11,0,0,1,POSTAVKE!$B$7))/POSTAVKE!$B$7,2),0)</f>
        <v>49</v>
      </c>
    </row>
    <row r="12" customFormat="false" ht="15" hidden="false" customHeight="false" outlineLevel="0" collapsed="false">
      <c r="A12" s="11" t="s">
        <v>55</v>
      </c>
      <c r="B12" s="9" t="n">
        <v>66</v>
      </c>
      <c r="C12" s="9" t="n">
        <v>43</v>
      </c>
      <c r="D12" s="9" t="n">
        <v>65</v>
      </c>
      <c r="E12" s="9" t="n">
        <v>80</v>
      </c>
      <c r="F12" s="9" t="n">
        <v>66</v>
      </c>
      <c r="G12" s="9" t="n">
        <v>98</v>
      </c>
      <c r="H12" s="9" t="n">
        <v>141</v>
      </c>
      <c r="I12" s="9" t="n">
        <v>106</v>
      </c>
      <c r="J12" s="9" t="n">
        <v>31</v>
      </c>
      <c r="K12" s="9" t="n">
        <v>0</v>
      </c>
      <c r="L12" s="9" t="n">
        <v>0</v>
      </c>
      <c r="M12" s="9" t="n">
        <v>0</v>
      </c>
      <c r="N12" s="12" t="n">
        <f aca="true">IFERROR(ROUND(SUM(OFFSET(B12,0,0,1,POSTAVKE!$B$7))/POSTAVKE!$B$7,2),0)</f>
        <v>83.13</v>
      </c>
    </row>
    <row r="13" customFormat="false" ht="15" hidden="false" customHeight="false" outlineLevel="0" collapsed="false">
      <c r="A13" s="11" t="s">
        <v>105</v>
      </c>
      <c r="B13" s="9" t="n">
        <v>63</v>
      </c>
      <c r="C13" s="9" t="n">
        <v>36</v>
      </c>
      <c r="D13" s="9" t="n">
        <v>46</v>
      </c>
      <c r="E13" s="9" t="n">
        <v>39</v>
      </c>
      <c r="F13" s="9" t="n">
        <v>46</v>
      </c>
      <c r="G13" s="9" t="n">
        <v>34</v>
      </c>
      <c r="H13" s="9" t="n">
        <v>37</v>
      </c>
      <c r="I13" s="9" t="n">
        <v>40</v>
      </c>
      <c r="J13" s="9" t="n">
        <v>0</v>
      </c>
      <c r="K13" s="9" t="n">
        <v>0</v>
      </c>
      <c r="L13" s="9" t="n">
        <v>0</v>
      </c>
      <c r="M13" s="9" t="n">
        <v>0</v>
      </c>
      <c r="N13" s="12" t="n">
        <f aca="true">IFERROR(ROUND(SUM(OFFSET(B13,0,0,1,POSTAVKE!$B$7))/POSTAVKE!$B$7,2),0)</f>
        <v>42.63</v>
      </c>
    </row>
    <row r="14" customFormat="false" ht="15" hidden="false" customHeight="false" outlineLevel="0" collapsed="false">
      <c r="A14" s="11" t="s">
        <v>135</v>
      </c>
      <c r="B14" s="9" t="n">
        <v>60</v>
      </c>
      <c r="C14" s="9" t="n">
        <v>6</v>
      </c>
      <c r="D14" s="9" t="n">
        <v>30</v>
      </c>
      <c r="E14" s="9" t="n">
        <v>53</v>
      </c>
      <c r="F14" s="9" t="n">
        <v>21</v>
      </c>
      <c r="G14" s="9" t="n">
        <v>3</v>
      </c>
      <c r="H14" s="9" t="n">
        <v>35</v>
      </c>
      <c r="I14" s="9" t="n">
        <v>0</v>
      </c>
      <c r="J14" s="9" t="n">
        <v>0</v>
      </c>
      <c r="K14" s="9" t="n">
        <v>0</v>
      </c>
      <c r="L14" s="9" t="n">
        <v>0</v>
      </c>
      <c r="M14" s="9" t="n">
        <v>0</v>
      </c>
      <c r="N14" s="12" t="n">
        <f aca="true">IFERROR(ROUND(SUM(OFFSET(B14,0,0,1,POSTAVKE!$B$7))/POSTAVKE!$B$7,2),0)</f>
        <v>26</v>
      </c>
    </row>
    <row r="15" customFormat="false" ht="15" hidden="false" customHeight="false" outlineLevel="0" collapsed="false">
      <c r="A15" s="11" t="s">
        <v>191</v>
      </c>
      <c r="B15" s="9" t="n">
        <v>56</v>
      </c>
      <c r="C15" s="9" t="n">
        <v>66</v>
      </c>
      <c r="D15" s="9" t="n">
        <v>40</v>
      </c>
      <c r="E15" s="9" t="n">
        <v>63</v>
      </c>
      <c r="F15" s="9" t="n">
        <v>33</v>
      </c>
      <c r="G15" s="9" t="n">
        <v>29</v>
      </c>
      <c r="H15" s="9" t="n">
        <v>25</v>
      </c>
      <c r="I15" s="9" t="n">
        <v>45</v>
      </c>
      <c r="J15" s="9" t="n">
        <v>0</v>
      </c>
      <c r="K15" s="9" t="n">
        <v>0</v>
      </c>
      <c r="L15" s="9" t="n">
        <v>0</v>
      </c>
      <c r="M15" s="9" t="n">
        <v>0</v>
      </c>
      <c r="N15" s="12" t="n">
        <f aca="true">IFERROR(ROUND(SUM(OFFSET(B15,0,0,1,POSTAVKE!$B$7))/POSTAVKE!$B$7,2),0)</f>
        <v>44.63</v>
      </c>
    </row>
    <row r="16" customFormat="false" ht="15" hidden="false" customHeight="false" outlineLevel="0" collapsed="false">
      <c r="A16" s="11" t="s">
        <v>17</v>
      </c>
      <c r="B16" s="9" t="n">
        <v>50</v>
      </c>
      <c r="C16" s="9" t="n">
        <v>36</v>
      </c>
      <c r="D16" s="9" t="n">
        <v>40</v>
      </c>
      <c r="E16" s="9" t="n">
        <v>34</v>
      </c>
      <c r="F16" s="9" t="n">
        <v>45</v>
      </c>
      <c r="G16" s="9" t="n">
        <v>41</v>
      </c>
      <c r="H16" s="9" t="n">
        <v>52</v>
      </c>
      <c r="I16" s="9" t="n">
        <v>41</v>
      </c>
      <c r="J16" s="9" t="n">
        <v>0</v>
      </c>
      <c r="K16" s="9" t="n">
        <v>0</v>
      </c>
      <c r="L16" s="9" t="n">
        <v>0</v>
      </c>
      <c r="M16" s="9" t="n">
        <v>0</v>
      </c>
      <c r="N16" s="12" t="n">
        <f aca="true">IFERROR(ROUND(SUM(OFFSET(B16,0,0,1,POSTAVKE!$B$7))/POSTAVKE!$B$7,2),0)</f>
        <v>42.38</v>
      </c>
    </row>
    <row r="17" customFormat="false" ht="15" hidden="false" customHeight="false" outlineLevel="0" collapsed="false">
      <c r="A17" s="11" t="s">
        <v>111</v>
      </c>
      <c r="B17" s="9" t="n">
        <v>49</v>
      </c>
      <c r="C17" s="9" t="n">
        <v>0</v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0</v>
      </c>
      <c r="N17" s="12" t="n">
        <f aca="true">IFERROR(ROUND(SUM(OFFSET(B17,0,0,1,POSTAVKE!$B$7))/POSTAVKE!$B$7,2),0)</f>
        <v>6.13</v>
      </c>
    </row>
    <row r="18" customFormat="false" ht="15" hidden="false" customHeight="false" outlineLevel="0" collapsed="false">
      <c r="A18" s="11" t="s">
        <v>61</v>
      </c>
      <c r="B18" s="9" t="n">
        <v>45</v>
      </c>
      <c r="C18" s="9" t="n">
        <v>68</v>
      </c>
      <c r="D18" s="9" t="n">
        <v>38</v>
      </c>
      <c r="E18" s="9" t="n">
        <v>83</v>
      </c>
      <c r="F18" s="9" t="n">
        <v>37</v>
      </c>
      <c r="G18" s="9" t="n">
        <v>49</v>
      </c>
      <c r="H18" s="9" t="n">
        <v>40</v>
      </c>
      <c r="I18" s="9" t="n">
        <v>57</v>
      </c>
      <c r="J18" s="9" t="n">
        <v>12</v>
      </c>
      <c r="K18" s="9" t="n">
        <v>0</v>
      </c>
      <c r="L18" s="9" t="n">
        <v>0</v>
      </c>
      <c r="M18" s="9" t="n">
        <v>0</v>
      </c>
      <c r="N18" s="12" t="n">
        <f aca="true">IFERROR(ROUND(SUM(OFFSET(B18,0,0,1,POSTAVKE!$B$7))/POSTAVKE!$B$7,2),0)</f>
        <v>52.13</v>
      </c>
    </row>
    <row r="19" customFormat="false" ht="15" hidden="false" customHeight="false" outlineLevel="0" collapsed="false">
      <c r="A19" s="11" t="s">
        <v>1450</v>
      </c>
      <c r="B19" s="9" t="n">
        <v>44</v>
      </c>
      <c r="C19" s="9" t="n">
        <v>1</v>
      </c>
      <c r="D19" s="9" t="n">
        <v>49</v>
      </c>
      <c r="E19" s="9" t="n">
        <v>10</v>
      </c>
      <c r="F19" s="9" t="n">
        <v>20</v>
      </c>
      <c r="G19" s="9" t="n">
        <v>53</v>
      </c>
      <c r="H19" s="9" t="n">
        <v>12</v>
      </c>
      <c r="I19" s="9" t="n">
        <v>0</v>
      </c>
      <c r="J19" s="9" t="n">
        <v>0</v>
      </c>
      <c r="K19" s="9" t="n">
        <v>0</v>
      </c>
      <c r="L19" s="9" t="n">
        <v>0</v>
      </c>
      <c r="M19" s="9" t="n">
        <v>0</v>
      </c>
      <c r="N19" s="12" t="n">
        <f aca="true">IFERROR(ROUND(SUM(OFFSET(B19,0,0,1,POSTAVKE!$B$7))/POSTAVKE!$B$7,2),0)</f>
        <v>23.63</v>
      </c>
    </row>
    <row r="20" customFormat="false" ht="15" hidden="false" customHeight="false" outlineLevel="0" collapsed="false">
      <c r="A20" s="11" t="s">
        <v>87</v>
      </c>
      <c r="B20" s="9" t="n">
        <v>43</v>
      </c>
      <c r="C20" s="9" t="n">
        <v>23</v>
      </c>
      <c r="D20" s="9" t="n">
        <v>33</v>
      </c>
      <c r="E20" s="9" t="n">
        <v>34</v>
      </c>
      <c r="F20" s="9" t="n">
        <v>39</v>
      </c>
      <c r="G20" s="9" t="n">
        <v>22</v>
      </c>
      <c r="H20" s="9" t="n">
        <v>0</v>
      </c>
      <c r="I20" s="9" t="n">
        <v>79</v>
      </c>
      <c r="J20" s="9" t="n">
        <v>0</v>
      </c>
      <c r="K20" s="9" t="n">
        <v>0</v>
      </c>
      <c r="L20" s="9" t="n">
        <v>0</v>
      </c>
      <c r="M20" s="9" t="n">
        <v>0</v>
      </c>
      <c r="N20" s="12" t="n">
        <f aca="true">IFERROR(ROUND(SUM(OFFSET(B20,0,0,1,POSTAVKE!$B$7))/POSTAVKE!$B$7,2),0)</f>
        <v>34.13</v>
      </c>
    </row>
    <row r="21" customFormat="false" ht="15" hidden="false" customHeight="false" outlineLevel="0" collapsed="false">
      <c r="A21" s="11" t="s">
        <v>189</v>
      </c>
      <c r="B21" s="9" t="n">
        <v>41</v>
      </c>
      <c r="C21" s="9" t="n">
        <v>29</v>
      </c>
      <c r="D21" s="9" t="n">
        <v>16</v>
      </c>
      <c r="E21" s="9" t="n">
        <v>28</v>
      </c>
      <c r="F21" s="9" t="n">
        <v>12</v>
      </c>
      <c r="G21" s="9" t="n">
        <v>27</v>
      </c>
      <c r="H21" s="9" t="n">
        <v>30</v>
      </c>
      <c r="I21" s="9" t="n">
        <v>10</v>
      </c>
      <c r="J21" s="9" t="n">
        <v>0</v>
      </c>
      <c r="K21" s="9" t="n">
        <v>0</v>
      </c>
      <c r="L21" s="9" t="n">
        <v>0</v>
      </c>
      <c r="M21" s="9" t="n">
        <v>0</v>
      </c>
      <c r="N21" s="12" t="n">
        <f aca="true">IFERROR(ROUND(SUM(OFFSET(B21,0,0,1,POSTAVKE!$B$7))/POSTAVKE!$B$7,2),0)</f>
        <v>24.13</v>
      </c>
    </row>
    <row r="22" customFormat="false" ht="15" hidden="false" customHeight="false" outlineLevel="0" collapsed="false">
      <c r="A22" s="11" t="s">
        <v>95</v>
      </c>
      <c r="B22" s="9" t="n">
        <v>38</v>
      </c>
      <c r="C22" s="9" t="n">
        <v>42</v>
      </c>
      <c r="D22" s="9" t="n">
        <v>91</v>
      </c>
      <c r="E22" s="9" t="n">
        <v>162</v>
      </c>
      <c r="F22" s="9" t="n">
        <v>74</v>
      </c>
      <c r="G22" s="9" t="n">
        <v>31</v>
      </c>
      <c r="H22" s="9" t="n">
        <v>75</v>
      </c>
      <c r="I22" s="9" t="n">
        <v>29</v>
      </c>
      <c r="J22" s="9" t="n">
        <v>0</v>
      </c>
      <c r="K22" s="9" t="n">
        <v>0</v>
      </c>
      <c r="L22" s="9" t="n">
        <v>0</v>
      </c>
      <c r="M22" s="9" t="n">
        <v>0</v>
      </c>
      <c r="N22" s="12" t="n">
        <f aca="true">IFERROR(ROUND(SUM(OFFSET(B22,0,0,1,POSTAVKE!$B$7))/POSTAVKE!$B$7,2),0)</f>
        <v>67.75</v>
      </c>
    </row>
    <row r="23" customFormat="false" ht="15" hidden="false" customHeight="false" outlineLevel="0" collapsed="false">
      <c r="A23" s="11" t="s">
        <v>257</v>
      </c>
      <c r="B23" s="9" t="n">
        <v>38</v>
      </c>
      <c r="C23" s="9" t="n">
        <v>44</v>
      </c>
      <c r="D23" s="9" t="n">
        <v>22</v>
      </c>
      <c r="E23" s="9" t="n">
        <v>44</v>
      </c>
      <c r="F23" s="9" t="n">
        <v>50</v>
      </c>
      <c r="G23" s="9" t="n">
        <v>3</v>
      </c>
      <c r="H23" s="9" t="n">
        <v>0</v>
      </c>
      <c r="I23" s="9" t="n">
        <v>43</v>
      </c>
      <c r="J23" s="9" t="n">
        <v>7</v>
      </c>
      <c r="K23" s="9" t="n">
        <v>0</v>
      </c>
      <c r="L23" s="9" t="n">
        <v>0</v>
      </c>
      <c r="M23" s="9" t="n">
        <v>0</v>
      </c>
      <c r="N23" s="12" t="n">
        <f aca="true">IFERROR(ROUND(SUM(OFFSET(B23,0,0,1,POSTAVKE!$B$7))/POSTAVKE!$B$7,2),0)</f>
        <v>30.5</v>
      </c>
    </row>
    <row r="24" customFormat="false" ht="15" hidden="false" customHeight="false" outlineLevel="0" collapsed="false">
      <c r="A24" s="11" t="s">
        <v>71</v>
      </c>
      <c r="B24" s="9" t="n">
        <v>36</v>
      </c>
      <c r="C24" s="9" t="n">
        <v>24</v>
      </c>
      <c r="D24" s="9" t="n">
        <v>38</v>
      </c>
      <c r="E24" s="9" t="n">
        <v>53</v>
      </c>
      <c r="F24" s="9" t="n">
        <v>21</v>
      </c>
      <c r="G24" s="9" t="n">
        <v>23</v>
      </c>
      <c r="H24" s="9" t="n">
        <v>42</v>
      </c>
      <c r="I24" s="9" t="n">
        <v>23</v>
      </c>
      <c r="J24" s="9" t="n">
        <v>0</v>
      </c>
      <c r="K24" s="9" t="n">
        <v>0</v>
      </c>
      <c r="L24" s="9" t="n">
        <v>0</v>
      </c>
      <c r="M24" s="9" t="n">
        <v>0</v>
      </c>
      <c r="N24" s="12" t="n">
        <f aca="true">IFERROR(ROUND(SUM(OFFSET(B24,0,0,1,POSTAVKE!$B$7))/POSTAVKE!$B$7,2),0)</f>
        <v>32.5</v>
      </c>
    </row>
    <row r="25" customFormat="false" ht="15" hidden="false" customHeight="false" outlineLevel="0" collapsed="false">
      <c r="A25" s="11" t="s">
        <v>173</v>
      </c>
      <c r="B25" s="9" t="n">
        <v>33</v>
      </c>
      <c r="C25" s="9" t="n">
        <v>35</v>
      </c>
      <c r="D25" s="9" t="n">
        <v>42</v>
      </c>
      <c r="E25" s="9" t="n">
        <v>41</v>
      </c>
      <c r="F25" s="9" t="n">
        <v>41</v>
      </c>
      <c r="G25" s="9" t="n">
        <v>32</v>
      </c>
      <c r="H25" s="9" t="n">
        <v>32</v>
      </c>
      <c r="I25" s="9" t="n">
        <v>40</v>
      </c>
      <c r="J25" s="9" t="n">
        <v>1</v>
      </c>
      <c r="K25" s="9" t="n">
        <v>0</v>
      </c>
      <c r="L25" s="9" t="n">
        <v>0</v>
      </c>
      <c r="M25" s="9" t="n">
        <v>0</v>
      </c>
      <c r="N25" s="12" t="n">
        <f aca="true">IFERROR(ROUND(SUM(OFFSET(B25,0,0,1,POSTAVKE!$B$7))/POSTAVKE!$B$7,2),0)</f>
        <v>37</v>
      </c>
    </row>
    <row r="26" customFormat="false" ht="15" hidden="false" customHeight="false" outlineLevel="0" collapsed="false">
      <c r="A26" s="11" t="s">
        <v>229</v>
      </c>
      <c r="B26" s="9" t="n">
        <v>31</v>
      </c>
      <c r="C26" s="9" t="n">
        <v>0</v>
      </c>
      <c r="D26" s="9" t="n">
        <v>0</v>
      </c>
      <c r="E26" s="9" t="n">
        <v>0</v>
      </c>
      <c r="F26" s="9" t="n">
        <v>0</v>
      </c>
      <c r="G26" s="9" t="n">
        <v>1</v>
      </c>
      <c r="H26" s="9" t="n">
        <v>1</v>
      </c>
      <c r="I26" s="9" t="n">
        <v>1</v>
      </c>
      <c r="J26" s="9" t="n">
        <v>0</v>
      </c>
      <c r="K26" s="9" t="n">
        <v>0</v>
      </c>
      <c r="L26" s="9" t="n">
        <v>0</v>
      </c>
      <c r="M26" s="9" t="n">
        <v>0</v>
      </c>
      <c r="N26" s="12" t="n">
        <f aca="true">IFERROR(ROUND(SUM(OFFSET(B26,0,0,1,POSTAVKE!$B$7))/POSTAVKE!$B$7,2),0)</f>
        <v>4.25</v>
      </c>
    </row>
    <row r="27" customFormat="false" ht="15" hidden="false" customHeight="false" outlineLevel="0" collapsed="false">
      <c r="A27" s="11" t="s">
        <v>1438</v>
      </c>
      <c r="B27" s="9" t="n">
        <v>30</v>
      </c>
      <c r="C27" s="9" t="n">
        <v>15</v>
      </c>
      <c r="D27" s="9" t="n">
        <v>22</v>
      </c>
      <c r="E27" s="9" t="n">
        <v>23</v>
      </c>
      <c r="F27" s="9" t="n">
        <v>20</v>
      </c>
      <c r="G27" s="9" t="n">
        <v>16</v>
      </c>
      <c r="H27" s="9" t="n">
        <v>27</v>
      </c>
      <c r="I27" s="9" t="n">
        <v>11</v>
      </c>
      <c r="J27" s="9" t="n">
        <v>0</v>
      </c>
      <c r="K27" s="9" t="n">
        <v>0</v>
      </c>
      <c r="L27" s="9" t="n">
        <v>0</v>
      </c>
      <c r="M27" s="9" t="n">
        <v>0</v>
      </c>
      <c r="N27" s="12" t="n">
        <f aca="true">IFERROR(ROUND(SUM(OFFSET(B27,0,0,1,POSTAVKE!$B$7))/POSTAVKE!$B$7,2),0)</f>
        <v>20.5</v>
      </c>
    </row>
    <row r="28" customFormat="false" ht="15" hidden="false" customHeight="false" outlineLevel="0" collapsed="false">
      <c r="A28" s="11" t="s">
        <v>433</v>
      </c>
      <c r="B28" s="9" t="n">
        <v>30</v>
      </c>
      <c r="C28" s="9" t="n">
        <v>13</v>
      </c>
      <c r="D28" s="9" t="n">
        <v>44</v>
      </c>
      <c r="E28" s="9" t="n">
        <v>34</v>
      </c>
      <c r="F28" s="9" t="n">
        <v>23</v>
      </c>
      <c r="G28" s="9" t="n">
        <v>18</v>
      </c>
      <c r="H28" s="9" t="n">
        <v>25</v>
      </c>
      <c r="I28" s="9" t="n">
        <v>18</v>
      </c>
      <c r="J28" s="9" t="n">
        <v>0</v>
      </c>
      <c r="K28" s="9" t="n">
        <v>0</v>
      </c>
      <c r="L28" s="9" t="n">
        <v>0</v>
      </c>
      <c r="M28" s="9" t="n">
        <v>0</v>
      </c>
      <c r="N28" s="12" t="n">
        <f aca="true">IFERROR(ROUND(SUM(OFFSET(B28,0,0,1,POSTAVKE!$B$7))/POSTAVKE!$B$7,2),0)</f>
        <v>25.63</v>
      </c>
    </row>
    <row r="29" customFormat="false" ht="15" hidden="false" customHeight="false" outlineLevel="0" collapsed="false">
      <c r="A29" s="11" t="s">
        <v>217</v>
      </c>
      <c r="B29" s="9" t="n">
        <v>29</v>
      </c>
      <c r="C29" s="9" t="n">
        <v>33</v>
      </c>
      <c r="D29" s="9" t="n">
        <v>32</v>
      </c>
      <c r="E29" s="9" t="n">
        <v>25</v>
      </c>
      <c r="F29" s="9" t="n">
        <v>12</v>
      </c>
      <c r="G29" s="9" t="n">
        <v>25</v>
      </c>
      <c r="H29" s="9" t="n">
        <v>23</v>
      </c>
      <c r="I29" s="9" t="n">
        <v>60</v>
      </c>
      <c r="J29" s="9" t="n">
        <v>11</v>
      </c>
      <c r="K29" s="9" t="n">
        <v>0</v>
      </c>
      <c r="L29" s="9" t="n">
        <v>0</v>
      </c>
      <c r="M29" s="9" t="n">
        <v>0</v>
      </c>
      <c r="N29" s="12" t="n">
        <f aca="true">IFERROR(ROUND(SUM(OFFSET(B29,0,0,1,POSTAVKE!$B$7))/POSTAVKE!$B$7,2),0)</f>
        <v>29.88</v>
      </c>
    </row>
    <row r="30" customFormat="false" ht="15" hidden="false" customHeight="false" outlineLevel="0" collapsed="false">
      <c r="A30" s="11" t="s">
        <v>131</v>
      </c>
      <c r="B30" s="9" t="n">
        <v>29</v>
      </c>
      <c r="C30" s="9" t="n">
        <v>124</v>
      </c>
      <c r="D30" s="9" t="n">
        <v>81</v>
      </c>
      <c r="E30" s="9" t="n">
        <v>84</v>
      </c>
      <c r="F30" s="9" t="n">
        <v>98</v>
      </c>
      <c r="G30" s="9" t="n">
        <v>115</v>
      </c>
      <c r="H30" s="9" t="n">
        <v>40</v>
      </c>
      <c r="I30" s="9" t="n">
        <v>30</v>
      </c>
      <c r="J30" s="9" t="n">
        <v>7</v>
      </c>
      <c r="K30" s="9" t="n">
        <v>0</v>
      </c>
      <c r="L30" s="9" t="n">
        <v>0</v>
      </c>
      <c r="M30" s="9" t="n">
        <v>0</v>
      </c>
      <c r="N30" s="12" t="n">
        <f aca="true">IFERROR(ROUND(SUM(OFFSET(B30,0,0,1,POSTAVKE!$B$7))/POSTAVKE!$B$7,2),0)</f>
        <v>75.13</v>
      </c>
    </row>
    <row r="31" customFormat="false" ht="15" hidden="false" customHeight="false" outlineLevel="0" collapsed="false">
      <c r="A31" s="11" t="s">
        <v>1536</v>
      </c>
      <c r="B31" s="9" t="n">
        <v>29</v>
      </c>
      <c r="C31" s="9" t="n">
        <v>0</v>
      </c>
      <c r="D31" s="9" t="n">
        <v>13</v>
      </c>
      <c r="E31" s="9" t="n">
        <v>0</v>
      </c>
      <c r="F31" s="9" t="n">
        <v>10</v>
      </c>
      <c r="G31" s="9" t="n">
        <v>3</v>
      </c>
      <c r="H31" s="9" t="n">
        <v>0</v>
      </c>
      <c r="I31" s="9" t="n">
        <v>0</v>
      </c>
      <c r="J31" s="9" t="n">
        <v>0</v>
      </c>
      <c r="K31" s="9" t="n">
        <v>0</v>
      </c>
      <c r="L31" s="9" t="n">
        <v>0</v>
      </c>
      <c r="M31" s="9" t="n">
        <v>0</v>
      </c>
      <c r="N31" s="12" t="n">
        <f aca="true">IFERROR(ROUND(SUM(OFFSET(B31,0,0,1,POSTAVKE!$B$7))/POSTAVKE!$B$7,2),0)</f>
        <v>6.88</v>
      </c>
    </row>
    <row r="32" customFormat="false" ht="15" hidden="false" customHeight="false" outlineLevel="0" collapsed="false">
      <c r="A32" s="11" t="s">
        <v>1612</v>
      </c>
      <c r="B32" s="9" t="n">
        <v>29</v>
      </c>
      <c r="C32" s="9" t="n">
        <v>23</v>
      </c>
      <c r="D32" s="9" t="n">
        <v>7</v>
      </c>
      <c r="E32" s="9" t="n">
        <v>15</v>
      </c>
      <c r="F32" s="9" t="n">
        <v>5</v>
      </c>
      <c r="G32" s="9" t="n">
        <v>20</v>
      </c>
      <c r="H32" s="9" t="n">
        <v>5</v>
      </c>
      <c r="I32" s="9" t="n">
        <v>0</v>
      </c>
      <c r="J32" s="9" t="n">
        <v>0</v>
      </c>
      <c r="K32" s="9" t="n">
        <v>0</v>
      </c>
      <c r="L32" s="9" t="n">
        <v>0</v>
      </c>
      <c r="M32" s="9" t="n">
        <v>0</v>
      </c>
      <c r="N32" s="12" t="n">
        <f aca="true">IFERROR(ROUND(SUM(OFFSET(B32,0,0,1,POSTAVKE!$B$7))/POSTAVKE!$B$7,2),0)</f>
        <v>13</v>
      </c>
    </row>
    <row r="33" customFormat="false" ht="15" hidden="false" customHeight="false" outlineLevel="0" collapsed="false">
      <c r="A33" s="11" t="s">
        <v>313</v>
      </c>
      <c r="B33" s="9" t="n">
        <v>29</v>
      </c>
      <c r="C33" s="9" t="n">
        <v>11</v>
      </c>
      <c r="D33" s="9" t="n">
        <v>20</v>
      </c>
      <c r="E33" s="9" t="n">
        <v>13</v>
      </c>
      <c r="F33" s="9" t="n">
        <v>4</v>
      </c>
      <c r="G33" s="9" t="n">
        <v>12</v>
      </c>
      <c r="H33" s="9" t="n">
        <v>11</v>
      </c>
      <c r="I33" s="9" t="n">
        <v>15</v>
      </c>
      <c r="J33" s="9" t="n">
        <v>0</v>
      </c>
      <c r="K33" s="9" t="n">
        <v>0</v>
      </c>
      <c r="L33" s="9" t="n">
        <v>0</v>
      </c>
      <c r="M33" s="9" t="n">
        <v>0</v>
      </c>
      <c r="N33" s="12" t="n">
        <f aca="true">IFERROR(ROUND(SUM(OFFSET(B33,0,0,1,POSTAVKE!$B$7))/POSTAVKE!$B$7,2),0)</f>
        <v>14.38</v>
      </c>
    </row>
    <row r="34" customFormat="false" ht="15" hidden="false" customHeight="false" outlineLevel="0" collapsed="false">
      <c r="A34" s="11" t="s">
        <v>1204</v>
      </c>
      <c r="B34" s="9" t="n">
        <v>28</v>
      </c>
      <c r="C34" s="9" t="n">
        <v>11</v>
      </c>
      <c r="D34" s="9" t="n">
        <v>15</v>
      </c>
      <c r="E34" s="9" t="n">
        <v>13</v>
      </c>
      <c r="F34" s="9" t="n">
        <v>20</v>
      </c>
      <c r="G34" s="9" t="n">
        <v>7</v>
      </c>
      <c r="H34" s="9" t="n">
        <v>19</v>
      </c>
      <c r="I34" s="9" t="n">
        <v>8</v>
      </c>
      <c r="J34" s="9" t="n">
        <v>0</v>
      </c>
      <c r="K34" s="9" t="n">
        <v>0</v>
      </c>
      <c r="L34" s="9" t="n">
        <v>0</v>
      </c>
      <c r="M34" s="9" t="n">
        <v>0</v>
      </c>
      <c r="N34" s="12" t="n">
        <f aca="true">IFERROR(ROUND(SUM(OFFSET(B34,0,0,1,POSTAVKE!$B$7))/POSTAVKE!$B$7,2),0)</f>
        <v>15.13</v>
      </c>
    </row>
    <row r="35" customFormat="false" ht="15" hidden="false" customHeight="false" outlineLevel="0" collapsed="false">
      <c r="A35" s="11" t="s">
        <v>1208</v>
      </c>
      <c r="B35" s="9" t="n">
        <v>27</v>
      </c>
      <c r="C35" s="9" t="n">
        <v>28</v>
      </c>
      <c r="D35" s="9" t="n">
        <v>64</v>
      </c>
      <c r="E35" s="9" t="n">
        <v>0</v>
      </c>
      <c r="F35" s="9" t="n">
        <v>0</v>
      </c>
      <c r="G35" s="9" t="n">
        <v>0</v>
      </c>
      <c r="H35" s="9" t="n">
        <v>32</v>
      </c>
      <c r="I35" s="9" t="n">
        <v>66</v>
      </c>
      <c r="J35" s="9" t="n">
        <v>0</v>
      </c>
      <c r="K35" s="9" t="n">
        <v>0</v>
      </c>
      <c r="L35" s="9" t="n">
        <v>0</v>
      </c>
      <c r="M35" s="9" t="n">
        <v>0</v>
      </c>
      <c r="N35" s="12" t="n">
        <f aca="true">IFERROR(ROUND(SUM(OFFSET(B35,0,0,1,POSTAVKE!$B$7))/POSTAVKE!$B$7,2),0)</f>
        <v>27.13</v>
      </c>
    </row>
    <row r="36" customFormat="false" ht="15" hidden="false" customHeight="false" outlineLevel="0" collapsed="false">
      <c r="A36" s="11" t="s">
        <v>727</v>
      </c>
      <c r="B36" s="9" t="n">
        <v>27</v>
      </c>
      <c r="C36" s="9" t="n">
        <v>5</v>
      </c>
      <c r="D36" s="9" t="n">
        <v>20</v>
      </c>
      <c r="E36" s="9" t="n">
        <v>40</v>
      </c>
      <c r="F36" s="9" t="n">
        <v>17</v>
      </c>
      <c r="G36" s="9" t="n">
        <v>14</v>
      </c>
      <c r="H36" s="9" t="n">
        <v>19</v>
      </c>
      <c r="I36" s="9" t="n">
        <v>10</v>
      </c>
      <c r="J36" s="9" t="n">
        <v>10</v>
      </c>
      <c r="K36" s="9" t="n">
        <v>0</v>
      </c>
      <c r="L36" s="9" t="n">
        <v>0</v>
      </c>
      <c r="M36" s="9" t="n">
        <v>0</v>
      </c>
      <c r="N36" s="12" t="n">
        <f aca="true">IFERROR(ROUND(SUM(OFFSET(B36,0,0,1,POSTAVKE!$B$7))/POSTAVKE!$B$7,2),0)</f>
        <v>19</v>
      </c>
    </row>
    <row r="37" customFormat="false" ht="15" hidden="false" customHeight="false" outlineLevel="0" collapsed="false">
      <c r="A37" s="11" t="s">
        <v>227</v>
      </c>
      <c r="B37" s="9" t="n">
        <v>25</v>
      </c>
      <c r="C37" s="9" t="n">
        <v>25</v>
      </c>
      <c r="D37" s="9" t="n">
        <v>28</v>
      </c>
      <c r="E37" s="9" t="n">
        <v>23</v>
      </c>
      <c r="F37" s="9" t="n">
        <v>21</v>
      </c>
      <c r="G37" s="9" t="n">
        <v>29</v>
      </c>
      <c r="H37" s="9" t="n">
        <v>20</v>
      </c>
      <c r="I37" s="9" t="n">
        <v>17</v>
      </c>
      <c r="J37" s="9" t="n">
        <v>0</v>
      </c>
      <c r="K37" s="9" t="n">
        <v>0</v>
      </c>
      <c r="L37" s="9" t="n">
        <v>0</v>
      </c>
      <c r="M37" s="9" t="n">
        <v>0</v>
      </c>
      <c r="N37" s="12" t="n">
        <f aca="true">IFERROR(ROUND(SUM(OFFSET(B37,0,0,1,POSTAVKE!$B$7))/POSTAVKE!$B$7,2),0)</f>
        <v>23.5</v>
      </c>
    </row>
    <row r="38" customFormat="false" ht="15" hidden="false" customHeight="false" outlineLevel="0" collapsed="false">
      <c r="A38" s="11" t="s">
        <v>41</v>
      </c>
      <c r="B38" s="9" t="n">
        <v>25</v>
      </c>
      <c r="C38" s="9" t="n">
        <v>31</v>
      </c>
      <c r="D38" s="9" t="n">
        <v>63</v>
      </c>
      <c r="E38" s="9" t="n">
        <v>58</v>
      </c>
      <c r="F38" s="9" t="n">
        <v>79</v>
      </c>
      <c r="G38" s="9" t="n">
        <v>39</v>
      </c>
      <c r="H38" s="9" t="n">
        <v>60</v>
      </c>
      <c r="I38" s="9" t="n">
        <v>53</v>
      </c>
      <c r="J38" s="9" t="n">
        <v>0</v>
      </c>
      <c r="K38" s="9" t="n">
        <v>0</v>
      </c>
      <c r="L38" s="9" t="n">
        <v>0</v>
      </c>
      <c r="M38" s="9" t="n">
        <v>0</v>
      </c>
      <c r="N38" s="12" t="n">
        <f aca="true">IFERROR(ROUND(SUM(OFFSET(B38,0,0,1,POSTAVKE!$B$7))/POSTAVKE!$B$7,2),0)</f>
        <v>51</v>
      </c>
    </row>
    <row r="39" customFormat="false" ht="15" hidden="false" customHeight="false" outlineLevel="0" collapsed="false">
      <c r="A39" s="11" t="s">
        <v>279</v>
      </c>
      <c r="B39" s="9" t="n">
        <v>24</v>
      </c>
      <c r="C39" s="9" t="n">
        <v>7</v>
      </c>
      <c r="D39" s="9" t="n">
        <v>15</v>
      </c>
      <c r="E39" s="9" t="n">
        <v>22</v>
      </c>
      <c r="F39" s="9" t="n">
        <v>12</v>
      </c>
      <c r="G39" s="9" t="n">
        <v>19</v>
      </c>
      <c r="H39" s="9" t="n">
        <v>24</v>
      </c>
      <c r="I39" s="9" t="n">
        <v>5</v>
      </c>
      <c r="J39" s="9" t="n">
        <v>3</v>
      </c>
      <c r="K39" s="9" t="n">
        <v>0</v>
      </c>
      <c r="L39" s="9" t="n">
        <v>0</v>
      </c>
      <c r="M39" s="9" t="n">
        <v>0</v>
      </c>
      <c r="N39" s="12" t="n">
        <f aca="true">IFERROR(ROUND(SUM(OFFSET(B39,0,0,1,POSTAVKE!$B$7))/POSTAVKE!$B$7,2),0)</f>
        <v>16</v>
      </c>
    </row>
    <row r="40" customFormat="false" ht="15" hidden="false" customHeight="false" outlineLevel="0" collapsed="false">
      <c r="A40" s="11" t="s">
        <v>273</v>
      </c>
      <c r="B40" s="9" t="n">
        <v>23</v>
      </c>
      <c r="C40" s="9" t="n">
        <v>20</v>
      </c>
      <c r="D40" s="9" t="n">
        <v>31</v>
      </c>
      <c r="E40" s="9" t="n">
        <v>36</v>
      </c>
      <c r="F40" s="9" t="n">
        <v>32</v>
      </c>
      <c r="G40" s="9" t="n">
        <v>35</v>
      </c>
      <c r="H40" s="9" t="n">
        <v>39</v>
      </c>
      <c r="I40" s="9" t="n">
        <v>29</v>
      </c>
      <c r="J40" s="9" t="n">
        <v>0</v>
      </c>
      <c r="K40" s="9" t="n">
        <v>0</v>
      </c>
      <c r="L40" s="9" t="n">
        <v>0</v>
      </c>
      <c r="M40" s="9" t="n">
        <v>0</v>
      </c>
      <c r="N40" s="12" t="n">
        <f aca="true">IFERROR(ROUND(SUM(OFFSET(B40,0,0,1,POSTAVKE!$B$7))/POSTAVKE!$B$7,2),0)</f>
        <v>30.63</v>
      </c>
    </row>
    <row r="41" customFormat="false" ht="15" hidden="false" customHeight="false" outlineLevel="0" collapsed="false">
      <c r="A41" s="11" t="s">
        <v>311</v>
      </c>
      <c r="B41" s="9" t="n">
        <v>23</v>
      </c>
      <c r="C41" s="9" t="n">
        <v>16</v>
      </c>
      <c r="D41" s="9" t="n">
        <v>13</v>
      </c>
      <c r="E41" s="9" t="n">
        <v>14</v>
      </c>
      <c r="F41" s="9" t="n">
        <v>34</v>
      </c>
      <c r="G41" s="9" t="n">
        <v>13</v>
      </c>
      <c r="H41" s="9" t="n">
        <v>27</v>
      </c>
      <c r="I41" s="9" t="n">
        <v>11</v>
      </c>
      <c r="J41" s="9" t="n">
        <v>0</v>
      </c>
      <c r="K41" s="9" t="n">
        <v>0</v>
      </c>
      <c r="L41" s="9" t="n">
        <v>0</v>
      </c>
      <c r="M41" s="9" t="n">
        <v>0</v>
      </c>
      <c r="N41" s="12" t="n">
        <f aca="true">IFERROR(ROUND(SUM(OFFSET(B41,0,0,1,POSTAVKE!$B$7))/POSTAVKE!$B$7,2),0)</f>
        <v>18.88</v>
      </c>
    </row>
    <row r="42" customFormat="false" ht="15" hidden="false" customHeight="false" outlineLevel="0" collapsed="false">
      <c r="A42" s="11" t="s">
        <v>301</v>
      </c>
      <c r="B42" s="9" t="n">
        <v>21</v>
      </c>
      <c r="C42" s="9" t="n">
        <v>50</v>
      </c>
      <c r="D42" s="9" t="n">
        <v>34</v>
      </c>
      <c r="E42" s="9" t="n">
        <v>23</v>
      </c>
      <c r="F42" s="9" t="n">
        <v>24</v>
      </c>
      <c r="G42" s="9" t="n">
        <v>28</v>
      </c>
      <c r="H42" s="9" t="n">
        <v>26</v>
      </c>
      <c r="I42" s="9" t="n">
        <v>9</v>
      </c>
      <c r="J42" s="9" t="n">
        <v>1</v>
      </c>
      <c r="K42" s="9" t="n">
        <v>0</v>
      </c>
      <c r="L42" s="9" t="n">
        <v>0</v>
      </c>
      <c r="M42" s="9" t="n">
        <v>0</v>
      </c>
      <c r="N42" s="12" t="n">
        <f aca="true">IFERROR(ROUND(SUM(OFFSET(B42,0,0,1,POSTAVKE!$B$7))/POSTAVKE!$B$7,2),0)</f>
        <v>26.88</v>
      </c>
    </row>
    <row r="43" customFormat="false" ht="15" hidden="false" customHeight="false" outlineLevel="0" collapsed="false">
      <c r="A43" s="11" t="s">
        <v>137</v>
      </c>
      <c r="B43" s="9" t="n">
        <v>21</v>
      </c>
      <c r="C43" s="9" t="n">
        <v>1</v>
      </c>
      <c r="D43" s="9" t="n">
        <v>48</v>
      </c>
      <c r="E43" s="9" t="n">
        <v>6</v>
      </c>
      <c r="F43" s="9" t="n">
        <v>0</v>
      </c>
      <c r="G43" s="9" t="n">
        <v>0</v>
      </c>
      <c r="H43" s="9" t="n">
        <v>0</v>
      </c>
      <c r="I43" s="9" t="n">
        <v>0</v>
      </c>
      <c r="J43" s="9" t="n">
        <v>9</v>
      </c>
      <c r="K43" s="9" t="n">
        <v>0</v>
      </c>
      <c r="L43" s="9" t="n">
        <v>0</v>
      </c>
      <c r="M43" s="9" t="n">
        <v>0</v>
      </c>
      <c r="N43" s="12" t="n">
        <f aca="true">IFERROR(ROUND(SUM(OFFSET(B43,0,0,1,POSTAVKE!$B$7))/POSTAVKE!$B$7,2),0)</f>
        <v>9.5</v>
      </c>
    </row>
    <row r="44" customFormat="false" ht="15" hidden="false" customHeight="false" outlineLevel="0" collapsed="false">
      <c r="A44" s="11" t="s">
        <v>39</v>
      </c>
      <c r="B44" s="9" t="n">
        <v>20</v>
      </c>
      <c r="C44" s="9" t="n">
        <v>43</v>
      </c>
      <c r="D44" s="9" t="n">
        <v>23</v>
      </c>
      <c r="E44" s="9" t="n">
        <v>44</v>
      </c>
      <c r="F44" s="9" t="n">
        <v>20</v>
      </c>
      <c r="G44" s="9" t="n">
        <v>26</v>
      </c>
      <c r="H44" s="9" t="n">
        <v>50</v>
      </c>
      <c r="I44" s="9" t="n">
        <v>69</v>
      </c>
      <c r="J44" s="9" t="n">
        <v>10</v>
      </c>
      <c r="K44" s="9" t="n">
        <v>0</v>
      </c>
      <c r="L44" s="9" t="n">
        <v>0</v>
      </c>
      <c r="M44" s="9" t="n">
        <v>0</v>
      </c>
      <c r="N44" s="12" t="n">
        <f aca="true">IFERROR(ROUND(SUM(OFFSET(B44,0,0,1,POSTAVKE!$B$7))/POSTAVKE!$B$7,2),0)</f>
        <v>36.88</v>
      </c>
    </row>
    <row r="45" customFormat="false" ht="15" hidden="false" customHeight="false" outlineLevel="0" collapsed="false">
      <c r="A45" s="11" t="s">
        <v>1131</v>
      </c>
      <c r="B45" s="9" t="n">
        <v>19</v>
      </c>
      <c r="C45" s="9" t="n">
        <v>12</v>
      </c>
      <c r="D45" s="9" t="n">
        <v>17</v>
      </c>
      <c r="E45" s="9" t="n">
        <v>16</v>
      </c>
      <c r="F45" s="9" t="n">
        <v>16</v>
      </c>
      <c r="G45" s="9" t="n">
        <v>8</v>
      </c>
      <c r="H45" s="9" t="n">
        <v>10</v>
      </c>
      <c r="I45" s="9" t="n">
        <v>8</v>
      </c>
      <c r="J45" s="9" t="n">
        <v>0</v>
      </c>
      <c r="K45" s="9" t="n">
        <v>0</v>
      </c>
      <c r="L45" s="9" t="n">
        <v>0</v>
      </c>
      <c r="M45" s="9" t="n">
        <v>0</v>
      </c>
      <c r="N45" s="12" t="n">
        <f aca="true">IFERROR(ROUND(SUM(OFFSET(B45,0,0,1,POSTAVKE!$B$7))/POSTAVKE!$B$7,2),0)</f>
        <v>13.25</v>
      </c>
    </row>
    <row r="46" customFormat="false" ht="15" hidden="false" customHeight="false" outlineLevel="0" collapsed="false">
      <c r="A46" s="11" t="s">
        <v>431</v>
      </c>
      <c r="B46" s="9" t="n">
        <v>19</v>
      </c>
      <c r="C46" s="9" t="n">
        <v>7</v>
      </c>
      <c r="D46" s="9" t="n">
        <v>21</v>
      </c>
      <c r="E46" s="9" t="n">
        <v>19</v>
      </c>
      <c r="F46" s="9" t="n">
        <v>27</v>
      </c>
      <c r="G46" s="9" t="n">
        <v>11</v>
      </c>
      <c r="H46" s="9" t="n">
        <v>14</v>
      </c>
      <c r="I46" s="9" t="n">
        <v>21</v>
      </c>
      <c r="J46" s="9" t="n">
        <v>0</v>
      </c>
      <c r="K46" s="9" t="n">
        <v>0</v>
      </c>
      <c r="L46" s="9" t="n">
        <v>0</v>
      </c>
      <c r="M46" s="9" t="n">
        <v>0</v>
      </c>
      <c r="N46" s="12" t="n">
        <f aca="true">IFERROR(ROUND(SUM(OFFSET(B46,0,0,1,POSTAVKE!$B$7))/POSTAVKE!$B$7,2),0)</f>
        <v>17.38</v>
      </c>
    </row>
    <row r="47" customFormat="false" ht="15" hidden="false" customHeight="false" outlineLevel="0" collapsed="false">
      <c r="A47" s="11" t="s">
        <v>377</v>
      </c>
      <c r="B47" s="9" t="n">
        <v>19</v>
      </c>
      <c r="C47" s="9" t="n">
        <v>13</v>
      </c>
      <c r="D47" s="9" t="n">
        <v>22</v>
      </c>
      <c r="E47" s="9" t="n">
        <v>39</v>
      </c>
      <c r="F47" s="9" t="n">
        <v>2</v>
      </c>
      <c r="G47" s="9" t="n">
        <v>0</v>
      </c>
      <c r="H47" s="9" t="n">
        <v>0</v>
      </c>
      <c r="I47" s="9" t="n">
        <v>22</v>
      </c>
      <c r="J47" s="9" t="n">
        <v>3</v>
      </c>
      <c r="K47" s="9" t="n">
        <v>0</v>
      </c>
      <c r="L47" s="9" t="n">
        <v>0</v>
      </c>
      <c r="M47" s="9" t="n">
        <v>0</v>
      </c>
      <c r="N47" s="12" t="n">
        <f aca="true">IFERROR(ROUND(SUM(OFFSET(B47,0,0,1,POSTAVKE!$B$7))/POSTAVKE!$B$7,2),0)</f>
        <v>14.63</v>
      </c>
    </row>
    <row r="48" customFormat="false" ht="15" hidden="false" customHeight="false" outlineLevel="0" collapsed="false">
      <c r="A48" s="11" t="s">
        <v>181</v>
      </c>
      <c r="B48" s="9" t="n">
        <v>19</v>
      </c>
      <c r="C48" s="9" t="n">
        <v>2</v>
      </c>
      <c r="D48" s="9" t="n">
        <v>19</v>
      </c>
      <c r="E48" s="9" t="n">
        <v>12</v>
      </c>
      <c r="F48" s="9" t="n">
        <v>8</v>
      </c>
      <c r="G48" s="9" t="n">
        <v>1</v>
      </c>
      <c r="H48" s="9" t="n">
        <v>4</v>
      </c>
      <c r="I48" s="9" t="n">
        <v>3</v>
      </c>
      <c r="J48" s="9" t="n">
        <v>0</v>
      </c>
      <c r="K48" s="9" t="n">
        <v>0</v>
      </c>
      <c r="L48" s="9" t="n">
        <v>0</v>
      </c>
      <c r="M48" s="9" t="n">
        <v>0</v>
      </c>
      <c r="N48" s="12" t="n">
        <f aca="true">IFERROR(ROUND(SUM(OFFSET(B48,0,0,1,POSTAVKE!$B$7))/POSTAVKE!$B$7,2),0)</f>
        <v>8.5</v>
      </c>
    </row>
    <row r="49" customFormat="false" ht="15" hidden="false" customHeight="false" outlineLevel="0" collapsed="false">
      <c r="A49" s="11" t="s">
        <v>205</v>
      </c>
      <c r="B49" s="9" t="n">
        <v>18</v>
      </c>
      <c r="C49" s="9" t="n">
        <v>12</v>
      </c>
      <c r="D49" s="9" t="n">
        <v>37</v>
      </c>
      <c r="E49" s="9" t="n">
        <v>18</v>
      </c>
      <c r="F49" s="9" t="n">
        <v>31</v>
      </c>
      <c r="G49" s="9" t="n">
        <v>11</v>
      </c>
      <c r="H49" s="9" t="n">
        <v>38</v>
      </c>
      <c r="I49" s="9" t="n">
        <v>8</v>
      </c>
      <c r="J49" s="9" t="n">
        <v>1</v>
      </c>
      <c r="K49" s="9" t="n">
        <v>0</v>
      </c>
      <c r="L49" s="9" t="n">
        <v>0</v>
      </c>
      <c r="M49" s="9" t="n">
        <v>0</v>
      </c>
      <c r="N49" s="12" t="n">
        <f aca="true">IFERROR(ROUND(SUM(OFFSET(B49,0,0,1,POSTAVKE!$B$7))/POSTAVKE!$B$7,2),0)</f>
        <v>21.63</v>
      </c>
    </row>
    <row r="50" customFormat="false" ht="15" hidden="false" customHeight="false" outlineLevel="0" collapsed="false">
      <c r="A50" s="11" t="s">
        <v>127</v>
      </c>
      <c r="B50" s="9" t="n">
        <v>18</v>
      </c>
      <c r="C50" s="9" t="n">
        <v>7</v>
      </c>
      <c r="D50" s="9" t="n">
        <v>26</v>
      </c>
      <c r="E50" s="9" t="n">
        <v>9</v>
      </c>
      <c r="F50" s="9" t="n">
        <v>0</v>
      </c>
      <c r="G50" s="9" t="n">
        <v>-1</v>
      </c>
      <c r="H50" s="9" t="n">
        <v>-1</v>
      </c>
      <c r="I50" s="9" t="n">
        <v>0</v>
      </c>
      <c r="J50" s="9" t="n">
        <v>0</v>
      </c>
      <c r="K50" s="9" t="n">
        <v>0</v>
      </c>
      <c r="L50" s="9" t="n">
        <v>0</v>
      </c>
      <c r="M50" s="9" t="n">
        <v>0</v>
      </c>
      <c r="N50" s="12" t="n">
        <f aca="true">IFERROR(ROUND(SUM(OFFSET(B50,0,0,1,POSTAVKE!$B$7))/POSTAVKE!$B$7,2),0)</f>
        <v>7.25</v>
      </c>
    </row>
    <row r="51" customFormat="false" ht="15" hidden="false" customHeight="false" outlineLevel="0" collapsed="false">
      <c r="A51" s="11" t="s">
        <v>401</v>
      </c>
      <c r="B51" s="9" t="n">
        <v>18</v>
      </c>
      <c r="C51" s="9" t="n">
        <v>12</v>
      </c>
      <c r="D51" s="9" t="n">
        <v>34</v>
      </c>
      <c r="E51" s="9" t="n">
        <v>12</v>
      </c>
      <c r="F51" s="9" t="n">
        <v>11</v>
      </c>
      <c r="G51" s="9" t="n">
        <v>12</v>
      </c>
      <c r="H51" s="9" t="n">
        <v>2</v>
      </c>
      <c r="I51" s="9" t="n">
        <v>13</v>
      </c>
      <c r="J51" s="9" t="n">
        <v>1</v>
      </c>
      <c r="K51" s="9" t="n">
        <v>0</v>
      </c>
      <c r="L51" s="9" t="n">
        <v>0</v>
      </c>
      <c r="M51" s="9" t="n">
        <v>0</v>
      </c>
      <c r="N51" s="12" t="n">
        <f aca="true">IFERROR(ROUND(SUM(OFFSET(B51,0,0,1,POSTAVKE!$B$7))/POSTAVKE!$B$7,2),0)</f>
        <v>14.25</v>
      </c>
    </row>
    <row r="52" customFormat="false" ht="15" hidden="false" customHeight="false" outlineLevel="0" collapsed="false">
      <c r="A52" s="11" t="s">
        <v>663</v>
      </c>
      <c r="B52" s="9" t="n">
        <v>17</v>
      </c>
      <c r="C52" s="9" t="n">
        <v>18</v>
      </c>
      <c r="D52" s="9" t="n">
        <v>2</v>
      </c>
      <c r="E52" s="9" t="n">
        <v>0</v>
      </c>
      <c r="F52" s="9" t="n">
        <v>9</v>
      </c>
      <c r="G52" s="9" t="n">
        <v>3</v>
      </c>
      <c r="H52" s="9" t="n">
        <v>22</v>
      </c>
      <c r="I52" s="9" t="n">
        <v>21</v>
      </c>
      <c r="J52" s="9" t="n">
        <v>0</v>
      </c>
      <c r="K52" s="9" t="n">
        <v>0</v>
      </c>
      <c r="L52" s="9" t="n">
        <v>0</v>
      </c>
      <c r="M52" s="9" t="n">
        <v>0</v>
      </c>
      <c r="N52" s="12" t="n">
        <f aca="true">IFERROR(ROUND(SUM(OFFSET(B52,0,0,1,POSTAVKE!$B$7))/POSTAVKE!$B$7,2),0)</f>
        <v>11.5</v>
      </c>
    </row>
    <row r="53" customFormat="false" ht="15" hidden="false" customHeight="false" outlineLevel="0" collapsed="false">
      <c r="A53" s="11" t="s">
        <v>343</v>
      </c>
      <c r="B53" s="9" t="n">
        <v>17</v>
      </c>
      <c r="C53" s="9" t="n">
        <v>16</v>
      </c>
      <c r="D53" s="9" t="n">
        <v>20</v>
      </c>
      <c r="E53" s="9" t="n">
        <v>16</v>
      </c>
      <c r="F53" s="9" t="n">
        <v>22</v>
      </c>
      <c r="G53" s="9" t="n">
        <v>20</v>
      </c>
      <c r="H53" s="9" t="n">
        <v>0</v>
      </c>
      <c r="I53" s="9" t="n">
        <v>13</v>
      </c>
      <c r="J53" s="9" t="n">
        <v>0</v>
      </c>
      <c r="K53" s="9" t="n">
        <v>0</v>
      </c>
      <c r="L53" s="9" t="n">
        <v>0</v>
      </c>
      <c r="M53" s="9" t="n">
        <v>0</v>
      </c>
      <c r="N53" s="12" t="n">
        <f aca="true">IFERROR(ROUND(SUM(OFFSET(B53,0,0,1,POSTAVKE!$B$7))/POSTAVKE!$B$7,2),0)</f>
        <v>15.5</v>
      </c>
    </row>
    <row r="54" customFormat="false" ht="15" hidden="false" customHeight="false" outlineLevel="0" collapsed="false">
      <c r="A54" s="11" t="s">
        <v>321</v>
      </c>
      <c r="B54" s="9" t="n">
        <v>17</v>
      </c>
      <c r="C54" s="9" t="n">
        <v>1</v>
      </c>
      <c r="D54" s="9" t="n">
        <v>24</v>
      </c>
      <c r="E54" s="9" t="n">
        <v>20</v>
      </c>
      <c r="F54" s="9" t="n">
        <v>11</v>
      </c>
      <c r="G54" s="9" t="n">
        <v>3</v>
      </c>
      <c r="H54" s="9" t="n">
        <v>0</v>
      </c>
      <c r="I54" s="9" t="n">
        <v>0</v>
      </c>
      <c r="J54" s="9" t="n">
        <v>4</v>
      </c>
      <c r="K54" s="9" t="n">
        <v>0</v>
      </c>
      <c r="L54" s="9" t="n">
        <v>0</v>
      </c>
      <c r="M54" s="9" t="n">
        <v>0</v>
      </c>
      <c r="N54" s="12" t="n">
        <f aca="true">IFERROR(ROUND(SUM(OFFSET(B54,0,0,1,POSTAVKE!$B$7))/POSTAVKE!$B$7,2),0)</f>
        <v>9.5</v>
      </c>
    </row>
    <row r="55" customFormat="false" ht="15" hidden="false" customHeight="false" outlineLevel="0" collapsed="false">
      <c r="A55" s="11" t="s">
        <v>287</v>
      </c>
      <c r="B55" s="9" t="n">
        <v>16</v>
      </c>
      <c r="C55" s="9" t="n">
        <v>20</v>
      </c>
      <c r="D55" s="9" t="n">
        <v>11</v>
      </c>
      <c r="E55" s="9" t="n">
        <v>19</v>
      </c>
      <c r="F55" s="9" t="n">
        <v>13</v>
      </c>
      <c r="G55" s="9" t="n">
        <v>16</v>
      </c>
      <c r="H55" s="9" t="n">
        <v>9</v>
      </c>
      <c r="I55" s="9" t="n">
        <v>14</v>
      </c>
      <c r="J55" s="9" t="n">
        <v>0</v>
      </c>
      <c r="K55" s="9" t="n">
        <v>0</v>
      </c>
      <c r="L55" s="9" t="n">
        <v>0</v>
      </c>
      <c r="M55" s="9" t="n">
        <v>0</v>
      </c>
      <c r="N55" s="12" t="n">
        <f aca="true">IFERROR(ROUND(SUM(OFFSET(B55,0,0,1,POSTAVKE!$B$7))/POSTAVKE!$B$7,2),0)</f>
        <v>14.75</v>
      </c>
    </row>
    <row r="56" customFormat="false" ht="15" hidden="false" customHeight="false" outlineLevel="0" collapsed="false">
      <c r="A56" s="11" t="s">
        <v>331</v>
      </c>
      <c r="B56" s="9" t="n">
        <v>15</v>
      </c>
      <c r="C56" s="9" t="n">
        <v>3</v>
      </c>
      <c r="D56" s="9" t="n">
        <v>61</v>
      </c>
      <c r="E56" s="9" t="n">
        <v>13</v>
      </c>
      <c r="F56" s="9" t="n">
        <v>9</v>
      </c>
      <c r="G56" s="9" t="n">
        <v>20</v>
      </c>
      <c r="H56" s="9" t="n">
        <v>6</v>
      </c>
      <c r="I56" s="9" t="n">
        <v>3</v>
      </c>
      <c r="J56" s="9" t="n">
        <v>3</v>
      </c>
      <c r="K56" s="9" t="n">
        <v>0</v>
      </c>
      <c r="L56" s="9" t="n">
        <v>0</v>
      </c>
      <c r="M56" s="9" t="n">
        <v>0</v>
      </c>
      <c r="N56" s="12" t="n">
        <f aca="true">IFERROR(ROUND(SUM(OFFSET(B56,0,0,1,POSTAVKE!$B$7))/POSTAVKE!$B$7,2),0)</f>
        <v>16.25</v>
      </c>
    </row>
    <row r="57" customFormat="false" ht="15" hidden="false" customHeight="false" outlineLevel="0" collapsed="false">
      <c r="A57" s="11" t="s">
        <v>247</v>
      </c>
      <c r="B57" s="9" t="n">
        <v>15</v>
      </c>
      <c r="C57" s="9" t="n">
        <v>4</v>
      </c>
      <c r="D57" s="9" t="n">
        <v>16</v>
      </c>
      <c r="E57" s="9" t="n">
        <v>8</v>
      </c>
      <c r="F57" s="9" t="n">
        <v>26</v>
      </c>
      <c r="G57" s="9" t="n">
        <v>8</v>
      </c>
      <c r="H57" s="9" t="n">
        <v>7</v>
      </c>
      <c r="I57" s="9" t="n">
        <v>4</v>
      </c>
      <c r="J57" s="9" t="n">
        <v>0</v>
      </c>
      <c r="K57" s="9" t="n">
        <v>0</v>
      </c>
      <c r="L57" s="9" t="n">
        <v>0</v>
      </c>
      <c r="M57" s="9" t="n">
        <v>0</v>
      </c>
      <c r="N57" s="12" t="n">
        <f aca="true">IFERROR(ROUND(SUM(OFFSET(B57,0,0,1,POSTAVKE!$B$7))/POSTAVKE!$B$7,2),0)</f>
        <v>11</v>
      </c>
    </row>
    <row r="58" customFormat="false" ht="15" hidden="false" customHeight="false" outlineLevel="0" collapsed="false">
      <c r="A58" s="11" t="s">
        <v>1572</v>
      </c>
      <c r="B58" s="9" t="n">
        <v>14</v>
      </c>
      <c r="C58" s="9" t="n">
        <v>17</v>
      </c>
      <c r="D58" s="9" t="n">
        <v>0</v>
      </c>
      <c r="E58" s="9" t="n">
        <v>0</v>
      </c>
      <c r="F58" s="9" t="n">
        <v>0</v>
      </c>
      <c r="G58" s="9" t="n">
        <v>0</v>
      </c>
      <c r="H58" s="9" t="n">
        <v>0</v>
      </c>
      <c r="I58" s="9" t="n">
        <v>0</v>
      </c>
      <c r="J58" s="9" t="n">
        <v>0</v>
      </c>
      <c r="K58" s="9" t="n">
        <v>0</v>
      </c>
      <c r="L58" s="9" t="n">
        <v>0</v>
      </c>
      <c r="M58" s="9" t="n">
        <v>0</v>
      </c>
      <c r="N58" s="12" t="n">
        <f aca="true">IFERROR(ROUND(SUM(OFFSET(B58,0,0,1,POSTAVKE!$B$7))/POSTAVKE!$B$7,2),0)</f>
        <v>3.88</v>
      </c>
    </row>
    <row r="59" customFormat="false" ht="15" hidden="false" customHeight="false" outlineLevel="0" collapsed="false">
      <c r="A59" s="11" t="s">
        <v>239</v>
      </c>
      <c r="B59" s="9" t="n">
        <v>14</v>
      </c>
      <c r="C59" s="9" t="n">
        <v>2</v>
      </c>
      <c r="D59" s="9" t="n">
        <v>17</v>
      </c>
      <c r="E59" s="9" t="n">
        <v>19</v>
      </c>
      <c r="F59" s="9" t="n">
        <v>13</v>
      </c>
      <c r="G59" s="9" t="n">
        <v>1</v>
      </c>
      <c r="H59" s="9" t="n">
        <v>12</v>
      </c>
      <c r="I59" s="9" t="n">
        <v>3</v>
      </c>
      <c r="J59" s="9" t="n">
        <v>5</v>
      </c>
      <c r="K59" s="9" t="n">
        <v>0</v>
      </c>
      <c r="L59" s="9" t="n">
        <v>0</v>
      </c>
      <c r="M59" s="9" t="n">
        <v>0</v>
      </c>
      <c r="N59" s="12" t="n">
        <f aca="true">IFERROR(ROUND(SUM(OFFSET(B59,0,0,1,POSTAVKE!$B$7))/POSTAVKE!$B$7,2),0)</f>
        <v>10.13</v>
      </c>
    </row>
    <row r="60" customFormat="false" ht="15" hidden="false" customHeight="false" outlineLevel="0" collapsed="false">
      <c r="A60" s="11" t="s">
        <v>831</v>
      </c>
      <c r="B60" s="9" t="n">
        <v>13</v>
      </c>
      <c r="C60" s="9" t="n">
        <v>10</v>
      </c>
      <c r="D60" s="9" t="n">
        <v>19</v>
      </c>
      <c r="E60" s="9" t="n">
        <v>25</v>
      </c>
      <c r="F60" s="9" t="n">
        <v>13</v>
      </c>
      <c r="G60" s="9" t="n">
        <v>8</v>
      </c>
      <c r="H60" s="9" t="n">
        <v>11</v>
      </c>
      <c r="I60" s="9" t="n">
        <v>14</v>
      </c>
      <c r="J60" s="9" t="n">
        <v>0</v>
      </c>
      <c r="K60" s="9" t="n">
        <v>0</v>
      </c>
      <c r="L60" s="9" t="n">
        <v>0</v>
      </c>
      <c r="M60" s="9" t="n">
        <v>0</v>
      </c>
      <c r="N60" s="12" t="n">
        <f aca="true">IFERROR(ROUND(SUM(OFFSET(B60,0,0,1,POSTAVKE!$B$7))/POSTAVKE!$B$7,2),0)</f>
        <v>14.13</v>
      </c>
    </row>
    <row r="61" customFormat="false" ht="15" hidden="false" customHeight="false" outlineLevel="0" collapsed="false">
      <c r="A61" s="11" t="s">
        <v>209</v>
      </c>
      <c r="B61" s="9" t="n">
        <v>12</v>
      </c>
      <c r="C61" s="9" t="n">
        <v>20</v>
      </c>
      <c r="D61" s="9" t="n">
        <v>17</v>
      </c>
      <c r="E61" s="9" t="n">
        <v>24</v>
      </c>
      <c r="F61" s="9" t="n">
        <v>5</v>
      </c>
      <c r="G61" s="9" t="n">
        <v>44</v>
      </c>
      <c r="H61" s="9" t="n">
        <v>21</v>
      </c>
      <c r="I61" s="9" t="n">
        <v>27</v>
      </c>
      <c r="J61" s="9" t="n">
        <v>8</v>
      </c>
      <c r="K61" s="9" t="n">
        <v>0</v>
      </c>
      <c r="L61" s="9" t="n">
        <v>0</v>
      </c>
      <c r="M61" s="9" t="n">
        <v>0</v>
      </c>
      <c r="N61" s="12" t="n">
        <f aca="true">IFERROR(ROUND(SUM(OFFSET(B61,0,0,1,POSTAVKE!$B$7))/POSTAVKE!$B$7,2),0)</f>
        <v>21.25</v>
      </c>
    </row>
    <row r="62" customFormat="false" ht="15" hidden="false" customHeight="false" outlineLevel="0" collapsed="false">
      <c r="A62" s="11" t="s">
        <v>145</v>
      </c>
      <c r="B62" s="9" t="n">
        <v>12</v>
      </c>
      <c r="C62" s="9" t="n">
        <v>6</v>
      </c>
      <c r="D62" s="9" t="n">
        <v>17</v>
      </c>
      <c r="E62" s="9" t="n">
        <v>15</v>
      </c>
      <c r="F62" s="9" t="n">
        <v>11</v>
      </c>
      <c r="G62" s="9" t="n">
        <v>4</v>
      </c>
      <c r="H62" s="9" t="n">
        <v>11</v>
      </c>
      <c r="I62" s="9" t="n">
        <v>14</v>
      </c>
      <c r="J62" s="9" t="n">
        <v>0</v>
      </c>
      <c r="K62" s="9" t="n">
        <v>0</v>
      </c>
      <c r="L62" s="9" t="n">
        <v>0</v>
      </c>
      <c r="M62" s="9" t="n">
        <v>0</v>
      </c>
      <c r="N62" s="12" t="n">
        <f aca="true">IFERROR(ROUND(SUM(OFFSET(B62,0,0,1,POSTAVKE!$B$7))/POSTAVKE!$B$7,2),0)</f>
        <v>11.25</v>
      </c>
    </row>
    <row r="63" customFormat="false" ht="15" hidden="false" customHeight="false" outlineLevel="0" collapsed="false">
      <c r="A63" s="11" t="s">
        <v>193</v>
      </c>
      <c r="B63" s="9" t="n">
        <v>11</v>
      </c>
      <c r="C63" s="9" t="n">
        <v>9</v>
      </c>
      <c r="D63" s="9" t="n">
        <v>15</v>
      </c>
      <c r="E63" s="9" t="n">
        <v>13</v>
      </c>
      <c r="F63" s="9" t="n">
        <v>9</v>
      </c>
      <c r="G63" s="9" t="n">
        <v>10</v>
      </c>
      <c r="H63" s="9" t="n">
        <v>17</v>
      </c>
      <c r="I63" s="9" t="n">
        <v>8</v>
      </c>
      <c r="J63" s="9" t="n">
        <v>0</v>
      </c>
      <c r="K63" s="9" t="n">
        <v>0</v>
      </c>
      <c r="L63" s="9" t="n">
        <v>0</v>
      </c>
      <c r="M63" s="9" t="n">
        <v>0</v>
      </c>
      <c r="N63" s="12" t="n">
        <f aca="true">IFERROR(ROUND(SUM(OFFSET(B63,0,0,1,POSTAVKE!$B$7))/POSTAVKE!$B$7,2),0)</f>
        <v>11.5</v>
      </c>
    </row>
    <row r="64" customFormat="false" ht="15" hidden="false" customHeight="false" outlineLevel="0" collapsed="false">
      <c r="A64" s="11" t="s">
        <v>139</v>
      </c>
      <c r="B64" s="9" t="n">
        <v>11</v>
      </c>
      <c r="C64" s="9" t="n">
        <v>10</v>
      </c>
      <c r="D64" s="9" t="n">
        <v>11</v>
      </c>
      <c r="E64" s="9" t="n">
        <v>2</v>
      </c>
      <c r="F64" s="9" t="n">
        <v>11</v>
      </c>
      <c r="G64" s="9" t="n">
        <v>0</v>
      </c>
      <c r="H64" s="9" t="n">
        <v>11</v>
      </c>
      <c r="I64" s="9" t="n">
        <v>9</v>
      </c>
      <c r="J64" s="9" t="n">
        <v>0</v>
      </c>
      <c r="K64" s="9" t="n">
        <v>0</v>
      </c>
      <c r="L64" s="9" t="n">
        <v>0</v>
      </c>
      <c r="M64" s="9" t="n">
        <v>0</v>
      </c>
      <c r="N64" s="12" t="n">
        <f aca="true">IFERROR(ROUND(SUM(OFFSET(B64,0,0,1,POSTAVKE!$B$7))/POSTAVKE!$B$7,2),0)</f>
        <v>8.13</v>
      </c>
    </row>
    <row r="65" customFormat="false" ht="15" hidden="false" customHeight="false" outlineLevel="0" collapsed="false">
      <c r="A65" s="11" t="s">
        <v>1498</v>
      </c>
      <c r="B65" s="9" t="n">
        <v>11</v>
      </c>
      <c r="C65" s="9" t="n">
        <v>9</v>
      </c>
      <c r="D65" s="9" t="n">
        <v>11</v>
      </c>
      <c r="E65" s="9" t="n">
        <v>3</v>
      </c>
      <c r="F65" s="9" t="n">
        <v>12</v>
      </c>
      <c r="G65" s="9" t="n">
        <v>19</v>
      </c>
      <c r="H65" s="9" t="n">
        <v>22</v>
      </c>
      <c r="I65" s="9" t="n">
        <v>8</v>
      </c>
      <c r="J65" s="9" t="n">
        <v>0</v>
      </c>
      <c r="K65" s="9" t="n">
        <v>0</v>
      </c>
      <c r="L65" s="9" t="n">
        <v>0</v>
      </c>
      <c r="M65" s="9" t="n">
        <v>0</v>
      </c>
      <c r="N65" s="12" t="n">
        <f aca="true">IFERROR(ROUND(SUM(OFFSET(B65,0,0,1,POSTAVKE!$B$7))/POSTAVKE!$B$7,2),0)</f>
        <v>11.88</v>
      </c>
    </row>
    <row r="66" customFormat="false" ht="15" hidden="false" customHeight="false" outlineLevel="0" collapsed="false">
      <c r="A66" s="11" t="s">
        <v>353</v>
      </c>
      <c r="B66" s="9" t="n">
        <v>11</v>
      </c>
      <c r="C66" s="9" t="n">
        <v>13</v>
      </c>
      <c r="D66" s="9" t="n">
        <v>16</v>
      </c>
      <c r="E66" s="9" t="n">
        <v>8</v>
      </c>
      <c r="F66" s="9" t="n">
        <v>5</v>
      </c>
      <c r="G66" s="9" t="n">
        <v>20</v>
      </c>
      <c r="H66" s="9" t="n">
        <v>30</v>
      </c>
      <c r="I66" s="9" t="n">
        <v>11</v>
      </c>
      <c r="J66" s="9" t="n">
        <v>0</v>
      </c>
      <c r="K66" s="9" t="n">
        <v>0</v>
      </c>
      <c r="L66" s="9" t="n">
        <v>0</v>
      </c>
      <c r="M66" s="9" t="n">
        <v>0</v>
      </c>
      <c r="N66" s="12" t="n">
        <f aca="true">IFERROR(ROUND(SUM(OFFSET(B66,0,0,1,POSTAVKE!$B$7))/POSTAVKE!$B$7,2),0)</f>
        <v>14.25</v>
      </c>
    </row>
    <row r="67" customFormat="false" ht="15" hidden="false" customHeight="false" outlineLevel="0" collapsed="false">
      <c r="A67" s="11" t="s">
        <v>813</v>
      </c>
      <c r="B67" s="9" t="n">
        <v>11</v>
      </c>
      <c r="C67" s="9" t="n">
        <v>2</v>
      </c>
      <c r="D67" s="9" t="n">
        <v>2</v>
      </c>
      <c r="E67" s="9" t="n">
        <v>3</v>
      </c>
      <c r="F67" s="9" t="n">
        <v>4</v>
      </c>
      <c r="G67" s="9" t="n">
        <v>4</v>
      </c>
      <c r="H67" s="9" t="n">
        <v>4</v>
      </c>
      <c r="I67" s="9" t="n">
        <v>3</v>
      </c>
      <c r="J67" s="9" t="n">
        <v>0</v>
      </c>
      <c r="K67" s="9" t="n">
        <v>0</v>
      </c>
      <c r="L67" s="9" t="n">
        <v>0</v>
      </c>
      <c r="M67" s="9" t="n">
        <v>0</v>
      </c>
      <c r="N67" s="12" t="n">
        <f aca="true">IFERROR(ROUND(SUM(OFFSET(B67,0,0,1,POSTAVKE!$B$7))/POSTAVKE!$B$7,2),0)</f>
        <v>4.13</v>
      </c>
    </row>
    <row r="68" customFormat="false" ht="15" hidden="false" customHeight="false" outlineLevel="0" collapsed="false">
      <c r="A68" s="11" t="s">
        <v>259</v>
      </c>
      <c r="B68" s="9" t="n">
        <v>10</v>
      </c>
      <c r="C68" s="9" t="n">
        <v>11</v>
      </c>
      <c r="D68" s="9" t="n">
        <v>13</v>
      </c>
      <c r="E68" s="9" t="n">
        <v>18</v>
      </c>
      <c r="F68" s="9" t="n">
        <v>10</v>
      </c>
      <c r="G68" s="9" t="n">
        <v>19</v>
      </c>
      <c r="H68" s="9" t="n">
        <v>26</v>
      </c>
      <c r="I68" s="9" t="n">
        <v>7</v>
      </c>
      <c r="J68" s="9" t="n">
        <v>0</v>
      </c>
      <c r="K68" s="9" t="n">
        <v>0</v>
      </c>
      <c r="L68" s="9" t="n">
        <v>0</v>
      </c>
      <c r="M68" s="9" t="n">
        <v>0</v>
      </c>
      <c r="N68" s="12" t="n">
        <f aca="true">IFERROR(ROUND(SUM(OFFSET(B68,0,0,1,POSTAVKE!$B$7))/POSTAVKE!$B$7,2),0)</f>
        <v>14.25</v>
      </c>
    </row>
    <row r="69" customFormat="false" ht="15" hidden="false" customHeight="false" outlineLevel="0" collapsed="false">
      <c r="A69" s="11" t="s">
        <v>281</v>
      </c>
      <c r="B69" s="9" t="n">
        <v>9</v>
      </c>
      <c r="C69" s="9" t="n">
        <v>4</v>
      </c>
      <c r="D69" s="9" t="n">
        <v>3</v>
      </c>
      <c r="E69" s="9" t="n">
        <v>6</v>
      </c>
      <c r="F69" s="9" t="n">
        <v>10</v>
      </c>
      <c r="G69" s="9" t="n">
        <v>4</v>
      </c>
      <c r="H69" s="9" t="n">
        <v>16</v>
      </c>
      <c r="I69" s="9" t="n">
        <v>9</v>
      </c>
      <c r="J69" s="9" t="n">
        <v>0</v>
      </c>
      <c r="K69" s="9" t="n">
        <v>0</v>
      </c>
      <c r="L69" s="9" t="n">
        <v>0</v>
      </c>
      <c r="M69" s="9" t="n">
        <v>0</v>
      </c>
      <c r="N69" s="12" t="n">
        <f aca="true">IFERROR(ROUND(SUM(OFFSET(B69,0,0,1,POSTAVKE!$B$7))/POSTAVKE!$B$7,2),0)</f>
        <v>7.63</v>
      </c>
    </row>
    <row r="70" customFormat="false" ht="15" hidden="false" customHeight="false" outlineLevel="0" collapsed="false">
      <c r="A70" s="11" t="s">
        <v>549</v>
      </c>
      <c r="B70" s="9" t="n">
        <v>9</v>
      </c>
      <c r="C70" s="9" t="n">
        <v>6</v>
      </c>
      <c r="D70" s="9" t="n">
        <v>13</v>
      </c>
      <c r="E70" s="9" t="n">
        <v>8</v>
      </c>
      <c r="F70" s="9" t="n">
        <v>9</v>
      </c>
      <c r="G70" s="9" t="n">
        <v>10</v>
      </c>
      <c r="H70" s="9" t="n">
        <v>15</v>
      </c>
      <c r="I70" s="9" t="n">
        <v>3</v>
      </c>
      <c r="J70" s="9" t="n">
        <v>0</v>
      </c>
      <c r="K70" s="9" t="n">
        <v>0</v>
      </c>
      <c r="L70" s="9" t="n">
        <v>0</v>
      </c>
      <c r="M70" s="9" t="n">
        <v>0</v>
      </c>
      <c r="N70" s="12" t="n">
        <f aca="true">IFERROR(ROUND(SUM(OFFSET(B70,0,0,1,POSTAVKE!$B$7))/POSTAVKE!$B$7,2),0)</f>
        <v>9.13</v>
      </c>
    </row>
    <row r="71" customFormat="false" ht="15" hidden="false" customHeight="false" outlineLevel="0" collapsed="false">
      <c r="A71" s="11" t="s">
        <v>411</v>
      </c>
      <c r="B71" s="9" t="n">
        <v>9</v>
      </c>
      <c r="C71" s="9" t="n">
        <v>20</v>
      </c>
      <c r="D71" s="9" t="n">
        <v>6</v>
      </c>
      <c r="E71" s="9" t="n">
        <v>13</v>
      </c>
      <c r="F71" s="9" t="n">
        <v>12</v>
      </c>
      <c r="G71" s="9" t="n">
        <v>6</v>
      </c>
      <c r="H71" s="9" t="n">
        <v>11</v>
      </c>
      <c r="I71" s="9" t="n">
        <v>0</v>
      </c>
      <c r="J71" s="9" t="n">
        <v>0</v>
      </c>
      <c r="K71" s="9" t="n">
        <v>0</v>
      </c>
      <c r="L71" s="9" t="n">
        <v>0</v>
      </c>
      <c r="M71" s="9" t="n">
        <v>0</v>
      </c>
      <c r="N71" s="12" t="n">
        <f aca="true">IFERROR(ROUND(SUM(OFFSET(B71,0,0,1,POSTAVKE!$B$7))/POSTAVKE!$B$7,2),0)</f>
        <v>9.63</v>
      </c>
    </row>
    <row r="72" customFormat="false" ht="15" hidden="false" customHeight="false" outlineLevel="0" collapsed="false">
      <c r="A72" s="11" t="s">
        <v>439</v>
      </c>
      <c r="B72" s="9" t="n">
        <v>9</v>
      </c>
      <c r="C72" s="9" t="n">
        <v>4</v>
      </c>
      <c r="D72" s="9" t="n">
        <v>0</v>
      </c>
      <c r="E72" s="9" t="n">
        <v>0</v>
      </c>
      <c r="F72" s="9" t="n">
        <v>13</v>
      </c>
      <c r="G72" s="9" t="n">
        <v>0</v>
      </c>
      <c r="H72" s="9" t="n">
        <v>12</v>
      </c>
      <c r="I72" s="9" t="n">
        <v>8</v>
      </c>
      <c r="J72" s="9" t="n">
        <v>0</v>
      </c>
      <c r="K72" s="9" t="n">
        <v>0</v>
      </c>
      <c r="L72" s="9" t="n">
        <v>0</v>
      </c>
      <c r="M72" s="9" t="n">
        <v>0</v>
      </c>
      <c r="N72" s="12" t="n">
        <f aca="true">IFERROR(ROUND(SUM(OFFSET(B72,0,0,1,POSTAVKE!$B$7))/POSTAVKE!$B$7,2),0)</f>
        <v>5.75</v>
      </c>
    </row>
    <row r="73" customFormat="false" ht="15" hidden="false" customHeight="false" outlineLevel="0" collapsed="false">
      <c r="A73" s="11" t="s">
        <v>557</v>
      </c>
      <c r="B73" s="9" t="n">
        <v>9</v>
      </c>
      <c r="C73" s="9" t="n">
        <v>1</v>
      </c>
      <c r="D73" s="9" t="n">
        <v>9</v>
      </c>
      <c r="E73" s="9" t="n">
        <v>2</v>
      </c>
      <c r="F73" s="9" t="n">
        <v>1</v>
      </c>
      <c r="G73" s="9" t="n">
        <v>1</v>
      </c>
      <c r="H73" s="9" t="n">
        <v>2</v>
      </c>
      <c r="I73" s="9" t="n">
        <v>0</v>
      </c>
      <c r="J73" s="9" t="n">
        <v>0</v>
      </c>
      <c r="K73" s="9" t="n">
        <v>0</v>
      </c>
      <c r="L73" s="9" t="n">
        <v>0</v>
      </c>
      <c r="M73" s="9" t="n">
        <v>0</v>
      </c>
      <c r="N73" s="12" t="n">
        <f aca="true">IFERROR(ROUND(SUM(OFFSET(B73,0,0,1,POSTAVKE!$B$7))/POSTAVKE!$B$7,2),0)</f>
        <v>3.13</v>
      </c>
    </row>
    <row r="74" customFormat="false" ht="15" hidden="false" customHeight="false" outlineLevel="0" collapsed="false">
      <c r="A74" s="11" t="s">
        <v>1516</v>
      </c>
      <c r="B74" s="9" t="n">
        <v>9</v>
      </c>
      <c r="C74" s="9" t="n">
        <v>0</v>
      </c>
      <c r="D74" s="9" t="n">
        <v>2</v>
      </c>
      <c r="E74" s="9" t="n">
        <v>0</v>
      </c>
      <c r="F74" s="9" t="n">
        <v>0</v>
      </c>
      <c r="G74" s="9" t="n">
        <v>0</v>
      </c>
      <c r="H74" s="9" t="n">
        <v>0</v>
      </c>
      <c r="I74" s="9" t="n">
        <v>0</v>
      </c>
      <c r="J74" s="9" t="n">
        <v>0</v>
      </c>
      <c r="K74" s="9" t="n">
        <v>0</v>
      </c>
      <c r="L74" s="9" t="n">
        <v>0</v>
      </c>
      <c r="M74" s="9" t="n">
        <v>0</v>
      </c>
      <c r="N74" s="12" t="n">
        <f aca="true">IFERROR(ROUND(SUM(OFFSET(B74,0,0,1,POSTAVKE!$B$7))/POSTAVKE!$B$7,2),0)</f>
        <v>1.38</v>
      </c>
    </row>
    <row r="75" customFormat="false" ht="15" hidden="false" customHeight="false" outlineLevel="0" collapsed="false">
      <c r="A75" s="11" t="s">
        <v>385</v>
      </c>
      <c r="B75" s="9" t="n">
        <v>9</v>
      </c>
      <c r="C75" s="9" t="n">
        <v>0</v>
      </c>
      <c r="D75" s="9" t="n">
        <v>15</v>
      </c>
      <c r="E75" s="9" t="n">
        <v>11</v>
      </c>
      <c r="F75" s="9" t="n">
        <v>7</v>
      </c>
      <c r="G75" s="9" t="n">
        <v>1</v>
      </c>
      <c r="H75" s="9" t="n">
        <v>2</v>
      </c>
      <c r="I75" s="9" t="n">
        <v>7</v>
      </c>
      <c r="J75" s="9" t="n">
        <v>0</v>
      </c>
      <c r="K75" s="9" t="n">
        <v>0</v>
      </c>
      <c r="L75" s="9" t="n">
        <v>0</v>
      </c>
      <c r="M75" s="9" t="n">
        <v>0</v>
      </c>
      <c r="N75" s="12" t="n">
        <f aca="true">IFERROR(ROUND(SUM(OFFSET(B75,0,0,1,POSTAVKE!$B$7))/POSTAVKE!$B$7,2),0)</f>
        <v>6.5</v>
      </c>
    </row>
    <row r="76" customFormat="false" ht="15" hidden="false" customHeight="false" outlineLevel="0" collapsed="false">
      <c r="A76" s="11" t="s">
        <v>595</v>
      </c>
      <c r="B76" s="9" t="n">
        <v>9</v>
      </c>
      <c r="C76" s="9" t="n">
        <v>4</v>
      </c>
      <c r="D76" s="9" t="n">
        <v>2</v>
      </c>
      <c r="E76" s="9" t="n">
        <v>5</v>
      </c>
      <c r="F76" s="9" t="n">
        <v>10</v>
      </c>
      <c r="G76" s="9" t="n">
        <v>4</v>
      </c>
      <c r="H76" s="9" t="n">
        <v>4</v>
      </c>
      <c r="I76" s="9" t="n">
        <v>6</v>
      </c>
      <c r="J76" s="9" t="n">
        <v>0</v>
      </c>
      <c r="K76" s="9" t="n">
        <v>0</v>
      </c>
      <c r="L76" s="9" t="n">
        <v>0</v>
      </c>
      <c r="M76" s="9" t="n">
        <v>0</v>
      </c>
      <c r="N76" s="12" t="n">
        <f aca="true">IFERROR(ROUND(SUM(OFFSET(B76,0,0,1,POSTAVKE!$B$7))/POSTAVKE!$B$7,2),0)</f>
        <v>5.5</v>
      </c>
    </row>
    <row r="77" customFormat="false" ht="15" hidden="false" customHeight="false" outlineLevel="0" collapsed="false">
      <c r="A77" s="11" t="s">
        <v>339</v>
      </c>
      <c r="B77" s="9" t="n">
        <v>9</v>
      </c>
      <c r="C77" s="9" t="n">
        <v>7</v>
      </c>
      <c r="D77" s="9" t="n">
        <v>5</v>
      </c>
      <c r="E77" s="9" t="n">
        <v>6</v>
      </c>
      <c r="F77" s="9" t="n">
        <v>2</v>
      </c>
      <c r="G77" s="9" t="n">
        <v>0</v>
      </c>
      <c r="H77" s="9" t="n">
        <v>0</v>
      </c>
      <c r="I77" s="9" t="n">
        <v>0</v>
      </c>
      <c r="J77" s="9" t="n">
        <v>0</v>
      </c>
      <c r="K77" s="9" t="n">
        <v>0</v>
      </c>
      <c r="L77" s="9" t="n">
        <v>0</v>
      </c>
      <c r="M77" s="9" t="n">
        <v>0</v>
      </c>
      <c r="N77" s="12" t="n">
        <f aca="true">IFERROR(ROUND(SUM(OFFSET(B77,0,0,1,POSTAVKE!$B$7))/POSTAVKE!$B$7,2),0)</f>
        <v>3.63</v>
      </c>
    </row>
    <row r="78" customFormat="false" ht="15" hidden="false" customHeight="false" outlineLevel="0" collapsed="false">
      <c r="A78" s="11" t="s">
        <v>1634</v>
      </c>
      <c r="B78" s="9" t="n">
        <v>9</v>
      </c>
      <c r="C78" s="9" t="n">
        <v>1</v>
      </c>
      <c r="D78" s="9" t="n">
        <v>15</v>
      </c>
      <c r="E78" s="9" t="n">
        <v>14</v>
      </c>
      <c r="F78" s="9" t="n">
        <v>15</v>
      </c>
      <c r="G78" s="9" t="n">
        <v>13</v>
      </c>
      <c r="H78" s="9" t="n">
        <v>21</v>
      </c>
      <c r="I78" s="9" t="n">
        <v>18</v>
      </c>
      <c r="J78" s="9" t="n">
        <v>0</v>
      </c>
      <c r="K78" s="9" t="n">
        <v>0</v>
      </c>
      <c r="L78" s="9" t="n">
        <v>0</v>
      </c>
      <c r="M78" s="9" t="n">
        <v>0</v>
      </c>
      <c r="N78" s="12" t="n">
        <f aca="true">IFERROR(ROUND(SUM(OFFSET(B78,0,0,1,POSTAVKE!$B$7))/POSTAVKE!$B$7,2),0)</f>
        <v>13.25</v>
      </c>
    </row>
    <row r="79" customFormat="false" ht="15" hidden="false" customHeight="false" outlineLevel="0" collapsed="false">
      <c r="A79" s="11" t="s">
        <v>459</v>
      </c>
      <c r="B79" s="9" t="n">
        <v>8</v>
      </c>
      <c r="C79" s="9" t="n">
        <v>12</v>
      </c>
      <c r="D79" s="9" t="n">
        <v>10</v>
      </c>
      <c r="E79" s="9" t="n">
        <v>5</v>
      </c>
      <c r="F79" s="9" t="n">
        <v>15</v>
      </c>
      <c r="G79" s="9" t="n">
        <v>6</v>
      </c>
      <c r="H79" s="9" t="n">
        <v>10</v>
      </c>
      <c r="I79" s="9" t="n">
        <v>11</v>
      </c>
      <c r="J79" s="9" t="n">
        <v>0</v>
      </c>
      <c r="K79" s="9" t="n">
        <v>0</v>
      </c>
      <c r="L79" s="9" t="n">
        <v>0</v>
      </c>
      <c r="M79" s="9" t="n">
        <v>0</v>
      </c>
      <c r="N79" s="12" t="n">
        <f aca="true">IFERROR(ROUND(SUM(OFFSET(B79,0,0,1,POSTAVKE!$B$7))/POSTAVKE!$B$7,2),0)</f>
        <v>9.63</v>
      </c>
    </row>
    <row r="80" customFormat="false" ht="15" hidden="false" customHeight="false" outlineLevel="0" collapsed="false">
      <c r="A80" s="11" t="s">
        <v>1468</v>
      </c>
      <c r="B80" s="9" t="n">
        <v>8</v>
      </c>
      <c r="C80" s="9" t="n">
        <v>2</v>
      </c>
      <c r="D80" s="9" t="n">
        <v>0</v>
      </c>
      <c r="E80" s="9" t="n">
        <v>0</v>
      </c>
      <c r="F80" s="9" t="n">
        <v>0</v>
      </c>
      <c r="G80" s="9" t="n">
        <v>0</v>
      </c>
      <c r="H80" s="9" t="n">
        <v>0</v>
      </c>
      <c r="I80" s="9" t="n">
        <v>0</v>
      </c>
      <c r="J80" s="9" t="n">
        <v>0</v>
      </c>
      <c r="K80" s="9" t="n">
        <v>0</v>
      </c>
      <c r="L80" s="9" t="n">
        <v>0</v>
      </c>
      <c r="M80" s="9" t="n">
        <v>0</v>
      </c>
      <c r="N80" s="12" t="n">
        <f aca="true">IFERROR(ROUND(SUM(OFFSET(B80,0,0,1,POSTAVKE!$B$7))/POSTAVKE!$B$7,2),0)</f>
        <v>1.25</v>
      </c>
    </row>
    <row r="81" customFormat="false" ht="15" hidden="false" customHeight="false" outlineLevel="0" collapsed="false">
      <c r="A81" s="11" t="s">
        <v>323</v>
      </c>
      <c r="B81" s="9" t="n">
        <v>8</v>
      </c>
      <c r="C81" s="9" t="n">
        <v>0</v>
      </c>
      <c r="D81" s="9" t="n">
        <v>7</v>
      </c>
      <c r="E81" s="9" t="n">
        <v>40</v>
      </c>
      <c r="F81" s="9" t="n">
        <v>7</v>
      </c>
      <c r="G81" s="9" t="n">
        <v>0</v>
      </c>
      <c r="H81" s="9" t="n">
        <v>12</v>
      </c>
      <c r="I81" s="9" t="n">
        <v>2</v>
      </c>
      <c r="J81" s="9" t="n">
        <v>0</v>
      </c>
      <c r="K81" s="9" t="n">
        <v>0</v>
      </c>
      <c r="L81" s="9" t="n">
        <v>0</v>
      </c>
      <c r="M81" s="9" t="n">
        <v>0</v>
      </c>
      <c r="N81" s="12" t="n">
        <f aca="true">IFERROR(ROUND(SUM(OFFSET(B81,0,0,1,POSTAVKE!$B$7))/POSTAVKE!$B$7,2),0)</f>
        <v>9.5</v>
      </c>
    </row>
    <row r="82" customFormat="false" ht="15" hidden="false" customHeight="false" outlineLevel="0" collapsed="false">
      <c r="A82" s="11" t="s">
        <v>151</v>
      </c>
      <c r="B82" s="9" t="n">
        <v>8</v>
      </c>
      <c r="C82" s="9" t="n">
        <v>12</v>
      </c>
      <c r="D82" s="9" t="n">
        <v>11</v>
      </c>
      <c r="E82" s="9" t="n">
        <v>13</v>
      </c>
      <c r="F82" s="9" t="n">
        <v>10</v>
      </c>
      <c r="G82" s="9" t="n">
        <v>4</v>
      </c>
      <c r="H82" s="9" t="n">
        <v>21</v>
      </c>
      <c r="I82" s="9" t="n">
        <v>7</v>
      </c>
      <c r="J82" s="9" t="n">
        <v>2</v>
      </c>
      <c r="K82" s="9" t="n">
        <v>0</v>
      </c>
      <c r="L82" s="9" t="n">
        <v>0</v>
      </c>
      <c r="M82" s="9" t="n">
        <v>0</v>
      </c>
      <c r="N82" s="12" t="n">
        <f aca="true">IFERROR(ROUND(SUM(OFFSET(B82,0,0,1,POSTAVKE!$B$7))/POSTAVKE!$B$7,2),0)</f>
        <v>10.75</v>
      </c>
    </row>
    <row r="83" customFormat="false" ht="15" hidden="false" customHeight="false" outlineLevel="0" collapsed="false">
      <c r="A83" s="11" t="s">
        <v>467</v>
      </c>
      <c r="B83" s="9" t="n">
        <v>8</v>
      </c>
      <c r="C83" s="9" t="n">
        <v>7</v>
      </c>
      <c r="D83" s="9" t="n">
        <v>17</v>
      </c>
      <c r="E83" s="9" t="n">
        <v>12</v>
      </c>
      <c r="F83" s="9" t="n">
        <v>5</v>
      </c>
      <c r="G83" s="9" t="n">
        <v>3</v>
      </c>
      <c r="H83" s="9" t="n">
        <v>11</v>
      </c>
      <c r="I83" s="9" t="n">
        <v>6</v>
      </c>
      <c r="J83" s="9" t="n">
        <v>1</v>
      </c>
      <c r="K83" s="9" t="n">
        <v>0</v>
      </c>
      <c r="L83" s="9" t="n">
        <v>0</v>
      </c>
      <c r="M83" s="9" t="n">
        <v>0</v>
      </c>
      <c r="N83" s="12" t="n">
        <f aca="true">IFERROR(ROUND(SUM(OFFSET(B83,0,0,1,POSTAVKE!$B$7))/POSTAVKE!$B$7,2),0)</f>
        <v>8.63</v>
      </c>
    </row>
    <row r="84" customFormat="false" ht="15" hidden="false" customHeight="false" outlineLevel="0" collapsed="false">
      <c r="A84" s="11" t="s">
        <v>349</v>
      </c>
      <c r="B84" s="9" t="n">
        <v>8</v>
      </c>
      <c r="C84" s="9" t="n">
        <v>4</v>
      </c>
      <c r="D84" s="9" t="n">
        <v>10</v>
      </c>
      <c r="E84" s="9" t="n">
        <v>13</v>
      </c>
      <c r="F84" s="9" t="n">
        <v>16</v>
      </c>
      <c r="G84" s="9" t="n">
        <v>10</v>
      </c>
      <c r="H84" s="9" t="n">
        <v>19</v>
      </c>
      <c r="I84" s="9" t="n">
        <v>7</v>
      </c>
      <c r="J84" s="9" t="n">
        <v>0</v>
      </c>
      <c r="K84" s="9" t="n">
        <v>0</v>
      </c>
      <c r="L84" s="9" t="n">
        <v>0</v>
      </c>
      <c r="M84" s="9" t="n">
        <v>0</v>
      </c>
      <c r="N84" s="12" t="n">
        <f aca="true">IFERROR(ROUND(SUM(OFFSET(B84,0,0,1,POSTAVKE!$B$7))/POSTAVKE!$B$7,2),0)</f>
        <v>10.88</v>
      </c>
    </row>
    <row r="85" customFormat="false" ht="15" hidden="false" customHeight="false" outlineLevel="0" collapsed="false">
      <c r="A85" s="11" t="s">
        <v>697</v>
      </c>
      <c r="B85" s="9" t="n">
        <v>8</v>
      </c>
      <c r="C85" s="9" t="n">
        <v>7</v>
      </c>
      <c r="D85" s="9" t="n">
        <v>8</v>
      </c>
      <c r="E85" s="9" t="n">
        <v>4</v>
      </c>
      <c r="F85" s="9" t="n">
        <v>12</v>
      </c>
      <c r="G85" s="9" t="n">
        <v>10</v>
      </c>
      <c r="H85" s="9" t="n">
        <v>5</v>
      </c>
      <c r="I85" s="9" t="n">
        <v>3</v>
      </c>
      <c r="J85" s="9" t="n">
        <v>0</v>
      </c>
      <c r="K85" s="9" t="n">
        <v>0</v>
      </c>
      <c r="L85" s="9" t="n">
        <v>0</v>
      </c>
      <c r="M85" s="9" t="n">
        <v>0</v>
      </c>
      <c r="N85" s="12" t="n">
        <f aca="true">IFERROR(ROUND(SUM(OFFSET(B85,0,0,1,POSTAVKE!$B$7))/POSTAVKE!$B$7,2),0)</f>
        <v>7.13</v>
      </c>
    </row>
    <row r="86" customFormat="false" ht="15" hidden="false" customHeight="false" outlineLevel="0" collapsed="false">
      <c r="A86" s="11" t="s">
        <v>1649</v>
      </c>
      <c r="B86" s="9" t="n">
        <v>8</v>
      </c>
      <c r="C86" s="9" t="n">
        <v>8</v>
      </c>
      <c r="D86" s="9" t="n">
        <v>0</v>
      </c>
      <c r="E86" s="9" t="n">
        <v>0</v>
      </c>
      <c r="F86" s="9" t="n">
        <v>0</v>
      </c>
      <c r="G86" s="9" t="n">
        <v>0</v>
      </c>
      <c r="H86" s="9" t="n">
        <v>0</v>
      </c>
      <c r="I86" s="9" t="n">
        <v>0</v>
      </c>
      <c r="J86" s="9" t="n">
        <v>0</v>
      </c>
      <c r="K86" s="9" t="n">
        <v>0</v>
      </c>
      <c r="L86" s="9" t="n">
        <v>0</v>
      </c>
      <c r="M86" s="9" t="n">
        <v>0</v>
      </c>
      <c r="N86" s="12" t="n">
        <f aca="true">IFERROR(ROUND(SUM(OFFSET(B86,0,0,1,POSTAVKE!$B$7))/POSTAVKE!$B$7,2),0)</f>
        <v>2</v>
      </c>
    </row>
    <row r="87" customFormat="false" ht="15" hidden="false" customHeight="false" outlineLevel="0" collapsed="false">
      <c r="A87" s="11" t="s">
        <v>613</v>
      </c>
      <c r="B87" s="9" t="n">
        <v>8</v>
      </c>
      <c r="C87" s="9" t="n">
        <v>3</v>
      </c>
      <c r="D87" s="9" t="n">
        <v>0</v>
      </c>
      <c r="E87" s="9" t="n">
        <v>4</v>
      </c>
      <c r="F87" s="9" t="n">
        <v>2</v>
      </c>
      <c r="G87" s="9" t="n">
        <v>5</v>
      </c>
      <c r="H87" s="9" t="n">
        <v>0</v>
      </c>
      <c r="I87" s="9" t="n">
        <v>2</v>
      </c>
      <c r="J87" s="9" t="n">
        <v>2</v>
      </c>
      <c r="K87" s="9" t="n">
        <v>0</v>
      </c>
      <c r="L87" s="9" t="n">
        <v>0</v>
      </c>
      <c r="M87" s="9" t="n">
        <v>0</v>
      </c>
      <c r="N87" s="12" t="n">
        <f aca="true">IFERROR(ROUND(SUM(OFFSET(B87,0,0,1,POSTAVKE!$B$7))/POSTAVKE!$B$7,2),0)</f>
        <v>3</v>
      </c>
    </row>
    <row r="88" customFormat="false" ht="15" hidden="false" customHeight="false" outlineLevel="0" collapsed="false">
      <c r="A88" s="11" t="s">
        <v>1452</v>
      </c>
      <c r="B88" s="9" t="n">
        <v>7</v>
      </c>
      <c r="C88" s="9" t="n">
        <v>1</v>
      </c>
      <c r="D88" s="9" t="n">
        <v>0</v>
      </c>
      <c r="E88" s="9" t="n">
        <v>0</v>
      </c>
      <c r="F88" s="9" t="n">
        <v>0</v>
      </c>
      <c r="G88" s="9" t="n">
        <v>0</v>
      </c>
      <c r="H88" s="9" t="n">
        <v>0</v>
      </c>
      <c r="I88" s="9" t="n">
        <v>0</v>
      </c>
      <c r="J88" s="9" t="n">
        <v>0</v>
      </c>
      <c r="K88" s="9" t="n">
        <v>0</v>
      </c>
      <c r="L88" s="9" t="n">
        <v>0</v>
      </c>
      <c r="M88" s="9" t="n">
        <v>0</v>
      </c>
      <c r="N88" s="12" t="n">
        <f aca="true">IFERROR(ROUND(SUM(OFFSET(B88,0,0,1,POSTAVKE!$B$7))/POSTAVKE!$B$7,2),0)</f>
        <v>1</v>
      </c>
    </row>
    <row r="89" customFormat="false" ht="15" hidden="false" customHeight="false" outlineLevel="0" collapsed="false">
      <c r="A89" s="11" t="s">
        <v>675</v>
      </c>
      <c r="B89" s="9" t="n">
        <v>7</v>
      </c>
      <c r="C89" s="9" t="n">
        <v>2</v>
      </c>
      <c r="D89" s="9" t="n">
        <v>0</v>
      </c>
      <c r="E89" s="9" t="n">
        <v>0</v>
      </c>
      <c r="F89" s="9" t="n">
        <v>0</v>
      </c>
      <c r="G89" s="9" t="n">
        <v>0</v>
      </c>
      <c r="H89" s="9" t="n">
        <v>0</v>
      </c>
      <c r="I89" s="9" t="n">
        <v>0</v>
      </c>
      <c r="J89" s="9" t="n">
        <v>0</v>
      </c>
      <c r="K89" s="9" t="n">
        <v>0</v>
      </c>
      <c r="L89" s="9" t="n">
        <v>0</v>
      </c>
      <c r="M89" s="9" t="n">
        <v>0</v>
      </c>
      <c r="N89" s="12" t="n">
        <f aca="true">IFERROR(ROUND(SUM(OFFSET(B89,0,0,1,POSTAVKE!$B$7))/POSTAVKE!$B$7,2),0)</f>
        <v>1.13</v>
      </c>
    </row>
    <row r="90" customFormat="false" ht="15" hidden="false" customHeight="false" outlineLevel="0" collapsed="false">
      <c r="A90" s="11" t="s">
        <v>309</v>
      </c>
      <c r="B90" s="9" t="n">
        <v>7</v>
      </c>
      <c r="C90" s="9" t="n">
        <v>10</v>
      </c>
      <c r="D90" s="9" t="n">
        <v>6</v>
      </c>
      <c r="E90" s="9" t="n">
        <v>13</v>
      </c>
      <c r="F90" s="9" t="n">
        <v>16</v>
      </c>
      <c r="G90" s="9" t="n">
        <v>1</v>
      </c>
      <c r="H90" s="9" t="n">
        <v>0</v>
      </c>
      <c r="I90" s="9" t="n">
        <v>39</v>
      </c>
      <c r="J90" s="9" t="n">
        <v>0</v>
      </c>
      <c r="K90" s="9" t="n">
        <v>0</v>
      </c>
      <c r="L90" s="9" t="n">
        <v>0</v>
      </c>
      <c r="M90" s="9" t="n">
        <v>0</v>
      </c>
      <c r="N90" s="12" t="n">
        <f aca="true">IFERROR(ROUND(SUM(OFFSET(B90,0,0,1,POSTAVKE!$B$7))/POSTAVKE!$B$7,2),0)</f>
        <v>11.5</v>
      </c>
    </row>
    <row r="91" customFormat="false" ht="15" hidden="false" customHeight="false" outlineLevel="0" collapsed="false">
      <c r="A91" s="11" t="s">
        <v>493</v>
      </c>
      <c r="B91" s="9" t="n">
        <v>7</v>
      </c>
      <c r="C91" s="9" t="n">
        <v>3</v>
      </c>
      <c r="D91" s="9" t="n">
        <v>4</v>
      </c>
      <c r="E91" s="9" t="n">
        <v>3</v>
      </c>
      <c r="F91" s="9" t="n">
        <v>2</v>
      </c>
      <c r="G91" s="9" t="n">
        <v>3</v>
      </c>
      <c r="H91" s="9" t="n">
        <v>4</v>
      </c>
      <c r="I91" s="9" t="n">
        <v>5</v>
      </c>
      <c r="J91" s="9" t="n">
        <v>2</v>
      </c>
      <c r="K91" s="9" t="n">
        <v>0</v>
      </c>
      <c r="L91" s="9" t="n">
        <v>0</v>
      </c>
      <c r="M91" s="9" t="n">
        <v>0</v>
      </c>
      <c r="N91" s="12" t="n">
        <f aca="true">IFERROR(ROUND(SUM(OFFSET(B91,0,0,1,POSTAVKE!$B$7))/POSTAVKE!$B$7,2),0)</f>
        <v>3.88</v>
      </c>
    </row>
    <row r="92" customFormat="false" ht="15" hidden="false" customHeight="false" outlineLevel="0" collapsed="false">
      <c r="A92" s="11" t="s">
        <v>363</v>
      </c>
      <c r="B92" s="9" t="n">
        <v>7</v>
      </c>
      <c r="C92" s="9" t="n">
        <v>15</v>
      </c>
      <c r="D92" s="9" t="n">
        <v>19</v>
      </c>
      <c r="E92" s="9" t="n">
        <v>17</v>
      </c>
      <c r="F92" s="9" t="n">
        <v>10</v>
      </c>
      <c r="G92" s="9" t="n">
        <v>24</v>
      </c>
      <c r="H92" s="9" t="n">
        <v>8</v>
      </c>
      <c r="I92" s="9" t="n">
        <v>9</v>
      </c>
      <c r="J92" s="9" t="n">
        <v>0</v>
      </c>
      <c r="K92" s="9" t="n">
        <v>0</v>
      </c>
      <c r="L92" s="9" t="n">
        <v>0</v>
      </c>
      <c r="M92" s="9" t="n">
        <v>0</v>
      </c>
      <c r="N92" s="12" t="n">
        <f aca="true">IFERROR(ROUND(SUM(OFFSET(B92,0,0,1,POSTAVKE!$B$7))/POSTAVKE!$B$7,2),0)</f>
        <v>13.63</v>
      </c>
    </row>
    <row r="93" customFormat="false" ht="15" hidden="false" customHeight="false" outlineLevel="0" collapsed="false">
      <c r="A93" s="11" t="s">
        <v>485</v>
      </c>
      <c r="B93" s="9" t="n">
        <v>6</v>
      </c>
      <c r="C93" s="9" t="n">
        <v>12</v>
      </c>
      <c r="D93" s="9" t="n">
        <v>16</v>
      </c>
      <c r="E93" s="9" t="n">
        <v>10</v>
      </c>
      <c r="F93" s="9" t="n">
        <v>6</v>
      </c>
      <c r="G93" s="9" t="n">
        <v>28</v>
      </c>
      <c r="H93" s="9" t="n">
        <v>41</v>
      </c>
      <c r="I93" s="9" t="n">
        <v>43</v>
      </c>
      <c r="J93" s="9" t="n">
        <v>14</v>
      </c>
      <c r="K93" s="9" t="n">
        <v>0</v>
      </c>
      <c r="L93" s="9" t="n">
        <v>0</v>
      </c>
      <c r="M93" s="9" t="n">
        <v>0</v>
      </c>
      <c r="N93" s="12" t="n">
        <f aca="true">IFERROR(ROUND(SUM(OFFSET(B93,0,0,1,POSTAVKE!$B$7))/POSTAVKE!$B$7,2),0)</f>
        <v>20.25</v>
      </c>
    </row>
    <row r="94" customFormat="false" ht="15" hidden="false" customHeight="false" outlineLevel="0" collapsed="false">
      <c r="A94" s="11" t="s">
        <v>157</v>
      </c>
      <c r="B94" s="9" t="n">
        <v>6</v>
      </c>
      <c r="C94" s="9" t="n">
        <v>12</v>
      </c>
      <c r="D94" s="9" t="n">
        <v>9</v>
      </c>
      <c r="E94" s="9" t="n">
        <v>12</v>
      </c>
      <c r="F94" s="9" t="n">
        <v>15</v>
      </c>
      <c r="G94" s="9" t="n">
        <v>9</v>
      </c>
      <c r="H94" s="9" t="n">
        <v>11</v>
      </c>
      <c r="I94" s="9" t="n">
        <v>8</v>
      </c>
      <c r="J94" s="9" t="n">
        <v>0</v>
      </c>
      <c r="K94" s="9" t="n">
        <v>0</v>
      </c>
      <c r="L94" s="9" t="n">
        <v>0</v>
      </c>
      <c r="M94" s="9" t="n">
        <v>0</v>
      </c>
      <c r="N94" s="12" t="n">
        <f aca="true">IFERROR(ROUND(SUM(OFFSET(B94,0,0,1,POSTAVKE!$B$7))/POSTAVKE!$B$7,2),0)</f>
        <v>10.25</v>
      </c>
    </row>
    <row r="95" customFormat="false" ht="15" hidden="false" customHeight="false" outlineLevel="0" collapsed="false">
      <c r="A95" s="11" t="s">
        <v>633</v>
      </c>
      <c r="B95" s="9" t="n">
        <v>6</v>
      </c>
      <c r="C95" s="9" t="n">
        <v>0</v>
      </c>
      <c r="D95" s="9" t="n">
        <v>0</v>
      </c>
      <c r="E95" s="9" t="n">
        <v>0</v>
      </c>
      <c r="F95" s="9" t="n">
        <v>13</v>
      </c>
      <c r="G95" s="9" t="n">
        <v>0</v>
      </c>
      <c r="H95" s="9" t="n">
        <v>0</v>
      </c>
      <c r="I95" s="9" t="n">
        <v>0</v>
      </c>
      <c r="J95" s="9" t="n">
        <v>0</v>
      </c>
      <c r="K95" s="9" t="n">
        <v>0</v>
      </c>
      <c r="L95" s="9" t="n">
        <v>0</v>
      </c>
      <c r="M95" s="9" t="n">
        <v>0</v>
      </c>
      <c r="N95" s="12" t="n">
        <f aca="true">IFERROR(ROUND(SUM(OFFSET(B95,0,0,1,POSTAVKE!$B$7))/POSTAVKE!$B$7,2),0)</f>
        <v>2.38</v>
      </c>
    </row>
    <row r="96" customFormat="false" ht="15" hidden="false" customHeight="false" outlineLevel="0" collapsed="false">
      <c r="A96" s="11" t="s">
        <v>635</v>
      </c>
      <c r="B96" s="9" t="n">
        <v>6</v>
      </c>
      <c r="C96" s="9" t="n">
        <v>4</v>
      </c>
      <c r="D96" s="9" t="n">
        <v>3</v>
      </c>
      <c r="E96" s="9" t="n">
        <v>15</v>
      </c>
      <c r="F96" s="9" t="n">
        <v>15</v>
      </c>
      <c r="G96" s="9" t="n">
        <v>2</v>
      </c>
      <c r="H96" s="9" t="n">
        <v>7</v>
      </c>
      <c r="I96" s="9" t="n">
        <v>6</v>
      </c>
      <c r="J96" s="9" t="n">
        <v>2</v>
      </c>
      <c r="K96" s="9" t="n">
        <v>0</v>
      </c>
      <c r="L96" s="9" t="n">
        <v>0</v>
      </c>
      <c r="M96" s="9" t="n">
        <v>0</v>
      </c>
      <c r="N96" s="12" t="n">
        <f aca="true">IFERROR(ROUND(SUM(OFFSET(B96,0,0,1,POSTAVKE!$B$7))/POSTAVKE!$B$7,2),0)</f>
        <v>7.25</v>
      </c>
    </row>
    <row r="97" customFormat="false" ht="15" hidden="false" customHeight="false" outlineLevel="0" collapsed="false">
      <c r="A97" s="11" t="s">
        <v>827</v>
      </c>
      <c r="B97" s="9" t="n">
        <v>6</v>
      </c>
      <c r="C97" s="9" t="n">
        <v>12</v>
      </c>
      <c r="D97" s="9" t="n">
        <v>3</v>
      </c>
      <c r="E97" s="9" t="n">
        <v>14</v>
      </c>
      <c r="F97" s="9" t="n">
        <v>10</v>
      </c>
      <c r="G97" s="9" t="n">
        <v>6</v>
      </c>
      <c r="H97" s="9" t="n">
        <v>5</v>
      </c>
      <c r="I97" s="9" t="n">
        <v>2</v>
      </c>
      <c r="J97" s="9" t="n">
        <v>0</v>
      </c>
      <c r="K97" s="9" t="n">
        <v>0</v>
      </c>
      <c r="L97" s="9" t="n">
        <v>0</v>
      </c>
      <c r="M97" s="9" t="n">
        <v>0</v>
      </c>
      <c r="N97" s="12" t="n">
        <f aca="true">IFERROR(ROUND(SUM(OFFSET(B97,0,0,1,POSTAVKE!$B$7))/POSTAVKE!$B$7,2),0)</f>
        <v>7.25</v>
      </c>
    </row>
    <row r="98" customFormat="false" ht="15" hidden="false" customHeight="false" outlineLevel="0" collapsed="false">
      <c r="A98" s="11" t="s">
        <v>97</v>
      </c>
      <c r="B98" s="9" t="n">
        <v>6</v>
      </c>
      <c r="C98" s="9" t="n">
        <v>10</v>
      </c>
      <c r="D98" s="9" t="n">
        <v>18</v>
      </c>
      <c r="E98" s="9" t="n">
        <v>8</v>
      </c>
      <c r="F98" s="9" t="n">
        <v>16</v>
      </c>
      <c r="G98" s="9" t="n">
        <v>14</v>
      </c>
      <c r="H98" s="9" t="n">
        <v>12</v>
      </c>
      <c r="I98" s="9" t="n">
        <v>16</v>
      </c>
      <c r="J98" s="9" t="n">
        <v>1</v>
      </c>
      <c r="K98" s="9" t="n">
        <v>0</v>
      </c>
      <c r="L98" s="9" t="n">
        <v>0</v>
      </c>
      <c r="M98" s="9" t="n">
        <v>0</v>
      </c>
      <c r="N98" s="12" t="n">
        <f aca="true">IFERROR(ROUND(SUM(OFFSET(B98,0,0,1,POSTAVKE!$B$7))/POSTAVKE!$B$7,2),0)</f>
        <v>12.5</v>
      </c>
    </row>
    <row r="99" customFormat="false" ht="15" hidden="false" customHeight="false" outlineLevel="0" collapsed="false">
      <c r="A99" s="11" t="s">
        <v>147</v>
      </c>
      <c r="B99" s="9" t="n">
        <v>6</v>
      </c>
      <c r="C99" s="9" t="n">
        <v>3</v>
      </c>
      <c r="D99" s="9" t="n">
        <v>24</v>
      </c>
      <c r="E99" s="9" t="n">
        <v>23</v>
      </c>
      <c r="F99" s="9" t="n">
        <v>51</v>
      </c>
      <c r="G99" s="9" t="n">
        <v>6</v>
      </c>
      <c r="H99" s="9" t="n">
        <v>14</v>
      </c>
      <c r="I99" s="9" t="n">
        <v>38</v>
      </c>
      <c r="J99" s="9" t="n">
        <v>0</v>
      </c>
      <c r="K99" s="9" t="n">
        <v>0</v>
      </c>
      <c r="L99" s="9" t="n">
        <v>0</v>
      </c>
      <c r="M99" s="9" t="n">
        <v>0</v>
      </c>
      <c r="N99" s="12" t="n">
        <f aca="true">IFERROR(ROUND(SUM(OFFSET(B99,0,0,1,POSTAVKE!$B$7))/POSTAVKE!$B$7,2),0)</f>
        <v>20.63</v>
      </c>
    </row>
    <row r="100" customFormat="false" ht="15" hidden="false" customHeight="false" outlineLevel="0" collapsed="false">
      <c r="A100" s="11" t="s">
        <v>815</v>
      </c>
      <c r="B100" s="9" t="n">
        <v>6</v>
      </c>
      <c r="C100" s="9" t="n">
        <v>2</v>
      </c>
      <c r="D100" s="9" t="n">
        <v>4</v>
      </c>
      <c r="E100" s="9" t="n">
        <v>0</v>
      </c>
      <c r="F100" s="9" t="n">
        <v>2</v>
      </c>
      <c r="G100" s="9" t="n">
        <v>1</v>
      </c>
      <c r="H100" s="9" t="n">
        <v>4</v>
      </c>
      <c r="I100" s="9" t="n">
        <v>4</v>
      </c>
      <c r="J100" s="9" t="n">
        <v>0</v>
      </c>
      <c r="K100" s="9" t="n">
        <v>0</v>
      </c>
      <c r="L100" s="9" t="n">
        <v>0</v>
      </c>
      <c r="M100" s="9" t="n">
        <v>0</v>
      </c>
      <c r="N100" s="12" t="n">
        <f aca="true">IFERROR(ROUND(SUM(OFFSET(B100,0,0,1,POSTAVKE!$B$7))/POSTAVKE!$B$7,2),0)</f>
        <v>2.88</v>
      </c>
    </row>
    <row r="101" customFormat="false" ht="15" hidden="false" customHeight="false" outlineLevel="0" collapsed="false">
      <c r="A101" s="11" t="s">
        <v>515</v>
      </c>
      <c r="B101" s="9" t="n">
        <v>6</v>
      </c>
      <c r="C101" s="9" t="n">
        <v>14</v>
      </c>
      <c r="D101" s="9" t="n">
        <v>24</v>
      </c>
      <c r="E101" s="9" t="n">
        <v>12</v>
      </c>
      <c r="F101" s="9" t="n">
        <v>12</v>
      </c>
      <c r="G101" s="9" t="n">
        <v>1</v>
      </c>
      <c r="H101" s="9" t="n">
        <v>0</v>
      </c>
      <c r="I101" s="9" t="n">
        <v>6</v>
      </c>
      <c r="J101" s="9" t="n">
        <v>1</v>
      </c>
      <c r="K101" s="9" t="n">
        <v>0</v>
      </c>
      <c r="L101" s="9" t="n">
        <v>0</v>
      </c>
      <c r="M101" s="9" t="n">
        <v>0</v>
      </c>
      <c r="N101" s="12" t="n">
        <f aca="true">IFERROR(ROUND(SUM(OFFSET(B101,0,0,1,POSTAVKE!$B$7))/POSTAVKE!$B$7,2),0)</f>
        <v>9.38</v>
      </c>
    </row>
    <row r="102" customFormat="false" ht="15" hidden="false" customHeight="false" outlineLevel="0" collapsed="false">
      <c r="A102" s="11" t="s">
        <v>1651</v>
      </c>
      <c r="B102" s="9" t="n">
        <v>6</v>
      </c>
      <c r="C102" s="9" t="n">
        <v>0</v>
      </c>
      <c r="D102" s="9" t="n">
        <v>0</v>
      </c>
      <c r="E102" s="9" t="n">
        <v>0</v>
      </c>
      <c r="F102" s="9" t="n">
        <v>0</v>
      </c>
      <c r="G102" s="9" t="n">
        <v>7</v>
      </c>
      <c r="H102" s="9" t="n">
        <v>0</v>
      </c>
      <c r="I102" s="9" t="n">
        <v>0</v>
      </c>
      <c r="J102" s="9" t="n">
        <v>0</v>
      </c>
      <c r="K102" s="9" t="n">
        <v>0</v>
      </c>
      <c r="L102" s="9" t="n">
        <v>0</v>
      </c>
      <c r="M102" s="9" t="n">
        <v>0</v>
      </c>
      <c r="N102" s="12" t="n">
        <f aca="true">IFERROR(ROUND(SUM(OFFSET(B102,0,0,1,POSTAVKE!$B$7))/POSTAVKE!$B$7,2),0)</f>
        <v>1.63</v>
      </c>
    </row>
    <row r="103" customFormat="false" ht="15" hidden="false" customHeight="false" outlineLevel="0" collapsed="false">
      <c r="A103" s="11" t="s">
        <v>525</v>
      </c>
      <c r="B103" s="9" t="n">
        <v>6</v>
      </c>
      <c r="C103" s="9" t="n">
        <v>0</v>
      </c>
      <c r="D103" s="9" t="n">
        <v>10</v>
      </c>
      <c r="E103" s="9" t="n">
        <v>9</v>
      </c>
      <c r="F103" s="9" t="n">
        <v>1</v>
      </c>
      <c r="G103" s="9" t="n">
        <v>0</v>
      </c>
      <c r="H103" s="9" t="n">
        <v>0</v>
      </c>
      <c r="I103" s="9" t="n">
        <v>0</v>
      </c>
      <c r="J103" s="9" t="n">
        <v>4</v>
      </c>
      <c r="K103" s="9" t="n">
        <v>0</v>
      </c>
      <c r="L103" s="9" t="n">
        <v>0</v>
      </c>
      <c r="M103" s="9" t="n">
        <v>0</v>
      </c>
      <c r="N103" s="12" t="n">
        <f aca="true">IFERROR(ROUND(SUM(OFFSET(B103,0,0,1,POSTAVKE!$B$7))/POSTAVKE!$B$7,2),0)</f>
        <v>3.25</v>
      </c>
    </row>
    <row r="104" customFormat="false" ht="15" hidden="false" customHeight="false" outlineLevel="0" collapsed="false">
      <c r="A104" s="11" t="s">
        <v>625</v>
      </c>
      <c r="B104" s="9" t="n">
        <v>6</v>
      </c>
      <c r="C104" s="9" t="n">
        <v>4</v>
      </c>
      <c r="D104" s="9" t="n">
        <v>2</v>
      </c>
      <c r="E104" s="9" t="n">
        <v>3</v>
      </c>
      <c r="F104" s="9" t="n">
        <v>1</v>
      </c>
      <c r="G104" s="9" t="n">
        <v>2</v>
      </c>
      <c r="H104" s="9" t="n">
        <v>8</v>
      </c>
      <c r="I104" s="9" t="n">
        <v>1</v>
      </c>
      <c r="J104" s="9" t="n">
        <v>0</v>
      </c>
      <c r="K104" s="9" t="n">
        <v>0</v>
      </c>
      <c r="L104" s="9" t="n">
        <v>0</v>
      </c>
      <c r="M104" s="9" t="n">
        <v>0</v>
      </c>
      <c r="N104" s="12" t="n">
        <f aca="true">IFERROR(ROUND(SUM(OFFSET(B104,0,0,1,POSTAVKE!$B$7))/POSTAVKE!$B$7,2),0)</f>
        <v>3.38</v>
      </c>
    </row>
    <row r="105" customFormat="false" ht="15" hidden="false" customHeight="false" outlineLevel="0" collapsed="false">
      <c r="A105" s="11" t="s">
        <v>671</v>
      </c>
      <c r="B105" s="9" t="n">
        <v>6</v>
      </c>
      <c r="C105" s="9" t="n">
        <v>3</v>
      </c>
      <c r="D105" s="9" t="n">
        <v>3</v>
      </c>
      <c r="E105" s="9" t="n">
        <v>0</v>
      </c>
      <c r="F105" s="9" t="n">
        <v>0</v>
      </c>
      <c r="G105" s="9" t="n">
        <v>0</v>
      </c>
      <c r="H105" s="9" t="n">
        <v>0</v>
      </c>
      <c r="I105" s="9" t="n">
        <v>1</v>
      </c>
      <c r="J105" s="9" t="n">
        <v>0</v>
      </c>
      <c r="K105" s="9" t="n">
        <v>0</v>
      </c>
      <c r="L105" s="9" t="n">
        <v>0</v>
      </c>
      <c r="M105" s="9" t="n">
        <v>0</v>
      </c>
      <c r="N105" s="12" t="n">
        <f aca="true">IFERROR(ROUND(SUM(OFFSET(B105,0,0,1,POSTAVKE!$B$7))/POSTAVKE!$B$7,2),0)</f>
        <v>1.63</v>
      </c>
    </row>
    <row r="106" customFormat="false" ht="15" hidden="false" customHeight="false" outlineLevel="0" collapsed="false">
      <c r="A106" s="11" t="s">
        <v>1610</v>
      </c>
      <c r="B106" s="9" t="n">
        <v>6</v>
      </c>
      <c r="C106" s="9" t="n">
        <v>0</v>
      </c>
      <c r="D106" s="9" t="n">
        <v>14</v>
      </c>
      <c r="E106" s="9" t="n">
        <v>7</v>
      </c>
      <c r="F106" s="9" t="n">
        <v>20</v>
      </c>
      <c r="G106" s="9" t="n">
        <v>10</v>
      </c>
      <c r="H106" s="9" t="n">
        <v>15</v>
      </c>
      <c r="I106" s="9" t="n">
        <v>10</v>
      </c>
      <c r="J106" s="9" t="n">
        <v>0</v>
      </c>
      <c r="K106" s="9" t="n">
        <v>0</v>
      </c>
      <c r="L106" s="9" t="n">
        <v>0</v>
      </c>
      <c r="M106" s="9" t="n">
        <v>0</v>
      </c>
      <c r="N106" s="12" t="n">
        <f aca="true">IFERROR(ROUND(SUM(OFFSET(B106,0,0,1,POSTAVKE!$B$7))/POSTAVKE!$B$7,2),0)</f>
        <v>10.25</v>
      </c>
    </row>
    <row r="107" customFormat="false" ht="15" hidden="false" customHeight="false" outlineLevel="0" collapsed="false">
      <c r="A107" s="11" t="s">
        <v>113</v>
      </c>
      <c r="B107" s="9" t="n">
        <v>6</v>
      </c>
      <c r="C107" s="9" t="n">
        <v>18</v>
      </c>
      <c r="D107" s="9" t="n">
        <v>24</v>
      </c>
      <c r="E107" s="9" t="n">
        <v>13</v>
      </c>
      <c r="F107" s="9" t="n">
        <v>14</v>
      </c>
      <c r="G107" s="9" t="n">
        <v>4</v>
      </c>
      <c r="H107" s="9" t="n">
        <v>5</v>
      </c>
      <c r="I107" s="9" t="n">
        <v>13</v>
      </c>
      <c r="J107" s="9" t="n">
        <v>2</v>
      </c>
      <c r="K107" s="9" t="n">
        <v>0</v>
      </c>
      <c r="L107" s="9" t="n">
        <v>0</v>
      </c>
      <c r="M107" s="9" t="n">
        <v>0</v>
      </c>
      <c r="N107" s="12" t="n">
        <f aca="true">IFERROR(ROUND(SUM(OFFSET(B107,0,0,1,POSTAVKE!$B$7))/POSTAVKE!$B$7,2),0)</f>
        <v>12.13</v>
      </c>
    </row>
    <row r="108" customFormat="false" ht="15" hidden="false" customHeight="false" outlineLevel="0" collapsed="false">
      <c r="A108" s="11" t="s">
        <v>639</v>
      </c>
      <c r="B108" s="9" t="n">
        <v>6</v>
      </c>
      <c r="C108" s="9" t="n">
        <v>4</v>
      </c>
      <c r="D108" s="9" t="n">
        <v>3</v>
      </c>
      <c r="E108" s="9" t="n">
        <v>5</v>
      </c>
      <c r="F108" s="9" t="n">
        <v>5</v>
      </c>
      <c r="G108" s="9" t="n">
        <v>6</v>
      </c>
      <c r="H108" s="9" t="n">
        <v>6</v>
      </c>
      <c r="I108" s="9" t="n">
        <v>5</v>
      </c>
      <c r="J108" s="9" t="n">
        <v>0</v>
      </c>
      <c r="K108" s="9" t="n">
        <v>0</v>
      </c>
      <c r="L108" s="9" t="n">
        <v>0</v>
      </c>
      <c r="M108" s="9" t="n">
        <v>0</v>
      </c>
      <c r="N108" s="12" t="n">
        <f aca="true">IFERROR(ROUND(SUM(OFFSET(B108,0,0,1,POSTAVKE!$B$7))/POSTAVKE!$B$7,2),0)</f>
        <v>5</v>
      </c>
    </row>
    <row r="109" customFormat="false" ht="15" hidden="false" customHeight="false" outlineLevel="0" collapsed="false">
      <c r="A109" s="11" t="s">
        <v>179</v>
      </c>
      <c r="B109" s="9" t="n">
        <v>6</v>
      </c>
      <c r="C109" s="9" t="n">
        <v>0</v>
      </c>
      <c r="D109" s="9" t="n">
        <v>2</v>
      </c>
      <c r="E109" s="9" t="n">
        <v>3</v>
      </c>
      <c r="F109" s="9" t="n">
        <v>0</v>
      </c>
      <c r="G109" s="9" t="n">
        <v>6</v>
      </c>
      <c r="H109" s="9" t="n">
        <v>14</v>
      </c>
      <c r="I109" s="9" t="n">
        <v>3</v>
      </c>
      <c r="J109" s="9" t="n">
        <v>0</v>
      </c>
      <c r="K109" s="9" t="n">
        <v>0</v>
      </c>
      <c r="L109" s="9" t="n">
        <v>0</v>
      </c>
      <c r="M109" s="9" t="n">
        <v>0</v>
      </c>
      <c r="N109" s="12" t="n">
        <f aca="true">IFERROR(ROUND(SUM(OFFSET(B109,0,0,1,POSTAVKE!$B$7))/POSTAVKE!$B$7,2),0)</f>
        <v>4.25</v>
      </c>
    </row>
    <row r="110" customFormat="false" ht="15" hidden="false" customHeight="false" outlineLevel="0" collapsed="false">
      <c r="A110" s="11" t="s">
        <v>807</v>
      </c>
      <c r="B110" s="9" t="n">
        <v>6</v>
      </c>
      <c r="C110" s="9" t="n">
        <v>10</v>
      </c>
      <c r="D110" s="9" t="n">
        <v>0</v>
      </c>
      <c r="E110" s="9" t="n">
        <v>3</v>
      </c>
      <c r="F110" s="9" t="n">
        <v>1</v>
      </c>
      <c r="G110" s="9" t="n">
        <v>6</v>
      </c>
      <c r="H110" s="9" t="n">
        <v>1</v>
      </c>
      <c r="I110" s="9" t="n">
        <v>13</v>
      </c>
      <c r="J110" s="9" t="n">
        <v>0</v>
      </c>
      <c r="K110" s="9" t="n">
        <v>0</v>
      </c>
      <c r="L110" s="9" t="n">
        <v>0</v>
      </c>
      <c r="M110" s="9" t="n">
        <v>0</v>
      </c>
      <c r="N110" s="12" t="n">
        <f aca="true">IFERROR(ROUND(SUM(OFFSET(B110,0,0,1,POSTAVKE!$B$7))/POSTAVKE!$B$7,2),0)</f>
        <v>5</v>
      </c>
    </row>
    <row r="111" customFormat="false" ht="15" hidden="false" customHeight="false" outlineLevel="0" collapsed="false">
      <c r="A111" s="11" t="s">
        <v>1644</v>
      </c>
      <c r="B111" s="9" t="n">
        <v>6</v>
      </c>
      <c r="C111" s="9" t="n">
        <v>1</v>
      </c>
      <c r="D111" s="9" t="n">
        <v>28</v>
      </c>
      <c r="E111" s="9" t="n">
        <v>23</v>
      </c>
      <c r="F111" s="9" t="n">
        <v>42</v>
      </c>
      <c r="G111" s="9" t="n">
        <v>27</v>
      </c>
      <c r="H111" s="9" t="n">
        <v>37</v>
      </c>
      <c r="I111" s="9" t="n">
        <v>37</v>
      </c>
      <c r="J111" s="9" t="n">
        <v>0</v>
      </c>
      <c r="K111" s="9" t="n">
        <v>0</v>
      </c>
      <c r="L111" s="9" t="n">
        <v>0</v>
      </c>
      <c r="M111" s="9" t="n">
        <v>0</v>
      </c>
      <c r="N111" s="12" t="n">
        <f aca="true">IFERROR(ROUND(SUM(OFFSET(B111,0,0,1,POSTAVKE!$B$7))/POSTAVKE!$B$7,2),0)</f>
        <v>25.13</v>
      </c>
    </row>
    <row r="112" customFormat="false" ht="15" hidden="false" customHeight="false" outlineLevel="0" collapsed="false">
      <c r="A112" s="11" t="s">
        <v>455</v>
      </c>
      <c r="B112" s="9" t="n">
        <v>6</v>
      </c>
      <c r="C112" s="9" t="n">
        <v>3</v>
      </c>
      <c r="D112" s="9" t="n">
        <v>7</v>
      </c>
      <c r="E112" s="9" t="n">
        <v>22</v>
      </c>
      <c r="F112" s="9" t="n">
        <v>8</v>
      </c>
      <c r="G112" s="9" t="n">
        <v>1</v>
      </c>
      <c r="H112" s="9" t="n">
        <v>1</v>
      </c>
      <c r="I112" s="9" t="n">
        <v>6</v>
      </c>
      <c r="J112" s="9" t="n">
        <v>0</v>
      </c>
      <c r="K112" s="9" t="n">
        <v>0</v>
      </c>
      <c r="L112" s="9" t="n">
        <v>0</v>
      </c>
      <c r="M112" s="9" t="n">
        <v>0</v>
      </c>
      <c r="N112" s="12" t="n">
        <f aca="true">IFERROR(ROUND(SUM(OFFSET(B112,0,0,1,POSTAVKE!$B$7))/POSTAVKE!$B$7,2),0)</f>
        <v>6.75</v>
      </c>
    </row>
    <row r="113" customFormat="false" ht="15" hidden="false" customHeight="false" outlineLevel="0" collapsed="false">
      <c r="A113" s="11" t="s">
        <v>513</v>
      </c>
      <c r="B113" s="9" t="n">
        <v>5</v>
      </c>
      <c r="C113" s="9" t="n">
        <v>2</v>
      </c>
      <c r="D113" s="9" t="n">
        <v>4</v>
      </c>
      <c r="E113" s="9" t="n">
        <v>5</v>
      </c>
      <c r="F113" s="9" t="n">
        <v>12</v>
      </c>
      <c r="G113" s="9" t="n">
        <v>5</v>
      </c>
      <c r="H113" s="9" t="n">
        <v>8</v>
      </c>
      <c r="I113" s="9" t="n">
        <v>9</v>
      </c>
      <c r="J113" s="9" t="n">
        <v>0</v>
      </c>
      <c r="K113" s="9" t="n">
        <v>0</v>
      </c>
      <c r="L113" s="9" t="n">
        <v>0</v>
      </c>
      <c r="M113" s="9" t="n">
        <v>0</v>
      </c>
      <c r="N113" s="12" t="n">
        <f aca="true">IFERROR(ROUND(SUM(OFFSET(B113,0,0,1,POSTAVKE!$B$7))/POSTAVKE!$B$7,2),0)</f>
        <v>6.25</v>
      </c>
    </row>
    <row r="114" customFormat="false" ht="15" hidden="false" customHeight="false" outlineLevel="0" collapsed="false">
      <c r="A114" s="11" t="s">
        <v>165</v>
      </c>
      <c r="B114" s="9" t="n">
        <v>5</v>
      </c>
      <c r="C114" s="9" t="n">
        <v>8</v>
      </c>
      <c r="D114" s="9" t="n">
        <v>12</v>
      </c>
      <c r="E114" s="9" t="n">
        <v>5</v>
      </c>
      <c r="F114" s="9" t="n">
        <v>6</v>
      </c>
      <c r="G114" s="9" t="n">
        <v>8</v>
      </c>
      <c r="H114" s="9" t="n">
        <v>9</v>
      </c>
      <c r="I114" s="9" t="n">
        <v>6</v>
      </c>
      <c r="J114" s="9" t="n">
        <v>0</v>
      </c>
      <c r="K114" s="9" t="n">
        <v>0</v>
      </c>
      <c r="L114" s="9" t="n">
        <v>0</v>
      </c>
      <c r="M114" s="9" t="n">
        <v>0</v>
      </c>
      <c r="N114" s="12" t="n">
        <f aca="true">IFERROR(ROUND(SUM(OFFSET(B114,0,0,1,POSTAVKE!$B$7))/POSTAVKE!$B$7,2),0)</f>
        <v>7.38</v>
      </c>
    </row>
    <row r="115" customFormat="false" ht="15" hidden="false" customHeight="false" outlineLevel="0" collapsed="false">
      <c r="A115" s="11" t="s">
        <v>567</v>
      </c>
      <c r="B115" s="9" t="n">
        <v>5</v>
      </c>
      <c r="C115" s="9" t="n">
        <v>3</v>
      </c>
      <c r="D115" s="9" t="n">
        <v>3</v>
      </c>
      <c r="E115" s="9" t="n">
        <v>5</v>
      </c>
      <c r="F115" s="9" t="n">
        <v>3</v>
      </c>
      <c r="G115" s="9" t="n">
        <v>3</v>
      </c>
      <c r="H115" s="9" t="n">
        <v>4</v>
      </c>
      <c r="I115" s="9" t="n">
        <v>0</v>
      </c>
      <c r="J115" s="9" t="n">
        <v>0</v>
      </c>
      <c r="K115" s="9" t="n">
        <v>0</v>
      </c>
      <c r="L115" s="9" t="n">
        <v>0</v>
      </c>
      <c r="M115" s="9" t="n">
        <v>0</v>
      </c>
      <c r="N115" s="12" t="n">
        <f aca="true">IFERROR(ROUND(SUM(OFFSET(B115,0,0,1,POSTAVKE!$B$7))/POSTAVKE!$B$7,2),0)</f>
        <v>3.25</v>
      </c>
    </row>
    <row r="116" customFormat="false" ht="15" hidden="false" customHeight="false" outlineLevel="0" collapsed="false">
      <c r="A116" s="11" t="s">
        <v>569</v>
      </c>
      <c r="B116" s="9" t="n">
        <v>5</v>
      </c>
      <c r="C116" s="9" t="n">
        <v>0</v>
      </c>
      <c r="D116" s="9" t="n">
        <v>1</v>
      </c>
      <c r="E116" s="9" t="n">
        <v>2</v>
      </c>
      <c r="F116" s="9" t="n">
        <v>0</v>
      </c>
      <c r="G116" s="9" t="n">
        <v>2</v>
      </c>
      <c r="H116" s="9" t="n">
        <v>1</v>
      </c>
      <c r="I116" s="9" t="n">
        <v>6</v>
      </c>
      <c r="J116" s="9" t="n">
        <v>0</v>
      </c>
      <c r="K116" s="9" t="n">
        <v>0</v>
      </c>
      <c r="L116" s="9" t="n">
        <v>0</v>
      </c>
      <c r="M116" s="9" t="n">
        <v>0</v>
      </c>
      <c r="N116" s="12" t="n">
        <f aca="true">IFERROR(ROUND(SUM(OFFSET(B116,0,0,1,POSTAVKE!$B$7))/POSTAVKE!$B$7,2),0)</f>
        <v>2.13</v>
      </c>
    </row>
    <row r="117" customFormat="false" ht="15" hidden="false" customHeight="false" outlineLevel="0" collapsed="false">
      <c r="A117" s="11" t="s">
        <v>1530</v>
      </c>
      <c r="B117" s="9" t="n">
        <v>5</v>
      </c>
      <c r="C117" s="9" t="n">
        <v>0</v>
      </c>
      <c r="D117" s="9" t="n">
        <v>8</v>
      </c>
      <c r="E117" s="9" t="n">
        <v>0</v>
      </c>
      <c r="F117" s="9" t="n">
        <v>8</v>
      </c>
      <c r="G117" s="9" t="n">
        <v>4</v>
      </c>
      <c r="H117" s="9" t="n">
        <v>0</v>
      </c>
      <c r="I117" s="9" t="n">
        <v>0</v>
      </c>
      <c r="J117" s="9" t="n">
        <v>0</v>
      </c>
      <c r="K117" s="9" t="n">
        <v>0</v>
      </c>
      <c r="L117" s="9" t="n">
        <v>0</v>
      </c>
      <c r="M117" s="9" t="n">
        <v>0</v>
      </c>
      <c r="N117" s="12" t="n">
        <f aca="true">IFERROR(ROUND(SUM(OFFSET(B117,0,0,1,POSTAVKE!$B$7))/POSTAVKE!$B$7,2),0)</f>
        <v>3.13</v>
      </c>
    </row>
    <row r="118" customFormat="false" ht="15" hidden="false" customHeight="false" outlineLevel="0" collapsed="false">
      <c r="A118" s="11" t="s">
        <v>1532</v>
      </c>
      <c r="B118" s="9" t="n">
        <v>5</v>
      </c>
      <c r="C118" s="9" t="n">
        <v>5</v>
      </c>
      <c r="D118" s="9" t="n">
        <v>5</v>
      </c>
      <c r="E118" s="9" t="n">
        <v>0</v>
      </c>
      <c r="F118" s="9" t="n">
        <v>10</v>
      </c>
      <c r="G118" s="9" t="n">
        <v>9</v>
      </c>
      <c r="H118" s="9" t="n">
        <v>0</v>
      </c>
      <c r="I118" s="9" t="n">
        <v>0</v>
      </c>
      <c r="J118" s="9" t="n">
        <v>0</v>
      </c>
      <c r="K118" s="9" t="n">
        <v>0</v>
      </c>
      <c r="L118" s="9" t="n">
        <v>0</v>
      </c>
      <c r="M118" s="9" t="n">
        <v>0</v>
      </c>
      <c r="N118" s="12" t="n">
        <f aca="true">IFERROR(ROUND(SUM(OFFSET(B118,0,0,1,POSTAVKE!$B$7))/POSTAVKE!$B$7,2),0)</f>
        <v>4.25</v>
      </c>
    </row>
    <row r="119" customFormat="false" ht="15" hidden="false" customHeight="false" outlineLevel="0" collapsed="false">
      <c r="A119" s="11" t="s">
        <v>1035</v>
      </c>
      <c r="B119" s="9" t="n">
        <v>5</v>
      </c>
      <c r="C119" s="9" t="n">
        <v>2</v>
      </c>
      <c r="D119" s="9" t="n">
        <v>1</v>
      </c>
      <c r="E119" s="9" t="n">
        <v>0</v>
      </c>
      <c r="F119" s="9" t="n">
        <v>0</v>
      </c>
      <c r="G119" s="9" t="n">
        <v>0</v>
      </c>
      <c r="H119" s="9" t="n">
        <v>1</v>
      </c>
      <c r="I119" s="9" t="n">
        <v>0</v>
      </c>
      <c r="J119" s="9" t="n">
        <v>0</v>
      </c>
      <c r="K119" s="9" t="n">
        <v>0</v>
      </c>
      <c r="L119" s="9" t="n">
        <v>0</v>
      </c>
      <c r="M119" s="9" t="n">
        <v>0</v>
      </c>
      <c r="N119" s="12" t="n">
        <f aca="true">IFERROR(ROUND(SUM(OFFSET(B119,0,0,1,POSTAVKE!$B$7))/POSTAVKE!$B$7,2),0)</f>
        <v>1.13</v>
      </c>
    </row>
    <row r="120" customFormat="false" ht="15" hidden="false" customHeight="false" outlineLevel="0" collapsed="false">
      <c r="A120" s="11" t="s">
        <v>67</v>
      </c>
      <c r="B120" s="9" t="n">
        <v>5</v>
      </c>
      <c r="C120" s="9" t="n">
        <v>8</v>
      </c>
      <c r="D120" s="9" t="n">
        <v>31</v>
      </c>
      <c r="E120" s="9" t="n">
        <v>4</v>
      </c>
      <c r="F120" s="9" t="n">
        <v>9</v>
      </c>
      <c r="G120" s="9" t="n">
        <v>2</v>
      </c>
      <c r="H120" s="9" t="n">
        <v>4</v>
      </c>
      <c r="I120" s="9" t="n">
        <v>6</v>
      </c>
      <c r="J120" s="9" t="n">
        <v>5</v>
      </c>
      <c r="K120" s="9" t="n">
        <v>0</v>
      </c>
      <c r="L120" s="9" t="n">
        <v>0</v>
      </c>
      <c r="M120" s="9" t="n">
        <v>0</v>
      </c>
      <c r="N120" s="12" t="n">
        <f aca="true">IFERROR(ROUND(SUM(OFFSET(B120,0,0,1,POSTAVKE!$B$7))/POSTAVKE!$B$7,2),0)</f>
        <v>8.63</v>
      </c>
    </row>
    <row r="121" customFormat="false" ht="15" hidden="false" customHeight="false" outlineLevel="0" collapsed="false">
      <c r="A121" s="11" t="s">
        <v>425</v>
      </c>
      <c r="B121" s="9" t="n">
        <v>5</v>
      </c>
      <c r="C121" s="9" t="n">
        <v>3</v>
      </c>
      <c r="D121" s="9" t="n">
        <v>5</v>
      </c>
      <c r="E121" s="9" t="n">
        <v>12</v>
      </c>
      <c r="F121" s="9" t="n">
        <v>4</v>
      </c>
      <c r="G121" s="9" t="n">
        <v>7</v>
      </c>
      <c r="H121" s="9" t="n">
        <v>5</v>
      </c>
      <c r="I121" s="9" t="n">
        <v>2</v>
      </c>
      <c r="J121" s="9" t="n">
        <v>1</v>
      </c>
      <c r="K121" s="9" t="n">
        <v>0</v>
      </c>
      <c r="L121" s="9" t="n">
        <v>0</v>
      </c>
      <c r="M121" s="9" t="n">
        <v>0</v>
      </c>
      <c r="N121" s="12" t="n">
        <f aca="true">IFERROR(ROUND(SUM(OFFSET(B121,0,0,1,POSTAVKE!$B$7))/POSTAVKE!$B$7,2),0)</f>
        <v>5.38</v>
      </c>
    </row>
    <row r="122" customFormat="false" ht="15" hidden="false" customHeight="false" outlineLevel="0" collapsed="false">
      <c r="A122" s="11" t="s">
        <v>983</v>
      </c>
      <c r="B122" s="9" t="n">
        <v>5</v>
      </c>
      <c r="C122" s="9" t="n">
        <v>2</v>
      </c>
      <c r="D122" s="9" t="n">
        <v>0</v>
      </c>
      <c r="E122" s="9" t="n">
        <v>9</v>
      </c>
      <c r="F122" s="9" t="n">
        <v>3</v>
      </c>
      <c r="G122" s="9" t="n">
        <v>7</v>
      </c>
      <c r="H122" s="9" t="n">
        <v>6</v>
      </c>
      <c r="I122" s="9" t="n">
        <v>3</v>
      </c>
      <c r="J122" s="9" t="n">
        <v>0</v>
      </c>
      <c r="K122" s="9" t="n">
        <v>0</v>
      </c>
      <c r="L122" s="9" t="n">
        <v>0</v>
      </c>
      <c r="M122" s="9" t="n">
        <v>0</v>
      </c>
      <c r="N122" s="12" t="n">
        <f aca="true">IFERROR(ROUND(SUM(OFFSET(B122,0,0,1,POSTAVKE!$B$7))/POSTAVKE!$B$7,2),0)</f>
        <v>4.38</v>
      </c>
    </row>
    <row r="123" customFormat="false" ht="15" hidden="false" customHeight="false" outlineLevel="0" collapsed="false">
      <c r="A123" s="11" t="s">
        <v>477</v>
      </c>
      <c r="B123" s="9" t="n">
        <v>5</v>
      </c>
      <c r="C123" s="9" t="n">
        <v>5</v>
      </c>
      <c r="D123" s="9" t="n">
        <v>6</v>
      </c>
      <c r="E123" s="9" t="n">
        <v>5</v>
      </c>
      <c r="F123" s="9" t="n">
        <v>4</v>
      </c>
      <c r="G123" s="9" t="n">
        <v>5</v>
      </c>
      <c r="H123" s="9" t="n">
        <v>8</v>
      </c>
      <c r="I123" s="9" t="n">
        <v>3</v>
      </c>
      <c r="J123" s="9" t="n">
        <v>0</v>
      </c>
      <c r="K123" s="9" t="n">
        <v>0</v>
      </c>
      <c r="L123" s="9" t="n">
        <v>0</v>
      </c>
      <c r="M123" s="9" t="n">
        <v>0</v>
      </c>
      <c r="N123" s="12" t="n">
        <f aca="true">IFERROR(ROUND(SUM(OFFSET(B123,0,0,1,POSTAVKE!$B$7))/POSTAVKE!$B$7,2),0)</f>
        <v>5.13</v>
      </c>
    </row>
    <row r="124" customFormat="false" ht="15" hidden="false" customHeight="false" outlineLevel="0" collapsed="false">
      <c r="A124" s="11" t="s">
        <v>107</v>
      </c>
      <c r="B124" s="9" t="n">
        <v>5</v>
      </c>
      <c r="C124" s="9" t="n">
        <v>3</v>
      </c>
      <c r="D124" s="9" t="n">
        <v>0</v>
      </c>
      <c r="E124" s="9" t="n">
        <v>0</v>
      </c>
      <c r="F124" s="9" t="n">
        <v>4</v>
      </c>
      <c r="G124" s="9" t="n">
        <v>0</v>
      </c>
      <c r="H124" s="9" t="n">
        <v>0</v>
      </c>
      <c r="I124" s="9" t="n">
        <v>2</v>
      </c>
      <c r="J124" s="9" t="n">
        <v>0</v>
      </c>
      <c r="K124" s="9" t="n">
        <v>0</v>
      </c>
      <c r="L124" s="9" t="n">
        <v>0</v>
      </c>
      <c r="M124" s="9" t="n">
        <v>0</v>
      </c>
      <c r="N124" s="12" t="n">
        <f aca="true">IFERROR(ROUND(SUM(OFFSET(B124,0,0,1,POSTAVKE!$B$7))/POSTAVKE!$B$7,2),0)</f>
        <v>1.75</v>
      </c>
    </row>
    <row r="125" customFormat="false" ht="15" hidden="false" customHeight="false" outlineLevel="0" collapsed="false">
      <c r="A125" s="11" t="s">
        <v>1636</v>
      </c>
      <c r="B125" s="9" t="n">
        <v>5</v>
      </c>
      <c r="C125" s="9" t="n">
        <v>2</v>
      </c>
      <c r="D125" s="9" t="n">
        <v>6</v>
      </c>
      <c r="E125" s="9" t="n">
        <v>7</v>
      </c>
      <c r="F125" s="9" t="n">
        <v>5</v>
      </c>
      <c r="G125" s="9" t="n">
        <v>4</v>
      </c>
      <c r="H125" s="9" t="n">
        <v>1</v>
      </c>
      <c r="I125" s="9" t="n">
        <v>0</v>
      </c>
      <c r="J125" s="9" t="n">
        <v>0</v>
      </c>
      <c r="K125" s="9" t="n">
        <v>0</v>
      </c>
      <c r="L125" s="9" t="n">
        <v>0</v>
      </c>
      <c r="M125" s="9" t="n">
        <v>0</v>
      </c>
      <c r="N125" s="12" t="n">
        <f aca="true">IFERROR(ROUND(SUM(OFFSET(B125,0,0,1,POSTAVKE!$B$7))/POSTAVKE!$B$7,2),0)</f>
        <v>3.75</v>
      </c>
    </row>
    <row r="126" customFormat="false" ht="15" hidden="false" customHeight="false" outlineLevel="0" collapsed="false">
      <c r="A126" s="11" t="s">
        <v>1153</v>
      </c>
      <c r="B126" s="9" t="n">
        <v>4</v>
      </c>
      <c r="C126" s="9" t="n">
        <v>125</v>
      </c>
      <c r="D126" s="9" t="n">
        <v>35</v>
      </c>
      <c r="E126" s="9" t="n">
        <v>25</v>
      </c>
      <c r="F126" s="9" t="n">
        <v>30</v>
      </c>
      <c r="G126" s="9" t="n">
        <v>24</v>
      </c>
      <c r="H126" s="9" t="n">
        <v>24</v>
      </c>
      <c r="I126" s="9" t="n">
        <v>10</v>
      </c>
      <c r="J126" s="9" t="n">
        <v>0</v>
      </c>
      <c r="K126" s="9" t="n">
        <v>0</v>
      </c>
      <c r="L126" s="9" t="n">
        <v>0</v>
      </c>
      <c r="M126" s="9" t="n">
        <v>0</v>
      </c>
      <c r="N126" s="12" t="n">
        <f aca="true">IFERROR(ROUND(SUM(OFFSET(B126,0,0,1,POSTAVKE!$B$7))/POSTAVKE!$B$7,2),0)</f>
        <v>34.63</v>
      </c>
    </row>
    <row r="127" customFormat="false" ht="15" hidden="false" customHeight="false" outlineLevel="0" collapsed="false">
      <c r="A127" s="11" t="s">
        <v>797</v>
      </c>
      <c r="B127" s="9" t="n">
        <v>4</v>
      </c>
      <c r="C127" s="9" t="n">
        <v>2</v>
      </c>
      <c r="D127" s="9" t="n">
        <v>0</v>
      </c>
      <c r="E127" s="9" t="n">
        <v>6</v>
      </c>
      <c r="F127" s="9" t="n">
        <v>8</v>
      </c>
      <c r="G127" s="9" t="n">
        <v>2</v>
      </c>
      <c r="H127" s="9" t="n">
        <v>1</v>
      </c>
      <c r="I127" s="9" t="n">
        <v>4</v>
      </c>
      <c r="J127" s="9" t="n">
        <v>0</v>
      </c>
      <c r="K127" s="9" t="n">
        <v>0</v>
      </c>
      <c r="L127" s="9" t="n">
        <v>0</v>
      </c>
      <c r="M127" s="9" t="n">
        <v>0</v>
      </c>
      <c r="N127" s="12" t="n">
        <f aca="true">IFERROR(ROUND(SUM(OFFSET(B127,0,0,1,POSTAVKE!$B$7))/POSTAVKE!$B$7,2),0)</f>
        <v>3.38</v>
      </c>
    </row>
    <row r="128" customFormat="false" ht="15" hidden="false" customHeight="false" outlineLevel="0" collapsed="false">
      <c r="A128" s="11" t="s">
        <v>1653</v>
      </c>
      <c r="B128" s="9" t="n">
        <v>4</v>
      </c>
      <c r="C128" s="9" t="n">
        <v>1</v>
      </c>
      <c r="D128" s="9" t="n">
        <v>9</v>
      </c>
      <c r="E128" s="9" t="n">
        <v>8</v>
      </c>
      <c r="F128" s="9" t="n">
        <v>9</v>
      </c>
      <c r="G128" s="9" t="n">
        <v>5</v>
      </c>
      <c r="H128" s="9" t="n">
        <v>9</v>
      </c>
      <c r="I128" s="9" t="n">
        <v>0</v>
      </c>
      <c r="J128" s="9" t="n">
        <v>0</v>
      </c>
      <c r="K128" s="9" t="n">
        <v>0</v>
      </c>
      <c r="L128" s="9" t="n">
        <v>0</v>
      </c>
      <c r="M128" s="9" t="n">
        <v>0</v>
      </c>
      <c r="N128" s="12" t="n">
        <f aca="true">IFERROR(ROUND(SUM(OFFSET(B128,0,0,1,POSTAVKE!$B$7))/POSTAVKE!$B$7,2),0)</f>
        <v>5.63</v>
      </c>
    </row>
    <row r="129" customFormat="false" ht="15" hidden="false" customHeight="false" outlineLevel="0" collapsed="false">
      <c r="A129" s="11" t="s">
        <v>1522</v>
      </c>
      <c r="B129" s="9" t="n">
        <v>4</v>
      </c>
      <c r="C129" s="9" t="n">
        <v>5</v>
      </c>
      <c r="D129" s="9" t="n">
        <v>-1</v>
      </c>
      <c r="E129" s="9" t="n">
        <v>0</v>
      </c>
      <c r="F129" s="9" t="n">
        <v>8</v>
      </c>
      <c r="G129" s="9" t="n">
        <v>1</v>
      </c>
      <c r="H129" s="9" t="n">
        <v>0</v>
      </c>
      <c r="I129" s="9" t="n">
        <v>0</v>
      </c>
      <c r="J129" s="9" t="n">
        <v>0</v>
      </c>
      <c r="K129" s="9" t="n">
        <v>0</v>
      </c>
      <c r="L129" s="9" t="n">
        <v>0</v>
      </c>
      <c r="M129" s="9" t="n">
        <v>0</v>
      </c>
      <c r="N129" s="12" t="n">
        <f aca="true">IFERROR(ROUND(SUM(OFFSET(B129,0,0,1,POSTAVKE!$B$7))/POSTAVKE!$B$7,2),0)</f>
        <v>2.13</v>
      </c>
    </row>
    <row r="130" customFormat="false" ht="15" hidden="false" customHeight="false" outlineLevel="0" collapsed="false">
      <c r="A130" s="11" t="s">
        <v>543</v>
      </c>
      <c r="B130" s="9" t="n">
        <v>4</v>
      </c>
      <c r="C130" s="9" t="n">
        <v>0</v>
      </c>
      <c r="D130" s="9" t="n">
        <v>0</v>
      </c>
      <c r="E130" s="9" t="n">
        <v>1</v>
      </c>
      <c r="F130" s="9" t="n">
        <v>2</v>
      </c>
      <c r="G130" s="9" t="n">
        <v>2</v>
      </c>
      <c r="H130" s="9" t="n">
        <v>1</v>
      </c>
      <c r="I130" s="9" t="n">
        <v>1</v>
      </c>
      <c r="J130" s="9" t="n">
        <v>0</v>
      </c>
      <c r="K130" s="9" t="n">
        <v>0</v>
      </c>
      <c r="L130" s="9" t="n">
        <v>0</v>
      </c>
      <c r="M130" s="9" t="n">
        <v>0</v>
      </c>
      <c r="N130" s="12" t="n">
        <f aca="true">IFERROR(ROUND(SUM(OFFSET(B130,0,0,1,POSTAVKE!$B$7))/POSTAVKE!$B$7,2),0)</f>
        <v>1.38</v>
      </c>
    </row>
    <row r="131" customFormat="false" ht="15" hidden="false" customHeight="false" outlineLevel="0" collapsed="false">
      <c r="A131" s="11" t="s">
        <v>517</v>
      </c>
      <c r="B131" s="9" t="n">
        <v>4</v>
      </c>
      <c r="C131" s="9" t="n">
        <v>3</v>
      </c>
      <c r="D131" s="9" t="n">
        <v>7</v>
      </c>
      <c r="E131" s="9" t="n">
        <v>2</v>
      </c>
      <c r="F131" s="9" t="n">
        <v>0</v>
      </c>
      <c r="G131" s="9" t="n">
        <v>0</v>
      </c>
      <c r="H131" s="9" t="n">
        <v>0</v>
      </c>
      <c r="I131" s="9" t="n">
        <v>3</v>
      </c>
      <c r="J131" s="9" t="n">
        <v>0</v>
      </c>
      <c r="K131" s="9" t="n">
        <v>0</v>
      </c>
      <c r="L131" s="9" t="n">
        <v>0</v>
      </c>
      <c r="M131" s="9" t="n">
        <v>0</v>
      </c>
      <c r="N131" s="12" t="n">
        <f aca="true">IFERROR(ROUND(SUM(OFFSET(B131,0,0,1,POSTAVKE!$B$7))/POSTAVKE!$B$7,2),0)</f>
        <v>2.38</v>
      </c>
    </row>
    <row r="132" customFormat="false" ht="15" hidden="false" customHeight="false" outlineLevel="0" collapsed="false">
      <c r="A132" s="11" t="s">
        <v>1608</v>
      </c>
      <c r="B132" s="9" t="n">
        <v>4</v>
      </c>
      <c r="C132" s="9" t="n">
        <v>2</v>
      </c>
      <c r="D132" s="9" t="n">
        <v>0</v>
      </c>
      <c r="E132" s="9" t="n">
        <v>8</v>
      </c>
      <c r="F132" s="9" t="n">
        <v>2</v>
      </c>
      <c r="G132" s="9" t="n">
        <v>7</v>
      </c>
      <c r="H132" s="9" t="n">
        <v>2</v>
      </c>
      <c r="I132" s="9" t="n">
        <v>0</v>
      </c>
      <c r="J132" s="9" t="n">
        <v>0</v>
      </c>
      <c r="K132" s="9" t="n">
        <v>0</v>
      </c>
      <c r="L132" s="9" t="n">
        <v>0</v>
      </c>
      <c r="M132" s="9" t="n">
        <v>0</v>
      </c>
      <c r="N132" s="12" t="n">
        <f aca="true">IFERROR(ROUND(SUM(OFFSET(B132,0,0,1,POSTAVKE!$B$7))/POSTAVKE!$B$7,2),0)</f>
        <v>3.13</v>
      </c>
    </row>
    <row r="133" customFormat="false" ht="15" hidden="false" customHeight="false" outlineLevel="0" collapsed="false">
      <c r="A133" s="11" t="s">
        <v>427</v>
      </c>
      <c r="B133" s="9" t="n">
        <v>4</v>
      </c>
      <c r="C133" s="9" t="n">
        <v>27</v>
      </c>
      <c r="D133" s="9" t="n">
        <v>13</v>
      </c>
      <c r="E133" s="9" t="n">
        <v>27</v>
      </c>
      <c r="F133" s="9" t="n">
        <v>10</v>
      </c>
      <c r="G133" s="9" t="n">
        <v>13</v>
      </c>
      <c r="H133" s="9" t="n">
        <v>3</v>
      </c>
      <c r="I133" s="9" t="n">
        <v>29</v>
      </c>
      <c r="J133" s="9" t="n">
        <v>0</v>
      </c>
      <c r="K133" s="9" t="n">
        <v>0</v>
      </c>
      <c r="L133" s="9" t="n">
        <v>0</v>
      </c>
      <c r="M133" s="9" t="n">
        <v>0</v>
      </c>
      <c r="N133" s="12" t="n">
        <f aca="true">IFERROR(ROUND(SUM(OFFSET(B133,0,0,1,POSTAVKE!$B$7))/POSTAVKE!$B$7,2),0)</f>
        <v>15.75</v>
      </c>
    </row>
    <row r="134" customFormat="false" ht="15" hidden="false" customHeight="false" outlineLevel="0" collapsed="false">
      <c r="A134" s="11" t="s">
        <v>705</v>
      </c>
      <c r="B134" s="9" t="n">
        <v>4</v>
      </c>
      <c r="C134" s="9" t="n">
        <v>2</v>
      </c>
      <c r="D134" s="9" t="n">
        <v>2</v>
      </c>
      <c r="E134" s="9" t="n">
        <v>4</v>
      </c>
      <c r="F134" s="9" t="n">
        <v>1</v>
      </c>
      <c r="G134" s="9" t="n">
        <v>2</v>
      </c>
      <c r="H134" s="9" t="n">
        <v>4</v>
      </c>
      <c r="I134" s="9" t="n">
        <v>1</v>
      </c>
      <c r="J134" s="9" t="n">
        <v>0</v>
      </c>
      <c r="K134" s="9" t="n">
        <v>0</v>
      </c>
      <c r="L134" s="9" t="n">
        <v>0</v>
      </c>
      <c r="M134" s="9" t="n">
        <v>0</v>
      </c>
      <c r="N134" s="12" t="n">
        <f aca="true">IFERROR(ROUND(SUM(OFFSET(B134,0,0,1,POSTAVKE!$B$7))/POSTAVKE!$B$7,2),0)</f>
        <v>2.5</v>
      </c>
    </row>
    <row r="135" customFormat="false" ht="15" hidden="false" customHeight="false" outlineLevel="0" collapsed="false">
      <c r="A135" s="11" t="s">
        <v>327</v>
      </c>
      <c r="B135" s="9" t="n">
        <v>4</v>
      </c>
      <c r="C135" s="9" t="n">
        <v>1</v>
      </c>
      <c r="D135" s="9" t="n">
        <v>6</v>
      </c>
      <c r="E135" s="9" t="n">
        <v>3</v>
      </c>
      <c r="F135" s="9" t="n">
        <v>0</v>
      </c>
      <c r="G135" s="9" t="n">
        <v>7</v>
      </c>
      <c r="H135" s="9" t="n">
        <v>0</v>
      </c>
      <c r="I135" s="9" t="n">
        <v>11</v>
      </c>
      <c r="J135" s="9" t="n">
        <v>0</v>
      </c>
      <c r="K135" s="9" t="n">
        <v>0</v>
      </c>
      <c r="L135" s="9" t="n">
        <v>0</v>
      </c>
      <c r="M135" s="9" t="n">
        <v>0</v>
      </c>
      <c r="N135" s="12" t="n">
        <f aca="true">IFERROR(ROUND(SUM(OFFSET(B135,0,0,1,POSTAVKE!$B$7))/POSTAVKE!$B$7,2),0)</f>
        <v>4</v>
      </c>
    </row>
    <row r="136" customFormat="false" ht="15" hidden="false" customHeight="false" outlineLevel="0" collapsed="false">
      <c r="A136" s="11" t="s">
        <v>299</v>
      </c>
      <c r="B136" s="9" t="n">
        <v>4</v>
      </c>
      <c r="C136" s="9" t="n">
        <v>0</v>
      </c>
      <c r="D136" s="9" t="n">
        <v>12</v>
      </c>
      <c r="E136" s="9" t="n">
        <v>7</v>
      </c>
      <c r="F136" s="9" t="n">
        <v>4</v>
      </c>
      <c r="G136" s="9" t="n">
        <v>0</v>
      </c>
      <c r="H136" s="9" t="n">
        <v>4</v>
      </c>
      <c r="I136" s="9" t="n">
        <v>3</v>
      </c>
      <c r="J136" s="9" t="n">
        <v>0</v>
      </c>
      <c r="K136" s="9" t="n">
        <v>0</v>
      </c>
      <c r="L136" s="9" t="n">
        <v>0</v>
      </c>
      <c r="M136" s="9" t="n">
        <v>0</v>
      </c>
      <c r="N136" s="12" t="n">
        <f aca="true">IFERROR(ROUND(SUM(OFFSET(B136,0,0,1,POSTAVKE!$B$7))/POSTAVKE!$B$7,2),0)</f>
        <v>4.25</v>
      </c>
    </row>
    <row r="137" customFormat="false" ht="15" hidden="false" customHeight="false" outlineLevel="0" collapsed="false">
      <c r="A137" s="11" t="s">
        <v>809</v>
      </c>
      <c r="B137" s="9" t="n">
        <v>3</v>
      </c>
      <c r="C137" s="9" t="n">
        <v>2</v>
      </c>
      <c r="D137" s="9" t="n">
        <v>-1</v>
      </c>
      <c r="E137" s="9" t="n">
        <v>0</v>
      </c>
      <c r="F137" s="9" t="n">
        <v>0</v>
      </c>
      <c r="G137" s="9" t="n">
        <v>3</v>
      </c>
      <c r="H137" s="9" t="n">
        <v>0</v>
      </c>
      <c r="I137" s="9" t="n">
        <v>0</v>
      </c>
      <c r="J137" s="9" t="n">
        <v>0</v>
      </c>
      <c r="K137" s="9" t="n">
        <v>0</v>
      </c>
      <c r="L137" s="9" t="n">
        <v>0</v>
      </c>
      <c r="M137" s="9" t="n">
        <v>0</v>
      </c>
      <c r="N137" s="12" t="n">
        <f aca="true">IFERROR(ROUND(SUM(OFFSET(B137,0,0,1,POSTAVKE!$B$7))/POSTAVKE!$B$7,2),0)</f>
        <v>0.88</v>
      </c>
    </row>
    <row r="138" customFormat="false" ht="15" hidden="false" customHeight="false" outlineLevel="0" collapsed="false">
      <c r="A138" s="11" t="s">
        <v>729</v>
      </c>
      <c r="B138" s="9" t="n">
        <v>3</v>
      </c>
      <c r="C138" s="9" t="n">
        <v>123</v>
      </c>
      <c r="D138" s="9" t="n">
        <v>66</v>
      </c>
      <c r="E138" s="9" t="n">
        <v>68</v>
      </c>
      <c r="F138" s="9" t="n">
        <v>0</v>
      </c>
      <c r="G138" s="9" t="n">
        <v>0</v>
      </c>
      <c r="H138" s="9" t="n">
        <v>-1</v>
      </c>
      <c r="I138" s="9" t="n">
        <v>65</v>
      </c>
      <c r="J138" s="9" t="n">
        <v>5</v>
      </c>
      <c r="K138" s="9" t="n">
        <v>0</v>
      </c>
      <c r="L138" s="9" t="n">
        <v>0</v>
      </c>
      <c r="M138" s="9" t="n">
        <v>0</v>
      </c>
      <c r="N138" s="12" t="n">
        <f aca="true">IFERROR(ROUND(SUM(OFFSET(B138,0,0,1,POSTAVKE!$B$7))/POSTAVKE!$B$7,2),0)</f>
        <v>40.5</v>
      </c>
    </row>
    <row r="139" customFormat="false" ht="15" hidden="false" customHeight="false" outlineLevel="0" collapsed="false">
      <c r="A139" s="11" t="s">
        <v>389</v>
      </c>
      <c r="B139" s="9" t="n">
        <v>3</v>
      </c>
      <c r="C139" s="9" t="n">
        <v>0</v>
      </c>
      <c r="D139" s="9" t="n">
        <v>0</v>
      </c>
      <c r="E139" s="9" t="n">
        <v>0</v>
      </c>
      <c r="F139" s="9" t="n">
        <v>0</v>
      </c>
      <c r="G139" s="9" t="n">
        <v>0</v>
      </c>
      <c r="H139" s="9" t="n">
        <v>0</v>
      </c>
      <c r="I139" s="9" t="n">
        <v>0</v>
      </c>
      <c r="J139" s="9" t="n">
        <v>0</v>
      </c>
      <c r="K139" s="9" t="n">
        <v>0</v>
      </c>
      <c r="L139" s="9" t="n">
        <v>0</v>
      </c>
      <c r="M139" s="9" t="n">
        <v>0</v>
      </c>
      <c r="N139" s="12" t="n">
        <f aca="true">IFERROR(ROUND(SUM(OFFSET(B139,0,0,1,POSTAVKE!$B$7))/POSTAVKE!$B$7,2),0)</f>
        <v>0.38</v>
      </c>
    </row>
    <row r="140" customFormat="false" ht="15" hidden="false" customHeight="false" outlineLevel="0" collapsed="false">
      <c r="A140" s="11" t="s">
        <v>269</v>
      </c>
      <c r="B140" s="9" t="n">
        <v>3</v>
      </c>
      <c r="C140" s="9" t="n">
        <v>56</v>
      </c>
      <c r="D140" s="9" t="n">
        <v>32</v>
      </c>
      <c r="E140" s="9" t="n">
        <v>20</v>
      </c>
      <c r="F140" s="9" t="n">
        <v>21</v>
      </c>
      <c r="G140" s="9" t="n">
        <v>29</v>
      </c>
      <c r="H140" s="9" t="n">
        <v>16</v>
      </c>
      <c r="I140" s="9" t="n">
        <v>16</v>
      </c>
      <c r="J140" s="9" t="n">
        <v>14</v>
      </c>
      <c r="K140" s="9" t="n">
        <v>0</v>
      </c>
      <c r="L140" s="9" t="n">
        <v>0</v>
      </c>
      <c r="M140" s="9" t="n">
        <v>0</v>
      </c>
      <c r="N140" s="12" t="n">
        <f aca="true">IFERROR(ROUND(SUM(OFFSET(B140,0,0,1,POSTAVKE!$B$7))/POSTAVKE!$B$7,2),0)</f>
        <v>24.13</v>
      </c>
    </row>
    <row r="141" customFormat="false" ht="15" hidden="false" customHeight="false" outlineLevel="0" collapsed="false">
      <c r="A141" s="11" t="s">
        <v>317</v>
      </c>
      <c r="B141" s="9" t="n">
        <v>3</v>
      </c>
      <c r="C141" s="9" t="n">
        <v>3</v>
      </c>
      <c r="D141" s="9" t="n">
        <v>8</v>
      </c>
      <c r="E141" s="9" t="n">
        <v>6</v>
      </c>
      <c r="F141" s="9" t="n">
        <v>3</v>
      </c>
      <c r="G141" s="9" t="n">
        <v>1</v>
      </c>
      <c r="H141" s="9" t="n">
        <v>3</v>
      </c>
      <c r="I141" s="9" t="n">
        <v>5</v>
      </c>
      <c r="J141" s="9" t="n">
        <v>0</v>
      </c>
      <c r="K141" s="9" t="n">
        <v>0</v>
      </c>
      <c r="L141" s="9" t="n">
        <v>0</v>
      </c>
      <c r="M141" s="9" t="n">
        <v>0</v>
      </c>
      <c r="N141" s="12" t="n">
        <f aca="true">IFERROR(ROUND(SUM(OFFSET(B141,0,0,1,POSTAVKE!$B$7))/POSTAVKE!$B$7,2),0)</f>
        <v>4</v>
      </c>
    </row>
    <row r="142" customFormat="false" ht="15" hidden="false" customHeight="false" outlineLevel="0" collapsed="false">
      <c r="A142" s="11" t="s">
        <v>325</v>
      </c>
      <c r="B142" s="9" t="n">
        <v>3</v>
      </c>
      <c r="C142" s="9" t="n">
        <v>13</v>
      </c>
      <c r="D142" s="9" t="n">
        <v>18</v>
      </c>
      <c r="E142" s="9" t="n">
        <v>10</v>
      </c>
      <c r="F142" s="9" t="n">
        <v>4</v>
      </c>
      <c r="G142" s="9" t="n">
        <v>18</v>
      </c>
      <c r="H142" s="9" t="n">
        <v>41</v>
      </c>
      <c r="I142" s="9" t="n">
        <v>1</v>
      </c>
      <c r="J142" s="9" t="n">
        <v>0</v>
      </c>
      <c r="K142" s="9" t="n">
        <v>0</v>
      </c>
      <c r="L142" s="9" t="n">
        <v>0</v>
      </c>
      <c r="M142" s="9" t="n">
        <v>0</v>
      </c>
      <c r="N142" s="12" t="n">
        <f aca="true">IFERROR(ROUND(SUM(OFFSET(B142,0,0,1,POSTAVKE!$B$7))/POSTAVKE!$B$7,2),0)</f>
        <v>13.5</v>
      </c>
    </row>
    <row r="143" customFormat="false" ht="15" hidden="false" customHeight="false" outlineLevel="0" collapsed="false">
      <c r="A143" s="11" t="s">
        <v>665</v>
      </c>
      <c r="B143" s="9" t="n">
        <v>3</v>
      </c>
      <c r="C143" s="9" t="n">
        <v>3</v>
      </c>
      <c r="D143" s="9" t="n">
        <v>0</v>
      </c>
      <c r="E143" s="9" t="n">
        <v>1</v>
      </c>
      <c r="F143" s="9" t="n">
        <v>3</v>
      </c>
      <c r="G143" s="9" t="n">
        <v>5</v>
      </c>
      <c r="H143" s="9" t="n">
        <v>3</v>
      </c>
      <c r="I143" s="9" t="n">
        <v>5</v>
      </c>
      <c r="J143" s="9" t="n">
        <v>1</v>
      </c>
      <c r="K143" s="9" t="n">
        <v>0</v>
      </c>
      <c r="L143" s="9" t="n">
        <v>0</v>
      </c>
      <c r="M143" s="9" t="n">
        <v>0</v>
      </c>
      <c r="N143" s="12" t="n">
        <f aca="true">IFERROR(ROUND(SUM(OFFSET(B143,0,0,1,POSTAVKE!$B$7))/POSTAVKE!$B$7,2),0)</f>
        <v>2.88</v>
      </c>
    </row>
    <row r="144" customFormat="false" ht="15" hidden="false" customHeight="false" outlineLevel="0" collapsed="false">
      <c r="A144" s="11" t="s">
        <v>609</v>
      </c>
      <c r="B144" s="9" t="n">
        <v>3</v>
      </c>
      <c r="C144" s="9" t="n">
        <v>3</v>
      </c>
      <c r="D144" s="9" t="n">
        <v>0</v>
      </c>
      <c r="E144" s="9" t="n">
        <v>2</v>
      </c>
      <c r="F144" s="9" t="n">
        <v>6</v>
      </c>
      <c r="G144" s="9" t="n">
        <v>0</v>
      </c>
      <c r="H144" s="9" t="n">
        <v>0</v>
      </c>
      <c r="I144" s="9" t="n">
        <v>3</v>
      </c>
      <c r="J144" s="9" t="n">
        <v>0</v>
      </c>
      <c r="K144" s="9" t="n">
        <v>0</v>
      </c>
      <c r="L144" s="9" t="n">
        <v>0</v>
      </c>
      <c r="M144" s="9" t="n">
        <v>0</v>
      </c>
      <c r="N144" s="12" t="n">
        <f aca="true">IFERROR(ROUND(SUM(OFFSET(B144,0,0,1,POSTAVKE!$B$7))/POSTAVKE!$B$7,2),0)</f>
        <v>2.13</v>
      </c>
    </row>
    <row r="145" customFormat="false" ht="15" hidden="false" customHeight="false" outlineLevel="0" collapsed="false">
      <c r="A145" s="11" t="s">
        <v>917</v>
      </c>
      <c r="B145" s="9" t="n">
        <v>3</v>
      </c>
      <c r="C145" s="9" t="n">
        <v>4</v>
      </c>
      <c r="D145" s="9" t="n">
        <v>3</v>
      </c>
      <c r="E145" s="9" t="n">
        <v>2</v>
      </c>
      <c r="F145" s="9" t="n">
        <v>5</v>
      </c>
      <c r="G145" s="9" t="n">
        <v>3</v>
      </c>
      <c r="H145" s="9" t="n">
        <v>3</v>
      </c>
      <c r="I145" s="9" t="n">
        <v>2</v>
      </c>
      <c r="J145" s="9" t="n">
        <v>0</v>
      </c>
      <c r="K145" s="9" t="n">
        <v>0</v>
      </c>
      <c r="L145" s="9" t="n">
        <v>0</v>
      </c>
      <c r="M145" s="9" t="n">
        <v>0</v>
      </c>
      <c r="N145" s="12" t="n">
        <f aca="true">IFERROR(ROUND(SUM(OFFSET(B145,0,0,1,POSTAVKE!$B$7))/POSTAVKE!$B$7,2),0)</f>
        <v>3.13</v>
      </c>
    </row>
    <row r="146" customFormat="false" ht="15" hidden="false" customHeight="false" outlineLevel="0" collapsed="false">
      <c r="A146" s="11" t="s">
        <v>805</v>
      </c>
      <c r="B146" s="9" t="n">
        <v>3</v>
      </c>
      <c r="C146" s="9" t="n">
        <v>2</v>
      </c>
      <c r="D146" s="9" t="n">
        <v>2</v>
      </c>
      <c r="E146" s="9" t="n">
        <v>5</v>
      </c>
      <c r="F146" s="9" t="n">
        <v>1</v>
      </c>
      <c r="G146" s="9" t="n">
        <v>6</v>
      </c>
      <c r="H146" s="9" t="n">
        <v>7</v>
      </c>
      <c r="I146" s="9" t="n">
        <v>2</v>
      </c>
      <c r="J146" s="9" t="n">
        <v>0</v>
      </c>
      <c r="K146" s="9" t="n">
        <v>0</v>
      </c>
      <c r="L146" s="9" t="n">
        <v>0</v>
      </c>
      <c r="M146" s="9" t="n">
        <v>0</v>
      </c>
      <c r="N146" s="12" t="n">
        <f aca="true">IFERROR(ROUND(SUM(OFFSET(B146,0,0,1,POSTAVKE!$B$7))/POSTAVKE!$B$7,2),0)</f>
        <v>3.5</v>
      </c>
    </row>
    <row r="147" customFormat="false" ht="15" hidden="false" customHeight="false" outlineLevel="0" collapsed="false">
      <c r="A147" s="11" t="s">
        <v>565</v>
      </c>
      <c r="B147" s="9" t="n">
        <v>3</v>
      </c>
      <c r="C147" s="9" t="n">
        <v>2</v>
      </c>
      <c r="D147" s="9" t="n">
        <v>4</v>
      </c>
      <c r="E147" s="9" t="n">
        <v>4</v>
      </c>
      <c r="F147" s="9" t="n">
        <v>5</v>
      </c>
      <c r="G147" s="9" t="n">
        <v>3</v>
      </c>
      <c r="H147" s="9" t="n">
        <v>4</v>
      </c>
      <c r="I147" s="9" t="n">
        <v>2</v>
      </c>
      <c r="J147" s="9" t="n">
        <v>0</v>
      </c>
      <c r="K147" s="9" t="n">
        <v>0</v>
      </c>
      <c r="L147" s="9" t="n">
        <v>0</v>
      </c>
      <c r="M147" s="9" t="n">
        <v>0</v>
      </c>
      <c r="N147" s="12" t="n">
        <f aca="true">IFERROR(ROUND(SUM(OFFSET(B147,0,0,1,POSTAVKE!$B$7))/POSTAVKE!$B$7,2),0)</f>
        <v>3.38</v>
      </c>
    </row>
    <row r="148" customFormat="false" ht="15" hidden="false" customHeight="false" outlineLevel="0" collapsed="false">
      <c r="A148" s="11" t="s">
        <v>621</v>
      </c>
      <c r="B148" s="9" t="n">
        <v>3</v>
      </c>
      <c r="C148" s="9" t="n">
        <v>1</v>
      </c>
      <c r="D148" s="9" t="n">
        <v>3</v>
      </c>
      <c r="E148" s="9" t="n">
        <v>0</v>
      </c>
      <c r="F148" s="9" t="n">
        <v>3</v>
      </c>
      <c r="G148" s="9" t="n">
        <v>0</v>
      </c>
      <c r="H148" s="9" t="n">
        <v>3</v>
      </c>
      <c r="I148" s="9" t="n">
        <v>0</v>
      </c>
      <c r="J148" s="9" t="n">
        <v>0</v>
      </c>
      <c r="K148" s="9" t="n">
        <v>0</v>
      </c>
      <c r="L148" s="9" t="n">
        <v>0</v>
      </c>
      <c r="M148" s="9" t="n">
        <v>0</v>
      </c>
      <c r="N148" s="12" t="n">
        <f aca="true">IFERROR(ROUND(SUM(OFFSET(B148,0,0,1,POSTAVKE!$B$7))/POSTAVKE!$B$7,2),0)</f>
        <v>1.63</v>
      </c>
    </row>
    <row r="149" customFormat="false" ht="15" hidden="false" customHeight="false" outlineLevel="0" collapsed="false">
      <c r="A149" s="11" t="s">
        <v>541</v>
      </c>
      <c r="B149" s="9" t="n">
        <v>3</v>
      </c>
      <c r="C149" s="9" t="n">
        <v>2</v>
      </c>
      <c r="D149" s="9" t="n">
        <v>2</v>
      </c>
      <c r="E149" s="9" t="n">
        <v>5</v>
      </c>
      <c r="F149" s="9" t="n">
        <v>0</v>
      </c>
      <c r="G149" s="9" t="n">
        <v>2</v>
      </c>
      <c r="H149" s="9" t="n">
        <v>0</v>
      </c>
      <c r="I149" s="9" t="n">
        <v>2</v>
      </c>
      <c r="J149" s="9" t="n">
        <v>0</v>
      </c>
      <c r="K149" s="9" t="n">
        <v>0</v>
      </c>
      <c r="L149" s="9" t="n">
        <v>0</v>
      </c>
      <c r="M149" s="9" t="n">
        <v>0</v>
      </c>
      <c r="N149" s="12" t="n">
        <f aca="true">IFERROR(ROUND(SUM(OFFSET(B149,0,0,1,POSTAVKE!$B$7))/POSTAVKE!$B$7,2),0)</f>
        <v>2</v>
      </c>
    </row>
    <row r="150" customFormat="false" ht="15" hidden="false" customHeight="false" outlineLevel="0" collapsed="false">
      <c r="A150" s="11" t="s">
        <v>769</v>
      </c>
      <c r="B150" s="9" t="n">
        <v>3</v>
      </c>
      <c r="C150" s="9" t="n">
        <v>1</v>
      </c>
      <c r="D150" s="9" t="n">
        <v>6</v>
      </c>
      <c r="E150" s="9" t="n">
        <v>2</v>
      </c>
      <c r="F150" s="9" t="n">
        <v>5</v>
      </c>
      <c r="G150" s="9" t="n">
        <v>2</v>
      </c>
      <c r="H150" s="9" t="n">
        <v>3</v>
      </c>
      <c r="I150" s="9" t="n">
        <v>2</v>
      </c>
      <c r="J150" s="9" t="n">
        <v>0</v>
      </c>
      <c r="K150" s="9" t="n">
        <v>0</v>
      </c>
      <c r="L150" s="9" t="n">
        <v>0</v>
      </c>
      <c r="M150" s="9" t="n">
        <v>0</v>
      </c>
      <c r="N150" s="12" t="n">
        <f aca="true">IFERROR(ROUND(SUM(OFFSET(B150,0,0,1,POSTAVKE!$B$7))/POSTAVKE!$B$7,2),0)</f>
        <v>3</v>
      </c>
    </row>
    <row r="151" customFormat="false" ht="15" hidden="false" customHeight="false" outlineLevel="0" collapsed="false">
      <c r="A151" s="11" t="s">
        <v>1258</v>
      </c>
      <c r="B151" s="9" t="n">
        <v>3</v>
      </c>
      <c r="C151" s="9" t="n">
        <v>0</v>
      </c>
      <c r="D151" s="9" t="n">
        <v>1</v>
      </c>
      <c r="E151" s="9" t="n">
        <v>1</v>
      </c>
      <c r="F151" s="9" t="n">
        <v>0</v>
      </c>
      <c r="G151" s="9" t="n">
        <v>0</v>
      </c>
      <c r="H151" s="9" t="n">
        <v>0</v>
      </c>
      <c r="I151" s="9" t="n">
        <v>0</v>
      </c>
      <c r="J151" s="9" t="n">
        <v>0</v>
      </c>
      <c r="K151" s="9" t="n">
        <v>0</v>
      </c>
      <c r="L151" s="9" t="n">
        <v>0</v>
      </c>
      <c r="M151" s="9" t="n">
        <v>0</v>
      </c>
      <c r="N151" s="12" t="n">
        <f aca="true">IFERROR(ROUND(SUM(OFFSET(B151,0,0,1,POSTAVKE!$B$7))/POSTAVKE!$B$7,2),0)</f>
        <v>0.63</v>
      </c>
    </row>
    <row r="152" customFormat="false" ht="15" hidden="false" customHeight="false" outlineLevel="0" collapsed="false">
      <c r="A152" s="11" t="s">
        <v>1518</v>
      </c>
      <c r="B152" s="9" t="n">
        <v>3</v>
      </c>
      <c r="C152" s="9" t="n">
        <v>3</v>
      </c>
      <c r="D152" s="9" t="n">
        <v>0</v>
      </c>
      <c r="E152" s="9" t="n">
        <v>0</v>
      </c>
      <c r="F152" s="9" t="n">
        <v>0</v>
      </c>
      <c r="G152" s="9" t="n">
        <v>0</v>
      </c>
      <c r="H152" s="9" t="n">
        <v>0</v>
      </c>
      <c r="I152" s="9" t="n">
        <v>0</v>
      </c>
      <c r="J152" s="9" t="n">
        <v>0</v>
      </c>
      <c r="K152" s="9" t="n">
        <v>0</v>
      </c>
      <c r="L152" s="9" t="n">
        <v>0</v>
      </c>
      <c r="M152" s="9" t="n">
        <v>0</v>
      </c>
      <c r="N152" s="12" t="n">
        <f aca="true">IFERROR(ROUND(SUM(OFFSET(B152,0,0,1,POSTAVKE!$B$7))/POSTAVKE!$B$7,2),0)</f>
        <v>0.75</v>
      </c>
    </row>
    <row r="153" customFormat="false" ht="15" hidden="false" customHeight="false" outlineLevel="0" collapsed="false">
      <c r="A153" s="11" t="s">
        <v>523</v>
      </c>
      <c r="B153" s="9" t="n">
        <v>3</v>
      </c>
      <c r="C153" s="9" t="n">
        <v>1</v>
      </c>
      <c r="D153" s="9" t="n">
        <v>1</v>
      </c>
      <c r="E153" s="9" t="n">
        <v>2</v>
      </c>
      <c r="F153" s="9" t="n">
        <v>2</v>
      </c>
      <c r="G153" s="9" t="n">
        <v>0</v>
      </c>
      <c r="H153" s="9" t="n">
        <v>0</v>
      </c>
      <c r="I153" s="9" t="n">
        <v>0</v>
      </c>
      <c r="J153" s="9" t="n">
        <v>0</v>
      </c>
      <c r="K153" s="9" t="n">
        <v>0</v>
      </c>
      <c r="L153" s="9" t="n">
        <v>0</v>
      </c>
      <c r="M153" s="9" t="n">
        <v>0</v>
      </c>
      <c r="N153" s="12" t="n">
        <f aca="true">IFERROR(ROUND(SUM(OFFSET(B153,0,0,1,POSTAVKE!$B$7))/POSTAVKE!$B$7,2),0)</f>
        <v>1.13</v>
      </c>
    </row>
    <row r="154" customFormat="false" ht="15" hidden="false" customHeight="false" outlineLevel="0" collapsed="false">
      <c r="A154" s="11" t="s">
        <v>593</v>
      </c>
      <c r="B154" s="9" t="n">
        <v>3</v>
      </c>
      <c r="C154" s="9" t="n">
        <v>8</v>
      </c>
      <c r="D154" s="9" t="n">
        <v>4</v>
      </c>
      <c r="E154" s="9" t="n">
        <v>6</v>
      </c>
      <c r="F154" s="9" t="n">
        <v>5</v>
      </c>
      <c r="G154" s="9" t="n">
        <v>6</v>
      </c>
      <c r="H154" s="9" t="n">
        <v>10</v>
      </c>
      <c r="I154" s="9" t="n">
        <v>5</v>
      </c>
      <c r="J154" s="9" t="n">
        <v>7</v>
      </c>
      <c r="K154" s="9" t="n">
        <v>0</v>
      </c>
      <c r="L154" s="9" t="n">
        <v>0</v>
      </c>
      <c r="M154" s="9" t="n">
        <v>0</v>
      </c>
      <c r="N154" s="12" t="n">
        <f aca="true">IFERROR(ROUND(SUM(OFFSET(B154,0,0,1,POSTAVKE!$B$7))/POSTAVKE!$B$7,2),0)</f>
        <v>5.88</v>
      </c>
    </row>
    <row r="155" customFormat="false" ht="15" hidden="false" customHeight="false" outlineLevel="0" collapsed="false">
      <c r="A155" s="11" t="s">
        <v>881</v>
      </c>
      <c r="B155" s="9" t="n">
        <v>3</v>
      </c>
      <c r="C155" s="9" t="n">
        <v>1</v>
      </c>
      <c r="D155" s="9" t="n">
        <v>4</v>
      </c>
      <c r="E155" s="9" t="n">
        <v>3</v>
      </c>
      <c r="F155" s="9" t="n">
        <v>5</v>
      </c>
      <c r="G155" s="9" t="n">
        <v>1</v>
      </c>
      <c r="H155" s="9" t="n">
        <v>1</v>
      </c>
      <c r="I155" s="9" t="n">
        <v>1</v>
      </c>
      <c r="J155" s="9" t="n">
        <v>0</v>
      </c>
      <c r="K155" s="9" t="n">
        <v>0</v>
      </c>
      <c r="L155" s="9" t="n">
        <v>0</v>
      </c>
      <c r="M155" s="9" t="n">
        <v>0</v>
      </c>
      <c r="N155" s="12" t="n">
        <f aca="true">IFERROR(ROUND(SUM(OFFSET(B155,0,0,1,POSTAVKE!$B$7))/POSTAVKE!$B$7,2),0)</f>
        <v>2.38</v>
      </c>
    </row>
    <row r="156" customFormat="false" ht="15" hidden="false" customHeight="false" outlineLevel="0" collapsed="false">
      <c r="A156" s="11" t="s">
        <v>949</v>
      </c>
      <c r="B156" s="9" t="n">
        <v>3</v>
      </c>
      <c r="C156" s="9" t="n">
        <v>5</v>
      </c>
      <c r="D156" s="9" t="n">
        <v>8</v>
      </c>
      <c r="E156" s="9" t="n">
        <v>0</v>
      </c>
      <c r="F156" s="9" t="n">
        <v>2</v>
      </c>
      <c r="G156" s="9" t="n">
        <v>3</v>
      </c>
      <c r="H156" s="9" t="n">
        <v>0</v>
      </c>
      <c r="I156" s="9" t="n">
        <v>3</v>
      </c>
      <c r="J156" s="9" t="n">
        <v>0</v>
      </c>
      <c r="K156" s="9" t="n">
        <v>0</v>
      </c>
      <c r="L156" s="9" t="n">
        <v>0</v>
      </c>
      <c r="M156" s="9" t="n">
        <v>0</v>
      </c>
      <c r="N156" s="12" t="n">
        <f aca="true">IFERROR(ROUND(SUM(OFFSET(B156,0,0,1,POSTAVKE!$B$7))/POSTAVKE!$B$7,2),0)</f>
        <v>3</v>
      </c>
    </row>
    <row r="157" customFormat="false" ht="15" hidden="false" customHeight="false" outlineLevel="0" collapsed="false">
      <c r="A157" s="11" t="s">
        <v>293</v>
      </c>
      <c r="B157" s="9" t="n">
        <v>3</v>
      </c>
      <c r="C157" s="9" t="n">
        <v>2</v>
      </c>
      <c r="D157" s="9" t="n">
        <v>2</v>
      </c>
      <c r="E157" s="9" t="n">
        <v>7</v>
      </c>
      <c r="F157" s="9" t="n">
        <v>3</v>
      </c>
      <c r="G157" s="9" t="n">
        <v>2</v>
      </c>
      <c r="H157" s="9" t="n">
        <v>4</v>
      </c>
      <c r="I157" s="9" t="n">
        <v>3</v>
      </c>
      <c r="J157" s="9" t="n">
        <v>0</v>
      </c>
      <c r="K157" s="9" t="n">
        <v>0</v>
      </c>
      <c r="L157" s="9" t="n">
        <v>0</v>
      </c>
      <c r="M157" s="9" t="n">
        <v>0</v>
      </c>
      <c r="N157" s="12" t="n">
        <f aca="true">IFERROR(ROUND(SUM(OFFSET(B157,0,0,1,POSTAVKE!$B$7))/POSTAVKE!$B$7,2),0)</f>
        <v>3.25</v>
      </c>
    </row>
    <row r="158" customFormat="false" ht="15" hidden="false" customHeight="false" outlineLevel="0" collapsed="false">
      <c r="A158" s="11" t="s">
        <v>1614</v>
      </c>
      <c r="B158" s="9" t="n">
        <v>3</v>
      </c>
      <c r="C158" s="9" t="n">
        <v>6</v>
      </c>
      <c r="D158" s="9" t="n">
        <v>7</v>
      </c>
      <c r="E158" s="9" t="n">
        <v>10</v>
      </c>
      <c r="F158" s="9" t="n">
        <v>32</v>
      </c>
      <c r="G158" s="9" t="n">
        <v>20</v>
      </c>
      <c r="H158" s="9" t="n">
        <v>14</v>
      </c>
      <c r="I158" s="9" t="n">
        <v>6</v>
      </c>
      <c r="J158" s="9" t="n">
        <v>0</v>
      </c>
      <c r="K158" s="9" t="n">
        <v>0</v>
      </c>
      <c r="L158" s="9" t="n">
        <v>0</v>
      </c>
      <c r="M158" s="9" t="n">
        <v>0</v>
      </c>
      <c r="N158" s="12" t="n">
        <f aca="true">IFERROR(ROUND(SUM(OFFSET(B158,0,0,1,POSTAVKE!$B$7))/POSTAVKE!$B$7,2),0)</f>
        <v>12.25</v>
      </c>
    </row>
    <row r="159" customFormat="false" ht="15" hidden="false" customHeight="false" outlineLevel="0" collapsed="false">
      <c r="A159" s="11" t="s">
        <v>863</v>
      </c>
      <c r="B159" s="9" t="n">
        <v>3</v>
      </c>
      <c r="C159" s="9" t="n">
        <v>0</v>
      </c>
      <c r="D159" s="9" t="n">
        <v>3</v>
      </c>
      <c r="E159" s="9" t="n">
        <v>4</v>
      </c>
      <c r="F159" s="9" t="n">
        <v>1</v>
      </c>
      <c r="G159" s="9" t="n">
        <v>5</v>
      </c>
      <c r="H159" s="9" t="n">
        <v>0</v>
      </c>
      <c r="I159" s="9" t="n">
        <v>2</v>
      </c>
      <c r="J159" s="9" t="n">
        <v>0</v>
      </c>
      <c r="K159" s="9" t="n">
        <v>0</v>
      </c>
      <c r="L159" s="9" t="n">
        <v>0</v>
      </c>
      <c r="M159" s="9" t="n">
        <v>0</v>
      </c>
      <c r="N159" s="12" t="n">
        <f aca="true">IFERROR(ROUND(SUM(OFFSET(B159,0,0,1,POSTAVKE!$B$7))/POSTAVKE!$B$7,2),0)</f>
        <v>2.25</v>
      </c>
    </row>
    <row r="160" customFormat="false" ht="15" hidden="false" customHeight="false" outlineLevel="0" collapsed="false">
      <c r="A160" s="11" t="s">
        <v>779</v>
      </c>
      <c r="B160" s="9" t="n">
        <v>3</v>
      </c>
      <c r="C160" s="9" t="n">
        <v>-1</v>
      </c>
      <c r="D160" s="9" t="n">
        <v>0</v>
      </c>
      <c r="E160" s="9" t="n">
        <v>1</v>
      </c>
      <c r="F160" s="9" t="n">
        <v>0</v>
      </c>
      <c r="G160" s="9" t="n">
        <v>0</v>
      </c>
      <c r="H160" s="9" t="n">
        <v>0</v>
      </c>
      <c r="I160" s="9" t="n">
        <v>0</v>
      </c>
      <c r="J160" s="9" t="n">
        <v>0</v>
      </c>
      <c r="K160" s="9" t="n">
        <v>0</v>
      </c>
      <c r="L160" s="9" t="n">
        <v>0</v>
      </c>
      <c r="M160" s="9" t="n">
        <v>0</v>
      </c>
      <c r="N160" s="12" t="n">
        <f aca="true">IFERROR(ROUND(SUM(OFFSET(B160,0,0,1,POSTAVKE!$B$7))/POSTAVKE!$B$7,2),0)</f>
        <v>0.38</v>
      </c>
    </row>
    <row r="161" customFormat="false" ht="15" hidden="false" customHeight="false" outlineLevel="0" collapsed="false">
      <c r="A161" s="11" t="s">
        <v>449</v>
      </c>
      <c r="B161" s="9" t="n">
        <v>3</v>
      </c>
      <c r="C161" s="9" t="n">
        <v>1</v>
      </c>
      <c r="D161" s="9" t="n">
        <v>1</v>
      </c>
      <c r="E161" s="9" t="n">
        <v>2</v>
      </c>
      <c r="F161" s="9" t="n">
        <v>8</v>
      </c>
      <c r="G161" s="9" t="n">
        <v>2</v>
      </c>
      <c r="H161" s="9" t="n">
        <v>25</v>
      </c>
      <c r="I161" s="9" t="n">
        <v>5</v>
      </c>
      <c r="J161" s="9" t="n">
        <v>0</v>
      </c>
      <c r="K161" s="9" t="n">
        <v>0</v>
      </c>
      <c r="L161" s="9" t="n">
        <v>0</v>
      </c>
      <c r="M161" s="9" t="n">
        <v>0</v>
      </c>
      <c r="N161" s="12" t="n">
        <f aca="true">IFERROR(ROUND(SUM(OFFSET(B161,0,0,1,POSTAVKE!$B$7))/POSTAVKE!$B$7,2),0)</f>
        <v>5.88</v>
      </c>
    </row>
    <row r="162" customFormat="false" ht="15" hidden="false" customHeight="false" outlineLevel="0" collapsed="false">
      <c r="A162" s="11" t="s">
        <v>195</v>
      </c>
      <c r="B162" s="9" t="n">
        <v>3</v>
      </c>
      <c r="C162" s="9" t="n">
        <v>0</v>
      </c>
      <c r="D162" s="9" t="n">
        <v>0</v>
      </c>
      <c r="E162" s="9" t="n">
        <v>4</v>
      </c>
      <c r="F162" s="9" t="n">
        <v>0</v>
      </c>
      <c r="G162" s="9" t="n">
        <v>7</v>
      </c>
      <c r="H162" s="9" t="n">
        <v>0</v>
      </c>
      <c r="I162" s="9" t="n">
        <v>3</v>
      </c>
      <c r="J162" s="9" t="n">
        <v>0</v>
      </c>
      <c r="K162" s="9" t="n">
        <v>0</v>
      </c>
      <c r="L162" s="9" t="n">
        <v>0</v>
      </c>
      <c r="M162" s="9" t="n">
        <v>0</v>
      </c>
      <c r="N162" s="12" t="n">
        <f aca="true">IFERROR(ROUND(SUM(OFFSET(B162,0,0,1,POSTAVKE!$B$7))/POSTAVKE!$B$7,2),0)</f>
        <v>2.13</v>
      </c>
    </row>
    <row r="163" customFormat="false" ht="15" hidden="false" customHeight="false" outlineLevel="0" collapsed="false">
      <c r="A163" s="11" t="s">
        <v>903</v>
      </c>
      <c r="B163" s="9" t="n">
        <v>3</v>
      </c>
      <c r="C163" s="9" t="n">
        <v>1</v>
      </c>
      <c r="D163" s="9" t="n">
        <v>2</v>
      </c>
      <c r="E163" s="9" t="n">
        <v>5</v>
      </c>
      <c r="F163" s="9" t="n">
        <v>3</v>
      </c>
      <c r="G163" s="9" t="n">
        <v>3</v>
      </c>
      <c r="H163" s="9" t="n">
        <v>1</v>
      </c>
      <c r="I163" s="9" t="n">
        <v>5</v>
      </c>
      <c r="J163" s="9" t="n">
        <v>0</v>
      </c>
      <c r="K163" s="9" t="n">
        <v>0</v>
      </c>
      <c r="L163" s="9" t="n">
        <v>0</v>
      </c>
      <c r="M163" s="9" t="n">
        <v>0</v>
      </c>
      <c r="N163" s="12" t="n">
        <f aca="true">IFERROR(ROUND(SUM(OFFSET(B163,0,0,1,POSTAVKE!$B$7))/POSTAVKE!$B$7,2),0)</f>
        <v>2.88</v>
      </c>
    </row>
    <row r="164" customFormat="false" ht="15" hidden="false" customHeight="false" outlineLevel="0" collapsed="false">
      <c r="A164" s="11" t="s">
        <v>351</v>
      </c>
      <c r="B164" s="9" t="n">
        <v>3</v>
      </c>
      <c r="C164" s="9" t="n">
        <v>0</v>
      </c>
      <c r="D164" s="9" t="n">
        <v>2</v>
      </c>
      <c r="E164" s="9" t="n">
        <v>1</v>
      </c>
      <c r="F164" s="9" t="n">
        <v>2</v>
      </c>
      <c r="G164" s="9" t="n">
        <v>2</v>
      </c>
      <c r="H164" s="9" t="n">
        <v>2</v>
      </c>
      <c r="I164" s="9" t="n">
        <v>3</v>
      </c>
      <c r="J164" s="9" t="n">
        <v>1</v>
      </c>
      <c r="K164" s="9" t="n">
        <v>0</v>
      </c>
      <c r="L164" s="9" t="n">
        <v>0</v>
      </c>
      <c r="M164" s="9" t="n">
        <v>0</v>
      </c>
      <c r="N164" s="12" t="n">
        <f aca="true">IFERROR(ROUND(SUM(OFFSET(B164,0,0,1,POSTAVKE!$B$7))/POSTAVKE!$B$7,2),0)</f>
        <v>1.88</v>
      </c>
    </row>
    <row r="165" customFormat="false" ht="15" hidden="false" customHeight="false" outlineLevel="0" collapsed="false">
      <c r="A165" s="11" t="s">
        <v>585</v>
      </c>
      <c r="B165" s="9" t="n">
        <v>3</v>
      </c>
      <c r="C165" s="9" t="n">
        <v>2</v>
      </c>
      <c r="D165" s="9" t="n">
        <v>0</v>
      </c>
      <c r="E165" s="9" t="n">
        <v>2</v>
      </c>
      <c r="F165" s="9" t="n">
        <v>0</v>
      </c>
      <c r="G165" s="9" t="n">
        <v>1</v>
      </c>
      <c r="H165" s="9" t="n">
        <v>4</v>
      </c>
      <c r="I165" s="9" t="n">
        <v>6</v>
      </c>
      <c r="J165" s="9" t="n">
        <v>0</v>
      </c>
      <c r="K165" s="9" t="n">
        <v>0</v>
      </c>
      <c r="L165" s="9" t="n">
        <v>0</v>
      </c>
      <c r="M165" s="9" t="n">
        <v>0</v>
      </c>
      <c r="N165" s="12" t="n">
        <f aca="true">IFERROR(ROUND(SUM(OFFSET(B165,0,0,1,POSTAVKE!$B$7))/POSTAVKE!$B$7,2),0)</f>
        <v>2.25</v>
      </c>
    </row>
    <row r="166" customFormat="false" ht="15" hidden="false" customHeight="false" outlineLevel="0" collapsed="false">
      <c r="A166" s="11" t="s">
        <v>1646</v>
      </c>
      <c r="B166" s="9" t="n">
        <v>3</v>
      </c>
      <c r="C166" s="9" t="n">
        <v>3</v>
      </c>
      <c r="D166" s="9" t="n">
        <v>23</v>
      </c>
      <c r="E166" s="9" t="n">
        <v>17</v>
      </c>
      <c r="F166" s="9" t="n">
        <v>13</v>
      </c>
      <c r="G166" s="9" t="n">
        <v>0</v>
      </c>
      <c r="H166" s="9" t="n">
        <v>0</v>
      </c>
      <c r="I166" s="9" t="n">
        <v>0</v>
      </c>
      <c r="J166" s="9" t="n">
        <v>0</v>
      </c>
      <c r="K166" s="9" t="n">
        <v>0</v>
      </c>
      <c r="L166" s="9" t="n">
        <v>0</v>
      </c>
      <c r="M166" s="9" t="n">
        <v>0</v>
      </c>
      <c r="N166" s="12" t="n">
        <f aca="true">IFERROR(ROUND(SUM(OFFSET(B166,0,0,1,POSTAVKE!$B$7))/POSTAVKE!$B$7,2),0)</f>
        <v>7.38</v>
      </c>
    </row>
    <row r="167" customFormat="false" ht="15" hidden="false" customHeight="false" outlineLevel="0" collapsed="false">
      <c r="A167" s="11" t="s">
        <v>767</v>
      </c>
      <c r="B167" s="9" t="n">
        <v>2</v>
      </c>
      <c r="C167" s="9" t="n">
        <v>6</v>
      </c>
      <c r="D167" s="9" t="n">
        <v>1</v>
      </c>
      <c r="E167" s="9" t="n">
        <v>2</v>
      </c>
      <c r="F167" s="9" t="n">
        <v>3</v>
      </c>
      <c r="G167" s="9" t="n">
        <v>2</v>
      </c>
      <c r="H167" s="9" t="n">
        <v>4</v>
      </c>
      <c r="I167" s="9" t="n">
        <v>1</v>
      </c>
      <c r="J167" s="9" t="n">
        <v>0</v>
      </c>
      <c r="K167" s="9" t="n">
        <v>0</v>
      </c>
      <c r="L167" s="9" t="n">
        <v>0</v>
      </c>
      <c r="M167" s="9" t="n">
        <v>0</v>
      </c>
      <c r="N167" s="12" t="n">
        <f aca="true">IFERROR(ROUND(SUM(OFFSET(B167,0,0,1,POSTAVKE!$B$7))/POSTAVKE!$B$7,2),0)</f>
        <v>2.63</v>
      </c>
    </row>
    <row r="168" customFormat="false" ht="15" hidden="false" customHeight="false" outlineLevel="0" collapsed="false">
      <c r="A168" s="11" t="s">
        <v>499</v>
      </c>
      <c r="B168" s="9" t="n">
        <v>2</v>
      </c>
      <c r="C168" s="9" t="n">
        <v>0</v>
      </c>
      <c r="D168" s="9" t="n">
        <v>1</v>
      </c>
      <c r="E168" s="9" t="n">
        <v>3</v>
      </c>
      <c r="F168" s="9" t="n">
        <v>2</v>
      </c>
      <c r="G168" s="9" t="n">
        <v>0</v>
      </c>
      <c r="H168" s="9" t="n">
        <v>1</v>
      </c>
      <c r="I168" s="9" t="n">
        <v>0</v>
      </c>
      <c r="J168" s="9" t="n">
        <v>0</v>
      </c>
      <c r="K168" s="9" t="n">
        <v>0</v>
      </c>
      <c r="L168" s="9" t="n">
        <v>0</v>
      </c>
      <c r="M168" s="9" t="n">
        <v>0</v>
      </c>
      <c r="N168" s="12" t="n">
        <f aca="true">IFERROR(ROUND(SUM(OFFSET(B168,0,0,1,POSTAVKE!$B$7))/POSTAVKE!$B$7,2),0)</f>
        <v>1.13</v>
      </c>
    </row>
    <row r="169" customFormat="false" ht="15" hidden="false" customHeight="false" outlineLevel="0" collapsed="false">
      <c r="A169" s="11" t="s">
        <v>1436</v>
      </c>
      <c r="B169" s="9" t="n">
        <v>2</v>
      </c>
      <c r="C169" s="9" t="n">
        <v>3</v>
      </c>
      <c r="D169" s="9" t="n">
        <v>14</v>
      </c>
      <c r="E169" s="9" t="n">
        <v>0</v>
      </c>
      <c r="F169" s="9" t="n">
        <v>2</v>
      </c>
      <c r="G169" s="9" t="n">
        <v>0</v>
      </c>
      <c r="H169" s="9" t="n">
        <v>0</v>
      </c>
      <c r="I169" s="9" t="n">
        <v>0</v>
      </c>
      <c r="J169" s="9" t="n">
        <v>0</v>
      </c>
      <c r="K169" s="9" t="n">
        <v>0</v>
      </c>
      <c r="L169" s="9" t="n">
        <v>0</v>
      </c>
      <c r="M169" s="9" t="n">
        <v>0</v>
      </c>
      <c r="N169" s="12" t="n">
        <f aca="true">IFERROR(ROUND(SUM(OFFSET(B169,0,0,1,POSTAVKE!$B$7))/POSTAVKE!$B$7,2),0)</f>
        <v>2.63</v>
      </c>
    </row>
    <row r="170" customFormat="false" ht="15" hidden="false" customHeight="false" outlineLevel="0" collapsed="false">
      <c r="A170" s="11" t="s">
        <v>521</v>
      </c>
      <c r="B170" s="9" t="n">
        <v>2</v>
      </c>
      <c r="C170" s="9" t="n">
        <v>4</v>
      </c>
      <c r="D170" s="9" t="n">
        <v>3</v>
      </c>
      <c r="E170" s="9" t="n">
        <v>3</v>
      </c>
      <c r="F170" s="9" t="n">
        <v>1</v>
      </c>
      <c r="G170" s="9" t="n">
        <v>3</v>
      </c>
      <c r="H170" s="9" t="n">
        <v>8</v>
      </c>
      <c r="I170" s="9" t="n">
        <v>6</v>
      </c>
      <c r="J170" s="9" t="n">
        <v>0</v>
      </c>
      <c r="K170" s="9" t="n">
        <v>0</v>
      </c>
      <c r="L170" s="9" t="n">
        <v>0</v>
      </c>
      <c r="M170" s="9" t="n">
        <v>0</v>
      </c>
      <c r="N170" s="12" t="n">
        <f aca="true">IFERROR(ROUND(SUM(OFFSET(B170,0,0,1,POSTAVKE!$B$7))/POSTAVKE!$B$7,2),0)</f>
        <v>3.75</v>
      </c>
    </row>
    <row r="171" customFormat="false" ht="15" hidden="false" customHeight="false" outlineLevel="0" collapsed="false">
      <c r="A171" s="11" t="s">
        <v>1470</v>
      </c>
      <c r="B171" s="9" t="n">
        <v>2</v>
      </c>
      <c r="C171" s="9" t="n">
        <v>0</v>
      </c>
      <c r="D171" s="9" t="n">
        <v>0</v>
      </c>
      <c r="E171" s="9" t="n">
        <v>0</v>
      </c>
      <c r="F171" s="9" t="n">
        <v>1</v>
      </c>
      <c r="G171" s="9" t="n">
        <v>-1</v>
      </c>
      <c r="H171" s="9" t="n">
        <v>0</v>
      </c>
      <c r="I171" s="9" t="n">
        <v>0</v>
      </c>
      <c r="J171" s="9" t="n">
        <v>0</v>
      </c>
      <c r="K171" s="9" t="n">
        <v>0</v>
      </c>
      <c r="L171" s="9" t="n">
        <v>0</v>
      </c>
      <c r="M171" s="9" t="n">
        <v>0</v>
      </c>
      <c r="N171" s="12" t="n">
        <f aca="true">IFERROR(ROUND(SUM(OFFSET(B171,0,0,1,POSTAVKE!$B$7))/POSTAVKE!$B$7,2),0)</f>
        <v>0.25</v>
      </c>
    </row>
    <row r="172" customFormat="false" ht="15" hidden="false" customHeight="false" outlineLevel="0" collapsed="false">
      <c r="A172" s="11" t="s">
        <v>553</v>
      </c>
      <c r="B172" s="9" t="n">
        <v>2</v>
      </c>
      <c r="C172" s="9" t="n">
        <v>0</v>
      </c>
      <c r="D172" s="9" t="n">
        <v>0</v>
      </c>
      <c r="E172" s="9" t="n">
        <v>0</v>
      </c>
      <c r="F172" s="9" t="n">
        <v>0</v>
      </c>
      <c r="G172" s="9" t="n">
        <v>1</v>
      </c>
      <c r="H172" s="9" t="n">
        <v>0</v>
      </c>
      <c r="I172" s="9" t="n">
        <v>0</v>
      </c>
      <c r="J172" s="9" t="n">
        <v>0</v>
      </c>
      <c r="K172" s="9" t="n">
        <v>0</v>
      </c>
      <c r="L172" s="9" t="n">
        <v>0</v>
      </c>
      <c r="M172" s="9" t="n">
        <v>0</v>
      </c>
      <c r="N172" s="12" t="n">
        <f aca="true">IFERROR(ROUND(SUM(OFFSET(B172,0,0,1,POSTAVKE!$B$7))/POSTAVKE!$B$7,2),0)</f>
        <v>0.38</v>
      </c>
    </row>
    <row r="173" customFormat="false" ht="15" hidden="false" customHeight="false" outlineLevel="0" collapsed="false">
      <c r="A173" s="11" t="s">
        <v>1655</v>
      </c>
      <c r="B173" s="9" t="n">
        <v>2</v>
      </c>
      <c r="C173" s="9" t="n">
        <v>0</v>
      </c>
      <c r="D173" s="9" t="n">
        <v>0</v>
      </c>
      <c r="E173" s="9" t="n">
        <v>0</v>
      </c>
      <c r="F173" s="9" t="n">
        <v>0</v>
      </c>
      <c r="G173" s="9" t="n">
        <v>0</v>
      </c>
      <c r="H173" s="9" t="n">
        <v>0</v>
      </c>
      <c r="I173" s="9" t="n">
        <v>0</v>
      </c>
      <c r="J173" s="9" t="n">
        <v>0</v>
      </c>
      <c r="K173" s="9" t="n">
        <v>0</v>
      </c>
      <c r="L173" s="9" t="n">
        <v>0</v>
      </c>
      <c r="M173" s="9" t="n">
        <v>0</v>
      </c>
      <c r="N173" s="12" t="n">
        <f aca="true">IFERROR(ROUND(SUM(OFFSET(B173,0,0,1,POSTAVKE!$B$7))/POSTAVKE!$B$7,2),0)</f>
        <v>0.25</v>
      </c>
    </row>
    <row r="174" customFormat="false" ht="15" hidden="false" customHeight="false" outlineLevel="0" collapsed="false">
      <c r="A174" s="11" t="s">
        <v>579</v>
      </c>
      <c r="B174" s="9" t="n">
        <v>2</v>
      </c>
      <c r="C174" s="9" t="n">
        <v>0</v>
      </c>
      <c r="D174" s="9" t="n">
        <v>0</v>
      </c>
      <c r="E174" s="9" t="n">
        <v>1</v>
      </c>
      <c r="F174" s="9" t="n">
        <v>0</v>
      </c>
      <c r="G174" s="9" t="n">
        <v>0</v>
      </c>
      <c r="H174" s="9" t="n">
        <v>0</v>
      </c>
      <c r="I174" s="9" t="n">
        <v>1</v>
      </c>
      <c r="J174" s="9" t="n">
        <v>0</v>
      </c>
      <c r="K174" s="9" t="n">
        <v>0</v>
      </c>
      <c r="L174" s="9" t="n">
        <v>0</v>
      </c>
      <c r="M174" s="9" t="n">
        <v>0</v>
      </c>
      <c r="N174" s="12" t="n">
        <f aca="true">IFERROR(ROUND(SUM(OFFSET(B174,0,0,1,POSTAVKE!$B$7))/POSTAVKE!$B$7,2),0)</f>
        <v>0.5</v>
      </c>
    </row>
    <row r="175" customFormat="false" ht="15" hidden="false" customHeight="false" outlineLevel="0" collapsed="false">
      <c r="A175" s="11" t="s">
        <v>1212</v>
      </c>
      <c r="B175" s="9" t="n">
        <v>2</v>
      </c>
      <c r="C175" s="9" t="n">
        <v>1</v>
      </c>
      <c r="D175" s="9" t="n">
        <v>4</v>
      </c>
      <c r="E175" s="9" t="n">
        <v>3</v>
      </c>
      <c r="F175" s="9" t="n">
        <v>1</v>
      </c>
      <c r="G175" s="9" t="n">
        <v>1</v>
      </c>
      <c r="H175" s="9" t="n">
        <v>4</v>
      </c>
      <c r="I175" s="9" t="n">
        <v>5</v>
      </c>
      <c r="J175" s="9" t="n">
        <v>0</v>
      </c>
      <c r="K175" s="9" t="n">
        <v>0</v>
      </c>
      <c r="L175" s="9" t="n">
        <v>0</v>
      </c>
      <c r="M175" s="9" t="n">
        <v>0</v>
      </c>
      <c r="N175" s="12" t="n">
        <f aca="true">IFERROR(ROUND(SUM(OFFSET(B175,0,0,1,POSTAVKE!$B$7))/POSTAVKE!$B$7,2),0)</f>
        <v>2.63</v>
      </c>
    </row>
    <row r="176" customFormat="false" ht="15" hidden="false" customHeight="false" outlineLevel="0" collapsed="false">
      <c r="A176" s="11" t="s">
        <v>393</v>
      </c>
      <c r="B176" s="9" t="n">
        <v>2</v>
      </c>
      <c r="C176" s="9" t="n">
        <v>1</v>
      </c>
      <c r="D176" s="9" t="n">
        <v>1</v>
      </c>
      <c r="E176" s="9" t="n">
        <v>0</v>
      </c>
      <c r="F176" s="9" t="n">
        <v>1</v>
      </c>
      <c r="G176" s="9" t="n">
        <v>0</v>
      </c>
      <c r="H176" s="9" t="n">
        <v>0</v>
      </c>
      <c r="I176" s="9" t="n">
        <v>1</v>
      </c>
      <c r="J176" s="9" t="n">
        <v>0</v>
      </c>
      <c r="K176" s="9" t="n">
        <v>0</v>
      </c>
      <c r="L176" s="9" t="n">
        <v>0</v>
      </c>
      <c r="M176" s="9" t="n">
        <v>0</v>
      </c>
      <c r="N176" s="12" t="n">
        <f aca="true">IFERROR(ROUND(SUM(OFFSET(B176,0,0,1,POSTAVKE!$B$7))/POSTAVKE!$B$7,2),0)</f>
        <v>0.75</v>
      </c>
    </row>
    <row r="177" customFormat="false" ht="15" hidden="false" customHeight="false" outlineLevel="0" collapsed="false">
      <c r="A177" s="11" t="s">
        <v>661</v>
      </c>
      <c r="B177" s="9" t="n">
        <v>2</v>
      </c>
      <c r="C177" s="9" t="n">
        <v>1</v>
      </c>
      <c r="D177" s="9" t="n">
        <v>6</v>
      </c>
      <c r="E177" s="9" t="n">
        <v>0</v>
      </c>
      <c r="F177" s="9" t="n">
        <v>2</v>
      </c>
      <c r="G177" s="9" t="n">
        <v>0</v>
      </c>
      <c r="H177" s="9" t="n">
        <v>3</v>
      </c>
      <c r="I177" s="9" t="n">
        <v>0</v>
      </c>
      <c r="J177" s="9" t="n">
        <v>1</v>
      </c>
      <c r="K177" s="9" t="n">
        <v>0</v>
      </c>
      <c r="L177" s="9" t="n">
        <v>0</v>
      </c>
      <c r="M177" s="9" t="n">
        <v>0</v>
      </c>
      <c r="N177" s="12" t="n">
        <f aca="true">IFERROR(ROUND(SUM(OFFSET(B177,0,0,1,POSTAVKE!$B$7))/POSTAVKE!$B$7,2),0)</f>
        <v>1.75</v>
      </c>
    </row>
    <row r="178" customFormat="false" ht="15" hidden="false" customHeight="false" outlineLevel="0" collapsed="false">
      <c r="A178" s="11" t="s">
        <v>475</v>
      </c>
      <c r="B178" s="9" t="n">
        <v>2</v>
      </c>
      <c r="C178" s="9" t="n">
        <v>1</v>
      </c>
      <c r="D178" s="9" t="n">
        <v>44</v>
      </c>
      <c r="E178" s="9" t="n">
        <v>0</v>
      </c>
      <c r="F178" s="9" t="n">
        <v>1</v>
      </c>
      <c r="G178" s="9" t="n">
        <v>0</v>
      </c>
      <c r="H178" s="9" t="n">
        <v>0</v>
      </c>
      <c r="I178" s="9" t="n">
        <v>0</v>
      </c>
      <c r="J178" s="9" t="n">
        <v>0</v>
      </c>
      <c r="K178" s="9" t="n">
        <v>0</v>
      </c>
      <c r="L178" s="9" t="n">
        <v>0</v>
      </c>
      <c r="M178" s="9" t="n">
        <v>0</v>
      </c>
      <c r="N178" s="12" t="n">
        <f aca="true">IFERROR(ROUND(SUM(OFFSET(B178,0,0,1,POSTAVKE!$B$7))/POSTAVKE!$B$7,2),0)</f>
        <v>6</v>
      </c>
    </row>
    <row r="179" customFormat="false" ht="15" hidden="false" customHeight="false" outlineLevel="0" collapsed="false">
      <c r="A179" s="11" t="s">
        <v>749</v>
      </c>
      <c r="B179" s="9" t="n">
        <v>2</v>
      </c>
      <c r="C179" s="9" t="n">
        <v>0</v>
      </c>
      <c r="D179" s="9" t="n">
        <v>2</v>
      </c>
      <c r="E179" s="9" t="n">
        <v>0</v>
      </c>
      <c r="F179" s="9" t="n">
        <v>1</v>
      </c>
      <c r="G179" s="9" t="n">
        <v>0</v>
      </c>
      <c r="H179" s="9" t="n">
        <v>1</v>
      </c>
      <c r="I179" s="9" t="n">
        <v>0</v>
      </c>
      <c r="J179" s="9" t="n">
        <v>0</v>
      </c>
      <c r="K179" s="9" t="n">
        <v>0</v>
      </c>
      <c r="L179" s="9" t="n">
        <v>0</v>
      </c>
      <c r="M179" s="9" t="n">
        <v>0</v>
      </c>
      <c r="N179" s="12" t="n">
        <f aca="true">IFERROR(ROUND(SUM(OFFSET(B179,0,0,1,POSTAVKE!$B$7))/POSTAVKE!$B$7,2),0)</f>
        <v>0.75</v>
      </c>
    </row>
    <row r="180" customFormat="false" ht="15" hidden="false" customHeight="false" outlineLevel="0" collapsed="false">
      <c r="A180" s="11" t="s">
        <v>667</v>
      </c>
      <c r="B180" s="9" t="n">
        <v>2</v>
      </c>
      <c r="C180" s="9" t="n">
        <v>4</v>
      </c>
      <c r="D180" s="9" t="n">
        <v>-1</v>
      </c>
      <c r="E180" s="9" t="n">
        <v>3</v>
      </c>
      <c r="F180" s="9" t="n">
        <v>3</v>
      </c>
      <c r="G180" s="9" t="n">
        <v>1</v>
      </c>
      <c r="H180" s="9" t="n">
        <v>0</v>
      </c>
      <c r="I180" s="9" t="n">
        <v>0</v>
      </c>
      <c r="J180" s="9" t="n">
        <v>0</v>
      </c>
      <c r="K180" s="9" t="n">
        <v>0</v>
      </c>
      <c r="L180" s="9" t="n">
        <v>0</v>
      </c>
      <c r="M180" s="9" t="n">
        <v>0</v>
      </c>
      <c r="N180" s="12" t="n">
        <f aca="true">IFERROR(ROUND(SUM(OFFSET(B180,0,0,1,POSTAVKE!$B$7))/POSTAVKE!$B$7,2),0)</f>
        <v>1.5</v>
      </c>
    </row>
    <row r="181" customFormat="false" ht="15" hidden="false" customHeight="false" outlineLevel="0" collapsed="false">
      <c r="A181" s="11" t="s">
        <v>35</v>
      </c>
      <c r="B181" s="9" t="n">
        <v>2</v>
      </c>
      <c r="C181" s="9" t="n">
        <v>1</v>
      </c>
      <c r="D181" s="9" t="n">
        <v>5</v>
      </c>
      <c r="E181" s="9" t="n">
        <v>11</v>
      </c>
      <c r="F181" s="9" t="n">
        <v>9</v>
      </c>
      <c r="G181" s="9" t="n">
        <v>5</v>
      </c>
      <c r="H181" s="9" t="n">
        <v>3</v>
      </c>
      <c r="I181" s="9" t="n">
        <v>0</v>
      </c>
      <c r="J181" s="9" t="n">
        <v>0</v>
      </c>
      <c r="K181" s="9" t="n">
        <v>0</v>
      </c>
      <c r="L181" s="9" t="n">
        <v>0</v>
      </c>
      <c r="M181" s="9" t="n">
        <v>0</v>
      </c>
      <c r="N181" s="12" t="n">
        <f aca="true">IFERROR(ROUND(SUM(OFFSET(B181,0,0,1,POSTAVKE!$B$7))/POSTAVKE!$B$7,2),0)</f>
        <v>4.5</v>
      </c>
    </row>
    <row r="182" customFormat="false" ht="15" hidden="false" customHeight="false" outlineLevel="0" collapsed="false">
      <c r="A182" s="11" t="s">
        <v>679</v>
      </c>
      <c r="B182" s="9" t="n">
        <v>2</v>
      </c>
      <c r="C182" s="9" t="n">
        <v>0</v>
      </c>
      <c r="D182" s="9" t="n">
        <v>0</v>
      </c>
      <c r="E182" s="9" t="n">
        <v>0</v>
      </c>
      <c r="F182" s="9" t="n">
        <v>1</v>
      </c>
      <c r="G182" s="9" t="n">
        <v>2</v>
      </c>
      <c r="H182" s="9" t="n">
        <v>1</v>
      </c>
      <c r="I182" s="9" t="n">
        <v>0</v>
      </c>
      <c r="J182" s="9" t="n">
        <v>0</v>
      </c>
      <c r="K182" s="9" t="n">
        <v>0</v>
      </c>
      <c r="L182" s="9" t="n">
        <v>0</v>
      </c>
      <c r="M182" s="9" t="n">
        <v>0</v>
      </c>
      <c r="N182" s="12" t="n">
        <f aca="true">IFERROR(ROUND(SUM(OFFSET(B182,0,0,1,POSTAVKE!$B$7))/POSTAVKE!$B$7,2),0)</f>
        <v>0.75</v>
      </c>
    </row>
    <row r="183" customFormat="false" ht="15" hidden="false" customHeight="false" outlineLevel="0" collapsed="false">
      <c r="A183" s="11" t="s">
        <v>1083</v>
      </c>
      <c r="B183" s="9" t="n">
        <v>2</v>
      </c>
      <c r="C183" s="9" t="n">
        <v>1</v>
      </c>
      <c r="D183" s="9" t="n">
        <v>0</v>
      </c>
      <c r="E183" s="9" t="n">
        <v>1</v>
      </c>
      <c r="F183" s="9" t="n">
        <v>1</v>
      </c>
      <c r="G183" s="9" t="n">
        <v>0</v>
      </c>
      <c r="H183" s="9" t="n">
        <v>1</v>
      </c>
      <c r="I183" s="9" t="n">
        <v>1</v>
      </c>
      <c r="J183" s="9" t="n">
        <v>0</v>
      </c>
      <c r="K183" s="9" t="n">
        <v>0</v>
      </c>
      <c r="L183" s="9" t="n">
        <v>0</v>
      </c>
      <c r="M183" s="9" t="n">
        <v>0</v>
      </c>
      <c r="N183" s="12" t="n">
        <f aca="true">IFERROR(ROUND(SUM(OFFSET(B183,0,0,1,POSTAVKE!$B$7))/POSTAVKE!$B$7,2),0)</f>
        <v>0.88</v>
      </c>
    </row>
    <row r="184" customFormat="false" ht="15" hidden="false" customHeight="false" outlineLevel="0" collapsed="false">
      <c r="A184" s="11" t="s">
        <v>1514</v>
      </c>
      <c r="B184" s="9" t="n">
        <v>2</v>
      </c>
      <c r="C184" s="9" t="n">
        <v>0</v>
      </c>
      <c r="D184" s="9" t="n">
        <v>0</v>
      </c>
      <c r="E184" s="9" t="n">
        <v>6</v>
      </c>
      <c r="F184" s="9" t="n">
        <v>5</v>
      </c>
      <c r="G184" s="9" t="n">
        <v>4</v>
      </c>
      <c r="H184" s="9" t="n">
        <v>2</v>
      </c>
      <c r="I184" s="9" t="n">
        <v>0</v>
      </c>
      <c r="J184" s="9" t="n">
        <v>0</v>
      </c>
      <c r="K184" s="9" t="n">
        <v>0</v>
      </c>
      <c r="L184" s="9" t="n">
        <v>0</v>
      </c>
      <c r="M184" s="9" t="n">
        <v>0</v>
      </c>
      <c r="N184" s="12" t="n">
        <f aca="true">IFERROR(ROUND(SUM(OFFSET(B184,0,0,1,POSTAVKE!$B$7))/POSTAVKE!$B$7,2),0)</f>
        <v>2.38</v>
      </c>
    </row>
    <row r="185" customFormat="false" ht="15" hidden="false" customHeight="false" outlineLevel="0" collapsed="false">
      <c r="A185" s="11" t="s">
        <v>623</v>
      </c>
      <c r="B185" s="9" t="n">
        <v>2</v>
      </c>
      <c r="C185" s="9" t="n">
        <v>3</v>
      </c>
      <c r="D185" s="9" t="n">
        <v>1</v>
      </c>
      <c r="E185" s="9" t="n">
        <v>9</v>
      </c>
      <c r="F185" s="9" t="n">
        <v>0</v>
      </c>
      <c r="G185" s="9" t="n">
        <v>3</v>
      </c>
      <c r="H185" s="9" t="n">
        <v>1</v>
      </c>
      <c r="I185" s="9" t="n">
        <v>3</v>
      </c>
      <c r="J185" s="9" t="n">
        <v>0</v>
      </c>
      <c r="K185" s="9" t="n">
        <v>0</v>
      </c>
      <c r="L185" s="9" t="n">
        <v>0</v>
      </c>
      <c r="M185" s="9" t="n">
        <v>0</v>
      </c>
      <c r="N185" s="12" t="n">
        <f aca="true">IFERROR(ROUND(SUM(OFFSET(B185,0,0,1,POSTAVKE!$B$7))/POSTAVKE!$B$7,2),0)</f>
        <v>2.75</v>
      </c>
    </row>
    <row r="186" customFormat="false" ht="15" hidden="false" customHeight="false" outlineLevel="0" collapsed="false">
      <c r="A186" s="11" t="s">
        <v>1548</v>
      </c>
      <c r="B186" s="9" t="n">
        <v>2</v>
      </c>
      <c r="C186" s="9" t="n">
        <v>2</v>
      </c>
      <c r="D186" s="9" t="n">
        <v>3</v>
      </c>
      <c r="E186" s="9" t="n">
        <v>0</v>
      </c>
      <c r="F186" s="9" t="n">
        <v>0</v>
      </c>
      <c r="G186" s="9" t="n">
        <v>0</v>
      </c>
      <c r="H186" s="9" t="n">
        <v>0</v>
      </c>
      <c r="I186" s="9" t="n">
        <v>0</v>
      </c>
      <c r="J186" s="9" t="n">
        <v>0</v>
      </c>
      <c r="K186" s="9" t="n">
        <v>0</v>
      </c>
      <c r="L186" s="9" t="n">
        <v>0</v>
      </c>
      <c r="M186" s="9" t="n">
        <v>0</v>
      </c>
      <c r="N186" s="12" t="n">
        <f aca="true">IFERROR(ROUND(SUM(OFFSET(B186,0,0,1,POSTAVKE!$B$7))/POSTAVKE!$B$7,2),0)</f>
        <v>0.88</v>
      </c>
    </row>
    <row r="187" customFormat="false" ht="15" hidden="false" customHeight="false" outlineLevel="0" collapsed="false">
      <c r="A187" s="11" t="s">
        <v>1657</v>
      </c>
      <c r="B187" s="9" t="n">
        <v>2</v>
      </c>
      <c r="C187" s="9" t="n">
        <v>3</v>
      </c>
      <c r="D187" s="9" t="n">
        <v>0</v>
      </c>
      <c r="E187" s="9" t="n">
        <v>7</v>
      </c>
      <c r="F187" s="9" t="n">
        <v>1</v>
      </c>
      <c r="G187" s="9" t="n">
        <v>0</v>
      </c>
      <c r="H187" s="9" t="n">
        <v>0</v>
      </c>
      <c r="I187" s="9" t="n">
        <v>0</v>
      </c>
      <c r="J187" s="9" t="n">
        <v>0</v>
      </c>
      <c r="K187" s="9" t="n">
        <v>0</v>
      </c>
      <c r="L187" s="9" t="n">
        <v>0</v>
      </c>
      <c r="M187" s="9" t="n">
        <v>0</v>
      </c>
      <c r="N187" s="12" t="n">
        <f aca="true">IFERROR(ROUND(SUM(OFFSET(B187,0,0,1,POSTAVKE!$B$7))/POSTAVKE!$B$7,2),0)</f>
        <v>1.63</v>
      </c>
    </row>
    <row r="188" customFormat="false" ht="15" hidden="false" customHeight="false" outlineLevel="0" collapsed="false">
      <c r="A188" s="11" t="s">
        <v>771</v>
      </c>
      <c r="B188" s="9" t="n">
        <v>2</v>
      </c>
      <c r="C188" s="9" t="n">
        <v>2</v>
      </c>
      <c r="D188" s="9" t="n">
        <v>1</v>
      </c>
      <c r="E188" s="9" t="n">
        <v>1</v>
      </c>
      <c r="F188" s="9" t="n">
        <v>4</v>
      </c>
      <c r="G188" s="9" t="n">
        <v>0</v>
      </c>
      <c r="H188" s="9" t="n">
        <v>0</v>
      </c>
      <c r="I188" s="9" t="n">
        <v>2</v>
      </c>
      <c r="J188" s="9" t="n">
        <v>0</v>
      </c>
      <c r="K188" s="9" t="n">
        <v>0</v>
      </c>
      <c r="L188" s="9" t="n">
        <v>0</v>
      </c>
      <c r="M188" s="9" t="n">
        <v>0</v>
      </c>
      <c r="N188" s="12" t="n">
        <f aca="true">IFERROR(ROUND(SUM(OFFSET(B188,0,0,1,POSTAVKE!$B$7))/POSTAVKE!$B$7,2),0)</f>
        <v>1.5</v>
      </c>
    </row>
    <row r="189" customFormat="false" ht="15" hidden="false" customHeight="false" outlineLevel="0" collapsed="false">
      <c r="A189" s="11" t="s">
        <v>357</v>
      </c>
      <c r="B189" s="9" t="n">
        <v>2</v>
      </c>
      <c r="C189" s="9" t="n">
        <v>0</v>
      </c>
      <c r="D189" s="9" t="n">
        <v>0</v>
      </c>
      <c r="E189" s="9" t="n">
        <v>0</v>
      </c>
      <c r="F189" s="9" t="n">
        <v>0</v>
      </c>
      <c r="G189" s="9" t="n">
        <v>3</v>
      </c>
      <c r="H189" s="9" t="n">
        <v>0</v>
      </c>
      <c r="I189" s="9" t="n">
        <v>0</v>
      </c>
      <c r="J189" s="9" t="n">
        <v>0</v>
      </c>
      <c r="K189" s="9" t="n">
        <v>0</v>
      </c>
      <c r="L189" s="9" t="n">
        <v>0</v>
      </c>
      <c r="M189" s="9" t="n">
        <v>0</v>
      </c>
      <c r="N189" s="12" t="n">
        <f aca="true">IFERROR(ROUND(SUM(OFFSET(B189,0,0,1,POSTAVKE!$B$7))/POSTAVKE!$B$7,2),0)</f>
        <v>0.63</v>
      </c>
    </row>
    <row r="190" customFormat="false" ht="15" hidden="false" customHeight="false" outlineLevel="0" collapsed="false">
      <c r="A190" s="11" t="s">
        <v>1005</v>
      </c>
      <c r="B190" s="9" t="n">
        <v>2</v>
      </c>
      <c r="C190" s="9" t="n">
        <v>1</v>
      </c>
      <c r="D190" s="9" t="n">
        <v>0</v>
      </c>
      <c r="E190" s="9" t="n">
        <v>1</v>
      </c>
      <c r="F190" s="9" t="n">
        <v>1</v>
      </c>
      <c r="G190" s="9" t="n">
        <v>1</v>
      </c>
      <c r="H190" s="9" t="n">
        <v>0</v>
      </c>
      <c r="I190" s="9" t="n">
        <v>0</v>
      </c>
      <c r="J190" s="9" t="n">
        <v>0</v>
      </c>
      <c r="K190" s="9" t="n">
        <v>0</v>
      </c>
      <c r="L190" s="9" t="n">
        <v>0</v>
      </c>
      <c r="M190" s="9" t="n">
        <v>0</v>
      </c>
      <c r="N190" s="12" t="n">
        <f aca="true">IFERROR(ROUND(SUM(OFFSET(B190,0,0,1,POSTAVKE!$B$7))/POSTAVKE!$B$7,2),0)</f>
        <v>0.75</v>
      </c>
    </row>
    <row r="191" customFormat="false" ht="15" hidden="false" customHeight="false" outlineLevel="0" collapsed="false">
      <c r="A191" s="11" t="s">
        <v>1598</v>
      </c>
      <c r="B191" s="9" t="n">
        <v>2</v>
      </c>
      <c r="C191" s="9" t="n">
        <v>13</v>
      </c>
      <c r="D191" s="9" t="n">
        <v>17</v>
      </c>
      <c r="E191" s="9" t="n">
        <v>8</v>
      </c>
      <c r="F191" s="9" t="n">
        <v>10</v>
      </c>
      <c r="G191" s="9" t="n">
        <v>2</v>
      </c>
      <c r="H191" s="9" t="n">
        <v>29</v>
      </c>
      <c r="I191" s="9" t="n">
        <v>1</v>
      </c>
      <c r="J191" s="9" t="n">
        <v>0</v>
      </c>
      <c r="K191" s="9" t="n">
        <v>0</v>
      </c>
      <c r="L191" s="9" t="n">
        <v>0</v>
      </c>
      <c r="M191" s="9" t="n">
        <v>0</v>
      </c>
      <c r="N191" s="12" t="n">
        <f aca="true">IFERROR(ROUND(SUM(OFFSET(B191,0,0,1,POSTAVKE!$B$7))/POSTAVKE!$B$7,2),0)</f>
        <v>10.25</v>
      </c>
    </row>
    <row r="192" customFormat="false" ht="15" hidden="false" customHeight="false" outlineLevel="0" collapsed="false">
      <c r="A192" s="11" t="s">
        <v>637</v>
      </c>
      <c r="B192" s="9" t="n">
        <v>2</v>
      </c>
      <c r="C192" s="9" t="n">
        <v>14</v>
      </c>
      <c r="D192" s="9" t="n">
        <v>12</v>
      </c>
      <c r="E192" s="9" t="n">
        <v>4</v>
      </c>
      <c r="F192" s="9" t="n">
        <v>0</v>
      </c>
      <c r="G192" s="9" t="n">
        <v>23</v>
      </c>
      <c r="H192" s="9" t="n">
        <v>24</v>
      </c>
      <c r="I192" s="9" t="n">
        <v>5</v>
      </c>
      <c r="J192" s="9" t="n">
        <v>0</v>
      </c>
      <c r="K192" s="9" t="n">
        <v>0</v>
      </c>
      <c r="L192" s="9" t="n">
        <v>0</v>
      </c>
      <c r="M192" s="9" t="n">
        <v>0</v>
      </c>
      <c r="N192" s="12" t="n">
        <f aca="true">IFERROR(ROUND(SUM(OFFSET(B192,0,0,1,POSTAVKE!$B$7))/POSTAVKE!$B$7,2),0)</f>
        <v>10.5</v>
      </c>
    </row>
    <row r="193" customFormat="false" ht="15" hidden="false" customHeight="false" outlineLevel="0" collapsed="false">
      <c r="A193" s="11" t="s">
        <v>251</v>
      </c>
      <c r="B193" s="9" t="n">
        <v>2</v>
      </c>
      <c r="C193" s="9" t="n">
        <v>2</v>
      </c>
      <c r="D193" s="9" t="n">
        <v>3</v>
      </c>
      <c r="E193" s="9" t="n">
        <v>1</v>
      </c>
      <c r="F193" s="9" t="n">
        <v>8</v>
      </c>
      <c r="G193" s="9" t="n">
        <v>4</v>
      </c>
      <c r="H193" s="9" t="n">
        <v>3</v>
      </c>
      <c r="I193" s="9" t="n">
        <v>2</v>
      </c>
      <c r="J193" s="9" t="n">
        <v>0</v>
      </c>
      <c r="K193" s="9" t="n">
        <v>0</v>
      </c>
      <c r="L193" s="9" t="n">
        <v>0</v>
      </c>
      <c r="M193" s="9" t="n">
        <v>0</v>
      </c>
      <c r="N193" s="12" t="n">
        <f aca="true">IFERROR(ROUND(SUM(OFFSET(B193,0,0,1,POSTAVKE!$B$7))/POSTAVKE!$B$7,2),0)</f>
        <v>3.13</v>
      </c>
    </row>
    <row r="194" customFormat="false" ht="15" hidden="false" customHeight="false" outlineLevel="0" collapsed="false">
      <c r="A194" s="11" t="s">
        <v>1278</v>
      </c>
      <c r="B194" s="9" t="n">
        <v>2</v>
      </c>
      <c r="C194" s="9" t="n">
        <v>2</v>
      </c>
      <c r="D194" s="9" t="n">
        <v>1</v>
      </c>
      <c r="E194" s="9" t="n">
        <v>1</v>
      </c>
      <c r="F194" s="9" t="n">
        <v>1</v>
      </c>
      <c r="G194" s="9" t="n">
        <v>2</v>
      </c>
      <c r="H194" s="9" t="n">
        <v>3</v>
      </c>
      <c r="I194" s="9" t="n">
        <v>0</v>
      </c>
      <c r="J194" s="9" t="n">
        <v>0</v>
      </c>
      <c r="K194" s="9" t="n">
        <v>0</v>
      </c>
      <c r="L194" s="9" t="n">
        <v>0</v>
      </c>
      <c r="M194" s="9" t="n">
        <v>0</v>
      </c>
      <c r="N194" s="12" t="n">
        <f aca="true">IFERROR(ROUND(SUM(OFFSET(B194,0,0,1,POSTAVKE!$B$7))/POSTAVKE!$B$7,2),0)</f>
        <v>1.5</v>
      </c>
    </row>
    <row r="195" customFormat="false" ht="15" hidden="false" customHeight="false" outlineLevel="0" collapsed="false">
      <c r="A195" s="11" t="s">
        <v>1033</v>
      </c>
      <c r="B195" s="9" t="n">
        <v>2</v>
      </c>
      <c r="C195" s="9" t="n">
        <v>1</v>
      </c>
      <c r="D195" s="9" t="n">
        <v>2</v>
      </c>
      <c r="E195" s="9" t="n">
        <v>2</v>
      </c>
      <c r="F195" s="9" t="n">
        <v>2</v>
      </c>
      <c r="G195" s="9" t="n">
        <v>0</v>
      </c>
      <c r="H195" s="9" t="n">
        <v>0</v>
      </c>
      <c r="I195" s="9" t="n">
        <v>0</v>
      </c>
      <c r="J195" s="9" t="n">
        <v>0</v>
      </c>
      <c r="K195" s="9" t="n">
        <v>0</v>
      </c>
      <c r="L195" s="9" t="n">
        <v>0</v>
      </c>
      <c r="M195" s="9" t="n">
        <v>0</v>
      </c>
      <c r="N195" s="12" t="n">
        <f aca="true">IFERROR(ROUND(SUM(OFFSET(B195,0,0,1,POSTAVKE!$B$7))/POSTAVKE!$B$7,2),0)</f>
        <v>1.13</v>
      </c>
    </row>
    <row r="196" customFormat="false" ht="15" hidden="false" customHeight="false" outlineLevel="0" collapsed="false">
      <c r="A196" s="11" t="s">
        <v>833</v>
      </c>
      <c r="B196" s="9" t="n">
        <v>2</v>
      </c>
      <c r="C196" s="9" t="n">
        <v>3</v>
      </c>
      <c r="D196" s="9" t="n">
        <v>4</v>
      </c>
      <c r="E196" s="9" t="n">
        <v>2</v>
      </c>
      <c r="F196" s="9" t="n">
        <v>1</v>
      </c>
      <c r="G196" s="9" t="n">
        <v>1</v>
      </c>
      <c r="H196" s="9" t="n">
        <v>0</v>
      </c>
      <c r="I196" s="9" t="n">
        <v>2</v>
      </c>
      <c r="J196" s="9" t="n">
        <v>0</v>
      </c>
      <c r="K196" s="9" t="n">
        <v>0</v>
      </c>
      <c r="L196" s="9" t="n">
        <v>0</v>
      </c>
      <c r="M196" s="9" t="n">
        <v>0</v>
      </c>
      <c r="N196" s="12" t="n">
        <f aca="true">IFERROR(ROUND(SUM(OFFSET(B196,0,0,1,POSTAVKE!$B$7))/POSTAVKE!$B$7,2),0)</f>
        <v>1.88</v>
      </c>
    </row>
    <row r="197" customFormat="false" ht="15" hidden="false" customHeight="false" outlineLevel="0" collapsed="false">
      <c r="A197" s="11" t="s">
        <v>1141</v>
      </c>
      <c r="B197" s="9" t="n">
        <v>2</v>
      </c>
      <c r="C197" s="9" t="n">
        <v>0</v>
      </c>
      <c r="D197" s="9" t="n">
        <v>2</v>
      </c>
      <c r="E197" s="9" t="n">
        <v>0</v>
      </c>
      <c r="F197" s="9" t="n">
        <v>5</v>
      </c>
      <c r="G197" s="9" t="n">
        <v>1</v>
      </c>
      <c r="H197" s="9" t="n">
        <v>0</v>
      </c>
      <c r="I197" s="9" t="n">
        <v>0</v>
      </c>
      <c r="J197" s="9" t="n">
        <v>0</v>
      </c>
      <c r="K197" s="9" t="n">
        <v>0</v>
      </c>
      <c r="L197" s="9" t="n">
        <v>0</v>
      </c>
      <c r="M197" s="9" t="n">
        <v>0</v>
      </c>
      <c r="N197" s="12" t="n">
        <f aca="true">IFERROR(ROUND(SUM(OFFSET(B197,0,0,1,POSTAVKE!$B$7))/POSTAVKE!$B$7,2),0)</f>
        <v>1.25</v>
      </c>
    </row>
    <row r="198" customFormat="false" ht="15" hidden="false" customHeight="false" outlineLevel="0" collapsed="false">
      <c r="A198" s="11" t="s">
        <v>687</v>
      </c>
      <c r="B198" s="9" t="n">
        <v>2</v>
      </c>
      <c r="C198" s="9" t="n">
        <v>1</v>
      </c>
      <c r="D198" s="9" t="n">
        <v>9</v>
      </c>
      <c r="E198" s="9" t="n">
        <v>4</v>
      </c>
      <c r="F198" s="9" t="n">
        <v>2</v>
      </c>
      <c r="G198" s="9" t="n">
        <v>1</v>
      </c>
      <c r="H198" s="9" t="n">
        <v>3</v>
      </c>
      <c r="I198" s="9" t="n">
        <v>4</v>
      </c>
      <c r="J198" s="9" t="n">
        <v>0</v>
      </c>
      <c r="K198" s="9" t="n">
        <v>0</v>
      </c>
      <c r="L198" s="9" t="n">
        <v>0</v>
      </c>
      <c r="M198" s="9" t="n">
        <v>0</v>
      </c>
      <c r="N198" s="12" t="n">
        <f aca="true">IFERROR(ROUND(SUM(OFFSET(B198,0,0,1,POSTAVKE!$B$7))/POSTAVKE!$B$7,2),0)</f>
        <v>3.25</v>
      </c>
    </row>
    <row r="199" customFormat="false" ht="15" hidden="false" customHeight="false" outlineLevel="0" collapsed="false">
      <c r="A199" s="11" t="s">
        <v>345</v>
      </c>
      <c r="B199" s="9" t="n">
        <v>2</v>
      </c>
      <c r="C199" s="9" t="n">
        <v>0</v>
      </c>
      <c r="D199" s="9" t="n">
        <v>2</v>
      </c>
      <c r="E199" s="9" t="n">
        <v>0</v>
      </c>
      <c r="F199" s="9" t="n">
        <v>2</v>
      </c>
      <c r="G199" s="9" t="n">
        <v>1</v>
      </c>
      <c r="H199" s="9" t="n">
        <v>3</v>
      </c>
      <c r="I199" s="9" t="n">
        <v>0</v>
      </c>
      <c r="J199" s="9" t="n">
        <v>0</v>
      </c>
      <c r="K199" s="9" t="n">
        <v>0</v>
      </c>
      <c r="L199" s="9" t="n">
        <v>0</v>
      </c>
      <c r="M199" s="9" t="n">
        <v>0</v>
      </c>
      <c r="N199" s="12" t="n">
        <f aca="true">IFERROR(ROUND(SUM(OFFSET(B199,0,0,1,POSTAVKE!$B$7))/POSTAVKE!$B$7,2),0)</f>
        <v>1.25</v>
      </c>
    </row>
    <row r="200" customFormat="false" ht="15" hidden="false" customHeight="false" outlineLevel="0" collapsed="false">
      <c r="A200" s="11" t="s">
        <v>241</v>
      </c>
      <c r="B200" s="9" t="n">
        <v>2</v>
      </c>
      <c r="C200" s="9" t="n">
        <v>2</v>
      </c>
      <c r="D200" s="9" t="n">
        <v>2</v>
      </c>
      <c r="E200" s="9" t="n">
        <v>2</v>
      </c>
      <c r="F200" s="9" t="n">
        <v>0</v>
      </c>
      <c r="G200" s="9" t="n">
        <v>1</v>
      </c>
      <c r="H200" s="9" t="n">
        <v>5</v>
      </c>
      <c r="I200" s="9" t="n">
        <v>1</v>
      </c>
      <c r="J200" s="9" t="n">
        <v>0</v>
      </c>
      <c r="K200" s="9" t="n">
        <v>0</v>
      </c>
      <c r="L200" s="9" t="n">
        <v>0</v>
      </c>
      <c r="M200" s="9" t="n">
        <v>0</v>
      </c>
      <c r="N200" s="12" t="n">
        <f aca="true">IFERROR(ROUND(SUM(OFFSET(B200,0,0,1,POSTAVKE!$B$7))/POSTAVKE!$B$7,2),0)</f>
        <v>1.88</v>
      </c>
    </row>
    <row r="201" customFormat="false" ht="15" hidden="false" customHeight="false" outlineLevel="0" collapsed="false">
      <c r="A201" s="11" t="s">
        <v>447</v>
      </c>
      <c r="B201" s="9" t="n">
        <v>2</v>
      </c>
      <c r="C201" s="9" t="n">
        <v>1</v>
      </c>
      <c r="D201" s="9" t="n">
        <v>3</v>
      </c>
      <c r="E201" s="9" t="n">
        <v>1</v>
      </c>
      <c r="F201" s="9" t="n">
        <v>0</v>
      </c>
      <c r="G201" s="9" t="n">
        <v>1</v>
      </c>
      <c r="H201" s="9" t="n">
        <v>0</v>
      </c>
      <c r="I201" s="9" t="n">
        <v>0</v>
      </c>
      <c r="J201" s="9" t="n">
        <v>0</v>
      </c>
      <c r="K201" s="9" t="n">
        <v>0</v>
      </c>
      <c r="L201" s="9" t="n">
        <v>0</v>
      </c>
      <c r="M201" s="9" t="n">
        <v>0</v>
      </c>
      <c r="N201" s="12" t="n">
        <f aca="true">IFERROR(ROUND(SUM(OFFSET(B201,0,0,1,POSTAVKE!$B$7))/POSTAVKE!$B$7,2),0)</f>
        <v>1</v>
      </c>
    </row>
    <row r="202" customFormat="false" ht="15" hidden="false" customHeight="false" outlineLevel="0" collapsed="false">
      <c r="A202" s="11" t="s">
        <v>183</v>
      </c>
      <c r="B202" s="9" t="n">
        <v>2</v>
      </c>
      <c r="C202" s="9" t="n">
        <v>4</v>
      </c>
      <c r="D202" s="9" t="n">
        <v>4</v>
      </c>
      <c r="E202" s="9" t="n">
        <v>8</v>
      </c>
      <c r="F202" s="9" t="n">
        <v>5</v>
      </c>
      <c r="G202" s="9" t="n">
        <v>8</v>
      </c>
      <c r="H202" s="9" t="n">
        <v>9</v>
      </c>
      <c r="I202" s="9" t="n">
        <v>5</v>
      </c>
      <c r="J202" s="9" t="n">
        <v>2</v>
      </c>
      <c r="K202" s="9" t="n">
        <v>0</v>
      </c>
      <c r="L202" s="9" t="n">
        <v>0</v>
      </c>
      <c r="M202" s="9" t="n">
        <v>0</v>
      </c>
      <c r="N202" s="12" t="n">
        <f aca="true">IFERROR(ROUND(SUM(OFFSET(B202,0,0,1,POSTAVKE!$B$7))/POSTAVKE!$B$7,2),0)</f>
        <v>5.63</v>
      </c>
    </row>
    <row r="203" customFormat="false" ht="15" hidden="false" customHeight="false" outlineLevel="0" collapsed="false">
      <c r="A203" s="11" t="s">
        <v>25</v>
      </c>
      <c r="B203" s="9" t="n">
        <v>2</v>
      </c>
      <c r="C203" s="9" t="n">
        <v>14</v>
      </c>
      <c r="D203" s="9" t="n">
        <v>1</v>
      </c>
      <c r="E203" s="9" t="n">
        <v>4</v>
      </c>
      <c r="F203" s="9" t="n">
        <v>9</v>
      </c>
      <c r="G203" s="9" t="n">
        <v>0</v>
      </c>
      <c r="H203" s="9" t="n">
        <v>0</v>
      </c>
      <c r="I203" s="9" t="n">
        <v>1</v>
      </c>
      <c r="J203" s="9" t="n">
        <v>0</v>
      </c>
      <c r="K203" s="9" t="n">
        <v>0</v>
      </c>
      <c r="L203" s="9" t="n">
        <v>0</v>
      </c>
      <c r="M203" s="9" t="n">
        <v>0</v>
      </c>
      <c r="N203" s="12" t="n">
        <f aca="true">IFERROR(ROUND(SUM(OFFSET(B203,0,0,1,POSTAVKE!$B$7))/POSTAVKE!$B$7,2),0)</f>
        <v>3.88</v>
      </c>
    </row>
    <row r="204" customFormat="false" ht="15" hidden="false" customHeight="false" outlineLevel="0" collapsed="false">
      <c r="A204" s="11" t="s">
        <v>757</v>
      </c>
      <c r="B204" s="9" t="n">
        <v>2</v>
      </c>
      <c r="C204" s="9" t="n">
        <v>4</v>
      </c>
      <c r="D204" s="9" t="n">
        <v>4</v>
      </c>
      <c r="E204" s="9" t="n">
        <v>0</v>
      </c>
      <c r="F204" s="9" t="n">
        <v>1</v>
      </c>
      <c r="G204" s="9" t="n">
        <v>2</v>
      </c>
      <c r="H204" s="9" t="n">
        <v>2</v>
      </c>
      <c r="I204" s="9" t="n">
        <v>0</v>
      </c>
      <c r="J204" s="9" t="n">
        <v>0</v>
      </c>
      <c r="K204" s="9" t="n">
        <v>0</v>
      </c>
      <c r="L204" s="9" t="n">
        <v>0</v>
      </c>
      <c r="M204" s="9" t="n">
        <v>0</v>
      </c>
      <c r="N204" s="12" t="n">
        <f aca="true">IFERROR(ROUND(SUM(OFFSET(B204,0,0,1,POSTAVKE!$B$7))/POSTAVKE!$B$7,2),0)</f>
        <v>1.88</v>
      </c>
    </row>
    <row r="205" customFormat="false" ht="15" hidden="false" customHeight="false" outlineLevel="0" collapsed="false">
      <c r="A205" s="11" t="s">
        <v>365</v>
      </c>
      <c r="B205" s="9" t="n">
        <v>2</v>
      </c>
      <c r="C205" s="9" t="n">
        <v>4</v>
      </c>
      <c r="D205" s="9" t="n">
        <v>4</v>
      </c>
      <c r="E205" s="9" t="n">
        <v>1</v>
      </c>
      <c r="F205" s="9" t="n">
        <v>1</v>
      </c>
      <c r="G205" s="9" t="n">
        <v>4</v>
      </c>
      <c r="H205" s="9" t="n">
        <v>5</v>
      </c>
      <c r="I205" s="9" t="n">
        <v>2</v>
      </c>
      <c r="J205" s="9" t="n">
        <v>0</v>
      </c>
      <c r="K205" s="9" t="n">
        <v>0</v>
      </c>
      <c r="L205" s="9" t="n">
        <v>0</v>
      </c>
      <c r="M205" s="9" t="n">
        <v>0</v>
      </c>
      <c r="N205" s="12" t="n">
        <f aca="true">IFERROR(ROUND(SUM(OFFSET(B205,0,0,1,POSTAVKE!$B$7))/POSTAVKE!$B$7,2),0)</f>
        <v>2.88</v>
      </c>
    </row>
    <row r="206" customFormat="false" ht="15" hidden="false" customHeight="false" outlineLevel="0" collapsed="false">
      <c r="A206" s="11" t="s">
        <v>355</v>
      </c>
      <c r="B206" s="9" t="n">
        <v>2</v>
      </c>
      <c r="C206" s="9" t="n">
        <v>5</v>
      </c>
      <c r="D206" s="9" t="n">
        <v>0</v>
      </c>
      <c r="E206" s="9" t="n">
        <v>0</v>
      </c>
      <c r="F206" s="9" t="n">
        <v>1</v>
      </c>
      <c r="G206" s="9" t="n">
        <v>1</v>
      </c>
      <c r="H206" s="9" t="n">
        <v>5</v>
      </c>
      <c r="I206" s="9" t="n">
        <v>3</v>
      </c>
      <c r="J206" s="9" t="n">
        <v>5</v>
      </c>
      <c r="K206" s="9" t="n">
        <v>0</v>
      </c>
      <c r="L206" s="9" t="n">
        <v>0</v>
      </c>
      <c r="M206" s="9" t="n">
        <v>0</v>
      </c>
      <c r="N206" s="12" t="n">
        <f aca="true">IFERROR(ROUND(SUM(OFFSET(B206,0,0,1,POSTAVKE!$B$7))/POSTAVKE!$B$7,2),0)</f>
        <v>2.13</v>
      </c>
    </row>
    <row r="207" customFormat="false" ht="15" hidden="false" customHeight="false" outlineLevel="0" collapsed="false">
      <c r="A207" s="11" t="s">
        <v>495</v>
      </c>
      <c r="B207" s="9" t="n">
        <v>2</v>
      </c>
      <c r="C207" s="9" t="n">
        <v>3</v>
      </c>
      <c r="D207" s="9" t="n">
        <v>2</v>
      </c>
      <c r="E207" s="9" t="n">
        <v>3</v>
      </c>
      <c r="F207" s="9" t="n">
        <v>-3</v>
      </c>
      <c r="G207" s="9" t="n">
        <v>1</v>
      </c>
      <c r="H207" s="9" t="n">
        <v>2</v>
      </c>
      <c r="I207" s="9" t="n">
        <v>0</v>
      </c>
      <c r="J207" s="9" t="n">
        <v>0</v>
      </c>
      <c r="K207" s="9" t="n">
        <v>0</v>
      </c>
      <c r="L207" s="9" t="n">
        <v>0</v>
      </c>
      <c r="M207" s="9" t="n">
        <v>0</v>
      </c>
      <c r="N207" s="12" t="n">
        <f aca="true">IFERROR(ROUND(SUM(OFFSET(B207,0,0,1,POSTAVKE!$B$7))/POSTAVKE!$B$7,2),0)</f>
        <v>1.25</v>
      </c>
    </row>
    <row r="208" customFormat="false" ht="15" hidden="false" customHeight="false" outlineLevel="0" collapsed="false">
      <c r="A208" s="11" t="s">
        <v>507</v>
      </c>
      <c r="B208" s="9" t="n">
        <v>2</v>
      </c>
      <c r="C208" s="9" t="n">
        <v>0</v>
      </c>
      <c r="D208" s="9" t="n">
        <v>1</v>
      </c>
      <c r="E208" s="9" t="n">
        <v>0</v>
      </c>
      <c r="F208" s="9" t="n">
        <v>4</v>
      </c>
      <c r="G208" s="9" t="n">
        <v>3</v>
      </c>
      <c r="H208" s="9" t="n">
        <v>2</v>
      </c>
      <c r="I208" s="9" t="n">
        <v>2</v>
      </c>
      <c r="J208" s="9" t="n">
        <v>1</v>
      </c>
      <c r="K208" s="9" t="n">
        <v>0</v>
      </c>
      <c r="L208" s="9" t="n">
        <v>0</v>
      </c>
      <c r="M208" s="9" t="n">
        <v>0</v>
      </c>
      <c r="N208" s="12" t="n">
        <f aca="true">IFERROR(ROUND(SUM(OFFSET(B208,0,0,1,POSTAVKE!$B$7))/POSTAVKE!$B$7,2),0)</f>
        <v>1.75</v>
      </c>
    </row>
    <row r="209" customFormat="false" ht="15" hidden="false" customHeight="false" outlineLevel="0" collapsed="false">
      <c r="A209" s="11" t="s">
        <v>407</v>
      </c>
      <c r="B209" s="9" t="n">
        <v>2</v>
      </c>
      <c r="C209" s="9" t="n">
        <v>0</v>
      </c>
      <c r="D209" s="9" t="n">
        <v>1</v>
      </c>
      <c r="E209" s="9" t="n">
        <v>4</v>
      </c>
      <c r="F209" s="9" t="n">
        <v>0</v>
      </c>
      <c r="G209" s="9" t="n">
        <v>5</v>
      </c>
      <c r="H209" s="9" t="n">
        <v>0</v>
      </c>
      <c r="I209" s="9" t="n">
        <v>0</v>
      </c>
      <c r="J209" s="9" t="n">
        <v>0</v>
      </c>
      <c r="K209" s="9" t="n">
        <v>0</v>
      </c>
      <c r="L209" s="9" t="n">
        <v>0</v>
      </c>
      <c r="M209" s="9" t="n">
        <v>0</v>
      </c>
      <c r="N209" s="12" t="n">
        <f aca="true">IFERROR(ROUND(SUM(OFFSET(B209,0,0,1,POSTAVKE!$B$7))/POSTAVKE!$B$7,2),0)</f>
        <v>1.5</v>
      </c>
    </row>
    <row r="210" customFormat="false" ht="15" hidden="false" customHeight="false" outlineLevel="0" collapsed="false">
      <c r="A210" s="11" t="s">
        <v>265</v>
      </c>
      <c r="B210" s="9" t="n">
        <v>2</v>
      </c>
      <c r="C210" s="9" t="n">
        <v>2</v>
      </c>
      <c r="D210" s="9" t="n">
        <v>0</v>
      </c>
      <c r="E210" s="9" t="n">
        <v>1</v>
      </c>
      <c r="F210" s="9" t="n">
        <v>3</v>
      </c>
      <c r="G210" s="9" t="n">
        <v>5</v>
      </c>
      <c r="H210" s="9" t="n">
        <v>0</v>
      </c>
      <c r="I210" s="9" t="n">
        <v>0</v>
      </c>
      <c r="J210" s="9" t="n">
        <v>0</v>
      </c>
      <c r="K210" s="9" t="n">
        <v>0</v>
      </c>
      <c r="L210" s="9" t="n">
        <v>0</v>
      </c>
      <c r="M210" s="9" t="n">
        <v>0</v>
      </c>
      <c r="N210" s="12" t="n">
        <f aca="true">IFERROR(ROUND(SUM(OFFSET(B210,0,0,1,POSTAVKE!$B$7))/POSTAVKE!$B$7,2),0)</f>
        <v>1.63</v>
      </c>
    </row>
    <row r="211" customFormat="false" ht="15" hidden="false" customHeight="false" outlineLevel="0" collapsed="false">
      <c r="A211" s="11" t="s">
        <v>149</v>
      </c>
      <c r="B211" s="9" t="n">
        <v>2</v>
      </c>
      <c r="C211" s="9" t="n">
        <v>4</v>
      </c>
      <c r="D211" s="9" t="n">
        <v>2</v>
      </c>
      <c r="E211" s="9" t="n">
        <v>2</v>
      </c>
      <c r="F211" s="9" t="n">
        <v>1</v>
      </c>
      <c r="G211" s="9" t="n">
        <v>0</v>
      </c>
      <c r="H211" s="9" t="n">
        <v>1</v>
      </c>
      <c r="I211" s="9" t="n">
        <v>0</v>
      </c>
      <c r="J211" s="9" t="n">
        <v>0</v>
      </c>
      <c r="K211" s="9" t="n">
        <v>0</v>
      </c>
      <c r="L211" s="9" t="n">
        <v>0</v>
      </c>
      <c r="M211" s="9" t="n">
        <v>0</v>
      </c>
      <c r="N211" s="12" t="n">
        <f aca="true">IFERROR(ROUND(SUM(OFFSET(B211,0,0,1,POSTAVKE!$B$7))/POSTAVKE!$B$7,2),0)</f>
        <v>1.5</v>
      </c>
    </row>
    <row r="212" customFormat="false" ht="15" hidden="false" customHeight="false" outlineLevel="0" collapsed="false">
      <c r="A212" s="11" t="s">
        <v>597</v>
      </c>
      <c r="B212" s="9" t="n">
        <v>2</v>
      </c>
      <c r="C212" s="9" t="n">
        <v>2</v>
      </c>
      <c r="D212" s="9" t="n">
        <v>1</v>
      </c>
      <c r="E212" s="9" t="n">
        <v>2</v>
      </c>
      <c r="F212" s="9" t="n">
        <v>6</v>
      </c>
      <c r="G212" s="9" t="n">
        <v>1</v>
      </c>
      <c r="H212" s="9" t="n">
        <v>2</v>
      </c>
      <c r="I212" s="9" t="n">
        <v>0</v>
      </c>
      <c r="J212" s="9" t="n">
        <v>1</v>
      </c>
      <c r="K212" s="9" t="n">
        <v>0</v>
      </c>
      <c r="L212" s="9" t="n">
        <v>0</v>
      </c>
      <c r="M212" s="9" t="n">
        <v>0</v>
      </c>
      <c r="N212" s="12" t="n">
        <f aca="true">IFERROR(ROUND(SUM(OFFSET(B212,0,0,1,POSTAVKE!$B$7))/POSTAVKE!$B$7,2),0)</f>
        <v>2</v>
      </c>
    </row>
    <row r="213" customFormat="false" ht="15" hidden="false" customHeight="false" outlineLevel="0" collapsed="false">
      <c r="A213" s="11" t="s">
        <v>953</v>
      </c>
      <c r="B213" s="9" t="n">
        <v>2</v>
      </c>
      <c r="C213" s="9" t="n">
        <v>1</v>
      </c>
      <c r="D213" s="9" t="n">
        <v>1</v>
      </c>
      <c r="E213" s="9" t="n">
        <v>0</v>
      </c>
      <c r="F213" s="9" t="n">
        <v>4</v>
      </c>
      <c r="G213" s="9" t="n">
        <v>2</v>
      </c>
      <c r="H213" s="9" t="n">
        <v>1</v>
      </c>
      <c r="I213" s="9" t="n">
        <v>0</v>
      </c>
      <c r="J213" s="9" t="n">
        <v>0</v>
      </c>
      <c r="K213" s="9" t="n">
        <v>0</v>
      </c>
      <c r="L213" s="9" t="n">
        <v>0</v>
      </c>
      <c r="M213" s="9" t="n">
        <v>0</v>
      </c>
      <c r="N213" s="12" t="n">
        <f aca="true">IFERROR(ROUND(SUM(OFFSET(B213,0,0,1,POSTAVKE!$B$7))/POSTAVKE!$B$7,2),0)</f>
        <v>1.38</v>
      </c>
    </row>
    <row r="214" customFormat="false" ht="15" hidden="false" customHeight="false" outlineLevel="0" collapsed="false">
      <c r="A214" s="11" t="s">
        <v>531</v>
      </c>
      <c r="B214" s="9" t="n">
        <v>2</v>
      </c>
      <c r="C214" s="9" t="n">
        <v>1</v>
      </c>
      <c r="D214" s="9" t="n">
        <v>1</v>
      </c>
      <c r="E214" s="9" t="n">
        <v>11</v>
      </c>
      <c r="F214" s="9" t="n">
        <v>3</v>
      </c>
      <c r="G214" s="9" t="n">
        <v>3</v>
      </c>
      <c r="H214" s="9" t="n">
        <v>0</v>
      </c>
      <c r="I214" s="9" t="n">
        <v>2</v>
      </c>
      <c r="J214" s="9" t="n">
        <v>0</v>
      </c>
      <c r="K214" s="9" t="n">
        <v>0</v>
      </c>
      <c r="L214" s="9" t="n">
        <v>0</v>
      </c>
      <c r="M214" s="9" t="n">
        <v>0</v>
      </c>
      <c r="N214" s="12" t="n">
        <f aca="true">IFERROR(ROUND(SUM(OFFSET(B214,0,0,1,POSTAVKE!$B$7))/POSTAVKE!$B$7,2),0)</f>
        <v>2.88</v>
      </c>
    </row>
    <row r="215" customFormat="false" ht="15" hidden="false" customHeight="false" outlineLevel="0" collapsed="false">
      <c r="A215" s="11" t="s">
        <v>709</v>
      </c>
      <c r="B215" s="9" t="n">
        <v>2</v>
      </c>
      <c r="C215" s="9" t="n">
        <v>3</v>
      </c>
      <c r="D215" s="9" t="n">
        <v>2</v>
      </c>
      <c r="E215" s="9" t="n">
        <v>2</v>
      </c>
      <c r="F215" s="9" t="n">
        <v>2</v>
      </c>
      <c r="G215" s="9" t="n">
        <v>0</v>
      </c>
      <c r="H215" s="9" t="n">
        <v>0</v>
      </c>
      <c r="I215" s="9" t="n">
        <v>2</v>
      </c>
      <c r="J215" s="9" t="n">
        <v>0</v>
      </c>
      <c r="K215" s="9" t="n">
        <v>0</v>
      </c>
      <c r="L215" s="9" t="n">
        <v>0</v>
      </c>
      <c r="M215" s="9" t="n">
        <v>0</v>
      </c>
      <c r="N215" s="12" t="n">
        <f aca="true">IFERROR(ROUND(SUM(OFFSET(B215,0,0,1,POSTAVKE!$B$7))/POSTAVKE!$B$7,2),0)</f>
        <v>1.63</v>
      </c>
    </row>
    <row r="216" customFormat="false" ht="15" hidden="false" customHeight="false" outlineLevel="0" collapsed="false">
      <c r="A216" s="11" t="s">
        <v>843</v>
      </c>
      <c r="B216" s="9" t="n">
        <v>2</v>
      </c>
      <c r="C216" s="9" t="n">
        <v>0</v>
      </c>
      <c r="D216" s="9" t="n">
        <v>2</v>
      </c>
      <c r="E216" s="9" t="n">
        <v>0</v>
      </c>
      <c r="F216" s="9" t="n">
        <v>0</v>
      </c>
      <c r="G216" s="9" t="n">
        <v>4</v>
      </c>
      <c r="H216" s="9" t="n">
        <v>0</v>
      </c>
      <c r="I216" s="9" t="n">
        <v>4</v>
      </c>
      <c r="J216" s="9" t="n">
        <v>0</v>
      </c>
      <c r="K216" s="9" t="n">
        <v>0</v>
      </c>
      <c r="L216" s="9" t="n">
        <v>0</v>
      </c>
      <c r="M216" s="9" t="n">
        <v>0</v>
      </c>
      <c r="N216" s="12" t="n">
        <f aca="true">IFERROR(ROUND(SUM(OFFSET(B216,0,0,1,POSTAVKE!$B$7))/POSTAVKE!$B$7,2),0)</f>
        <v>1.5</v>
      </c>
    </row>
    <row r="217" customFormat="false" ht="15" hidden="false" customHeight="false" outlineLevel="0" collapsed="false">
      <c r="A217" s="11" t="s">
        <v>823</v>
      </c>
      <c r="B217" s="9" t="n">
        <v>2</v>
      </c>
      <c r="C217" s="9" t="n">
        <v>0</v>
      </c>
      <c r="D217" s="9" t="n">
        <v>3</v>
      </c>
      <c r="E217" s="9" t="n">
        <v>7</v>
      </c>
      <c r="F217" s="9" t="n">
        <v>1</v>
      </c>
      <c r="G217" s="9" t="n">
        <v>7</v>
      </c>
      <c r="H217" s="9" t="n">
        <v>1</v>
      </c>
      <c r="I217" s="9" t="n">
        <v>0</v>
      </c>
      <c r="J217" s="9" t="n">
        <v>1</v>
      </c>
      <c r="K217" s="9" t="n">
        <v>0</v>
      </c>
      <c r="L217" s="9" t="n">
        <v>0</v>
      </c>
      <c r="M217" s="9" t="n">
        <v>0</v>
      </c>
      <c r="N217" s="12" t="n">
        <f aca="true">IFERROR(ROUND(SUM(OFFSET(B217,0,0,1,POSTAVKE!$B$7))/POSTAVKE!$B$7,2),0)</f>
        <v>2.63</v>
      </c>
    </row>
    <row r="218" customFormat="false" ht="15" hidden="false" customHeight="false" outlineLevel="0" collapsed="false">
      <c r="A218" s="11" t="s">
        <v>601</v>
      </c>
      <c r="B218" s="9" t="n">
        <v>2</v>
      </c>
      <c r="C218" s="9" t="n">
        <v>5</v>
      </c>
      <c r="D218" s="9" t="n">
        <v>19</v>
      </c>
      <c r="E218" s="9" t="n">
        <v>25</v>
      </c>
      <c r="F218" s="9" t="n">
        <v>10</v>
      </c>
      <c r="G218" s="9" t="n">
        <v>15</v>
      </c>
      <c r="H218" s="9" t="n">
        <v>6</v>
      </c>
      <c r="I218" s="9" t="n">
        <v>10</v>
      </c>
      <c r="J218" s="9" t="n">
        <v>1</v>
      </c>
      <c r="K218" s="9" t="n">
        <v>0</v>
      </c>
      <c r="L218" s="9" t="n">
        <v>0</v>
      </c>
      <c r="M218" s="9" t="n">
        <v>0</v>
      </c>
      <c r="N218" s="12" t="n">
        <f aca="true">IFERROR(ROUND(SUM(OFFSET(B218,0,0,1,POSTAVKE!$B$7))/POSTAVKE!$B$7,2),0)</f>
        <v>11.5</v>
      </c>
    </row>
    <row r="219" customFormat="false" ht="15" hidden="false" customHeight="false" outlineLevel="0" collapsed="false">
      <c r="A219" s="11" t="s">
        <v>935</v>
      </c>
      <c r="B219" s="9" t="n">
        <v>1</v>
      </c>
      <c r="C219" s="9" t="n">
        <v>1</v>
      </c>
      <c r="D219" s="9" t="n">
        <v>2</v>
      </c>
      <c r="E219" s="9" t="n">
        <v>3</v>
      </c>
      <c r="F219" s="9" t="n">
        <v>0</v>
      </c>
      <c r="G219" s="9" t="n">
        <v>0</v>
      </c>
      <c r="H219" s="9" t="n">
        <v>0</v>
      </c>
      <c r="I219" s="9" t="n">
        <v>3</v>
      </c>
      <c r="J219" s="9" t="n">
        <v>5</v>
      </c>
      <c r="K219" s="9" t="n">
        <v>0</v>
      </c>
      <c r="L219" s="9" t="n">
        <v>0</v>
      </c>
      <c r="M219" s="9" t="n">
        <v>0</v>
      </c>
      <c r="N219" s="12" t="n">
        <f aca="true">IFERROR(ROUND(SUM(OFFSET(B219,0,0,1,POSTAVKE!$B$7))/POSTAVKE!$B$7,2),0)</f>
        <v>1.25</v>
      </c>
    </row>
    <row r="220" customFormat="false" ht="15" hidden="false" customHeight="false" outlineLevel="0" collapsed="false">
      <c r="A220" s="11" t="s">
        <v>1045</v>
      </c>
      <c r="B220" s="9" t="n">
        <v>1</v>
      </c>
      <c r="C220" s="9" t="n">
        <v>1</v>
      </c>
      <c r="D220" s="9" t="n">
        <v>0</v>
      </c>
      <c r="E220" s="9" t="n">
        <v>0</v>
      </c>
      <c r="F220" s="9" t="n">
        <v>0</v>
      </c>
      <c r="G220" s="9" t="n">
        <v>1</v>
      </c>
      <c r="H220" s="9" t="n">
        <v>0</v>
      </c>
      <c r="I220" s="9" t="n">
        <v>0</v>
      </c>
      <c r="J220" s="9" t="n">
        <v>0</v>
      </c>
      <c r="K220" s="9" t="n">
        <v>0</v>
      </c>
      <c r="L220" s="9" t="n">
        <v>0</v>
      </c>
      <c r="M220" s="9" t="n">
        <v>0</v>
      </c>
      <c r="N220" s="12" t="n">
        <f aca="true">IFERROR(ROUND(SUM(OFFSET(B220,0,0,1,POSTAVKE!$B$7))/POSTAVKE!$B$7,2),0)</f>
        <v>0.38</v>
      </c>
    </row>
    <row r="221" customFormat="false" ht="15" hidden="false" customHeight="false" outlineLevel="0" collapsed="false">
      <c r="A221" s="11" t="s">
        <v>371</v>
      </c>
      <c r="B221" s="9" t="n">
        <v>1</v>
      </c>
      <c r="C221" s="9" t="n">
        <v>0</v>
      </c>
      <c r="D221" s="9" t="n">
        <v>2</v>
      </c>
      <c r="E221" s="9" t="n">
        <v>0</v>
      </c>
      <c r="F221" s="9" t="n">
        <v>0</v>
      </c>
      <c r="G221" s="9" t="n">
        <v>0</v>
      </c>
      <c r="H221" s="9" t="n">
        <v>6</v>
      </c>
      <c r="I221" s="9" t="n">
        <v>0</v>
      </c>
      <c r="J221" s="9" t="n">
        <v>0</v>
      </c>
      <c r="K221" s="9" t="n">
        <v>0</v>
      </c>
      <c r="L221" s="9" t="n">
        <v>0</v>
      </c>
      <c r="M221" s="9" t="n">
        <v>0</v>
      </c>
      <c r="N221" s="12" t="n">
        <f aca="true">IFERROR(ROUND(SUM(OFFSET(B221,0,0,1,POSTAVKE!$B$7))/POSTAVKE!$B$7,2),0)</f>
        <v>1.13</v>
      </c>
    </row>
    <row r="222" customFormat="false" ht="15" hidden="false" customHeight="false" outlineLevel="0" collapsed="false">
      <c r="A222" s="11" t="s">
        <v>341</v>
      </c>
      <c r="B222" s="9" t="n">
        <v>1</v>
      </c>
      <c r="C222" s="9" t="n">
        <v>1</v>
      </c>
      <c r="D222" s="9" t="n">
        <v>2</v>
      </c>
      <c r="E222" s="9" t="n">
        <v>1</v>
      </c>
      <c r="F222" s="9" t="n">
        <v>0</v>
      </c>
      <c r="G222" s="9" t="n">
        <v>4</v>
      </c>
      <c r="H222" s="9" t="n">
        <v>1</v>
      </c>
      <c r="I222" s="9" t="n">
        <v>1</v>
      </c>
      <c r="J222" s="9" t="n">
        <v>0</v>
      </c>
      <c r="K222" s="9" t="n">
        <v>0</v>
      </c>
      <c r="L222" s="9" t="n">
        <v>0</v>
      </c>
      <c r="M222" s="9" t="n">
        <v>0</v>
      </c>
      <c r="N222" s="12" t="n">
        <f aca="true">IFERROR(ROUND(SUM(OFFSET(B222,0,0,1,POSTAVKE!$B$7))/POSTAVKE!$B$7,2),0)</f>
        <v>1.38</v>
      </c>
    </row>
    <row r="223" customFormat="false" ht="15" hidden="false" customHeight="false" outlineLevel="0" collapsed="false">
      <c r="A223" s="11" t="s">
        <v>1659</v>
      </c>
      <c r="B223" s="9" t="n">
        <v>1</v>
      </c>
      <c r="C223" s="9" t="n">
        <v>0</v>
      </c>
      <c r="D223" s="9" t="n">
        <v>0</v>
      </c>
      <c r="E223" s="9" t="n">
        <v>0</v>
      </c>
      <c r="F223" s="9" t="n">
        <v>0</v>
      </c>
      <c r="G223" s="9" t="n">
        <v>0</v>
      </c>
      <c r="H223" s="9" t="n">
        <v>0</v>
      </c>
      <c r="I223" s="9" t="n">
        <v>0</v>
      </c>
      <c r="J223" s="9" t="n">
        <v>0</v>
      </c>
      <c r="K223" s="9" t="n">
        <v>0</v>
      </c>
      <c r="L223" s="9" t="n">
        <v>0</v>
      </c>
      <c r="M223" s="9" t="n">
        <v>0</v>
      </c>
      <c r="N223" s="12" t="n">
        <f aca="true">IFERROR(ROUND(SUM(OFFSET(B223,0,0,1,POSTAVKE!$B$7))/POSTAVKE!$B$7,2),0)</f>
        <v>0.13</v>
      </c>
    </row>
    <row r="224" customFormat="false" ht="15" hidden="false" customHeight="false" outlineLevel="0" collapsed="false">
      <c r="A224" s="11" t="s">
        <v>275</v>
      </c>
      <c r="B224" s="9" t="n">
        <v>1</v>
      </c>
      <c r="C224" s="9" t="n">
        <v>12</v>
      </c>
      <c r="D224" s="9" t="n">
        <v>2</v>
      </c>
      <c r="E224" s="9" t="n">
        <v>8</v>
      </c>
      <c r="F224" s="9" t="n">
        <v>8</v>
      </c>
      <c r="G224" s="9" t="n">
        <v>11</v>
      </c>
      <c r="H224" s="9" t="n">
        <v>1</v>
      </c>
      <c r="I224" s="9" t="n">
        <v>7</v>
      </c>
      <c r="J224" s="9" t="n">
        <v>0</v>
      </c>
      <c r="K224" s="9" t="n">
        <v>0</v>
      </c>
      <c r="L224" s="9" t="n">
        <v>0</v>
      </c>
      <c r="M224" s="9" t="n">
        <v>0</v>
      </c>
      <c r="N224" s="12" t="n">
        <f aca="true">IFERROR(ROUND(SUM(OFFSET(B224,0,0,1,POSTAVKE!$B$7))/POSTAVKE!$B$7,2),0)</f>
        <v>6.25</v>
      </c>
    </row>
    <row r="225" customFormat="false" ht="15" hidden="false" customHeight="false" outlineLevel="0" collapsed="false">
      <c r="A225" s="11" t="s">
        <v>745</v>
      </c>
      <c r="B225" s="9" t="n">
        <v>1</v>
      </c>
      <c r="C225" s="9" t="n">
        <v>2</v>
      </c>
      <c r="D225" s="9" t="n">
        <v>6</v>
      </c>
      <c r="E225" s="9" t="n">
        <v>1</v>
      </c>
      <c r="F225" s="9" t="n">
        <v>7</v>
      </c>
      <c r="G225" s="9" t="n">
        <v>0</v>
      </c>
      <c r="H225" s="9" t="n">
        <v>0</v>
      </c>
      <c r="I225" s="9" t="n">
        <v>1</v>
      </c>
      <c r="J225" s="9" t="n">
        <v>0</v>
      </c>
      <c r="K225" s="9" t="n">
        <v>0</v>
      </c>
      <c r="L225" s="9" t="n">
        <v>0</v>
      </c>
      <c r="M225" s="9" t="n">
        <v>0</v>
      </c>
      <c r="N225" s="12" t="n">
        <f aca="true">IFERROR(ROUND(SUM(OFFSET(B225,0,0,1,POSTAVKE!$B$7))/POSTAVKE!$B$7,2),0)</f>
        <v>2.25</v>
      </c>
    </row>
    <row r="226" customFormat="false" ht="15" hidden="false" customHeight="false" outlineLevel="0" collapsed="false">
      <c r="A226" s="11" t="s">
        <v>1661</v>
      </c>
      <c r="B226" s="9" t="n">
        <v>1</v>
      </c>
      <c r="C226" s="9" t="n">
        <v>-1</v>
      </c>
      <c r="D226" s="9" t="n">
        <v>0</v>
      </c>
      <c r="E226" s="9" t="n">
        <v>0</v>
      </c>
      <c r="F226" s="9" t="n">
        <v>0</v>
      </c>
      <c r="G226" s="9" t="n">
        <v>0</v>
      </c>
      <c r="H226" s="9" t="n">
        <v>0</v>
      </c>
      <c r="I226" s="9" t="n">
        <v>0</v>
      </c>
      <c r="J226" s="9" t="n">
        <v>0</v>
      </c>
      <c r="K226" s="9" t="n">
        <v>0</v>
      </c>
      <c r="L226" s="9" t="n">
        <v>0</v>
      </c>
      <c r="M226" s="9" t="n">
        <v>0</v>
      </c>
      <c r="N226" s="12" t="n">
        <f aca="true">IFERROR(ROUND(SUM(OFFSET(B226,0,0,1,POSTAVKE!$B$7))/POSTAVKE!$B$7,2),0)</f>
        <v>0</v>
      </c>
    </row>
    <row r="227" customFormat="false" ht="15" hidden="false" customHeight="false" outlineLevel="0" collapsed="false">
      <c r="A227" s="11" t="s">
        <v>695</v>
      </c>
      <c r="B227" s="9" t="n">
        <v>1</v>
      </c>
      <c r="C227" s="9" t="n">
        <v>0</v>
      </c>
      <c r="D227" s="9" t="n">
        <v>1</v>
      </c>
      <c r="E227" s="9" t="n">
        <v>1</v>
      </c>
      <c r="F227" s="9" t="n">
        <v>1</v>
      </c>
      <c r="G227" s="9" t="n">
        <v>1</v>
      </c>
      <c r="H227" s="9" t="n">
        <v>1</v>
      </c>
      <c r="I227" s="9" t="n">
        <v>1</v>
      </c>
      <c r="J227" s="9" t="n">
        <v>0</v>
      </c>
      <c r="K227" s="9" t="n">
        <v>0</v>
      </c>
      <c r="L227" s="9" t="n">
        <v>0</v>
      </c>
      <c r="M227" s="9" t="n">
        <v>0</v>
      </c>
      <c r="N227" s="12" t="n">
        <f aca="true">IFERROR(ROUND(SUM(OFFSET(B227,0,0,1,POSTAVKE!$B$7))/POSTAVKE!$B$7,2),0)</f>
        <v>0.88</v>
      </c>
    </row>
    <row r="228" customFormat="false" ht="15" hidden="false" customHeight="false" outlineLevel="0" collapsed="false">
      <c r="A228" s="11" t="s">
        <v>643</v>
      </c>
      <c r="B228" s="9" t="n">
        <v>1</v>
      </c>
      <c r="C228" s="9" t="n">
        <v>3</v>
      </c>
      <c r="D228" s="9" t="n">
        <v>0</v>
      </c>
      <c r="E228" s="9" t="n">
        <v>0</v>
      </c>
      <c r="F228" s="9" t="n">
        <v>0</v>
      </c>
      <c r="G228" s="9" t="n">
        <v>0</v>
      </c>
      <c r="H228" s="9" t="n">
        <v>0</v>
      </c>
      <c r="I228" s="9" t="n">
        <v>0</v>
      </c>
      <c r="J228" s="9" t="n">
        <v>0</v>
      </c>
      <c r="K228" s="9" t="n">
        <v>0</v>
      </c>
      <c r="L228" s="9" t="n">
        <v>0</v>
      </c>
      <c r="M228" s="9" t="n">
        <v>0</v>
      </c>
      <c r="N228" s="12" t="n">
        <f aca="true">IFERROR(ROUND(SUM(OFFSET(B228,0,0,1,POSTAVKE!$B$7))/POSTAVKE!$B$7,2),0)</f>
        <v>0.5</v>
      </c>
    </row>
    <row r="229" customFormat="false" ht="15" hidden="false" customHeight="false" outlineLevel="0" collapsed="false">
      <c r="A229" s="11" t="s">
        <v>1508</v>
      </c>
      <c r="B229" s="9" t="n">
        <v>1</v>
      </c>
      <c r="C229" s="9" t="n">
        <v>0</v>
      </c>
      <c r="D229" s="9" t="n">
        <v>1</v>
      </c>
      <c r="E229" s="9" t="n">
        <v>0</v>
      </c>
      <c r="F229" s="9" t="n">
        <v>0</v>
      </c>
      <c r="G229" s="9" t="n">
        <v>0</v>
      </c>
      <c r="H229" s="9" t="n">
        <v>0</v>
      </c>
      <c r="I229" s="9" t="n">
        <v>0</v>
      </c>
      <c r="J229" s="9" t="n">
        <v>0</v>
      </c>
      <c r="K229" s="9" t="n">
        <v>0</v>
      </c>
      <c r="L229" s="9" t="n">
        <v>0</v>
      </c>
      <c r="M229" s="9" t="n">
        <v>0</v>
      </c>
      <c r="N229" s="12" t="n">
        <f aca="true">IFERROR(ROUND(SUM(OFFSET(B229,0,0,1,POSTAVKE!$B$7))/POSTAVKE!$B$7,2),0)</f>
        <v>0.25</v>
      </c>
    </row>
    <row r="230" customFormat="false" ht="15" hidden="false" customHeight="false" outlineLevel="0" collapsed="false">
      <c r="A230" s="11" t="s">
        <v>751</v>
      </c>
      <c r="B230" s="9" t="n">
        <v>1</v>
      </c>
      <c r="C230" s="9" t="n">
        <v>0</v>
      </c>
      <c r="D230" s="9" t="n">
        <v>0</v>
      </c>
      <c r="E230" s="9" t="n">
        <v>2</v>
      </c>
      <c r="F230" s="9" t="n">
        <v>0</v>
      </c>
      <c r="G230" s="9" t="n">
        <v>1</v>
      </c>
      <c r="H230" s="9" t="n">
        <v>3</v>
      </c>
      <c r="I230" s="9" t="n">
        <v>1</v>
      </c>
      <c r="J230" s="9" t="n">
        <v>0</v>
      </c>
      <c r="K230" s="9" t="n">
        <v>0</v>
      </c>
      <c r="L230" s="9" t="n">
        <v>0</v>
      </c>
      <c r="M230" s="9" t="n">
        <v>0</v>
      </c>
      <c r="N230" s="12" t="n">
        <f aca="true">IFERROR(ROUND(SUM(OFFSET(B230,0,0,1,POSTAVKE!$B$7))/POSTAVKE!$B$7,2),0)</f>
        <v>1</v>
      </c>
    </row>
    <row r="231" customFormat="false" ht="15" hidden="false" customHeight="false" outlineLevel="0" collapsed="false">
      <c r="A231" s="11" t="s">
        <v>611</v>
      </c>
      <c r="B231" s="9" t="n">
        <v>1</v>
      </c>
      <c r="C231" s="9" t="n">
        <v>10</v>
      </c>
      <c r="D231" s="9" t="n">
        <v>9</v>
      </c>
      <c r="E231" s="9" t="n">
        <v>5</v>
      </c>
      <c r="F231" s="9" t="n">
        <v>11</v>
      </c>
      <c r="G231" s="9" t="n">
        <v>10</v>
      </c>
      <c r="H231" s="9" t="n">
        <v>5</v>
      </c>
      <c r="I231" s="9" t="n">
        <v>4</v>
      </c>
      <c r="J231" s="9" t="n">
        <v>0</v>
      </c>
      <c r="K231" s="9" t="n">
        <v>0</v>
      </c>
      <c r="L231" s="9" t="n">
        <v>0</v>
      </c>
      <c r="M231" s="9" t="n">
        <v>0</v>
      </c>
      <c r="N231" s="12" t="n">
        <f aca="true">IFERROR(ROUND(SUM(OFFSET(B231,0,0,1,POSTAVKE!$B$7))/POSTAVKE!$B$7,2),0)</f>
        <v>6.88</v>
      </c>
    </row>
    <row r="232" customFormat="false" ht="15" hidden="false" customHeight="false" outlineLevel="0" collapsed="false">
      <c r="A232" s="11" t="s">
        <v>715</v>
      </c>
      <c r="B232" s="9" t="n">
        <v>1</v>
      </c>
      <c r="C232" s="9" t="n">
        <v>2</v>
      </c>
      <c r="D232" s="9" t="n">
        <v>1</v>
      </c>
      <c r="E232" s="9" t="n">
        <v>2</v>
      </c>
      <c r="F232" s="9" t="n">
        <v>1</v>
      </c>
      <c r="G232" s="9" t="n">
        <v>0</v>
      </c>
      <c r="H232" s="9" t="n">
        <v>0</v>
      </c>
      <c r="I232" s="9" t="n">
        <v>2</v>
      </c>
      <c r="J232" s="9" t="n">
        <v>0</v>
      </c>
      <c r="K232" s="9" t="n">
        <v>0</v>
      </c>
      <c r="L232" s="9" t="n">
        <v>0</v>
      </c>
      <c r="M232" s="9" t="n">
        <v>0</v>
      </c>
      <c r="N232" s="12" t="n">
        <f aca="true">IFERROR(ROUND(SUM(OFFSET(B232,0,0,1,POSTAVKE!$B$7))/POSTAVKE!$B$7,2),0)</f>
        <v>1.13</v>
      </c>
    </row>
    <row r="233" customFormat="false" ht="15" hidden="false" customHeight="false" outlineLevel="0" collapsed="false">
      <c r="A233" s="11" t="s">
        <v>733</v>
      </c>
      <c r="B233" s="9" t="n">
        <v>1</v>
      </c>
      <c r="C233" s="9" t="n">
        <v>1</v>
      </c>
      <c r="D233" s="9" t="n">
        <v>0</v>
      </c>
      <c r="E233" s="9" t="n">
        <v>0</v>
      </c>
      <c r="F233" s="9" t="n">
        <v>0</v>
      </c>
      <c r="G233" s="9" t="n">
        <v>0</v>
      </c>
      <c r="H233" s="9" t="n">
        <v>0</v>
      </c>
      <c r="I233" s="9" t="n">
        <v>0</v>
      </c>
      <c r="J233" s="9" t="n">
        <v>0</v>
      </c>
      <c r="K233" s="9" t="n">
        <v>0</v>
      </c>
      <c r="L233" s="9" t="n">
        <v>0</v>
      </c>
      <c r="M233" s="9" t="n">
        <v>0</v>
      </c>
      <c r="N233" s="12" t="n">
        <f aca="true">IFERROR(ROUND(SUM(OFFSET(B233,0,0,1,POSTAVKE!$B$7))/POSTAVKE!$B$7,2),0)</f>
        <v>0.25</v>
      </c>
    </row>
    <row r="234" customFormat="false" ht="15" hidden="false" customHeight="false" outlineLevel="0" collapsed="false">
      <c r="A234" s="11" t="s">
        <v>919</v>
      </c>
      <c r="B234" s="9" t="n">
        <v>1</v>
      </c>
      <c r="C234" s="9" t="n">
        <v>1</v>
      </c>
      <c r="D234" s="9" t="n">
        <v>1</v>
      </c>
      <c r="E234" s="9" t="n">
        <v>1</v>
      </c>
      <c r="F234" s="9" t="n">
        <v>1</v>
      </c>
      <c r="G234" s="9" t="n">
        <v>2</v>
      </c>
      <c r="H234" s="9" t="n">
        <v>1</v>
      </c>
      <c r="I234" s="9" t="n">
        <v>3</v>
      </c>
      <c r="J234" s="9" t="n">
        <v>0</v>
      </c>
      <c r="K234" s="9" t="n">
        <v>0</v>
      </c>
      <c r="L234" s="9" t="n">
        <v>0</v>
      </c>
      <c r="M234" s="9" t="n">
        <v>0</v>
      </c>
      <c r="N234" s="12" t="n">
        <f aca="true">IFERROR(ROUND(SUM(OFFSET(B234,0,0,1,POSTAVKE!$B$7))/POSTAVKE!$B$7,2),0)</f>
        <v>1.38</v>
      </c>
    </row>
    <row r="235" customFormat="false" ht="15" hidden="false" customHeight="false" outlineLevel="0" collapsed="false">
      <c r="A235" s="11" t="s">
        <v>319</v>
      </c>
      <c r="B235" s="9" t="n">
        <v>1</v>
      </c>
      <c r="C235" s="9" t="n">
        <v>3</v>
      </c>
      <c r="D235" s="9" t="n">
        <v>13</v>
      </c>
      <c r="E235" s="9" t="n">
        <v>0</v>
      </c>
      <c r="F235" s="9" t="n">
        <v>4</v>
      </c>
      <c r="G235" s="9" t="n">
        <v>1</v>
      </c>
      <c r="H235" s="9" t="n">
        <v>0</v>
      </c>
      <c r="I235" s="9" t="n">
        <v>0</v>
      </c>
      <c r="J235" s="9" t="n">
        <v>0</v>
      </c>
      <c r="K235" s="9" t="n">
        <v>0</v>
      </c>
      <c r="L235" s="9" t="n">
        <v>0</v>
      </c>
      <c r="M235" s="9" t="n">
        <v>0</v>
      </c>
      <c r="N235" s="12" t="n">
        <f aca="true">IFERROR(ROUND(SUM(OFFSET(B235,0,0,1,POSTAVKE!$B$7))/POSTAVKE!$B$7,2),0)</f>
        <v>2.75</v>
      </c>
    </row>
    <row r="236" customFormat="false" ht="15" hidden="false" customHeight="false" outlineLevel="0" collapsed="false">
      <c r="A236" s="11" t="s">
        <v>529</v>
      </c>
      <c r="B236" s="9" t="n">
        <v>1</v>
      </c>
      <c r="C236" s="9" t="n">
        <v>0</v>
      </c>
      <c r="D236" s="9" t="n">
        <v>0</v>
      </c>
      <c r="E236" s="9" t="n">
        <v>0</v>
      </c>
      <c r="F236" s="9" t="n">
        <v>1</v>
      </c>
      <c r="G236" s="9" t="n">
        <v>1</v>
      </c>
      <c r="H236" s="9" t="n">
        <v>1</v>
      </c>
      <c r="I236" s="9" t="n">
        <v>0</v>
      </c>
      <c r="J236" s="9" t="n">
        <v>0</v>
      </c>
      <c r="K236" s="9" t="n">
        <v>0</v>
      </c>
      <c r="L236" s="9" t="n">
        <v>0</v>
      </c>
      <c r="M236" s="9" t="n">
        <v>0</v>
      </c>
      <c r="N236" s="12" t="n">
        <f aca="true">IFERROR(ROUND(SUM(OFFSET(B236,0,0,1,POSTAVKE!$B$7))/POSTAVKE!$B$7,2),0)</f>
        <v>0.5</v>
      </c>
    </row>
    <row r="237" customFormat="false" ht="15" hidden="false" customHeight="false" outlineLevel="0" collapsed="false">
      <c r="A237" s="11" t="s">
        <v>1524</v>
      </c>
      <c r="B237" s="9" t="n">
        <v>1</v>
      </c>
      <c r="C237" s="9" t="n">
        <v>7</v>
      </c>
      <c r="D237" s="9" t="n">
        <v>6</v>
      </c>
      <c r="E237" s="9" t="n">
        <v>8</v>
      </c>
      <c r="F237" s="9" t="n">
        <v>0</v>
      </c>
      <c r="G237" s="9" t="n">
        <v>5</v>
      </c>
      <c r="H237" s="9" t="n">
        <v>0</v>
      </c>
      <c r="I237" s="9" t="n">
        <v>0</v>
      </c>
      <c r="J237" s="9" t="n">
        <v>0</v>
      </c>
      <c r="K237" s="9" t="n">
        <v>0</v>
      </c>
      <c r="L237" s="9" t="n">
        <v>0</v>
      </c>
      <c r="M237" s="9" t="n">
        <v>0</v>
      </c>
      <c r="N237" s="12" t="n">
        <f aca="true">IFERROR(ROUND(SUM(OFFSET(B237,0,0,1,POSTAVKE!$B$7))/POSTAVKE!$B$7,2),0)</f>
        <v>3.38</v>
      </c>
    </row>
    <row r="238" customFormat="false" ht="15" hidden="false" customHeight="false" outlineLevel="0" collapsed="false">
      <c r="A238" s="11" t="s">
        <v>1663</v>
      </c>
      <c r="B238" s="9" t="n">
        <v>1</v>
      </c>
      <c r="C238" s="9" t="n">
        <v>0</v>
      </c>
      <c r="D238" s="9" t="n">
        <v>2</v>
      </c>
      <c r="E238" s="9" t="n">
        <v>0</v>
      </c>
      <c r="F238" s="9" t="n">
        <v>10</v>
      </c>
      <c r="G238" s="9" t="n">
        <v>0</v>
      </c>
      <c r="H238" s="9" t="n">
        <v>0</v>
      </c>
      <c r="I238" s="9" t="n">
        <v>0</v>
      </c>
      <c r="J238" s="9" t="n">
        <v>0</v>
      </c>
      <c r="K238" s="9" t="n">
        <v>0</v>
      </c>
      <c r="L238" s="9" t="n">
        <v>0</v>
      </c>
      <c r="M238" s="9" t="n">
        <v>0</v>
      </c>
      <c r="N238" s="12" t="n">
        <f aca="true">IFERROR(ROUND(SUM(OFFSET(B238,0,0,1,POSTAVKE!$B$7))/POSTAVKE!$B$7,2),0)</f>
        <v>1.63</v>
      </c>
    </row>
    <row r="239" customFormat="false" ht="15" hidden="false" customHeight="false" outlineLevel="0" collapsed="false">
      <c r="A239" s="11" t="s">
        <v>1550</v>
      </c>
      <c r="B239" s="9" t="n">
        <v>1</v>
      </c>
      <c r="C239" s="9" t="n">
        <v>3</v>
      </c>
      <c r="D239" s="9" t="n">
        <v>0</v>
      </c>
      <c r="E239" s="9" t="n">
        <v>0</v>
      </c>
      <c r="F239" s="9" t="n">
        <v>0</v>
      </c>
      <c r="G239" s="9" t="n">
        <v>1</v>
      </c>
      <c r="H239" s="9" t="n">
        <v>0</v>
      </c>
      <c r="I239" s="9" t="n">
        <v>0</v>
      </c>
      <c r="J239" s="9" t="n">
        <v>0</v>
      </c>
      <c r="K239" s="9" t="n">
        <v>0</v>
      </c>
      <c r="L239" s="9" t="n">
        <v>0</v>
      </c>
      <c r="M239" s="9" t="n">
        <v>0</v>
      </c>
      <c r="N239" s="12" t="n">
        <f aca="true">IFERROR(ROUND(SUM(OFFSET(B239,0,0,1,POSTAVKE!$B$7))/POSTAVKE!$B$7,2),0)</f>
        <v>0.63</v>
      </c>
    </row>
    <row r="240" customFormat="false" ht="15" hidden="false" customHeight="false" outlineLevel="0" collapsed="false">
      <c r="A240" s="11" t="s">
        <v>415</v>
      </c>
      <c r="B240" s="9" t="n">
        <v>1</v>
      </c>
      <c r="C240" s="9" t="n">
        <v>4</v>
      </c>
      <c r="D240" s="9" t="n">
        <v>8</v>
      </c>
      <c r="E240" s="9" t="n">
        <v>6</v>
      </c>
      <c r="F240" s="9" t="n">
        <v>0</v>
      </c>
      <c r="G240" s="9" t="n">
        <v>2</v>
      </c>
      <c r="H240" s="9" t="n">
        <v>0</v>
      </c>
      <c r="I240" s="9" t="n">
        <v>0</v>
      </c>
      <c r="J240" s="9" t="n">
        <v>0</v>
      </c>
      <c r="K240" s="9" t="n">
        <v>0</v>
      </c>
      <c r="L240" s="9" t="n">
        <v>0</v>
      </c>
      <c r="M240" s="9" t="n">
        <v>0</v>
      </c>
      <c r="N240" s="12" t="n">
        <f aca="true">IFERROR(ROUND(SUM(OFFSET(B240,0,0,1,POSTAVKE!$B$7))/POSTAVKE!$B$7,2),0)</f>
        <v>2.63</v>
      </c>
    </row>
    <row r="241" customFormat="false" ht="15" hidden="false" customHeight="false" outlineLevel="0" collapsed="false">
      <c r="A241" s="11" t="s">
        <v>1570</v>
      </c>
      <c r="B241" s="9" t="n">
        <v>1</v>
      </c>
      <c r="C241" s="9" t="n">
        <v>4</v>
      </c>
      <c r="D241" s="9" t="n">
        <v>0</v>
      </c>
      <c r="E241" s="9" t="n">
        <v>0</v>
      </c>
      <c r="F241" s="9" t="n">
        <v>5</v>
      </c>
      <c r="G241" s="9" t="n">
        <v>5</v>
      </c>
      <c r="H241" s="9" t="n">
        <v>0</v>
      </c>
      <c r="I241" s="9" t="n">
        <v>0</v>
      </c>
      <c r="J241" s="9" t="n">
        <v>0</v>
      </c>
      <c r="K241" s="9" t="n">
        <v>0</v>
      </c>
      <c r="L241" s="9" t="n">
        <v>0</v>
      </c>
      <c r="M241" s="9" t="n">
        <v>0</v>
      </c>
      <c r="N241" s="12" t="n">
        <f aca="true">IFERROR(ROUND(SUM(OFFSET(B241,0,0,1,POSTAVKE!$B$7))/POSTAVKE!$B$7,2),0)</f>
        <v>1.88</v>
      </c>
    </row>
    <row r="242" customFormat="false" ht="15" hidden="false" customHeight="false" outlineLevel="0" collapsed="false">
      <c r="A242" s="11" t="s">
        <v>1665</v>
      </c>
      <c r="B242" s="9" t="n">
        <v>1</v>
      </c>
      <c r="C242" s="9" t="n">
        <v>7</v>
      </c>
      <c r="D242" s="9" t="n">
        <v>-1</v>
      </c>
      <c r="E242" s="9" t="n">
        <v>14</v>
      </c>
      <c r="F242" s="9" t="n">
        <v>7</v>
      </c>
      <c r="G242" s="9" t="n">
        <v>10</v>
      </c>
      <c r="H242" s="9" t="n">
        <v>0</v>
      </c>
      <c r="I242" s="9" t="n">
        <v>0</v>
      </c>
      <c r="J242" s="9" t="n">
        <v>0</v>
      </c>
      <c r="K242" s="9" t="n">
        <v>0</v>
      </c>
      <c r="L242" s="9" t="n">
        <v>0</v>
      </c>
      <c r="M242" s="9" t="n">
        <v>0</v>
      </c>
      <c r="N242" s="12" t="n">
        <f aca="true">IFERROR(ROUND(SUM(OFFSET(B242,0,0,1,POSTAVKE!$B$7))/POSTAVKE!$B$7,2),0)</f>
        <v>4.75</v>
      </c>
    </row>
    <row r="243" customFormat="false" ht="15" hidden="false" customHeight="false" outlineLevel="0" collapsed="false">
      <c r="A243" s="11" t="s">
        <v>361</v>
      </c>
      <c r="B243" s="9" t="n">
        <v>1</v>
      </c>
      <c r="C243" s="9" t="n">
        <v>4</v>
      </c>
      <c r="D243" s="9" t="n">
        <v>0</v>
      </c>
      <c r="E243" s="9" t="n">
        <v>9</v>
      </c>
      <c r="F243" s="9" t="n">
        <v>1</v>
      </c>
      <c r="G243" s="9" t="n">
        <v>2</v>
      </c>
      <c r="H243" s="9" t="n">
        <v>4</v>
      </c>
      <c r="I243" s="9" t="n">
        <v>1</v>
      </c>
      <c r="J243" s="9" t="n">
        <v>0</v>
      </c>
      <c r="K243" s="9" t="n">
        <v>0</v>
      </c>
      <c r="L243" s="9" t="n">
        <v>0</v>
      </c>
      <c r="M243" s="9" t="n">
        <v>0</v>
      </c>
      <c r="N243" s="12" t="n">
        <f aca="true">IFERROR(ROUND(SUM(OFFSET(B243,0,0,1,POSTAVKE!$B$7))/POSTAVKE!$B$7,2),0)</f>
        <v>2.75</v>
      </c>
    </row>
    <row r="244" customFormat="false" ht="15" hidden="false" customHeight="false" outlineLevel="0" collapsed="false">
      <c r="A244" s="11" t="s">
        <v>817</v>
      </c>
      <c r="B244" s="9" t="n">
        <v>1</v>
      </c>
      <c r="C244" s="9" t="n">
        <v>3</v>
      </c>
      <c r="D244" s="9" t="n">
        <v>1</v>
      </c>
      <c r="E244" s="9" t="n">
        <v>6</v>
      </c>
      <c r="F244" s="9" t="n">
        <v>1</v>
      </c>
      <c r="G244" s="9" t="n">
        <v>0</v>
      </c>
      <c r="H244" s="9" t="n">
        <v>2</v>
      </c>
      <c r="I244" s="9" t="n">
        <v>1</v>
      </c>
      <c r="J244" s="9" t="n">
        <v>0</v>
      </c>
      <c r="K244" s="9" t="n">
        <v>0</v>
      </c>
      <c r="L244" s="9" t="n">
        <v>0</v>
      </c>
      <c r="M244" s="9" t="n">
        <v>0</v>
      </c>
      <c r="N244" s="12" t="n">
        <f aca="true">IFERROR(ROUND(SUM(OFFSET(B244,0,0,1,POSTAVKE!$B$7))/POSTAVKE!$B$7,2),0)</f>
        <v>1.88</v>
      </c>
    </row>
    <row r="245" customFormat="false" ht="15" hidden="false" customHeight="false" outlineLevel="0" collapsed="false">
      <c r="A245" s="11" t="s">
        <v>527</v>
      </c>
      <c r="B245" s="9" t="n">
        <v>1</v>
      </c>
      <c r="C245" s="9" t="n">
        <v>1</v>
      </c>
      <c r="D245" s="9" t="n">
        <v>4</v>
      </c>
      <c r="E245" s="9" t="n">
        <v>6</v>
      </c>
      <c r="F245" s="9" t="n">
        <v>11</v>
      </c>
      <c r="G245" s="9" t="n">
        <v>5</v>
      </c>
      <c r="H245" s="9" t="n">
        <v>-1</v>
      </c>
      <c r="I245" s="9" t="n">
        <v>6</v>
      </c>
      <c r="J245" s="9" t="n">
        <v>5</v>
      </c>
      <c r="K245" s="9" t="n">
        <v>0</v>
      </c>
      <c r="L245" s="9" t="n">
        <v>0</v>
      </c>
      <c r="M245" s="9" t="n">
        <v>0</v>
      </c>
      <c r="N245" s="12" t="n">
        <f aca="true">IFERROR(ROUND(SUM(OFFSET(B245,0,0,1,POSTAVKE!$B$7))/POSTAVKE!$B$7,2),0)</f>
        <v>4.13</v>
      </c>
    </row>
    <row r="246" customFormat="false" ht="15" hidden="false" customHeight="false" outlineLevel="0" collapsed="false">
      <c r="A246" s="11" t="s">
        <v>1596</v>
      </c>
      <c r="B246" s="9" t="n">
        <v>1</v>
      </c>
      <c r="C246" s="9" t="n">
        <v>12</v>
      </c>
      <c r="D246" s="9" t="n">
        <v>6</v>
      </c>
      <c r="E246" s="9" t="n">
        <v>18</v>
      </c>
      <c r="F246" s="9" t="n">
        <v>10</v>
      </c>
      <c r="G246" s="9" t="n">
        <v>6</v>
      </c>
      <c r="H246" s="9" t="n">
        <v>4</v>
      </c>
      <c r="I246" s="9" t="n">
        <v>2</v>
      </c>
      <c r="J246" s="9" t="n">
        <v>0</v>
      </c>
      <c r="K246" s="9" t="n">
        <v>0</v>
      </c>
      <c r="L246" s="9" t="n">
        <v>0</v>
      </c>
      <c r="M246" s="9" t="n">
        <v>0</v>
      </c>
      <c r="N246" s="12" t="n">
        <f aca="true">IFERROR(ROUND(SUM(OFFSET(B246,0,0,1,POSTAVKE!$B$7))/POSTAVKE!$B$7,2),0)</f>
        <v>7.38</v>
      </c>
    </row>
    <row r="247" customFormat="false" ht="15" hidden="false" customHeight="false" outlineLevel="0" collapsed="false">
      <c r="A247" s="11" t="s">
        <v>571</v>
      </c>
      <c r="B247" s="9" t="n">
        <v>1</v>
      </c>
      <c r="C247" s="9" t="n">
        <v>0</v>
      </c>
      <c r="D247" s="9" t="n">
        <v>0</v>
      </c>
      <c r="E247" s="9" t="n">
        <v>1</v>
      </c>
      <c r="F247" s="9" t="n">
        <v>0</v>
      </c>
      <c r="G247" s="9" t="n">
        <v>0</v>
      </c>
      <c r="H247" s="9" t="n">
        <v>0</v>
      </c>
      <c r="I247" s="9" t="n">
        <v>1</v>
      </c>
      <c r="J247" s="9" t="n">
        <v>0</v>
      </c>
      <c r="K247" s="9" t="n">
        <v>0</v>
      </c>
      <c r="L247" s="9" t="n">
        <v>0</v>
      </c>
      <c r="M247" s="9" t="n">
        <v>0</v>
      </c>
      <c r="N247" s="12" t="n">
        <f aca="true">IFERROR(ROUND(SUM(OFFSET(B247,0,0,1,POSTAVKE!$B$7))/POSTAVKE!$B$7,2),0)</f>
        <v>0.38</v>
      </c>
    </row>
    <row r="248" customFormat="false" ht="15" hidden="false" customHeight="false" outlineLevel="0" collapsed="false">
      <c r="A248" s="11" t="s">
        <v>699</v>
      </c>
      <c r="B248" s="9" t="n">
        <v>1</v>
      </c>
      <c r="C248" s="9" t="n">
        <v>1</v>
      </c>
      <c r="D248" s="9" t="n">
        <v>1</v>
      </c>
      <c r="E248" s="9" t="n">
        <v>1</v>
      </c>
      <c r="F248" s="9" t="n">
        <v>0</v>
      </c>
      <c r="G248" s="9" t="n">
        <v>1</v>
      </c>
      <c r="H248" s="9" t="n">
        <v>3</v>
      </c>
      <c r="I248" s="9" t="n">
        <v>0</v>
      </c>
      <c r="J248" s="9" t="n">
        <v>0</v>
      </c>
      <c r="K248" s="9" t="n">
        <v>0</v>
      </c>
      <c r="L248" s="9" t="n">
        <v>0</v>
      </c>
      <c r="M248" s="9" t="n">
        <v>0</v>
      </c>
      <c r="N248" s="12" t="n">
        <f aca="true">IFERROR(ROUND(SUM(OFFSET(B248,0,0,1,POSTAVKE!$B$7))/POSTAVKE!$B$7,2),0)</f>
        <v>1</v>
      </c>
    </row>
    <row r="249" customFormat="false" ht="15" hidden="false" customHeight="false" outlineLevel="0" collapsed="false">
      <c r="A249" s="11" t="s">
        <v>981</v>
      </c>
      <c r="B249" s="9" t="n">
        <v>1</v>
      </c>
      <c r="C249" s="9" t="n">
        <v>1</v>
      </c>
      <c r="D249" s="9" t="n">
        <v>0</v>
      </c>
      <c r="E249" s="9" t="n">
        <v>1</v>
      </c>
      <c r="F249" s="9" t="n">
        <v>0</v>
      </c>
      <c r="G249" s="9" t="n">
        <v>0</v>
      </c>
      <c r="H249" s="9" t="n">
        <v>0</v>
      </c>
      <c r="I249" s="9" t="n">
        <v>1</v>
      </c>
      <c r="J249" s="9" t="n">
        <v>0</v>
      </c>
      <c r="K249" s="9" t="n">
        <v>0</v>
      </c>
      <c r="L249" s="9" t="n">
        <v>0</v>
      </c>
      <c r="M249" s="9" t="n">
        <v>0</v>
      </c>
      <c r="N249" s="12" t="n">
        <f aca="true">IFERROR(ROUND(SUM(OFFSET(B249,0,0,1,POSTAVKE!$B$7))/POSTAVKE!$B$7,2),0)</f>
        <v>0.5</v>
      </c>
    </row>
    <row r="250" customFormat="false" ht="15" hidden="false" customHeight="false" outlineLevel="0" collapsed="false">
      <c r="A250" s="11" t="s">
        <v>683</v>
      </c>
      <c r="B250" s="9" t="n">
        <v>1</v>
      </c>
      <c r="C250" s="9" t="n">
        <v>0</v>
      </c>
      <c r="D250" s="9" t="n">
        <v>1</v>
      </c>
      <c r="E250" s="9" t="n">
        <v>0</v>
      </c>
      <c r="F250" s="9" t="n">
        <v>0</v>
      </c>
      <c r="G250" s="9" t="n">
        <v>6</v>
      </c>
      <c r="H250" s="9" t="n">
        <v>0</v>
      </c>
      <c r="I250" s="9" t="n">
        <v>0</v>
      </c>
      <c r="J250" s="9" t="n">
        <v>0</v>
      </c>
      <c r="K250" s="9" t="n">
        <v>0</v>
      </c>
      <c r="L250" s="9" t="n">
        <v>0</v>
      </c>
      <c r="M250" s="9" t="n">
        <v>0</v>
      </c>
      <c r="N250" s="12" t="n">
        <f aca="true">IFERROR(ROUND(SUM(OFFSET(B250,0,0,1,POSTAVKE!$B$7))/POSTAVKE!$B$7,2),0)</f>
        <v>1</v>
      </c>
    </row>
    <row r="251" customFormat="false" ht="15" hidden="false" customHeight="false" outlineLevel="0" collapsed="false">
      <c r="A251" s="11" t="s">
        <v>835</v>
      </c>
      <c r="B251" s="9" t="n">
        <v>1</v>
      </c>
      <c r="C251" s="9" t="n">
        <v>2</v>
      </c>
      <c r="D251" s="9" t="n">
        <v>2</v>
      </c>
      <c r="E251" s="9" t="n">
        <v>1</v>
      </c>
      <c r="F251" s="9" t="n">
        <v>0</v>
      </c>
      <c r="G251" s="9" t="n">
        <v>1</v>
      </c>
      <c r="H251" s="9" t="n">
        <v>2</v>
      </c>
      <c r="I251" s="9" t="n">
        <v>4</v>
      </c>
      <c r="J251" s="9" t="n">
        <v>0</v>
      </c>
      <c r="K251" s="9" t="n">
        <v>0</v>
      </c>
      <c r="L251" s="9" t="n">
        <v>0</v>
      </c>
      <c r="M251" s="9" t="n">
        <v>0</v>
      </c>
      <c r="N251" s="12" t="n">
        <f aca="true">IFERROR(ROUND(SUM(OFFSET(B251,0,0,1,POSTAVKE!$B$7))/POSTAVKE!$B$7,2),0)</f>
        <v>1.63</v>
      </c>
    </row>
    <row r="252" customFormat="false" ht="15" hidden="false" customHeight="false" outlineLevel="0" collapsed="false">
      <c r="A252" s="11" t="s">
        <v>1139</v>
      </c>
      <c r="B252" s="9" t="n">
        <v>1</v>
      </c>
      <c r="C252" s="9" t="n">
        <v>0</v>
      </c>
      <c r="D252" s="9" t="n">
        <v>0</v>
      </c>
      <c r="E252" s="9" t="n">
        <v>1</v>
      </c>
      <c r="F252" s="9" t="n">
        <v>0</v>
      </c>
      <c r="G252" s="9" t="n">
        <v>0</v>
      </c>
      <c r="H252" s="9" t="n">
        <v>1</v>
      </c>
      <c r="I252" s="9" t="n">
        <v>5</v>
      </c>
      <c r="J252" s="9" t="n">
        <v>0</v>
      </c>
      <c r="K252" s="9" t="n">
        <v>0</v>
      </c>
      <c r="L252" s="9" t="n">
        <v>0</v>
      </c>
      <c r="M252" s="9" t="n">
        <v>0</v>
      </c>
      <c r="N252" s="12" t="n">
        <f aca="true">IFERROR(ROUND(SUM(OFFSET(B252,0,0,1,POSTAVKE!$B$7))/POSTAVKE!$B$7,2),0)</f>
        <v>1</v>
      </c>
    </row>
    <row r="253" customFormat="false" ht="15" hidden="false" customHeight="false" outlineLevel="0" collapsed="false">
      <c r="A253" s="11" t="s">
        <v>685</v>
      </c>
      <c r="B253" s="9" t="n">
        <v>1</v>
      </c>
      <c r="C253" s="9" t="n">
        <v>1</v>
      </c>
      <c r="D253" s="9" t="n">
        <v>9</v>
      </c>
      <c r="E253" s="9" t="n">
        <v>3</v>
      </c>
      <c r="F253" s="9" t="n">
        <v>1</v>
      </c>
      <c r="G253" s="9" t="n">
        <v>0</v>
      </c>
      <c r="H253" s="9" t="n">
        <v>6</v>
      </c>
      <c r="I253" s="9" t="n">
        <v>1</v>
      </c>
      <c r="J253" s="9" t="n">
        <v>0</v>
      </c>
      <c r="K253" s="9" t="n">
        <v>0</v>
      </c>
      <c r="L253" s="9" t="n">
        <v>0</v>
      </c>
      <c r="M253" s="9" t="n">
        <v>0</v>
      </c>
      <c r="N253" s="12" t="n">
        <f aca="true">IFERROR(ROUND(SUM(OFFSET(B253,0,0,1,POSTAVKE!$B$7))/POSTAVKE!$B$7,2),0)</f>
        <v>2.75</v>
      </c>
    </row>
    <row r="254" customFormat="false" ht="15" hidden="false" customHeight="false" outlineLevel="0" collapsed="false">
      <c r="A254" s="11" t="s">
        <v>701</v>
      </c>
      <c r="B254" s="9" t="n">
        <v>1</v>
      </c>
      <c r="C254" s="9" t="n">
        <v>2</v>
      </c>
      <c r="D254" s="9" t="n">
        <v>2</v>
      </c>
      <c r="E254" s="9" t="n">
        <v>2</v>
      </c>
      <c r="F254" s="9" t="n">
        <v>1</v>
      </c>
      <c r="G254" s="9" t="n">
        <v>1</v>
      </c>
      <c r="H254" s="9" t="n">
        <v>1</v>
      </c>
      <c r="I254" s="9" t="n">
        <v>0</v>
      </c>
      <c r="J254" s="9" t="n">
        <v>0</v>
      </c>
      <c r="K254" s="9" t="n">
        <v>0</v>
      </c>
      <c r="L254" s="9" t="n">
        <v>0</v>
      </c>
      <c r="M254" s="9" t="n">
        <v>0</v>
      </c>
      <c r="N254" s="12" t="n">
        <f aca="true">IFERROR(ROUND(SUM(OFFSET(B254,0,0,1,POSTAVKE!$B$7))/POSTAVKE!$B$7,2),0)</f>
        <v>1.25</v>
      </c>
    </row>
    <row r="255" customFormat="false" ht="15" hidden="false" customHeight="false" outlineLevel="0" collapsed="false">
      <c r="A255" s="11" t="s">
        <v>645</v>
      </c>
      <c r="B255" s="9" t="n">
        <v>1</v>
      </c>
      <c r="C255" s="9" t="n">
        <v>1</v>
      </c>
      <c r="D255" s="9" t="n">
        <v>0</v>
      </c>
      <c r="E255" s="9" t="n">
        <v>0</v>
      </c>
      <c r="F255" s="9" t="n">
        <v>1</v>
      </c>
      <c r="G255" s="9" t="n">
        <v>1</v>
      </c>
      <c r="H255" s="9" t="n">
        <v>2</v>
      </c>
      <c r="I255" s="9" t="n">
        <v>1</v>
      </c>
      <c r="J255" s="9" t="n">
        <v>0</v>
      </c>
      <c r="K255" s="9" t="n">
        <v>0</v>
      </c>
      <c r="L255" s="9" t="n">
        <v>0</v>
      </c>
      <c r="M255" s="9" t="n">
        <v>0</v>
      </c>
      <c r="N255" s="12" t="n">
        <f aca="true">IFERROR(ROUND(SUM(OFFSET(B255,0,0,1,POSTAVKE!$B$7))/POSTAVKE!$B$7,2),0)</f>
        <v>0.88</v>
      </c>
    </row>
    <row r="256" customFormat="false" ht="15" hidden="false" customHeight="false" outlineLevel="0" collapsed="false">
      <c r="A256" s="11" t="s">
        <v>263</v>
      </c>
      <c r="B256" s="9" t="n">
        <v>1</v>
      </c>
      <c r="C256" s="9" t="n">
        <v>0</v>
      </c>
      <c r="D256" s="9" t="n">
        <v>2</v>
      </c>
      <c r="E256" s="9" t="n">
        <v>0</v>
      </c>
      <c r="F256" s="9" t="n">
        <v>1</v>
      </c>
      <c r="G256" s="9" t="n">
        <v>2</v>
      </c>
      <c r="H256" s="9" t="n">
        <v>1</v>
      </c>
      <c r="I256" s="9" t="n">
        <v>0</v>
      </c>
      <c r="J256" s="9" t="n">
        <v>0</v>
      </c>
      <c r="K256" s="9" t="n">
        <v>0</v>
      </c>
      <c r="L256" s="9" t="n">
        <v>0</v>
      </c>
      <c r="M256" s="9" t="n">
        <v>0</v>
      </c>
      <c r="N256" s="12" t="n">
        <f aca="true">IFERROR(ROUND(SUM(OFFSET(B256,0,0,1,POSTAVKE!$B$7))/POSTAVKE!$B$7,2),0)</f>
        <v>0.88</v>
      </c>
    </row>
    <row r="257" customFormat="false" ht="15" hidden="false" customHeight="false" outlineLevel="0" collapsed="false">
      <c r="A257" s="11" t="s">
        <v>615</v>
      </c>
      <c r="B257" s="9" t="n">
        <v>1</v>
      </c>
      <c r="C257" s="9" t="n">
        <v>1</v>
      </c>
      <c r="D257" s="9" t="n">
        <v>1</v>
      </c>
      <c r="E257" s="9" t="n">
        <v>1</v>
      </c>
      <c r="F257" s="9" t="n">
        <v>2</v>
      </c>
      <c r="G257" s="9" t="n">
        <v>1</v>
      </c>
      <c r="H257" s="9" t="n">
        <v>1</v>
      </c>
      <c r="I257" s="9" t="n">
        <v>1</v>
      </c>
      <c r="J257" s="9" t="n">
        <v>0</v>
      </c>
      <c r="K257" s="9" t="n">
        <v>0</v>
      </c>
      <c r="L257" s="9" t="n">
        <v>0</v>
      </c>
      <c r="M257" s="9" t="n">
        <v>0</v>
      </c>
      <c r="N257" s="12" t="n">
        <f aca="true">IFERROR(ROUND(SUM(OFFSET(B257,0,0,1,POSTAVKE!$B$7))/POSTAVKE!$B$7,2),0)</f>
        <v>1.13</v>
      </c>
    </row>
    <row r="258" customFormat="false" ht="15" hidden="false" customHeight="false" outlineLevel="0" collapsed="false">
      <c r="A258" s="11" t="s">
        <v>15</v>
      </c>
      <c r="B258" s="9" t="n">
        <v>1</v>
      </c>
      <c r="C258" s="9" t="n">
        <v>-1</v>
      </c>
      <c r="D258" s="9" t="n">
        <v>1405</v>
      </c>
      <c r="E258" s="9" t="n">
        <v>0</v>
      </c>
      <c r="F258" s="9" t="n">
        <v>0</v>
      </c>
      <c r="G258" s="9" t="n">
        <v>0</v>
      </c>
      <c r="H258" s="9" t="n">
        <v>0</v>
      </c>
      <c r="I258" s="9" t="n">
        <v>0</v>
      </c>
      <c r="J258" s="9" t="n">
        <v>0</v>
      </c>
      <c r="K258" s="9" t="n">
        <v>0</v>
      </c>
      <c r="L258" s="9" t="n">
        <v>0</v>
      </c>
      <c r="M258" s="9" t="n">
        <v>0</v>
      </c>
      <c r="N258" s="12" t="n">
        <f aca="true">IFERROR(ROUND(SUM(OFFSET(B258,0,0,1,POSTAVKE!$B$7))/POSTAVKE!$B$7,2),0)</f>
        <v>175.63</v>
      </c>
    </row>
    <row r="259" customFormat="false" ht="15" hidden="false" customHeight="false" outlineLevel="0" collapsed="false">
      <c r="A259" s="11" t="s">
        <v>397</v>
      </c>
      <c r="B259" s="9" t="n">
        <v>1</v>
      </c>
      <c r="C259" s="9" t="n">
        <v>4</v>
      </c>
      <c r="D259" s="9" t="n">
        <v>8</v>
      </c>
      <c r="E259" s="9" t="n">
        <v>4</v>
      </c>
      <c r="F259" s="9" t="n">
        <v>1</v>
      </c>
      <c r="G259" s="9" t="n">
        <v>0</v>
      </c>
      <c r="H259" s="9" t="n">
        <v>1</v>
      </c>
      <c r="I259" s="9" t="n">
        <v>3</v>
      </c>
      <c r="J259" s="9" t="n">
        <v>5</v>
      </c>
      <c r="K259" s="9" t="n">
        <v>0</v>
      </c>
      <c r="L259" s="9" t="n">
        <v>0</v>
      </c>
      <c r="M259" s="9" t="n">
        <v>0</v>
      </c>
      <c r="N259" s="12" t="n">
        <f aca="true">IFERROR(ROUND(SUM(OFFSET(B259,0,0,1,POSTAVKE!$B$7))/POSTAVKE!$B$7,2),0)</f>
        <v>2.75</v>
      </c>
    </row>
    <row r="260" customFormat="false" ht="15" hidden="false" customHeight="false" outlineLevel="0" collapsed="false">
      <c r="A260" s="11" t="s">
        <v>647</v>
      </c>
      <c r="B260" s="9" t="n">
        <v>1</v>
      </c>
      <c r="C260" s="9" t="n">
        <v>1</v>
      </c>
      <c r="D260" s="9" t="n">
        <v>0</v>
      </c>
      <c r="E260" s="9" t="n">
        <v>0</v>
      </c>
      <c r="F260" s="9" t="n">
        <v>2</v>
      </c>
      <c r="G260" s="9" t="n">
        <v>0</v>
      </c>
      <c r="H260" s="9" t="n">
        <v>1</v>
      </c>
      <c r="I260" s="9" t="n">
        <v>0</v>
      </c>
      <c r="J260" s="9" t="n">
        <v>0</v>
      </c>
      <c r="K260" s="9" t="n">
        <v>0</v>
      </c>
      <c r="L260" s="9" t="n">
        <v>0</v>
      </c>
      <c r="M260" s="9" t="n">
        <v>0</v>
      </c>
      <c r="N260" s="12" t="n">
        <f aca="true">IFERROR(ROUND(SUM(OFFSET(B260,0,0,1,POSTAVKE!$B$7))/POSTAVKE!$B$7,2),0)</f>
        <v>0.63</v>
      </c>
    </row>
    <row r="261" customFormat="false" ht="15" hidden="false" customHeight="false" outlineLevel="0" collapsed="false">
      <c r="A261" s="11" t="s">
        <v>1061</v>
      </c>
      <c r="B261" s="9" t="n">
        <v>1</v>
      </c>
      <c r="C261" s="9" t="n">
        <v>2</v>
      </c>
      <c r="D261" s="9" t="n">
        <v>7</v>
      </c>
      <c r="E261" s="9" t="n">
        <v>3</v>
      </c>
      <c r="F261" s="9" t="n">
        <v>3</v>
      </c>
      <c r="G261" s="9" t="n">
        <v>2</v>
      </c>
      <c r="H261" s="9" t="n">
        <v>1</v>
      </c>
      <c r="I261" s="9" t="n">
        <v>2</v>
      </c>
      <c r="J261" s="9" t="n">
        <v>0</v>
      </c>
      <c r="K261" s="9" t="n">
        <v>0</v>
      </c>
      <c r="L261" s="9" t="n">
        <v>0</v>
      </c>
      <c r="M261" s="9" t="n">
        <v>0</v>
      </c>
      <c r="N261" s="12" t="n">
        <f aca="true">IFERROR(ROUND(SUM(OFFSET(B261,0,0,1,POSTAVKE!$B$7))/POSTAVKE!$B$7,2),0)</f>
        <v>2.63</v>
      </c>
    </row>
    <row r="262" customFormat="false" ht="15" hidden="false" customHeight="false" outlineLevel="0" collapsed="false">
      <c r="A262" s="11" t="s">
        <v>885</v>
      </c>
      <c r="B262" s="9" t="n">
        <v>1</v>
      </c>
      <c r="C262" s="9" t="n">
        <v>3</v>
      </c>
      <c r="D262" s="9" t="n">
        <v>0</v>
      </c>
      <c r="E262" s="9" t="n">
        <v>3</v>
      </c>
      <c r="F262" s="9" t="n">
        <v>1</v>
      </c>
      <c r="G262" s="9" t="n">
        <v>2</v>
      </c>
      <c r="H262" s="9" t="n">
        <v>2</v>
      </c>
      <c r="I262" s="9" t="n">
        <v>4</v>
      </c>
      <c r="J262" s="9" t="n">
        <v>0</v>
      </c>
      <c r="K262" s="9" t="n">
        <v>0</v>
      </c>
      <c r="L262" s="9" t="n">
        <v>0</v>
      </c>
      <c r="M262" s="9" t="n">
        <v>0</v>
      </c>
      <c r="N262" s="12" t="n">
        <f aca="true">IFERROR(ROUND(SUM(OFFSET(B262,0,0,1,POSTAVKE!$B$7))/POSTAVKE!$B$7,2),0)</f>
        <v>2</v>
      </c>
    </row>
    <row r="263" customFormat="false" ht="15" hidden="false" customHeight="false" outlineLevel="0" collapsed="false">
      <c r="A263" s="11" t="s">
        <v>109</v>
      </c>
      <c r="B263" s="9" t="n">
        <v>1</v>
      </c>
      <c r="C263" s="9" t="n">
        <v>0</v>
      </c>
      <c r="D263" s="9" t="n">
        <v>0</v>
      </c>
      <c r="E263" s="9" t="n">
        <v>3</v>
      </c>
      <c r="F263" s="9" t="n">
        <v>0</v>
      </c>
      <c r="G263" s="9" t="n">
        <v>0</v>
      </c>
      <c r="H263" s="9" t="n">
        <v>0</v>
      </c>
      <c r="I263" s="9" t="n">
        <v>0</v>
      </c>
      <c r="J263" s="9" t="n">
        <v>0</v>
      </c>
      <c r="K263" s="9" t="n">
        <v>0</v>
      </c>
      <c r="L263" s="9" t="n">
        <v>0</v>
      </c>
      <c r="M263" s="9" t="n">
        <v>0</v>
      </c>
      <c r="N263" s="12" t="n">
        <f aca="true">IFERROR(ROUND(SUM(OFFSET(B263,0,0,1,POSTAVKE!$B$7))/POSTAVKE!$B$7,2),0)</f>
        <v>0.5</v>
      </c>
    </row>
    <row r="264" customFormat="false" ht="15" hidden="false" customHeight="false" outlineLevel="0" collapsed="false">
      <c r="A264" s="11" t="s">
        <v>1622</v>
      </c>
      <c r="B264" s="9" t="n">
        <v>1</v>
      </c>
      <c r="C264" s="9" t="n">
        <v>0</v>
      </c>
      <c r="D264" s="9" t="n">
        <v>0</v>
      </c>
      <c r="E264" s="9" t="n">
        <v>0</v>
      </c>
      <c r="F264" s="9" t="n">
        <v>0</v>
      </c>
      <c r="G264" s="9" t="n">
        <v>0</v>
      </c>
      <c r="H264" s="9" t="n">
        <v>0</v>
      </c>
      <c r="I264" s="9" t="n">
        <v>0</v>
      </c>
      <c r="J264" s="9" t="n">
        <v>0</v>
      </c>
      <c r="K264" s="9" t="n">
        <v>0</v>
      </c>
      <c r="L264" s="9" t="n">
        <v>0</v>
      </c>
      <c r="M264" s="9" t="n">
        <v>0</v>
      </c>
      <c r="N264" s="12" t="n">
        <f aca="true">IFERROR(ROUND(SUM(OFFSET(B264,0,0,1,POSTAVKE!$B$7))/POSTAVKE!$B$7,2),0)</f>
        <v>0.13</v>
      </c>
    </row>
    <row r="265" customFormat="false" ht="15" hidden="false" customHeight="false" outlineLevel="0" collapsed="false">
      <c r="A265" s="11" t="s">
        <v>1624</v>
      </c>
      <c r="B265" s="9" t="n">
        <v>1</v>
      </c>
      <c r="C265" s="9" t="n">
        <v>14</v>
      </c>
      <c r="D265" s="9" t="n">
        <v>0</v>
      </c>
      <c r="E265" s="9" t="n">
        <v>0</v>
      </c>
      <c r="F265" s="9" t="n">
        <v>0</v>
      </c>
      <c r="G265" s="9" t="n">
        <v>0</v>
      </c>
      <c r="H265" s="9" t="n">
        <v>0</v>
      </c>
      <c r="I265" s="9" t="n">
        <v>0</v>
      </c>
      <c r="J265" s="9" t="n">
        <v>0</v>
      </c>
      <c r="K265" s="9" t="n">
        <v>0</v>
      </c>
      <c r="L265" s="9" t="n">
        <v>0</v>
      </c>
      <c r="M265" s="9" t="n">
        <v>0</v>
      </c>
      <c r="N265" s="12" t="n">
        <f aca="true">IFERROR(ROUND(SUM(OFFSET(B265,0,0,1,POSTAVKE!$B$7))/POSTAVKE!$B$7,2),0)</f>
        <v>1.88</v>
      </c>
    </row>
    <row r="266" customFormat="false" ht="15" hidden="false" customHeight="false" outlineLevel="0" collapsed="false">
      <c r="A266" s="11" t="s">
        <v>987</v>
      </c>
      <c r="B266" s="9" t="n">
        <v>1</v>
      </c>
      <c r="C266" s="9" t="n">
        <v>0</v>
      </c>
      <c r="D266" s="9" t="n">
        <v>0</v>
      </c>
      <c r="E266" s="9" t="n">
        <v>0</v>
      </c>
      <c r="F266" s="9" t="n">
        <v>0</v>
      </c>
      <c r="G266" s="9" t="n">
        <v>0</v>
      </c>
      <c r="H266" s="9" t="n">
        <v>0</v>
      </c>
      <c r="I266" s="9" t="n">
        <v>0</v>
      </c>
      <c r="J266" s="9" t="n">
        <v>0</v>
      </c>
      <c r="K266" s="9" t="n">
        <v>0</v>
      </c>
      <c r="L266" s="9" t="n">
        <v>0</v>
      </c>
      <c r="M266" s="9" t="n">
        <v>0</v>
      </c>
      <c r="N266" s="12" t="n">
        <f aca="true">IFERROR(ROUND(SUM(OFFSET(B266,0,0,1,POSTAVKE!$B$7))/POSTAVKE!$B$7,2),0)</f>
        <v>0.13</v>
      </c>
    </row>
    <row r="267" customFormat="false" ht="15" hidden="false" customHeight="false" outlineLevel="0" collapsed="false">
      <c r="A267" s="11" t="s">
        <v>207</v>
      </c>
      <c r="B267" s="9" t="n">
        <v>1</v>
      </c>
      <c r="C267" s="9" t="n">
        <v>12</v>
      </c>
      <c r="D267" s="9" t="n">
        <v>1</v>
      </c>
      <c r="E267" s="9" t="n">
        <v>64</v>
      </c>
      <c r="F267" s="9" t="n">
        <v>1</v>
      </c>
      <c r="G267" s="9" t="n">
        <v>17</v>
      </c>
      <c r="H267" s="9" t="n">
        <v>23</v>
      </c>
      <c r="I267" s="9" t="n">
        <v>2</v>
      </c>
      <c r="J267" s="9" t="n">
        <v>0</v>
      </c>
      <c r="K267" s="9" t="n">
        <v>0</v>
      </c>
      <c r="L267" s="9" t="n">
        <v>0</v>
      </c>
      <c r="M267" s="9" t="n">
        <v>0</v>
      </c>
      <c r="N267" s="12" t="n">
        <f aca="true">IFERROR(ROUND(SUM(OFFSET(B267,0,0,1,POSTAVKE!$B$7))/POSTAVKE!$B$7,2),0)</f>
        <v>15.13</v>
      </c>
    </row>
    <row r="268" customFormat="false" ht="15" hidden="false" customHeight="false" outlineLevel="0" collapsed="false">
      <c r="A268" s="11" t="s">
        <v>167</v>
      </c>
      <c r="B268" s="9" t="n">
        <v>1</v>
      </c>
      <c r="C268" s="9" t="n">
        <v>0</v>
      </c>
      <c r="D268" s="9" t="n">
        <v>1</v>
      </c>
      <c r="E268" s="9" t="n">
        <v>1</v>
      </c>
      <c r="F268" s="9" t="n">
        <v>2</v>
      </c>
      <c r="G268" s="9" t="n">
        <v>5</v>
      </c>
      <c r="H268" s="9" t="n">
        <v>1</v>
      </c>
      <c r="I268" s="9" t="n">
        <v>0</v>
      </c>
      <c r="J268" s="9" t="n">
        <v>0</v>
      </c>
      <c r="K268" s="9" t="n">
        <v>0</v>
      </c>
      <c r="L268" s="9" t="n">
        <v>0</v>
      </c>
      <c r="M268" s="9" t="n">
        <v>0</v>
      </c>
      <c r="N268" s="12" t="n">
        <f aca="true">IFERROR(ROUND(SUM(OFFSET(B268,0,0,1,POSTAVKE!$B$7))/POSTAVKE!$B$7,2),0)</f>
        <v>1.38</v>
      </c>
    </row>
    <row r="269" customFormat="false" ht="15" hidden="false" customHeight="false" outlineLevel="0" collapsed="false">
      <c r="A269" s="11" t="s">
        <v>231</v>
      </c>
      <c r="B269" s="9" t="n">
        <v>1</v>
      </c>
      <c r="C269" s="9" t="n">
        <v>0</v>
      </c>
      <c r="D269" s="9" t="n">
        <v>0</v>
      </c>
      <c r="E269" s="9" t="n">
        <v>0</v>
      </c>
      <c r="F269" s="9" t="n">
        <v>0</v>
      </c>
      <c r="G269" s="9" t="n">
        <v>1</v>
      </c>
      <c r="H269" s="9" t="n">
        <v>0</v>
      </c>
      <c r="I269" s="9" t="n">
        <v>0</v>
      </c>
      <c r="J269" s="9" t="n">
        <v>0</v>
      </c>
      <c r="K269" s="9" t="n">
        <v>0</v>
      </c>
      <c r="L269" s="9" t="n">
        <v>0</v>
      </c>
      <c r="M269" s="9" t="n">
        <v>0</v>
      </c>
      <c r="N269" s="12" t="n">
        <f aca="true">IFERROR(ROUND(SUM(OFFSET(B269,0,0,1,POSTAVKE!$B$7))/POSTAVKE!$B$7,2),0)</f>
        <v>0.25</v>
      </c>
    </row>
    <row r="270" customFormat="false" ht="15" hidden="false" customHeight="false" outlineLevel="0" collapsed="false">
      <c r="A270" s="11" t="s">
        <v>223</v>
      </c>
      <c r="B270" s="9" t="n">
        <v>1</v>
      </c>
      <c r="C270" s="9" t="n">
        <v>0</v>
      </c>
      <c r="D270" s="9" t="n">
        <v>0</v>
      </c>
      <c r="E270" s="9" t="n">
        <v>0</v>
      </c>
      <c r="F270" s="9" t="n">
        <v>0</v>
      </c>
      <c r="G270" s="9" t="n">
        <v>-1</v>
      </c>
      <c r="H270" s="9" t="n">
        <v>0</v>
      </c>
      <c r="I270" s="9" t="n">
        <v>0</v>
      </c>
      <c r="J270" s="9" t="n">
        <v>0</v>
      </c>
      <c r="K270" s="9" t="n">
        <v>0</v>
      </c>
      <c r="L270" s="9" t="n">
        <v>0</v>
      </c>
      <c r="M270" s="9" t="n">
        <v>0</v>
      </c>
      <c r="N270" s="12" t="n">
        <f aca="true">IFERROR(ROUND(SUM(OFFSET(B270,0,0,1,POSTAVKE!$B$7))/POSTAVKE!$B$7,2),0)</f>
        <v>0</v>
      </c>
    </row>
    <row r="271" customFormat="false" ht="15" hidden="false" customHeight="false" outlineLevel="0" collapsed="false">
      <c r="A271" s="11" t="s">
        <v>649</v>
      </c>
      <c r="B271" s="9" t="n">
        <v>1</v>
      </c>
      <c r="C271" s="9" t="n">
        <v>0</v>
      </c>
      <c r="D271" s="9" t="n">
        <v>3</v>
      </c>
      <c r="E271" s="9" t="n">
        <v>7</v>
      </c>
      <c r="F271" s="9" t="n">
        <v>0</v>
      </c>
      <c r="G271" s="9" t="n">
        <v>2</v>
      </c>
      <c r="H271" s="9" t="n">
        <v>4</v>
      </c>
      <c r="I271" s="9" t="n">
        <v>1</v>
      </c>
      <c r="J271" s="9" t="n">
        <v>0</v>
      </c>
      <c r="K271" s="9" t="n">
        <v>0</v>
      </c>
      <c r="L271" s="9" t="n">
        <v>0</v>
      </c>
      <c r="M271" s="9" t="n">
        <v>0</v>
      </c>
      <c r="N271" s="12" t="n">
        <f aca="true">IFERROR(ROUND(SUM(OFFSET(B271,0,0,1,POSTAVKE!$B$7))/POSTAVKE!$B$7,2),0)</f>
        <v>2.25</v>
      </c>
    </row>
    <row r="272" customFormat="false" ht="15" hidden="false" customHeight="false" outlineLevel="0" collapsed="false">
      <c r="A272" s="11" t="s">
        <v>905</v>
      </c>
      <c r="B272" s="9" t="n">
        <v>1</v>
      </c>
      <c r="C272" s="9" t="n">
        <v>2</v>
      </c>
      <c r="D272" s="9" t="n">
        <v>6</v>
      </c>
      <c r="E272" s="9" t="n">
        <v>2</v>
      </c>
      <c r="F272" s="9" t="n">
        <v>4</v>
      </c>
      <c r="G272" s="9" t="n">
        <v>6</v>
      </c>
      <c r="H272" s="9" t="n">
        <v>-1</v>
      </c>
      <c r="I272" s="9" t="n">
        <v>0</v>
      </c>
      <c r="J272" s="9" t="n">
        <v>0</v>
      </c>
      <c r="K272" s="9" t="n">
        <v>0</v>
      </c>
      <c r="L272" s="9" t="n">
        <v>0</v>
      </c>
      <c r="M272" s="9" t="n">
        <v>0</v>
      </c>
      <c r="N272" s="12" t="n">
        <f aca="true">IFERROR(ROUND(SUM(OFFSET(B272,0,0,1,POSTAVKE!$B$7))/POSTAVKE!$B$7,2),0)</f>
        <v>2.5</v>
      </c>
    </row>
    <row r="273" customFormat="false" ht="15" hidden="false" customHeight="false" outlineLevel="0" collapsed="false">
      <c r="A273" s="11" t="s">
        <v>743</v>
      </c>
      <c r="B273" s="9" t="n">
        <v>1</v>
      </c>
      <c r="C273" s="9" t="n">
        <v>1</v>
      </c>
      <c r="D273" s="9" t="n">
        <v>1</v>
      </c>
      <c r="E273" s="9" t="n">
        <v>1</v>
      </c>
      <c r="F273" s="9" t="n">
        <v>0</v>
      </c>
      <c r="G273" s="9" t="n">
        <v>2</v>
      </c>
      <c r="H273" s="9" t="n">
        <v>1</v>
      </c>
      <c r="I273" s="9" t="n">
        <v>0</v>
      </c>
      <c r="J273" s="9" t="n">
        <v>0</v>
      </c>
      <c r="K273" s="9" t="n">
        <v>0</v>
      </c>
      <c r="L273" s="9" t="n">
        <v>0</v>
      </c>
      <c r="M273" s="9" t="n">
        <v>0</v>
      </c>
      <c r="N273" s="12" t="n">
        <f aca="true">IFERROR(ROUND(SUM(OFFSET(B273,0,0,1,POSTAVKE!$B$7))/POSTAVKE!$B$7,2),0)</f>
        <v>0.88</v>
      </c>
    </row>
    <row r="274" customFormat="false" ht="15" hidden="false" customHeight="false" outlineLevel="0" collapsed="false">
      <c r="A274" s="11" t="s">
        <v>1630</v>
      </c>
      <c r="B274" s="9" t="n">
        <v>1</v>
      </c>
      <c r="C274" s="9" t="n">
        <v>2</v>
      </c>
      <c r="D274" s="9" t="n">
        <v>1</v>
      </c>
      <c r="E274" s="9" t="n">
        <v>0</v>
      </c>
      <c r="F274" s="9" t="n">
        <v>0</v>
      </c>
      <c r="G274" s="9" t="n">
        <v>0</v>
      </c>
      <c r="H274" s="9" t="n">
        <v>0</v>
      </c>
      <c r="I274" s="9" t="n">
        <v>0</v>
      </c>
      <c r="J274" s="9" t="n">
        <v>0</v>
      </c>
      <c r="K274" s="9" t="n">
        <v>0</v>
      </c>
      <c r="L274" s="9" t="n">
        <v>0</v>
      </c>
      <c r="M274" s="9" t="n">
        <v>0</v>
      </c>
      <c r="N274" s="12" t="n">
        <f aca="true">IFERROR(ROUND(SUM(OFFSET(B274,0,0,1,POSTAVKE!$B$7))/POSTAVKE!$B$7,2),0)</f>
        <v>0.5</v>
      </c>
    </row>
    <row r="275" customFormat="false" ht="15" hidden="false" customHeight="false" outlineLevel="0" collapsed="false">
      <c r="A275" s="11" t="s">
        <v>437</v>
      </c>
      <c r="B275" s="9" t="n">
        <v>1</v>
      </c>
      <c r="C275" s="9" t="n">
        <v>1</v>
      </c>
      <c r="D275" s="9" t="n">
        <v>5</v>
      </c>
      <c r="E275" s="9" t="n">
        <v>-1</v>
      </c>
      <c r="F275" s="9" t="n">
        <v>1</v>
      </c>
      <c r="G275" s="9" t="n">
        <v>1</v>
      </c>
      <c r="H275" s="9" t="n">
        <v>1</v>
      </c>
      <c r="I275" s="9" t="n">
        <v>0</v>
      </c>
      <c r="J275" s="9" t="n">
        <v>0</v>
      </c>
      <c r="K275" s="9" t="n">
        <v>0</v>
      </c>
      <c r="L275" s="9" t="n">
        <v>0</v>
      </c>
      <c r="M275" s="9" t="n">
        <v>0</v>
      </c>
      <c r="N275" s="12" t="n">
        <f aca="true">IFERROR(ROUND(SUM(OFFSET(B275,0,0,1,POSTAVKE!$B$7))/POSTAVKE!$B$7,2),0)</f>
        <v>1.13</v>
      </c>
    </row>
    <row r="276" customFormat="false" ht="15" hidden="false" customHeight="false" outlineLevel="0" collapsed="false">
      <c r="A276" s="11" t="s">
        <v>785</v>
      </c>
      <c r="B276" s="9" t="n">
        <v>1</v>
      </c>
      <c r="C276" s="9" t="n">
        <v>3</v>
      </c>
      <c r="D276" s="9" t="n">
        <v>1</v>
      </c>
      <c r="E276" s="9" t="n">
        <v>1</v>
      </c>
      <c r="F276" s="9" t="n">
        <v>0</v>
      </c>
      <c r="G276" s="9" t="n">
        <v>0</v>
      </c>
      <c r="H276" s="9" t="n">
        <v>0</v>
      </c>
      <c r="I276" s="9" t="n">
        <v>1</v>
      </c>
      <c r="J276" s="9" t="n">
        <v>0</v>
      </c>
      <c r="K276" s="9" t="n">
        <v>0</v>
      </c>
      <c r="L276" s="9" t="n">
        <v>0</v>
      </c>
      <c r="M276" s="9" t="n">
        <v>0</v>
      </c>
      <c r="N276" s="12" t="n">
        <f aca="true">IFERROR(ROUND(SUM(OFFSET(B276,0,0,1,POSTAVKE!$B$7))/POSTAVKE!$B$7,2),0)</f>
        <v>0.88</v>
      </c>
    </row>
    <row r="277" customFormat="false" ht="15" hidden="false" customHeight="false" outlineLevel="0" collapsed="false">
      <c r="A277" s="11" t="s">
        <v>1632</v>
      </c>
      <c r="B277" s="9" t="n">
        <v>1</v>
      </c>
      <c r="C277" s="9" t="n">
        <v>1</v>
      </c>
      <c r="D277" s="9" t="n">
        <v>1</v>
      </c>
      <c r="E277" s="9" t="n">
        <v>1</v>
      </c>
      <c r="F277" s="9" t="n">
        <v>0</v>
      </c>
      <c r="G277" s="9" t="n">
        <v>1</v>
      </c>
      <c r="H277" s="9" t="n">
        <v>1</v>
      </c>
      <c r="I277" s="9" t="n">
        <v>0</v>
      </c>
      <c r="J277" s="9" t="n">
        <v>0</v>
      </c>
      <c r="K277" s="9" t="n">
        <v>0</v>
      </c>
      <c r="L277" s="9" t="n">
        <v>0</v>
      </c>
      <c r="M277" s="9" t="n">
        <v>0</v>
      </c>
      <c r="N277" s="12" t="n">
        <f aca="true">IFERROR(ROUND(SUM(OFFSET(B277,0,0,1,POSTAVKE!$B$7))/POSTAVKE!$B$7,2),0)</f>
        <v>0.75</v>
      </c>
    </row>
    <row r="278" customFormat="false" ht="15" hidden="false" customHeight="false" outlineLevel="0" collapsed="false">
      <c r="A278" s="11" t="s">
        <v>821</v>
      </c>
      <c r="B278" s="9" t="n">
        <v>1</v>
      </c>
      <c r="C278" s="9" t="n">
        <v>2</v>
      </c>
      <c r="D278" s="9" t="n">
        <v>0</v>
      </c>
      <c r="E278" s="9" t="n">
        <v>0</v>
      </c>
      <c r="F278" s="9" t="n">
        <v>4</v>
      </c>
      <c r="G278" s="9" t="n">
        <v>0</v>
      </c>
      <c r="H278" s="9" t="n">
        <v>0</v>
      </c>
      <c r="I278" s="9" t="n">
        <v>3</v>
      </c>
      <c r="J278" s="9" t="n">
        <v>5</v>
      </c>
      <c r="K278" s="9" t="n">
        <v>0</v>
      </c>
      <c r="L278" s="9" t="n">
        <v>0</v>
      </c>
      <c r="M278" s="9" t="n">
        <v>0</v>
      </c>
      <c r="N278" s="12" t="n">
        <f aca="true">IFERROR(ROUND(SUM(OFFSET(B278,0,0,1,POSTAVKE!$B$7))/POSTAVKE!$B$7,2),0)</f>
        <v>1.25</v>
      </c>
    </row>
    <row r="279" customFormat="false" ht="15" hidden="false" customHeight="false" outlineLevel="0" collapsed="false">
      <c r="A279" s="11" t="s">
        <v>453</v>
      </c>
      <c r="B279" s="9" t="n">
        <v>1</v>
      </c>
      <c r="C279" s="9" t="n">
        <v>0</v>
      </c>
      <c r="D279" s="9" t="n">
        <v>0</v>
      </c>
      <c r="E279" s="9" t="n">
        <v>0</v>
      </c>
      <c r="F279" s="9" t="n">
        <v>1</v>
      </c>
      <c r="G279" s="9" t="n">
        <v>0</v>
      </c>
      <c r="H279" s="9" t="n">
        <v>0</v>
      </c>
      <c r="I279" s="9" t="n">
        <v>1</v>
      </c>
      <c r="J279" s="9" t="n">
        <v>0</v>
      </c>
      <c r="K279" s="9" t="n">
        <v>0</v>
      </c>
      <c r="L279" s="9" t="n">
        <v>0</v>
      </c>
      <c r="M279" s="9" t="n">
        <v>0</v>
      </c>
      <c r="N279" s="12" t="n">
        <f aca="true">IFERROR(ROUND(SUM(OFFSET(B279,0,0,1,POSTAVKE!$B$7))/POSTAVKE!$B$7,2),0)</f>
        <v>0.38</v>
      </c>
    </row>
    <row r="280" customFormat="false" ht="15" hidden="false" customHeight="false" outlineLevel="0" collapsed="false">
      <c r="A280" s="11" t="s">
        <v>1638</v>
      </c>
      <c r="B280" s="9" t="n">
        <v>1</v>
      </c>
      <c r="C280" s="9" t="n">
        <v>3</v>
      </c>
      <c r="D280" s="9" t="n">
        <v>6</v>
      </c>
      <c r="E280" s="9" t="n">
        <v>4</v>
      </c>
      <c r="F280" s="9" t="n">
        <v>6</v>
      </c>
      <c r="G280" s="9" t="n">
        <v>8</v>
      </c>
      <c r="H280" s="9" t="n">
        <v>14</v>
      </c>
      <c r="I280" s="9" t="n">
        <v>3</v>
      </c>
      <c r="J280" s="9" t="n">
        <v>0</v>
      </c>
      <c r="K280" s="9" t="n">
        <v>0</v>
      </c>
      <c r="L280" s="9" t="n">
        <v>0</v>
      </c>
      <c r="M280" s="9" t="n">
        <v>0</v>
      </c>
      <c r="N280" s="12" t="n">
        <f aca="true">IFERROR(ROUND(SUM(OFFSET(B280,0,0,1,POSTAVKE!$B$7))/POSTAVKE!$B$7,2),0)</f>
        <v>5.63</v>
      </c>
    </row>
    <row r="281" customFormat="false" ht="15" hidden="false" customHeight="false" outlineLevel="0" collapsed="false">
      <c r="A281" s="11" t="s">
        <v>1147</v>
      </c>
      <c r="B281" s="9" t="n">
        <v>1</v>
      </c>
      <c r="C281" s="9" t="n">
        <v>1</v>
      </c>
      <c r="D281" s="9" t="n">
        <v>1</v>
      </c>
      <c r="E281" s="9" t="n">
        <v>1</v>
      </c>
      <c r="F281" s="9" t="n">
        <v>0</v>
      </c>
      <c r="G281" s="9" t="n">
        <v>0</v>
      </c>
      <c r="H281" s="9" t="n">
        <v>0</v>
      </c>
      <c r="I281" s="9" t="n">
        <v>1</v>
      </c>
      <c r="J281" s="9" t="n">
        <v>0</v>
      </c>
      <c r="K281" s="9" t="n">
        <v>0</v>
      </c>
      <c r="L281" s="9" t="n">
        <v>0</v>
      </c>
      <c r="M281" s="9" t="n">
        <v>0</v>
      </c>
      <c r="N281" s="12" t="n">
        <f aca="true">IFERROR(ROUND(SUM(OFFSET(B281,0,0,1,POSTAVKE!$B$7))/POSTAVKE!$B$7,2),0)</f>
        <v>0.63</v>
      </c>
    </row>
    <row r="282" customFormat="false" ht="15" hidden="false" customHeight="false" outlineLevel="0" collapsed="false">
      <c r="A282" s="11" t="s">
        <v>1009</v>
      </c>
      <c r="B282" s="9" t="n">
        <v>1</v>
      </c>
      <c r="C282" s="9" t="n">
        <v>1</v>
      </c>
      <c r="D282" s="9" t="n">
        <v>27</v>
      </c>
      <c r="E282" s="9" t="n">
        <v>10</v>
      </c>
      <c r="F282" s="9" t="n">
        <v>1</v>
      </c>
      <c r="G282" s="9" t="n">
        <v>8</v>
      </c>
      <c r="H282" s="9" t="n">
        <v>1</v>
      </c>
      <c r="I282" s="9" t="n">
        <v>2</v>
      </c>
      <c r="J282" s="9" t="n">
        <v>0</v>
      </c>
      <c r="K282" s="9" t="n">
        <v>0</v>
      </c>
      <c r="L282" s="9" t="n">
        <v>0</v>
      </c>
      <c r="M282" s="9" t="n">
        <v>0</v>
      </c>
      <c r="N282" s="12" t="n">
        <f aca="true">IFERROR(ROUND(SUM(OFFSET(B282,0,0,1,POSTAVKE!$B$7))/POSTAVKE!$B$7,2),0)</f>
        <v>6.38</v>
      </c>
    </row>
    <row r="283" customFormat="false" ht="15" hidden="false" customHeight="false" outlineLevel="0" collapsed="false">
      <c r="A283" s="11" t="s">
        <v>845</v>
      </c>
      <c r="B283" s="9" t="n">
        <v>1</v>
      </c>
      <c r="C283" s="9" t="n">
        <v>1</v>
      </c>
      <c r="D283" s="9" t="n">
        <v>1</v>
      </c>
      <c r="E283" s="9" t="n">
        <v>2</v>
      </c>
      <c r="F283" s="9" t="n">
        <v>1</v>
      </c>
      <c r="G283" s="9" t="n">
        <v>1</v>
      </c>
      <c r="H283" s="9" t="n">
        <v>1</v>
      </c>
      <c r="I283" s="9" t="n">
        <v>1</v>
      </c>
      <c r="J283" s="9" t="n">
        <v>0</v>
      </c>
      <c r="K283" s="9" t="n">
        <v>0</v>
      </c>
      <c r="L283" s="9" t="n">
        <v>0</v>
      </c>
      <c r="M283" s="9" t="n">
        <v>0</v>
      </c>
      <c r="N283" s="12" t="n">
        <f aca="true">IFERROR(ROUND(SUM(OFFSET(B283,0,0,1,POSTAVKE!$B$7))/POSTAVKE!$B$7,2),0)</f>
        <v>1.13</v>
      </c>
    </row>
    <row r="284" customFormat="false" ht="15" hidden="false" customHeight="false" outlineLevel="0" collapsed="false">
      <c r="A284" s="11" t="s">
        <v>359</v>
      </c>
      <c r="B284" s="9" t="n">
        <v>1</v>
      </c>
      <c r="C284" s="9" t="n">
        <v>0</v>
      </c>
      <c r="D284" s="9" t="n">
        <v>1</v>
      </c>
      <c r="E284" s="9" t="n">
        <v>0</v>
      </c>
      <c r="F284" s="9" t="n">
        <v>2</v>
      </c>
      <c r="G284" s="9" t="n">
        <v>2</v>
      </c>
      <c r="H284" s="9" t="n">
        <v>0</v>
      </c>
      <c r="I284" s="9" t="n">
        <v>1</v>
      </c>
      <c r="J284" s="9" t="n">
        <v>0</v>
      </c>
      <c r="K284" s="9" t="n">
        <v>0</v>
      </c>
      <c r="L284" s="9" t="n">
        <v>0</v>
      </c>
      <c r="M284" s="9" t="n">
        <v>0</v>
      </c>
      <c r="N284" s="12" t="n">
        <f aca="true">IFERROR(ROUND(SUM(OFFSET(B284,0,0,1,POSTAVKE!$B$7))/POSTAVKE!$B$7,2),0)</f>
        <v>0.88</v>
      </c>
    </row>
    <row r="285" customFormat="false" ht="15" hidden="false" customHeight="false" outlineLevel="0" collapsed="false">
      <c r="A285" s="11" t="s">
        <v>267</v>
      </c>
      <c r="B285" s="9" t="n">
        <v>1</v>
      </c>
      <c r="C285" s="9" t="n">
        <v>2</v>
      </c>
      <c r="D285" s="9" t="n">
        <v>1</v>
      </c>
      <c r="E285" s="9" t="n">
        <v>4</v>
      </c>
      <c r="F285" s="9" t="n">
        <v>1</v>
      </c>
      <c r="G285" s="9" t="n">
        <v>9</v>
      </c>
      <c r="H285" s="9" t="n">
        <v>10</v>
      </c>
      <c r="I285" s="9" t="n">
        <v>4</v>
      </c>
      <c r="J285" s="9" t="n">
        <v>2</v>
      </c>
      <c r="K285" s="9" t="n">
        <v>0</v>
      </c>
      <c r="L285" s="9" t="n">
        <v>0</v>
      </c>
      <c r="M285" s="9" t="n">
        <v>0</v>
      </c>
      <c r="N285" s="12" t="n">
        <f aca="true">IFERROR(ROUND(SUM(OFFSET(B285,0,0,1,POSTAVKE!$B$7))/POSTAVKE!$B$7,2),0)</f>
        <v>4</v>
      </c>
    </row>
    <row r="286" customFormat="false" ht="15" hidden="false" customHeight="false" outlineLevel="0" collapsed="false">
      <c r="A286" s="11" t="s">
        <v>989</v>
      </c>
      <c r="B286" s="9" t="n">
        <v>1</v>
      </c>
      <c r="C286" s="9" t="n">
        <v>0</v>
      </c>
      <c r="D286" s="9" t="n">
        <v>0</v>
      </c>
      <c r="E286" s="9" t="n">
        <v>2</v>
      </c>
      <c r="F286" s="9" t="n">
        <v>2</v>
      </c>
      <c r="G286" s="9" t="n">
        <v>4</v>
      </c>
      <c r="H286" s="9" t="n">
        <v>3</v>
      </c>
      <c r="I286" s="9" t="n">
        <v>7</v>
      </c>
      <c r="J286" s="9" t="n">
        <v>0</v>
      </c>
      <c r="K286" s="9" t="n">
        <v>0</v>
      </c>
      <c r="L286" s="9" t="n">
        <v>0</v>
      </c>
      <c r="M286" s="9" t="n">
        <v>0</v>
      </c>
      <c r="N286" s="12" t="n">
        <f aca="true">IFERROR(ROUND(SUM(OFFSET(B286,0,0,1,POSTAVKE!$B$7))/POSTAVKE!$B$7,2),0)</f>
        <v>2.38</v>
      </c>
    </row>
    <row r="287" customFormat="false" ht="15" hidden="false" customHeight="false" outlineLevel="0" collapsed="false">
      <c r="A287" s="11" t="s">
        <v>791</v>
      </c>
      <c r="B287" s="9" t="n">
        <v>1</v>
      </c>
      <c r="C287" s="9" t="n">
        <v>1</v>
      </c>
      <c r="D287" s="9" t="n">
        <v>1</v>
      </c>
      <c r="E287" s="9" t="n">
        <v>2</v>
      </c>
      <c r="F287" s="9" t="n">
        <v>0</v>
      </c>
      <c r="G287" s="9" t="n">
        <v>3</v>
      </c>
      <c r="H287" s="9" t="n">
        <v>1</v>
      </c>
      <c r="I287" s="9" t="n">
        <v>1</v>
      </c>
      <c r="J287" s="9" t="n">
        <v>1</v>
      </c>
      <c r="K287" s="9" t="n">
        <v>0</v>
      </c>
      <c r="L287" s="9" t="n">
        <v>0</v>
      </c>
      <c r="M287" s="9" t="n">
        <v>0</v>
      </c>
      <c r="N287" s="12" t="n">
        <f aca="true">IFERROR(ROUND(SUM(OFFSET(B287,0,0,1,POSTAVKE!$B$7))/POSTAVKE!$B$7,2),0)</f>
        <v>1.25</v>
      </c>
    </row>
    <row r="288" customFormat="false" ht="15" hidden="false" customHeight="false" outlineLevel="0" collapsed="false">
      <c r="A288" s="11" t="s">
        <v>793</v>
      </c>
      <c r="B288" s="9" t="n">
        <v>1</v>
      </c>
      <c r="C288" s="9" t="n">
        <v>1</v>
      </c>
      <c r="D288" s="9" t="n">
        <v>4</v>
      </c>
      <c r="E288" s="9" t="n">
        <v>12</v>
      </c>
      <c r="F288" s="9" t="n">
        <v>18</v>
      </c>
      <c r="G288" s="9" t="n">
        <v>13</v>
      </c>
      <c r="H288" s="9" t="n">
        <v>16</v>
      </c>
      <c r="I288" s="9" t="n">
        <v>10</v>
      </c>
      <c r="J288" s="9" t="n">
        <v>1</v>
      </c>
      <c r="K288" s="9" t="n">
        <v>0</v>
      </c>
      <c r="L288" s="9" t="n">
        <v>0</v>
      </c>
      <c r="M288" s="9" t="n">
        <v>0</v>
      </c>
      <c r="N288" s="12" t="n">
        <f aca="true">IFERROR(ROUND(SUM(OFFSET(B288,0,0,1,POSTAVKE!$B$7))/POSTAVKE!$B$7,2),0)</f>
        <v>9.38</v>
      </c>
    </row>
    <row r="289" customFormat="false" ht="15" hidden="false" customHeight="false" outlineLevel="0" collapsed="false">
      <c r="A289" s="11" t="s">
        <v>897</v>
      </c>
      <c r="B289" s="9" t="n">
        <v>0</v>
      </c>
      <c r="C289" s="9" t="n">
        <v>0</v>
      </c>
      <c r="D289" s="9" t="n">
        <v>0</v>
      </c>
      <c r="E289" s="9" t="n">
        <v>0</v>
      </c>
      <c r="F289" s="9" t="n">
        <v>0</v>
      </c>
      <c r="G289" s="9" t="n">
        <v>1</v>
      </c>
      <c r="H289" s="9" t="n">
        <v>0</v>
      </c>
      <c r="I289" s="9" t="n">
        <v>0</v>
      </c>
      <c r="J289" s="9" t="n">
        <v>0</v>
      </c>
      <c r="K289" s="9" t="n">
        <v>0</v>
      </c>
      <c r="L289" s="9" t="n">
        <v>0</v>
      </c>
      <c r="M289" s="9" t="n">
        <v>0</v>
      </c>
      <c r="N289" s="12" t="n">
        <f aca="true">IFERROR(ROUND(SUM(OFFSET(B289,0,0,1,POSTAVKE!$B$7))/POSTAVKE!$B$7,2),0)</f>
        <v>0.13</v>
      </c>
    </row>
    <row r="290" customFormat="false" ht="15" hidden="false" customHeight="false" outlineLevel="0" collapsed="false">
      <c r="A290" s="11" t="s">
        <v>909</v>
      </c>
      <c r="B290" s="9" t="n">
        <v>0</v>
      </c>
      <c r="C290" s="9" t="n">
        <v>0</v>
      </c>
      <c r="D290" s="9" t="n">
        <v>0</v>
      </c>
      <c r="E290" s="9" t="n">
        <v>0</v>
      </c>
      <c r="F290" s="9" t="n">
        <v>0</v>
      </c>
      <c r="G290" s="9" t="n">
        <v>0</v>
      </c>
      <c r="H290" s="9" t="n">
        <v>0</v>
      </c>
      <c r="I290" s="9" t="n">
        <v>1</v>
      </c>
      <c r="J290" s="9" t="n">
        <v>0</v>
      </c>
      <c r="K290" s="9" t="n">
        <v>0</v>
      </c>
      <c r="L290" s="9" t="n">
        <v>0</v>
      </c>
      <c r="M290" s="9" t="n">
        <v>0</v>
      </c>
      <c r="N290" s="12" t="n">
        <f aca="true">IFERROR(ROUND(SUM(OFFSET(B290,0,0,1,POSTAVKE!$B$7))/POSTAVKE!$B$7,2),0)</f>
        <v>0.13</v>
      </c>
    </row>
    <row r="291" customFormat="false" ht="15" hidden="false" customHeight="false" outlineLevel="0" collapsed="false">
      <c r="A291" s="11" t="s">
        <v>1378</v>
      </c>
      <c r="B291" s="9" t="n">
        <v>0</v>
      </c>
      <c r="C291" s="9" t="n">
        <v>0</v>
      </c>
      <c r="D291" s="9" t="n">
        <v>0</v>
      </c>
      <c r="E291" s="9" t="n">
        <v>0</v>
      </c>
      <c r="F291" s="9" t="n">
        <v>0</v>
      </c>
      <c r="G291" s="9" t="n">
        <v>0</v>
      </c>
      <c r="H291" s="9" t="n">
        <v>20</v>
      </c>
      <c r="I291" s="9" t="n">
        <v>0</v>
      </c>
      <c r="J291" s="9" t="n">
        <v>0</v>
      </c>
      <c r="K291" s="9" t="n">
        <v>0</v>
      </c>
      <c r="L291" s="9" t="n">
        <v>0</v>
      </c>
      <c r="M291" s="9" t="n">
        <v>0</v>
      </c>
      <c r="N291" s="12" t="n">
        <f aca="true">IFERROR(ROUND(SUM(OFFSET(B291,0,0,1,POSTAVKE!$B$7))/POSTAVKE!$B$7,2),0)</f>
        <v>2.5</v>
      </c>
    </row>
    <row r="292" customFormat="false" ht="15" hidden="false" customHeight="false" outlineLevel="0" collapsed="false">
      <c r="A292" s="11" t="s">
        <v>1380</v>
      </c>
      <c r="B292" s="9" t="n">
        <v>0</v>
      </c>
      <c r="C292" s="9" t="n">
        <v>0</v>
      </c>
      <c r="D292" s="9" t="n">
        <v>0</v>
      </c>
      <c r="E292" s="9" t="n">
        <v>0</v>
      </c>
      <c r="F292" s="9" t="n">
        <v>0</v>
      </c>
      <c r="G292" s="9" t="n">
        <v>0</v>
      </c>
      <c r="H292" s="9" t="n">
        <v>2</v>
      </c>
      <c r="I292" s="9" t="n">
        <v>0</v>
      </c>
      <c r="J292" s="9" t="n">
        <v>0</v>
      </c>
      <c r="K292" s="9" t="n">
        <v>0</v>
      </c>
      <c r="L292" s="9" t="n">
        <v>0</v>
      </c>
      <c r="M292" s="9" t="n">
        <v>0</v>
      </c>
      <c r="N292" s="12" t="n">
        <f aca="true">IFERROR(ROUND(SUM(OFFSET(B292,0,0,1,POSTAVKE!$B$7))/POSTAVKE!$B$7,2),0)</f>
        <v>0.25</v>
      </c>
    </row>
    <row r="293" customFormat="false" ht="15" hidden="false" customHeight="false" outlineLevel="0" collapsed="false">
      <c r="A293" s="11" t="s">
        <v>1667</v>
      </c>
      <c r="B293" s="9" t="n">
        <v>0</v>
      </c>
      <c r="C293" s="9" t="n">
        <v>0</v>
      </c>
      <c r="D293" s="9" t="n">
        <v>0</v>
      </c>
      <c r="E293" s="9" t="n">
        <v>4</v>
      </c>
      <c r="F293" s="9" t="n">
        <v>0</v>
      </c>
      <c r="G293" s="9" t="n">
        <v>0</v>
      </c>
      <c r="H293" s="9" t="n">
        <v>2</v>
      </c>
      <c r="I293" s="9" t="n">
        <v>0</v>
      </c>
      <c r="J293" s="9" t="n">
        <v>0</v>
      </c>
      <c r="K293" s="9" t="n">
        <v>0</v>
      </c>
      <c r="L293" s="9" t="n">
        <v>0</v>
      </c>
      <c r="M293" s="9" t="n">
        <v>0</v>
      </c>
      <c r="N293" s="12" t="n">
        <f aca="true">IFERROR(ROUND(SUM(OFFSET(B293,0,0,1,POSTAVKE!$B$7))/POSTAVKE!$B$7,2),0)</f>
        <v>0.75</v>
      </c>
    </row>
    <row r="294" customFormat="false" ht="15" hidden="false" customHeight="false" outlineLevel="0" collapsed="false">
      <c r="A294" s="11" t="s">
        <v>1669</v>
      </c>
      <c r="B294" s="9" t="n">
        <v>0</v>
      </c>
      <c r="C294" s="9" t="n">
        <v>0</v>
      </c>
      <c r="D294" s="9" t="n">
        <v>0</v>
      </c>
      <c r="E294" s="9" t="n">
        <v>1</v>
      </c>
      <c r="F294" s="9" t="n">
        <v>0</v>
      </c>
      <c r="G294" s="9" t="n">
        <v>0</v>
      </c>
      <c r="H294" s="9" t="n">
        <v>0</v>
      </c>
      <c r="I294" s="9" t="n">
        <v>0</v>
      </c>
      <c r="J294" s="9" t="n">
        <v>0</v>
      </c>
      <c r="K294" s="9" t="n">
        <v>0</v>
      </c>
      <c r="L294" s="9" t="n">
        <v>0</v>
      </c>
      <c r="M294" s="9" t="n">
        <v>0</v>
      </c>
      <c r="N294" s="12" t="n">
        <f aca="true">IFERROR(ROUND(SUM(OFFSET(B294,0,0,1,POSTAVKE!$B$7))/POSTAVKE!$B$7,2),0)</f>
        <v>0.13</v>
      </c>
    </row>
    <row r="295" customFormat="false" ht="15" hidden="false" customHeight="false" outlineLevel="0" collapsed="false">
      <c r="A295" s="11" t="s">
        <v>1384</v>
      </c>
      <c r="B295" s="9" t="n">
        <v>0</v>
      </c>
      <c r="C295" s="9" t="n">
        <v>0</v>
      </c>
      <c r="D295" s="9" t="n">
        <v>0</v>
      </c>
      <c r="E295" s="9" t="n">
        <v>0</v>
      </c>
      <c r="F295" s="9" t="n">
        <v>0</v>
      </c>
      <c r="G295" s="9" t="n">
        <v>40.32</v>
      </c>
      <c r="H295" s="9" t="n">
        <v>5.4</v>
      </c>
      <c r="I295" s="9" t="n">
        <v>0</v>
      </c>
      <c r="J295" s="9" t="n">
        <v>0</v>
      </c>
      <c r="K295" s="9" t="n">
        <v>0</v>
      </c>
      <c r="L295" s="9" t="n">
        <v>0</v>
      </c>
      <c r="M295" s="9" t="n">
        <v>0</v>
      </c>
      <c r="N295" s="12" t="n">
        <f aca="true">IFERROR(ROUND(SUM(OFFSET(B295,0,0,1,POSTAVKE!$B$7))/POSTAVKE!$B$7,2),0)</f>
        <v>5.72</v>
      </c>
    </row>
    <row r="296" customFormat="false" ht="15" hidden="false" customHeight="false" outlineLevel="0" collapsed="false">
      <c r="A296" s="11" t="s">
        <v>1671</v>
      </c>
      <c r="B296" s="9" t="n">
        <v>0</v>
      </c>
      <c r="C296" s="9" t="n">
        <v>0</v>
      </c>
      <c r="D296" s="9" t="n">
        <v>0</v>
      </c>
      <c r="E296" s="9" t="n">
        <v>0</v>
      </c>
      <c r="F296" s="9" t="n">
        <v>0</v>
      </c>
      <c r="G296" s="9" t="n">
        <v>0</v>
      </c>
      <c r="H296" s="9" t="n">
        <v>0</v>
      </c>
      <c r="I296" s="9" t="n">
        <v>0</v>
      </c>
      <c r="J296" s="9" t="n">
        <v>0</v>
      </c>
      <c r="K296" s="9" t="n">
        <v>0</v>
      </c>
      <c r="L296" s="9" t="n">
        <v>0</v>
      </c>
      <c r="M296" s="9" t="n">
        <v>0</v>
      </c>
      <c r="N296" s="12" t="n">
        <f aca="true">IFERROR(ROUND(SUM(OFFSET(B296,0,0,1,POSTAVKE!$B$7))/POSTAVKE!$B$7,2),0)</f>
        <v>0</v>
      </c>
    </row>
    <row r="297" customFormat="false" ht="15" hidden="false" customHeight="false" outlineLevel="0" collapsed="false">
      <c r="A297" s="11" t="s">
        <v>1388</v>
      </c>
      <c r="B297" s="9" t="n">
        <v>0</v>
      </c>
      <c r="C297" s="9" t="n">
        <v>0</v>
      </c>
      <c r="D297" s="9" t="n">
        <v>0</v>
      </c>
      <c r="E297" s="9" t="n">
        <v>0</v>
      </c>
      <c r="F297" s="9" t="n">
        <v>0</v>
      </c>
      <c r="G297" s="9" t="n">
        <v>0</v>
      </c>
      <c r="H297" s="9" t="n">
        <v>0</v>
      </c>
      <c r="I297" s="9" t="n">
        <v>0</v>
      </c>
      <c r="J297" s="9" t="n">
        <v>0</v>
      </c>
      <c r="K297" s="9" t="n">
        <v>0</v>
      </c>
      <c r="L297" s="9" t="n">
        <v>0</v>
      </c>
      <c r="M297" s="9" t="n">
        <v>0</v>
      </c>
      <c r="N297" s="12" t="n">
        <f aca="true">IFERROR(ROUND(SUM(OFFSET(B297,0,0,1,POSTAVKE!$B$7))/POSTAVKE!$B$7,2),0)</f>
        <v>0</v>
      </c>
    </row>
    <row r="298" customFormat="false" ht="15" hidden="false" customHeight="false" outlineLevel="0" collapsed="false">
      <c r="A298" s="11" t="s">
        <v>1673</v>
      </c>
      <c r="B298" s="9" t="n">
        <v>0</v>
      </c>
      <c r="C298" s="9" t="n">
        <v>0</v>
      </c>
      <c r="D298" s="9" t="n">
        <v>130</v>
      </c>
      <c r="E298" s="9" t="n">
        <v>0</v>
      </c>
      <c r="F298" s="9" t="n">
        <v>0</v>
      </c>
      <c r="G298" s="9" t="n">
        <v>0</v>
      </c>
      <c r="H298" s="9" t="n">
        <v>0</v>
      </c>
      <c r="I298" s="9" t="n">
        <v>0</v>
      </c>
      <c r="J298" s="9" t="n">
        <v>0</v>
      </c>
      <c r="K298" s="9" t="n">
        <v>0</v>
      </c>
      <c r="L298" s="9" t="n">
        <v>0</v>
      </c>
      <c r="M298" s="9" t="n">
        <v>0</v>
      </c>
      <c r="N298" s="12" t="n">
        <f aca="true">IFERROR(ROUND(SUM(OFFSET(B298,0,0,1,POSTAVKE!$B$7))/POSTAVKE!$B$7,2),0)</f>
        <v>16.25</v>
      </c>
    </row>
    <row r="299" customFormat="false" ht="15" hidden="false" customHeight="false" outlineLevel="0" collapsed="false">
      <c r="A299" s="11" t="s">
        <v>1675</v>
      </c>
      <c r="B299" s="9" t="n">
        <v>0</v>
      </c>
      <c r="C299" s="9" t="n">
        <v>0</v>
      </c>
      <c r="D299" s="9" t="n">
        <v>0</v>
      </c>
      <c r="E299" s="9" t="n">
        <v>0</v>
      </c>
      <c r="F299" s="9" t="n">
        <v>0</v>
      </c>
      <c r="G299" s="9" t="n">
        <v>0</v>
      </c>
      <c r="H299" s="9" t="n">
        <v>0</v>
      </c>
      <c r="I299" s="9" t="n">
        <v>0</v>
      </c>
      <c r="J299" s="9" t="n">
        <v>0</v>
      </c>
      <c r="K299" s="9" t="n">
        <v>0</v>
      </c>
      <c r="L299" s="9" t="n">
        <v>0</v>
      </c>
      <c r="M299" s="9" t="n">
        <v>0</v>
      </c>
      <c r="N299" s="12" t="n">
        <f aca="true">IFERROR(ROUND(SUM(OFFSET(B299,0,0,1,POSTAVKE!$B$7))/POSTAVKE!$B$7,2),0)</f>
        <v>0</v>
      </c>
    </row>
    <row r="300" customFormat="false" ht="15" hidden="false" customHeight="false" outlineLevel="0" collapsed="false">
      <c r="A300" s="11" t="s">
        <v>1677</v>
      </c>
      <c r="B300" s="9" t="n">
        <v>0</v>
      </c>
      <c r="C300" s="9" t="n">
        <v>0</v>
      </c>
      <c r="D300" s="9" t="n">
        <v>0</v>
      </c>
      <c r="E300" s="9" t="n">
        <v>0</v>
      </c>
      <c r="F300" s="9" t="n">
        <v>0</v>
      </c>
      <c r="G300" s="9" t="n">
        <v>0</v>
      </c>
      <c r="H300" s="9" t="n">
        <v>0</v>
      </c>
      <c r="I300" s="9" t="n">
        <v>0</v>
      </c>
      <c r="J300" s="9" t="n">
        <v>0</v>
      </c>
      <c r="K300" s="9" t="n">
        <v>0</v>
      </c>
      <c r="L300" s="9" t="n">
        <v>0</v>
      </c>
      <c r="M300" s="9" t="n">
        <v>0</v>
      </c>
      <c r="N300" s="12" t="n">
        <f aca="true">IFERROR(ROUND(SUM(OFFSET(B300,0,0,1,POSTAVKE!$B$7))/POSTAVKE!$B$7,2),0)</f>
        <v>0</v>
      </c>
    </row>
    <row r="301" customFormat="false" ht="15" hidden="false" customHeight="false" outlineLevel="0" collapsed="false">
      <c r="A301" s="11" t="s">
        <v>1679</v>
      </c>
      <c r="B301" s="9" t="n">
        <v>0</v>
      </c>
      <c r="C301" s="9" t="n">
        <v>0</v>
      </c>
      <c r="D301" s="9" t="n">
        <v>0</v>
      </c>
      <c r="E301" s="9" t="n">
        <v>0</v>
      </c>
      <c r="F301" s="9" t="n">
        <v>0</v>
      </c>
      <c r="G301" s="9" t="n">
        <v>0</v>
      </c>
      <c r="H301" s="9" t="n">
        <v>0</v>
      </c>
      <c r="I301" s="9" t="n">
        <v>0</v>
      </c>
      <c r="J301" s="9" t="n">
        <v>0</v>
      </c>
      <c r="K301" s="9" t="n">
        <v>0</v>
      </c>
      <c r="L301" s="9" t="n">
        <v>0</v>
      </c>
      <c r="M301" s="9" t="n">
        <v>0</v>
      </c>
      <c r="N301" s="12" t="n">
        <f aca="true">IFERROR(ROUND(SUM(OFFSET(B301,0,0,1,POSTAVKE!$B$7))/POSTAVKE!$B$7,2),0)</f>
        <v>0</v>
      </c>
    </row>
    <row r="302" customFormat="false" ht="15" hidden="false" customHeight="false" outlineLevel="0" collapsed="false">
      <c r="A302" s="11" t="s">
        <v>1681</v>
      </c>
      <c r="B302" s="9" t="n">
        <v>0</v>
      </c>
      <c r="C302" s="9" t="n">
        <v>0</v>
      </c>
      <c r="D302" s="9" t="n">
        <v>0</v>
      </c>
      <c r="E302" s="9" t="n">
        <v>0</v>
      </c>
      <c r="F302" s="9" t="n">
        <v>0</v>
      </c>
      <c r="G302" s="9" t="n">
        <v>0</v>
      </c>
      <c r="H302" s="9" t="n">
        <v>0</v>
      </c>
      <c r="I302" s="9" t="n">
        <v>0</v>
      </c>
      <c r="J302" s="9" t="n">
        <v>0</v>
      </c>
      <c r="K302" s="9" t="n">
        <v>0</v>
      </c>
      <c r="L302" s="9" t="n">
        <v>0</v>
      </c>
      <c r="M302" s="9" t="n">
        <v>0</v>
      </c>
      <c r="N302" s="12" t="n">
        <f aca="true">IFERROR(ROUND(SUM(OFFSET(B302,0,0,1,POSTAVKE!$B$7))/POSTAVKE!$B$7,2),0)</f>
        <v>0</v>
      </c>
    </row>
    <row r="303" customFormat="false" ht="15" hidden="false" customHeight="false" outlineLevel="0" collapsed="false">
      <c r="A303" s="11" t="s">
        <v>1683</v>
      </c>
      <c r="B303" s="9" t="n">
        <v>0</v>
      </c>
      <c r="C303" s="9" t="n">
        <v>0</v>
      </c>
      <c r="D303" s="9" t="n">
        <v>0</v>
      </c>
      <c r="E303" s="9" t="n">
        <v>0</v>
      </c>
      <c r="F303" s="9" t="n">
        <v>0</v>
      </c>
      <c r="G303" s="9" t="n">
        <v>0</v>
      </c>
      <c r="H303" s="9" t="n">
        <v>0</v>
      </c>
      <c r="I303" s="9" t="n">
        <v>0</v>
      </c>
      <c r="J303" s="9" t="n">
        <v>0</v>
      </c>
      <c r="K303" s="9" t="n">
        <v>0</v>
      </c>
      <c r="L303" s="9" t="n">
        <v>0</v>
      </c>
      <c r="M303" s="9" t="n">
        <v>0</v>
      </c>
      <c r="N303" s="12" t="n">
        <f aca="true">IFERROR(ROUND(SUM(OFFSET(B303,0,0,1,POSTAVKE!$B$7))/POSTAVKE!$B$7,2),0)</f>
        <v>0</v>
      </c>
    </row>
    <row r="304" customFormat="false" ht="15" hidden="false" customHeight="false" outlineLevel="0" collapsed="false">
      <c r="A304" s="11" t="s">
        <v>1392</v>
      </c>
      <c r="B304" s="9" t="n">
        <v>0</v>
      </c>
      <c r="C304" s="9" t="n">
        <v>0</v>
      </c>
      <c r="D304" s="9" t="n">
        <v>0</v>
      </c>
      <c r="E304" s="9" t="n">
        <v>0</v>
      </c>
      <c r="F304" s="9" t="n">
        <v>0</v>
      </c>
      <c r="G304" s="9" t="n">
        <v>0</v>
      </c>
      <c r="H304" s="9" t="n">
        <v>0</v>
      </c>
      <c r="I304" s="9" t="n">
        <v>0</v>
      </c>
      <c r="J304" s="9" t="n">
        <v>0</v>
      </c>
      <c r="K304" s="9" t="n">
        <v>0</v>
      </c>
      <c r="L304" s="9" t="n">
        <v>0</v>
      </c>
      <c r="M304" s="9" t="n">
        <v>0</v>
      </c>
      <c r="N304" s="12" t="n">
        <f aca="true">IFERROR(ROUND(SUM(OFFSET(B304,0,0,1,POSTAVKE!$B$7))/POSTAVKE!$B$7,2),0)</f>
        <v>0</v>
      </c>
    </row>
    <row r="305" customFormat="false" ht="15" hidden="false" customHeight="false" outlineLevel="0" collapsed="false">
      <c r="A305" s="11" t="s">
        <v>1394</v>
      </c>
      <c r="B305" s="9" t="n">
        <v>0</v>
      </c>
      <c r="C305" s="9" t="n">
        <v>0</v>
      </c>
      <c r="D305" s="9" t="n">
        <v>0</v>
      </c>
      <c r="E305" s="9" t="n">
        <v>0</v>
      </c>
      <c r="F305" s="9" t="n">
        <v>0</v>
      </c>
      <c r="G305" s="9" t="n">
        <v>0</v>
      </c>
      <c r="H305" s="9" t="n">
        <v>0</v>
      </c>
      <c r="I305" s="9" t="n">
        <v>0</v>
      </c>
      <c r="J305" s="9" t="n">
        <v>0</v>
      </c>
      <c r="K305" s="9" t="n">
        <v>0</v>
      </c>
      <c r="L305" s="9" t="n">
        <v>0</v>
      </c>
      <c r="M305" s="9" t="n">
        <v>0</v>
      </c>
      <c r="N305" s="12" t="n">
        <f aca="true">IFERROR(ROUND(SUM(OFFSET(B305,0,0,1,POSTAVKE!$B$7))/POSTAVKE!$B$7,2),0)</f>
        <v>0</v>
      </c>
    </row>
    <row r="306" customFormat="false" ht="15" hidden="false" customHeight="false" outlineLevel="0" collapsed="false">
      <c r="A306" s="11" t="s">
        <v>1685</v>
      </c>
      <c r="B306" s="9" t="n">
        <v>0</v>
      </c>
      <c r="C306" s="9" t="n">
        <v>0</v>
      </c>
      <c r="D306" s="9" t="n">
        <v>0</v>
      </c>
      <c r="E306" s="9" t="n">
        <v>0</v>
      </c>
      <c r="F306" s="9" t="n">
        <v>0</v>
      </c>
      <c r="G306" s="9" t="n">
        <v>0</v>
      </c>
      <c r="H306" s="9" t="n">
        <v>0</v>
      </c>
      <c r="I306" s="9" t="n">
        <v>0</v>
      </c>
      <c r="J306" s="9" t="n">
        <v>0</v>
      </c>
      <c r="K306" s="9" t="n">
        <v>0</v>
      </c>
      <c r="L306" s="9" t="n">
        <v>0</v>
      </c>
      <c r="M306" s="9" t="n">
        <v>0</v>
      </c>
      <c r="N306" s="12" t="n">
        <f aca="true">IFERROR(ROUND(SUM(OFFSET(B306,0,0,1,POSTAVKE!$B$7))/POSTAVKE!$B$7,2),0)</f>
        <v>0</v>
      </c>
    </row>
    <row r="307" customFormat="false" ht="15" hidden="false" customHeight="false" outlineLevel="0" collapsed="false">
      <c r="A307" s="11" t="s">
        <v>1687</v>
      </c>
      <c r="B307" s="9" t="n">
        <v>0</v>
      </c>
      <c r="C307" s="9" t="n">
        <v>0</v>
      </c>
      <c r="D307" s="9" t="n">
        <v>0</v>
      </c>
      <c r="E307" s="9" t="n">
        <v>0</v>
      </c>
      <c r="F307" s="9" t="n">
        <v>0</v>
      </c>
      <c r="G307" s="9" t="n">
        <v>0</v>
      </c>
      <c r="H307" s="9" t="n">
        <v>0</v>
      </c>
      <c r="I307" s="9" t="n">
        <v>0</v>
      </c>
      <c r="J307" s="9" t="n">
        <v>0</v>
      </c>
      <c r="K307" s="9" t="n">
        <v>0</v>
      </c>
      <c r="L307" s="9" t="n">
        <v>0</v>
      </c>
      <c r="M307" s="9" t="n">
        <v>0</v>
      </c>
      <c r="N307" s="12" t="n">
        <f aca="true">IFERROR(ROUND(SUM(OFFSET(B307,0,0,1,POSTAVKE!$B$7))/POSTAVKE!$B$7,2),0)</f>
        <v>0</v>
      </c>
    </row>
    <row r="308" customFormat="false" ht="15" hidden="false" customHeight="false" outlineLevel="0" collapsed="false">
      <c r="A308" s="11" t="s">
        <v>1689</v>
      </c>
      <c r="B308" s="9" t="n">
        <v>0</v>
      </c>
      <c r="C308" s="9" t="n">
        <v>0</v>
      </c>
      <c r="D308" s="9" t="n">
        <v>0</v>
      </c>
      <c r="E308" s="9" t="n">
        <v>0</v>
      </c>
      <c r="F308" s="9" t="n">
        <v>0</v>
      </c>
      <c r="G308" s="9" t="n">
        <v>0</v>
      </c>
      <c r="H308" s="9" t="n">
        <v>0</v>
      </c>
      <c r="I308" s="9" t="n">
        <v>0</v>
      </c>
      <c r="J308" s="9" t="n">
        <v>0</v>
      </c>
      <c r="K308" s="9" t="n">
        <v>0</v>
      </c>
      <c r="L308" s="9" t="n">
        <v>0</v>
      </c>
      <c r="M308" s="9" t="n">
        <v>0</v>
      </c>
      <c r="N308" s="12" t="n">
        <f aca="true">IFERROR(ROUND(SUM(OFFSET(B308,0,0,1,POSTAVKE!$B$7))/POSTAVKE!$B$7,2),0)</f>
        <v>0</v>
      </c>
    </row>
    <row r="309" customFormat="false" ht="15" hidden="false" customHeight="false" outlineLevel="0" collapsed="false">
      <c r="A309" s="11" t="s">
        <v>1691</v>
      </c>
      <c r="B309" s="9" t="n">
        <v>0</v>
      </c>
      <c r="C309" s="9" t="n">
        <v>0</v>
      </c>
      <c r="D309" s="9" t="n">
        <v>0</v>
      </c>
      <c r="E309" s="9" t="n">
        <v>0</v>
      </c>
      <c r="F309" s="9" t="n">
        <v>0</v>
      </c>
      <c r="G309" s="9" t="n">
        <v>0</v>
      </c>
      <c r="H309" s="9" t="n">
        <v>0</v>
      </c>
      <c r="I309" s="9" t="n">
        <v>0</v>
      </c>
      <c r="J309" s="9" t="n">
        <v>0</v>
      </c>
      <c r="K309" s="9" t="n">
        <v>0</v>
      </c>
      <c r="L309" s="9" t="n">
        <v>0</v>
      </c>
      <c r="M309" s="9" t="n">
        <v>0</v>
      </c>
      <c r="N309" s="12" t="n">
        <f aca="true">IFERROR(ROUND(SUM(OFFSET(B309,0,0,1,POSTAVKE!$B$7))/POSTAVKE!$B$7,2),0)</f>
        <v>0</v>
      </c>
    </row>
    <row r="310" customFormat="false" ht="15" hidden="false" customHeight="false" outlineLevel="0" collapsed="false">
      <c r="A310" s="11" t="s">
        <v>1693</v>
      </c>
      <c r="B310" s="9" t="n">
        <v>0</v>
      </c>
      <c r="C310" s="9" t="n">
        <v>0</v>
      </c>
      <c r="D310" s="9" t="n">
        <v>0</v>
      </c>
      <c r="E310" s="9" t="n">
        <v>0</v>
      </c>
      <c r="F310" s="9" t="n">
        <v>0</v>
      </c>
      <c r="G310" s="9" t="n">
        <v>0</v>
      </c>
      <c r="H310" s="9" t="n">
        <v>0</v>
      </c>
      <c r="I310" s="9" t="n">
        <v>0</v>
      </c>
      <c r="J310" s="9" t="n">
        <v>0</v>
      </c>
      <c r="K310" s="9" t="n">
        <v>0</v>
      </c>
      <c r="L310" s="9" t="n">
        <v>0</v>
      </c>
      <c r="M310" s="9" t="n">
        <v>0</v>
      </c>
      <c r="N310" s="12" t="n">
        <f aca="true">IFERROR(ROUND(SUM(OFFSET(B310,0,0,1,POSTAVKE!$B$7))/POSTAVKE!$B$7,2),0)</f>
        <v>0</v>
      </c>
    </row>
    <row r="311" customFormat="false" ht="15" hidden="false" customHeight="false" outlineLevel="0" collapsed="false">
      <c r="A311" s="11" t="s">
        <v>1695</v>
      </c>
      <c r="B311" s="9" t="n">
        <v>0</v>
      </c>
      <c r="C311" s="9" t="n">
        <v>0</v>
      </c>
      <c r="D311" s="9" t="n">
        <v>0</v>
      </c>
      <c r="E311" s="9" t="n">
        <v>0</v>
      </c>
      <c r="F311" s="9" t="n">
        <v>0</v>
      </c>
      <c r="G311" s="9" t="n">
        <v>0</v>
      </c>
      <c r="H311" s="9" t="n">
        <v>0</v>
      </c>
      <c r="I311" s="9" t="n">
        <v>0</v>
      </c>
      <c r="J311" s="9" t="n">
        <v>0</v>
      </c>
      <c r="K311" s="9" t="n">
        <v>0</v>
      </c>
      <c r="L311" s="9" t="n">
        <v>0</v>
      </c>
      <c r="M311" s="9" t="n">
        <v>0</v>
      </c>
      <c r="N311" s="12" t="n">
        <f aca="true">IFERROR(ROUND(SUM(OFFSET(B311,0,0,1,POSTAVKE!$B$7))/POSTAVKE!$B$7,2),0)</f>
        <v>0</v>
      </c>
    </row>
    <row r="312" customFormat="false" ht="15" hidden="false" customHeight="false" outlineLevel="0" collapsed="false">
      <c r="A312" s="11" t="s">
        <v>1697</v>
      </c>
      <c r="B312" s="9" t="n">
        <v>0</v>
      </c>
      <c r="C312" s="9" t="n">
        <v>0</v>
      </c>
      <c r="D312" s="9" t="n">
        <v>0</v>
      </c>
      <c r="E312" s="9" t="n">
        <v>0</v>
      </c>
      <c r="F312" s="9" t="n">
        <v>0</v>
      </c>
      <c r="G312" s="9" t="n">
        <v>0</v>
      </c>
      <c r="H312" s="9" t="n">
        <v>0</v>
      </c>
      <c r="I312" s="9" t="n">
        <v>0</v>
      </c>
      <c r="J312" s="9" t="n">
        <v>0</v>
      </c>
      <c r="K312" s="9" t="n">
        <v>0</v>
      </c>
      <c r="L312" s="9" t="n">
        <v>0</v>
      </c>
      <c r="M312" s="9" t="n">
        <v>0</v>
      </c>
      <c r="N312" s="12" t="n">
        <f aca="true">IFERROR(ROUND(SUM(OFFSET(B312,0,0,1,POSTAVKE!$B$7))/POSTAVKE!$B$7,2),0)</f>
        <v>0</v>
      </c>
    </row>
    <row r="313" customFormat="false" ht="15" hidden="false" customHeight="false" outlineLevel="0" collapsed="false">
      <c r="A313" s="11" t="s">
        <v>1699</v>
      </c>
      <c r="B313" s="9" t="n">
        <v>0</v>
      </c>
      <c r="C313" s="9" t="n">
        <v>0</v>
      </c>
      <c r="D313" s="9" t="n">
        <v>0</v>
      </c>
      <c r="E313" s="9" t="n">
        <v>0</v>
      </c>
      <c r="F313" s="9" t="n">
        <v>0</v>
      </c>
      <c r="G313" s="9" t="n">
        <v>0</v>
      </c>
      <c r="H313" s="9" t="n">
        <v>0</v>
      </c>
      <c r="I313" s="9" t="n">
        <v>0</v>
      </c>
      <c r="J313" s="9" t="n">
        <v>0</v>
      </c>
      <c r="K313" s="9" t="n">
        <v>0</v>
      </c>
      <c r="L313" s="9" t="n">
        <v>0</v>
      </c>
      <c r="M313" s="9" t="n">
        <v>0</v>
      </c>
      <c r="N313" s="12" t="n">
        <f aca="true">IFERROR(ROUND(SUM(OFFSET(B313,0,0,1,POSTAVKE!$B$7))/POSTAVKE!$B$7,2),0)</f>
        <v>0</v>
      </c>
    </row>
    <row r="314" customFormat="false" ht="15" hidden="false" customHeight="false" outlineLevel="0" collapsed="false">
      <c r="A314" s="11" t="s">
        <v>999</v>
      </c>
      <c r="B314" s="9" t="n">
        <v>0</v>
      </c>
      <c r="C314" s="9" t="n">
        <v>0</v>
      </c>
      <c r="D314" s="9" t="n">
        <v>0</v>
      </c>
      <c r="E314" s="9" t="n">
        <v>0</v>
      </c>
      <c r="F314" s="9" t="n">
        <v>0</v>
      </c>
      <c r="G314" s="9" t="n">
        <v>19</v>
      </c>
      <c r="H314" s="9" t="n">
        <v>6</v>
      </c>
      <c r="I314" s="9" t="n">
        <v>1</v>
      </c>
      <c r="J314" s="9" t="n">
        <v>0</v>
      </c>
      <c r="K314" s="9" t="n">
        <v>0</v>
      </c>
      <c r="L314" s="9" t="n">
        <v>0</v>
      </c>
      <c r="M314" s="9" t="n">
        <v>0</v>
      </c>
      <c r="N314" s="12" t="n">
        <f aca="true">IFERROR(ROUND(SUM(OFFSET(B314,0,0,1,POSTAVKE!$B$7))/POSTAVKE!$B$7,2),0)</f>
        <v>3.25</v>
      </c>
    </row>
    <row r="315" customFormat="false" ht="15" hidden="false" customHeight="false" outlineLevel="0" collapsed="false">
      <c r="A315" s="11" t="s">
        <v>873</v>
      </c>
      <c r="B315" s="9" t="n">
        <v>0</v>
      </c>
      <c r="C315" s="9" t="n">
        <v>0</v>
      </c>
      <c r="D315" s="9" t="n">
        <v>0</v>
      </c>
      <c r="E315" s="9" t="n">
        <v>0</v>
      </c>
      <c r="F315" s="9" t="n">
        <v>0</v>
      </c>
      <c r="G315" s="9" t="n">
        <v>0</v>
      </c>
      <c r="H315" s="9" t="n">
        <v>0</v>
      </c>
      <c r="I315" s="9" t="n">
        <v>0</v>
      </c>
      <c r="J315" s="9" t="n">
        <v>0</v>
      </c>
      <c r="K315" s="9" t="n">
        <v>0</v>
      </c>
      <c r="L315" s="9" t="n">
        <v>0</v>
      </c>
      <c r="M315" s="9" t="n">
        <v>0</v>
      </c>
      <c r="N315" s="12" t="n">
        <f aca="true">IFERROR(ROUND(SUM(OFFSET(B315,0,0,1,POSTAVKE!$B$7))/POSTAVKE!$B$7,2),0)</f>
        <v>0</v>
      </c>
    </row>
    <row r="316" customFormat="false" ht="15" hidden="false" customHeight="false" outlineLevel="0" collapsed="false">
      <c r="A316" s="11" t="s">
        <v>537</v>
      </c>
      <c r="B316" s="9" t="n">
        <v>0</v>
      </c>
      <c r="C316" s="9" t="n">
        <v>0</v>
      </c>
      <c r="D316" s="9" t="n">
        <v>0</v>
      </c>
      <c r="E316" s="9" t="n">
        <v>0</v>
      </c>
      <c r="F316" s="9" t="n">
        <v>0</v>
      </c>
      <c r="G316" s="9" t="n">
        <v>0</v>
      </c>
      <c r="H316" s="9" t="n">
        <v>0</v>
      </c>
      <c r="I316" s="9" t="n">
        <v>1</v>
      </c>
      <c r="J316" s="9" t="n">
        <v>0</v>
      </c>
      <c r="K316" s="9" t="n">
        <v>0</v>
      </c>
      <c r="L316" s="9" t="n">
        <v>0</v>
      </c>
      <c r="M316" s="9" t="n">
        <v>0</v>
      </c>
      <c r="N316" s="12" t="n">
        <f aca="true">IFERROR(ROUND(SUM(OFFSET(B316,0,0,1,POSTAVKE!$B$7))/POSTAVKE!$B$7,2),0)</f>
        <v>0.13</v>
      </c>
    </row>
    <row r="317" customFormat="false" ht="15" hidden="false" customHeight="false" outlineLevel="0" collapsed="false">
      <c r="A317" s="11" t="s">
        <v>1017</v>
      </c>
      <c r="B317" s="9" t="n">
        <v>0</v>
      </c>
      <c r="C317" s="9" t="n">
        <v>0</v>
      </c>
      <c r="D317" s="9" t="n">
        <v>2</v>
      </c>
      <c r="E317" s="9" t="n">
        <v>1</v>
      </c>
      <c r="F317" s="9" t="n">
        <v>1</v>
      </c>
      <c r="G317" s="9" t="n">
        <v>0</v>
      </c>
      <c r="H317" s="9" t="n">
        <v>0</v>
      </c>
      <c r="I317" s="9" t="n">
        <v>0</v>
      </c>
      <c r="J317" s="9" t="n">
        <v>0</v>
      </c>
      <c r="K317" s="9" t="n">
        <v>0</v>
      </c>
      <c r="L317" s="9" t="n">
        <v>0</v>
      </c>
      <c r="M317" s="9" t="n">
        <v>0</v>
      </c>
      <c r="N317" s="12" t="n">
        <f aca="true">IFERROR(ROUND(SUM(OFFSET(B317,0,0,1,POSTAVKE!$B$7))/POSTAVKE!$B$7,2),0)</f>
        <v>0.5</v>
      </c>
    </row>
    <row r="318" customFormat="false" ht="15" hidden="false" customHeight="false" outlineLevel="0" collapsed="false">
      <c r="A318" s="11" t="s">
        <v>725</v>
      </c>
      <c r="B318" s="9" t="n">
        <v>0</v>
      </c>
      <c r="C318" s="9" t="n">
        <v>1</v>
      </c>
      <c r="D318" s="9" t="n">
        <v>1</v>
      </c>
      <c r="E318" s="9" t="n">
        <v>0</v>
      </c>
      <c r="F318" s="9" t="n">
        <v>1</v>
      </c>
      <c r="G318" s="9" t="n">
        <v>1</v>
      </c>
      <c r="H318" s="9" t="n">
        <v>8</v>
      </c>
      <c r="I318" s="9" t="n">
        <v>4</v>
      </c>
      <c r="J318" s="9" t="n">
        <v>13</v>
      </c>
      <c r="K318" s="9" t="n">
        <v>0</v>
      </c>
      <c r="L318" s="9" t="n">
        <v>0</v>
      </c>
      <c r="M318" s="9" t="n">
        <v>0</v>
      </c>
      <c r="N318" s="12" t="n">
        <f aca="true">IFERROR(ROUND(SUM(OFFSET(B318,0,0,1,POSTAVKE!$B$7))/POSTAVKE!$B$7,2),0)</f>
        <v>2</v>
      </c>
    </row>
    <row r="319" customFormat="false" ht="15" hidden="false" customHeight="false" outlineLevel="0" collapsed="false">
      <c r="A319" s="11" t="s">
        <v>545</v>
      </c>
      <c r="B319" s="9" t="n">
        <v>0</v>
      </c>
      <c r="C319" s="9" t="n">
        <v>0</v>
      </c>
      <c r="D319" s="9" t="n">
        <v>0</v>
      </c>
      <c r="E319" s="9" t="n">
        <v>0</v>
      </c>
      <c r="F319" s="9" t="n">
        <v>0</v>
      </c>
      <c r="G319" s="9" t="n">
        <v>2</v>
      </c>
      <c r="H319" s="9" t="n">
        <v>0</v>
      </c>
      <c r="I319" s="9" t="n">
        <v>0</v>
      </c>
      <c r="J319" s="9" t="n">
        <v>0</v>
      </c>
      <c r="K319" s="9" t="n">
        <v>0</v>
      </c>
      <c r="L319" s="9" t="n">
        <v>0</v>
      </c>
      <c r="M319" s="9" t="n">
        <v>0</v>
      </c>
      <c r="N319" s="12" t="n">
        <f aca="true">IFERROR(ROUND(SUM(OFFSET(B319,0,0,1,POSTAVKE!$B$7))/POSTAVKE!$B$7,2),0)</f>
        <v>0.25</v>
      </c>
    </row>
    <row r="320" customFormat="false" ht="15" hidden="false" customHeight="false" outlineLevel="0" collapsed="false">
      <c r="A320" s="11" t="s">
        <v>1396</v>
      </c>
      <c r="B320" s="9" t="n">
        <v>0</v>
      </c>
      <c r="C320" s="9" t="n">
        <v>0</v>
      </c>
      <c r="D320" s="9" t="n">
        <v>1</v>
      </c>
      <c r="E320" s="9" t="n">
        <v>1</v>
      </c>
      <c r="F320" s="9" t="n">
        <v>0</v>
      </c>
      <c r="G320" s="9" t="n">
        <v>0</v>
      </c>
      <c r="H320" s="9" t="n">
        <v>0</v>
      </c>
      <c r="I320" s="9" t="n">
        <v>0</v>
      </c>
      <c r="J320" s="9" t="n">
        <v>0</v>
      </c>
      <c r="K320" s="9" t="n">
        <v>0</v>
      </c>
      <c r="L320" s="9" t="n">
        <v>0</v>
      </c>
      <c r="M320" s="9" t="n">
        <v>0</v>
      </c>
      <c r="N320" s="12" t="n">
        <f aca="true">IFERROR(ROUND(SUM(OFFSET(B320,0,0,1,POSTAVKE!$B$7))/POSTAVKE!$B$7,2),0)</f>
        <v>0.25</v>
      </c>
    </row>
    <row r="321" customFormat="false" ht="15" hidden="false" customHeight="false" outlineLevel="0" collapsed="false">
      <c r="A321" s="11" t="s">
        <v>655</v>
      </c>
      <c r="B321" s="9" t="n">
        <v>0</v>
      </c>
      <c r="C321" s="9" t="n">
        <v>0</v>
      </c>
      <c r="D321" s="9" t="n">
        <v>0</v>
      </c>
      <c r="E321" s="9" t="n">
        <v>0</v>
      </c>
      <c r="F321" s="9" t="n">
        <v>0</v>
      </c>
      <c r="G321" s="9" t="n">
        <v>0</v>
      </c>
      <c r="H321" s="9" t="n">
        <v>0</v>
      </c>
      <c r="I321" s="9" t="n">
        <v>0</v>
      </c>
      <c r="J321" s="9" t="n">
        <v>0</v>
      </c>
      <c r="K321" s="9" t="n">
        <v>0</v>
      </c>
      <c r="L321" s="9" t="n">
        <v>0</v>
      </c>
      <c r="M321" s="9" t="n">
        <v>0</v>
      </c>
      <c r="N321" s="12" t="n">
        <f aca="true">IFERROR(ROUND(SUM(OFFSET(B321,0,0,1,POSTAVKE!$B$7))/POSTAVKE!$B$7,2),0)</f>
        <v>0</v>
      </c>
    </row>
    <row r="322" customFormat="false" ht="15" hidden="false" customHeight="false" outlineLevel="0" collapsed="false">
      <c r="A322" s="11" t="s">
        <v>539</v>
      </c>
      <c r="B322" s="9" t="n">
        <v>0</v>
      </c>
      <c r="C322" s="9" t="n">
        <v>0</v>
      </c>
      <c r="D322" s="9" t="n">
        <v>0</v>
      </c>
      <c r="E322" s="9" t="n">
        <v>0</v>
      </c>
      <c r="F322" s="9" t="n">
        <v>0</v>
      </c>
      <c r="G322" s="9" t="n">
        <v>1</v>
      </c>
      <c r="H322" s="9" t="n">
        <v>0</v>
      </c>
      <c r="I322" s="9" t="n">
        <v>0</v>
      </c>
      <c r="J322" s="9" t="n">
        <v>0</v>
      </c>
      <c r="K322" s="9" t="n">
        <v>0</v>
      </c>
      <c r="L322" s="9" t="n">
        <v>0</v>
      </c>
      <c r="M322" s="9" t="n">
        <v>0</v>
      </c>
      <c r="N322" s="12" t="n">
        <f aca="true">IFERROR(ROUND(SUM(OFFSET(B322,0,0,1,POSTAVKE!$B$7))/POSTAVKE!$B$7,2),0)</f>
        <v>0.13</v>
      </c>
    </row>
    <row r="323" customFormat="false" ht="15" hidden="false" customHeight="false" outlineLevel="0" collapsed="false">
      <c r="A323" s="11" t="s">
        <v>1398</v>
      </c>
      <c r="B323" s="9" t="n">
        <v>0</v>
      </c>
      <c r="C323" s="9" t="n">
        <v>0</v>
      </c>
      <c r="D323" s="9" t="n">
        <v>0</v>
      </c>
      <c r="E323" s="9" t="n">
        <v>1</v>
      </c>
      <c r="F323" s="9" t="n">
        <v>1</v>
      </c>
      <c r="G323" s="9" t="n">
        <v>0</v>
      </c>
      <c r="H323" s="9" t="n">
        <v>0</v>
      </c>
      <c r="I323" s="9" t="n">
        <v>0</v>
      </c>
      <c r="J323" s="9" t="n">
        <v>0</v>
      </c>
      <c r="K323" s="9" t="n">
        <v>0</v>
      </c>
      <c r="L323" s="9" t="n">
        <v>0</v>
      </c>
      <c r="M323" s="9" t="n">
        <v>0</v>
      </c>
      <c r="N323" s="12" t="n">
        <f aca="true">IFERROR(ROUND(SUM(OFFSET(B323,0,0,1,POSTAVKE!$B$7))/POSTAVKE!$B$7,2),0)</f>
        <v>0.25</v>
      </c>
    </row>
    <row r="324" customFormat="false" ht="15" hidden="false" customHeight="false" outlineLevel="0" collapsed="false">
      <c r="A324" s="11" t="s">
        <v>619</v>
      </c>
      <c r="B324" s="9" t="n">
        <v>0</v>
      </c>
      <c r="C324" s="9" t="n">
        <v>0</v>
      </c>
      <c r="D324" s="9" t="n">
        <v>0</v>
      </c>
      <c r="E324" s="9" t="n">
        <v>0</v>
      </c>
      <c r="F324" s="9" t="n">
        <v>0</v>
      </c>
      <c r="G324" s="9" t="n">
        <v>1</v>
      </c>
      <c r="H324" s="9" t="n">
        <v>1</v>
      </c>
      <c r="I324" s="9" t="n">
        <v>2</v>
      </c>
      <c r="J324" s="9" t="n">
        <v>5</v>
      </c>
      <c r="K324" s="9" t="n">
        <v>0</v>
      </c>
      <c r="L324" s="9" t="n">
        <v>0</v>
      </c>
      <c r="M324" s="9" t="n">
        <v>0</v>
      </c>
      <c r="N324" s="12" t="n">
        <f aca="true">IFERROR(ROUND(SUM(OFFSET(B324,0,0,1,POSTAVKE!$B$7))/POSTAVKE!$B$7,2),0)</f>
        <v>0.5</v>
      </c>
    </row>
    <row r="325" customFormat="false" ht="15" hidden="false" customHeight="false" outlineLevel="0" collapsed="false">
      <c r="A325" s="11" t="s">
        <v>547</v>
      </c>
      <c r="B325" s="9" t="n">
        <v>0</v>
      </c>
      <c r="C325" s="9" t="n">
        <v>0</v>
      </c>
      <c r="D325" s="9" t="n">
        <v>1</v>
      </c>
      <c r="E325" s="9" t="n">
        <v>0</v>
      </c>
      <c r="F325" s="9" t="n">
        <v>2</v>
      </c>
      <c r="G325" s="9" t="n">
        <v>0</v>
      </c>
      <c r="H325" s="9" t="n">
        <v>0</v>
      </c>
      <c r="I325" s="9" t="n">
        <v>0</v>
      </c>
      <c r="J325" s="9" t="n">
        <v>0</v>
      </c>
      <c r="K325" s="9" t="n">
        <v>0</v>
      </c>
      <c r="L325" s="9" t="n">
        <v>0</v>
      </c>
      <c r="M325" s="9" t="n">
        <v>0</v>
      </c>
      <c r="N325" s="12" t="n">
        <f aca="true">IFERROR(ROUND(SUM(OFFSET(B325,0,0,1,POSTAVKE!$B$7))/POSTAVKE!$B$7,2),0)</f>
        <v>0.38</v>
      </c>
    </row>
    <row r="326" customFormat="false" ht="15" hidden="false" customHeight="false" outlineLevel="0" collapsed="false">
      <c r="A326" s="11" t="s">
        <v>487</v>
      </c>
      <c r="B326" s="9" t="n">
        <v>0</v>
      </c>
      <c r="C326" s="9" t="n">
        <v>0</v>
      </c>
      <c r="D326" s="9" t="n">
        <v>0</v>
      </c>
      <c r="E326" s="9" t="n">
        <v>1</v>
      </c>
      <c r="F326" s="9" t="n">
        <v>0</v>
      </c>
      <c r="G326" s="9" t="n">
        <v>0</v>
      </c>
      <c r="H326" s="9" t="n">
        <v>0</v>
      </c>
      <c r="I326" s="9" t="n">
        <v>0</v>
      </c>
      <c r="J326" s="9" t="n">
        <v>0</v>
      </c>
      <c r="K326" s="9" t="n">
        <v>0</v>
      </c>
      <c r="L326" s="9" t="n">
        <v>0</v>
      </c>
      <c r="M326" s="9" t="n">
        <v>0</v>
      </c>
      <c r="N326" s="12" t="n">
        <f aca="true">IFERROR(ROUND(SUM(OFFSET(B326,0,0,1,POSTAVKE!$B$7))/POSTAVKE!$B$7,2),0)</f>
        <v>0.13</v>
      </c>
    </row>
    <row r="327" customFormat="false" ht="15" hidden="false" customHeight="false" outlineLevel="0" collapsed="false">
      <c r="A327" s="11" t="s">
        <v>1400</v>
      </c>
      <c r="B327" s="9" t="n">
        <v>0</v>
      </c>
      <c r="C327" s="9" t="n">
        <v>0</v>
      </c>
      <c r="D327" s="9" t="n">
        <v>1</v>
      </c>
      <c r="E327" s="9" t="n">
        <v>0</v>
      </c>
      <c r="F327" s="9" t="n">
        <v>1</v>
      </c>
      <c r="G327" s="9" t="n">
        <v>0</v>
      </c>
      <c r="H327" s="9" t="n">
        <v>0</v>
      </c>
      <c r="I327" s="9" t="n">
        <v>0</v>
      </c>
      <c r="J327" s="9" t="n">
        <v>0</v>
      </c>
      <c r="K327" s="9" t="n">
        <v>0</v>
      </c>
      <c r="L327" s="9" t="n">
        <v>0</v>
      </c>
      <c r="M327" s="9" t="n">
        <v>0</v>
      </c>
      <c r="N327" s="12" t="n">
        <f aca="true">IFERROR(ROUND(SUM(OFFSET(B327,0,0,1,POSTAVKE!$B$7))/POSTAVKE!$B$7,2),0)</f>
        <v>0.25</v>
      </c>
    </row>
    <row r="328" customFormat="false" ht="15" hidden="false" customHeight="false" outlineLevel="0" collapsed="false">
      <c r="A328" s="11" t="s">
        <v>1701</v>
      </c>
      <c r="B328" s="9" t="n">
        <v>0</v>
      </c>
      <c r="C328" s="9" t="n">
        <v>0</v>
      </c>
      <c r="D328" s="9" t="n">
        <v>0</v>
      </c>
      <c r="E328" s="9" t="n">
        <v>0</v>
      </c>
      <c r="F328" s="9" t="n">
        <v>0</v>
      </c>
      <c r="G328" s="9" t="n">
        <v>0</v>
      </c>
      <c r="H328" s="9" t="n">
        <v>0</v>
      </c>
      <c r="I328" s="9" t="n">
        <v>0</v>
      </c>
      <c r="J328" s="9" t="n">
        <v>0</v>
      </c>
      <c r="K328" s="9" t="n">
        <v>0</v>
      </c>
      <c r="L328" s="9" t="n">
        <v>0</v>
      </c>
      <c r="M328" s="9" t="n">
        <v>0</v>
      </c>
      <c r="N328" s="12" t="n">
        <f aca="true">IFERROR(ROUND(SUM(OFFSET(B328,0,0,1,POSTAVKE!$B$7))/POSTAVKE!$B$7,2),0)</f>
        <v>0</v>
      </c>
    </row>
    <row r="329" customFormat="false" ht="15" hidden="false" customHeight="false" outlineLevel="0" collapsed="false">
      <c r="A329" s="11" t="s">
        <v>1703</v>
      </c>
      <c r="B329" s="9" t="n">
        <v>0</v>
      </c>
      <c r="C329" s="9" t="n">
        <v>0</v>
      </c>
      <c r="D329" s="9" t="n">
        <v>0</v>
      </c>
      <c r="E329" s="9" t="n">
        <v>0</v>
      </c>
      <c r="F329" s="9" t="n">
        <v>0</v>
      </c>
      <c r="G329" s="9" t="n">
        <v>0</v>
      </c>
      <c r="H329" s="9" t="n">
        <v>0</v>
      </c>
      <c r="I329" s="9" t="n">
        <v>0</v>
      </c>
      <c r="J329" s="9" t="n">
        <v>0</v>
      </c>
      <c r="K329" s="9" t="n">
        <v>0</v>
      </c>
      <c r="L329" s="9" t="n">
        <v>0</v>
      </c>
      <c r="M329" s="9" t="n">
        <v>0</v>
      </c>
      <c r="N329" s="12" t="n">
        <f aca="true">IFERROR(ROUND(SUM(OFFSET(B329,0,0,1,POSTAVKE!$B$7))/POSTAVKE!$B$7,2),0)</f>
        <v>0</v>
      </c>
    </row>
    <row r="330" customFormat="false" ht="15" hidden="false" customHeight="false" outlineLevel="0" collapsed="false">
      <c r="A330" s="11" t="s">
        <v>1705</v>
      </c>
      <c r="B330" s="9" t="n">
        <v>0</v>
      </c>
      <c r="C330" s="9" t="n">
        <v>0</v>
      </c>
      <c r="D330" s="9" t="n">
        <v>0</v>
      </c>
      <c r="E330" s="9" t="n">
        <v>0</v>
      </c>
      <c r="F330" s="9" t="n">
        <v>0</v>
      </c>
      <c r="G330" s="9" t="n">
        <v>0</v>
      </c>
      <c r="H330" s="9" t="n">
        <v>0</v>
      </c>
      <c r="I330" s="9" t="n">
        <v>0</v>
      </c>
      <c r="J330" s="9" t="n">
        <v>0</v>
      </c>
      <c r="K330" s="9" t="n">
        <v>0</v>
      </c>
      <c r="L330" s="9" t="n">
        <v>0</v>
      </c>
      <c r="M330" s="9" t="n">
        <v>0</v>
      </c>
      <c r="N330" s="12" t="n">
        <f aca="true">IFERROR(ROUND(SUM(OFFSET(B330,0,0,1,POSTAVKE!$B$7))/POSTAVKE!$B$7,2),0)</f>
        <v>0</v>
      </c>
    </row>
    <row r="331" customFormat="false" ht="15" hidden="false" customHeight="false" outlineLevel="0" collapsed="false">
      <c r="A331" s="11" t="s">
        <v>1707</v>
      </c>
      <c r="B331" s="9" t="n">
        <v>0</v>
      </c>
      <c r="C331" s="9" t="n">
        <v>0</v>
      </c>
      <c r="D331" s="9" t="n">
        <v>0</v>
      </c>
      <c r="E331" s="9" t="n">
        <v>0</v>
      </c>
      <c r="F331" s="9" t="n">
        <v>0</v>
      </c>
      <c r="G331" s="9" t="n">
        <v>0</v>
      </c>
      <c r="H331" s="9" t="n">
        <v>0</v>
      </c>
      <c r="I331" s="9" t="n">
        <v>0</v>
      </c>
      <c r="J331" s="9" t="n">
        <v>0</v>
      </c>
      <c r="K331" s="9" t="n">
        <v>0</v>
      </c>
      <c r="L331" s="9" t="n">
        <v>0</v>
      </c>
      <c r="M331" s="9" t="n">
        <v>0</v>
      </c>
      <c r="N331" s="12" t="n">
        <f aca="true">IFERROR(ROUND(SUM(OFFSET(B331,0,0,1,POSTAVKE!$B$7))/POSTAVKE!$B$7,2),0)</f>
        <v>0</v>
      </c>
    </row>
    <row r="332" customFormat="false" ht="15" hidden="false" customHeight="false" outlineLevel="0" collapsed="false">
      <c r="A332" s="11" t="s">
        <v>1709</v>
      </c>
      <c r="B332" s="9" t="n">
        <v>0</v>
      </c>
      <c r="C332" s="9" t="n">
        <v>0</v>
      </c>
      <c r="D332" s="9" t="n">
        <v>0</v>
      </c>
      <c r="E332" s="9" t="n">
        <v>0</v>
      </c>
      <c r="F332" s="9" t="n">
        <v>0</v>
      </c>
      <c r="G332" s="9" t="n">
        <v>0</v>
      </c>
      <c r="H332" s="9" t="n">
        <v>0</v>
      </c>
      <c r="I332" s="9" t="n">
        <v>0</v>
      </c>
      <c r="J332" s="9" t="n">
        <v>0</v>
      </c>
      <c r="K332" s="9" t="n">
        <v>0</v>
      </c>
      <c r="L332" s="9" t="n">
        <v>0</v>
      </c>
      <c r="M332" s="9" t="n">
        <v>0</v>
      </c>
      <c r="N332" s="12" t="n">
        <f aca="true">IFERROR(ROUND(SUM(OFFSET(B332,0,0,1,POSTAVKE!$B$7))/POSTAVKE!$B$7,2),0)</f>
        <v>0</v>
      </c>
    </row>
    <row r="333" customFormat="false" ht="15" hidden="false" customHeight="false" outlineLevel="0" collapsed="false">
      <c r="A333" s="11" t="s">
        <v>1711</v>
      </c>
      <c r="B333" s="9" t="n">
        <v>0</v>
      </c>
      <c r="C333" s="9" t="n">
        <v>0</v>
      </c>
      <c r="D333" s="9" t="n">
        <v>0</v>
      </c>
      <c r="E333" s="9" t="n">
        <v>0</v>
      </c>
      <c r="F333" s="9" t="n">
        <v>0</v>
      </c>
      <c r="G333" s="9" t="n">
        <v>0</v>
      </c>
      <c r="H333" s="9" t="n">
        <v>0</v>
      </c>
      <c r="I333" s="9" t="n">
        <v>0</v>
      </c>
      <c r="J333" s="9" t="n">
        <v>0</v>
      </c>
      <c r="K333" s="9" t="n">
        <v>0</v>
      </c>
      <c r="L333" s="9" t="n">
        <v>0</v>
      </c>
      <c r="M333" s="9" t="n">
        <v>0</v>
      </c>
      <c r="N333" s="12" t="n">
        <f aca="true">IFERROR(ROUND(SUM(OFFSET(B333,0,0,1,POSTAVKE!$B$7))/POSTAVKE!$B$7,2),0)</f>
        <v>0</v>
      </c>
    </row>
    <row r="334" customFormat="false" ht="15" hidden="false" customHeight="false" outlineLevel="0" collapsed="false">
      <c r="A334" s="11" t="s">
        <v>1713</v>
      </c>
      <c r="B334" s="9" t="n">
        <v>0</v>
      </c>
      <c r="C334" s="9" t="n">
        <v>0</v>
      </c>
      <c r="D334" s="9" t="n">
        <v>0</v>
      </c>
      <c r="E334" s="9" t="n">
        <v>0</v>
      </c>
      <c r="F334" s="9" t="n">
        <v>0</v>
      </c>
      <c r="G334" s="9" t="n">
        <v>0</v>
      </c>
      <c r="H334" s="9" t="n">
        <v>0</v>
      </c>
      <c r="I334" s="9" t="n">
        <v>0</v>
      </c>
      <c r="J334" s="9" t="n">
        <v>0</v>
      </c>
      <c r="K334" s="9" t="n">
        <v>0</v>
      </c>
      <c r="L334" s="9" t="n">
        <v>0</v>
      </c>
      <c r="M334" s="9" t="n">
        <v>0</v>
      </c>
      <c r="N334" s="12" t="n">
        <f aca="true">IFERROR(ROUND(SUM(OFFSET(B334,0,0,1,POSTAVKE!$B$7))/POSTAVKE!$B$7,2),0)</f>
        <v>0</v>
      </c>
    </row>
    <row r="335" customFormat="false" ht="15" hidden="false" customHeight="false" outlineLevel="0" collapsed="false">
      <c r="A335" s="11" t="s">
        <v>1715</v>
      </c>
      <c r="B335" s="9" t="n">
        <v>0</v>
      </c>
      <c r="C335" s="9" t="n">
        <v>0</v>
      </c>
      <c r="D335" s="9" t="n">
        <v>0</v>
      </c>
      <c r="E335" s="9" t="n">
        <v>0</v>
      </c>
      <c r="F335" s="9" t="n">
        <v>0</v>
      </c>
      <c r="G335" s="9" t="n">
        <v>0</v>
      </c>
      <c r="H335" s="9" t="n">
        <v>0</v>
      </c>
      <c r="I335" s="9" t="n">
        <v>0</v>
      </c>
      <c r="J335" s="9" t="n">
        <v>0</v>
      </c>
      <c r="K335" s="9" t="n">
        <v>0</v>
      </c>
      <c r="L335" s="9" t="n">
        <v>0</v>
      </c>
      <c r="M335" s="9" t="n">
        <v>0</v>
      </c>
      <c r="N335" s="12" t="n">
        <f aca="true">IFERROR(ROUND(SUM(OFFSET(B335,0,0,1,POSTAVKE!$B$7))/POSTAVKE!$B$7,2),0)</f>
        <v>0</v>
      </c>
    </row>
    <row r="336" customFormat="false" ht="15" hidden="false" customHeight="false" outlineLevel="0" collapsed="false">
      <c r="A336" s="11" t="s">
        <v>1717</v>
      </c>
      <c r="B336" s="9" t="n">
        <v>0</v>
      </c>
      <c r="C336" s="9" t="n">
        <v>0</v>
      </c>
      <c r="D336" s="9" t="n">
        <v>0</v>
      </c>
      <c r="E336" s="9" t="n">
        <v>0</v>
      </c>
      <c r="F336" s="9" t="n">
        <v>0</v>
      </c>
      <c r="G336" s="9" t="n">
        <v>0</v>
      </c>
      <c r="H336" s="9" t="n">
        <v>0</v>
      </c>
      <c r="I336" s="9" t="n">
        <v>0</v>
      </c>
      <c r="J336" s="9" t="n">
        <v>0</v>
      </c>
      <c r="K336" s="9" t="n">
        <v>0</v>
      </c>
      <c r="L336" s="9" t="n">
        <v>0</v>
      </c>
      <c r="M336" s="9" t="n">
        <v>0</v>
      </c>
      <c r="N336" s="12" t="n">
        <f aca="true">IFERROR(ROUND(SUM(OFFSET(B336,0,0,1,POSTAVKE!$B$7))/POSTAVKE!$B$7,2),0)</f>
        <v>0</v>
      </c>
    </row>
    <row r="337" customFormat="false" ht="15" hidden="false" customHeight="false" outlineLevel="0" collapsed="false">
      <c r="A337" s="11" t="s">
        <v>1719</v>
      </c>
      <c r="B337" s="9" t="n">
        <v>0</v>
      </c>
      <c r="C337" s="9" t="n">
        <v>0</v>
      </c>
      <c r="D337" s="9" t="n">
        <v>0</v>
      </c>
      <c r="E337" s="9" t="n">
        <v>0</v>
      </c>
      <c r="F337" s="9" t="n">
        <v>0</v>
      </c>
      <c r="G337" s="9" t="n">
        <v>0</v>
      </c>
      <c r="H337" s="9" t="n">
        <v>0</v>
      </c>
      <c r="I337" s="9" t="n">
        <v>0</v>
      </c>
      <c r="J337" s="9" t="n">
        <v>0</v>
      </c>
      <c r="K337" s="9" t="n">
        <v>0</v>
      </c>
      <c r="L337" s="9" t="n">
        <v>0</v>
      </c>
      <c r="M337" s="9" t="n">
        <v>0</v>
      </c>
      <c r="N337" s="12" t="n">
        <f aca="true">IFERROR(ROUND(SUM(OFFSET(B337,0,0,1,POSTAVKE!$B$7))/POSTAVKE!$B$7,2),0)</f>
        <v>0</v>
      </c>
    </row>
    <row r="338" customFormat="false" ht="15" hidden="false" customHeight="false" outlineLevel="0" collapsed="false">
      <c r="A338" s="11" t="s">
        <v>1721</v>
      </c>
      <c r="B338" s="9" t="n">
        <v>0</v>
      </c>
      <c r="C338" s="9" t="n">
        <v>0</v>
      </c>
      <c r="D338" s="9" t="n">
        <v>0</v>
      </c>
      <c r="E338" s="9" t="n">
        <v>0</v>
      </c>
      <c r="F338" s="9" t="n">
        <v>0</v>
      </c>
      <c r="G338" s="9" t="n">
        <v>0</v>
      </c>
      <c r="H338" s="9" t="n">
        <v>0</v>
      </c>
      <c r="I338" s="9" t="n">
        <v>0</v>
      </c>
      <c r="J338" s="9" t="n">
        <v>0</v>
      </c>
      <c r="K338" s="9" t="n">
        <v>0</v>
      </c>
      <c r="L338" s="9" t="n">
        <v>0</v>
      </c>
      <c r="M338" s="9" t="n">
        <v>0</v>
      </c>
      <c r="N338" s="12" t="n">
        <f aca="true">IFERROR(ROUND(SUM(OFFSET(B338,0,0,1,POSTAVKE!$B$7))/POSTAVKE!$B$7,2),0)</f>
        <v>0</v>
      </c>
    </row>
    <row r="339" customFormat="false" ht="15" hidden="false" customHeight="false" outlineLevel="0" collapsed="false">
      <c r="A339" s="11" t="s">
        <v>1406</v>
      </c>
      <c r="B339" s="9" t="n">
        <v>0</v>
      </c>
      <c r="C339" s="9" t="n">
        <v>0</v>
      </c>
      <c r="D339" s="9" t="n">
        <v>0</v>
      </c>
      <c r="E339" s="9" t="n">
        <v>0</v>
      </c>
      <c r="F339" s="9" t="n">
        <v>0</v>
      </c>
      <c r="G339" s="9" t="n">
        <v>0</v>
      </c>
      <c r="H339" s="9" t="n">
        <v>0</v>
      </c>
      <c r="I339" s="9" t="n">
        <v>0</v>
      </c>
      <c r="J339" s="9" t="n">
        <v>0</v>
      </c>
      <c r="K339" s="9" t="n">
        <v>0</v>
      </c>
      <c r="L339" s="9" t="n">
        <v>0</v>
      </c>
      <c r="M339" s="9" t="n">
        <v>0</v>
      </c>
      <c r="N339" s="12" t="n">
        <f aca="true">IFERROR(ROUND(SUM(OFFSET(B339,0,0,1,POSTAVKE!$B$7))/POSTAVKE!$B$7,2),0)</f>
        <v>0</v>
      </c>
    </row>
    <row r="340" customFormat="false" ht="15" hidden="false" customHeight="false" outlineLevel="0" collapsed="false">
      <c r="A340" s="11" t="s">
        <v>1723</v>
      </c>
      <c r="B340" s="9" t="n">
        <v>0</v>
      </c>
      <c r="C340" s="9" t="n">
        <v>0</v>
      </c>
      <c r="D340" s="9" t="n">
        <v>0</v>
      </c>
      <c r="E340" s="9" t="n">
        <v>0</v>
      </c>
      <c r="F340" s="9" t="n">
        <v>0</v>
      </c>
      <c r="G340" s="9" t="n">
        <v>0</v>
      </c>
      <c r="H340" s="9" t="n">
        <v>0</v>
      </c>
      <c r="I340" s="9" t="n">
        <v>0</v>
      </c>
      <c r="J340" s="9" t="n">
        <v>0</v>
      </c>
      <c r="K340" s="9" t="n">
        <v>0</v>
      </c>
      <c r="L340" s="9" t="n">
        <v>0</v>
      </c>
      <c r="M340" s="9" t="n">
        <v>0</v>
      </c>
      <c r="N340" s="12" t="n">
        <f aca="true">IFERROR(ROUND(SUM(OFFSET(B340,0,0,1,POSTAVKE!$B$7))/POSTAVKE!$B$7,2),0)</f>
        <v>0</v>
      </c>
    </row>
    <row r="341" customFormat="false" ht="15" hidden="false" customHeight="false" outlineLevel="0" collapsed="false">
      <c r="A341" s="11" t="s">
        <v>1725</v>
      </c>
      <c r="B341" s="9" t="n">
        <v>0</v>
      </c>
      <c r="C341" s="9" t="n">
        <v>0</v>
      </c>
      <c r="D341" s="9" t="n">
        <v>0</v>
      </c>
      <c r="E341" s="9" t="n">
        <v>0</v>
      </c>
      <c r="F341" s="9" t="n">
        <v>0</v>
      </c>
      <c r="G341" s="9" t="n">
        <v>0</v>
      </c>
      <c r="H341" s="9" t="n">
        <v>0</v>
      </c>
      <c r="I341" s="9" t="n">
        <v>0</v>
      </c>
      <c r="J341" s="9" t="n">
        <v>0</v>
      </c>
      <c r="K341" s="9" t="n">
        <v>0</v>
      </c>
      <c r="L341" s="9" t="n">
        <v>0</v>
      </c>
      <c r="M341" s="9" t="n">
        <v>0</v>
      </c>
      <c r="N341" s="12" t="n">
        <f aca="true">IFERROR(ROUND(SUM(OFFSET(B341,0,0,1,POSTAVKE!$B$7))/POSTAVKE!$B$7,2),0)</f>
        <v>0</v>
      </c>
    </row>
    <row r="342" customFormat="false" ht="15" hidden="false" customHeight="false" outlineLevel="0" collapsed="false">
      <c r="A342" s="11" t="s">
        <v>1727</v>
      </c>
      <c r="B342" s="9" t="n">
        <v>0</v>
      </c>
      <c r="C342" s="9" t="n">
        <v>0</v>
      </c>
      <c r="D342" s="9" t="n">
        <v>0</v>
      </c>
      <c r="E342" s="9" t="n">
        <v>0</v>
      </c>
      <c r="F342" s="9" t="n">
        <v>0</v>
      </c>
      <c r="G342" s="9" t="n">
        <v>0</v>
      </c>
      <c r="H342" s="9" t="n">
        <v>0</v>
      </c>
      <c r="I342" s="9" t="n">
        <v>0</v>
      </c>
      <c r="J342" s="9" t="n">
        <v>0</v>
      </c>
      <c r="K342" s="9" t="n">
        <v>0</v>
      </c>
      <c r="L342" s="9" t="n">
        <v>0</v>
      </c>
      <c r="M342" s="9" t="n">
        <v>0</v>
      </c>
      <c r="N342" s="12" t="n">
        <f aca="true">IFERROR(ROUND(SUM(OFFSET(B342,0,0,1,POSTAVKE!$B$7))/POSTAVKE!$B$7,2),0)</f>
        <v>0</v>
      </c>
    </row>
    <row r="343" customFormat="false" ht="15" hidden="false" customHeight="false" outlineLevel="0" collapsed="false">
      <c r="A343" s="11" t="s">
        <v>1729</v>
      </c>
      <c r="B343" s="9" t="n">
        <v>0</v>
      </c>
      <c r="C343" s="9" t="n">
        <v>0</v>
      </c>
      <c r="D343" s="9" t="n">
        <v>0</v>
      </c>
      <c r="E343" s="9" t="n">
        <v>0</v>
      </c>
      <c r="F343" s="9" t="n">
        <v>0</v>
      </c>
      <c r="G343" s="9" t="n">
        <v>0</v>
      </c>
      <c r="H343" s="9" t="n">
        <v>0</v>
      </c>
      <c r="I343" s="9" t="n">
        <v>0</v>
      </c>
      <c r="J343" s="9" t="n">
        <v>0</v>
      </c>
      <c r="K343" s="9" t="n">
        <v>0</v>
      </c>
      <c r="L343" s="9" t="n">
        <v>0</v>
      </c>
      <c r="M343" s="9" t="n">
        <v>0</v>
      </c>
      <c r="N343" s="12" t="n">
        <f aca="true">IFERROR(ROUND(SUM(OFFSET(B343,0,0,1,POSTAVKE!$B$7))/POSTAVKE!$B$7,2),0)</f>
        <v>0</v>
      </c>
    </row>
    <row r="344" customFormat="false" ht="15" hidden="false" customHeight="false" outlineLevel="0" collapsed="false">
      <c r="A344" s="11" t="s">
        <v>1731</v>
      </c>
      <c r="B344" s="9" t="n">
        <v>0</v>
      </c>
      <c r="C344" s="9" t="n">
        <v>0</v>
      </c>
      <c r="D344" s="9" t="n">
        <v>0</v>
      </c>
      <c r="E344" s="9" t="n">
        <v>0</v>
      </c>
      <c r="F344" s="9" t="n">
        <v>0</v>
      </c>
      <c r="G344" s="9" t="n">
        <v>0</v>
      </c>
      <c r="H344" s="9" t="n">
        <v>0</v>
      </c>
      <c r="I344" s="9" t="n">
        <v>0</v>
      </c>
      <c r="J344" s="9" t="n">
        <v>0</v>
      </c>
      <c r="K344" s="9" t="n">
        <v>0</v>
      </c>
      <c r="L344" s="9" t="n">
        <v>0</v>
      </c>
      <c r="M344" s="9" t="n">
        <v>0</v>
      </c>
      <c r="N344" s="12" t="n">
        <f aca="true">IFERROR(ROUND(SUM(OFFSET(B344,0,0,1,POSTAVKE!$B$7))/POSTAVKE!$B$7,2),0)</f>
        <v>0</v>
      </c>
    </row>
    <row r="345" customFormat="false" ht="15" hidden="false" customHeight="false" outlineLevel="0" collapsed="false">
      <c r="A345" s="11" t="s">
        <v>1733</v>
      </c>
      <c r="B345" s="9" t="n">
        <v>0</v>
      </c>
      <c r="C345" s="9" t="n">
        <v>0</v>
      </c>
      <c r="D345" s="9" t="n">
        <v>0</v>
      </c>
      <c r="E345" s="9" t="n">
        <v>0</v>
      </c>
      <c r="F345" s="9" t="n">
        <v>0</v>
      </c>
      <c r="G345" s="9" t="n">
        <v>0</v>
      </c>
      <c r="H345" s="9" t="n">
        <v>0</v>
      </c>
      <c r="I345" s="9" t="n">
        <v>0</v>
      </c>
      <c r="J345" s="9" t="n">
        <v>0</v>
      </c>
      <c r="K345" s="9" t="n">
        <v>0</v>
      </c>
      <c r="L345" s="9" t="n">
        <v>0</v>
      </c>
      <c r="M345" s="9" t="n">
        <v>0</v>
      </c>
      <c r="N345" s="12" t="n">
        <f aca="true">IFERROR(ROUND(SUM(OFFSET(B345,0,0,1,POSTAVKE!$B$7))/POSTAVKE!$B$7,2),0)</f>
        <v>0</v>
      </c>
    </row>
    <row r="346" customFormat="false" ht="15" hidden="false" customHeight="false" outlineLevel="0" collapsed="false">
      <c r="A346" s="11" t="s">
        <v>1735</v>
      </c>
      <c r="B346" s="9" t="n">
        <v>0</v>
      </c>
      <c r="C346" s="9" t="n">
        <v>0</v>
      </c>
      <c r="D346" s="9" t="n">
        <v>0</v>
      </c>
      <c r="E346" s="9" t="n">
        <v>0</v>
      </c>
      <c r="F346" s="9" t="n">
        <v>0</v>
      </c>
      <c r="G346" s="9" t="n">
        <v>0</v>
      </c>
      <c r="H346" s="9" t="n">
        <v>0</v>
      </c>
      <c r="I346" s="9" t="n">
        <v>0</v>
      </c>
      <c r="J346" s="9" t="n">
        <v>0</v>
      </c>
      <c r="K346" s="9" t="n">
        <v>0</v>
      </c>
      <c r="L346" s="9" t="n">
        <v>0</v>
      </c>
      <c r="M346" s="9" t="n">
        <v>0</v>
      </c>
      <c r="N346" s="12" t="n">
        <f aca="true">IFERROR(ROUND(SUM(OFFSET(B346,0,0,1,POSTAVKE!$B$7))/POSTAVKE!$B$7,2),0)</f>
        <v>0</v>
      </c>
    </row>
    <row r="347" customFormat="false" ht="15" hidden="false" customHeight="false" outlineLevel="0" collapsed="false">
      <c r="A347" s="11" t="s">
        <v>1737</v>
      </c>
      <c r="B347" s="9" t="n">
        <v>0</v>
      </c>
      <c r="C347" s="9" t="n">
        <v>0</v>
      </c>
      <c r="D347" s="9" t="n">
        <v>0</v>
      </c>
      <c r="E347" s="9" t="n">
        <v>0</v>
      </c>
      <c r="F347" s="9" t="n">
        <v>0</v>
      </c>
      <c r="G347" s="9" t="n">
        <v>0</v>
      </c>
      <c r="H347" s="9" t="n">
        <v>0</v>
      </c>
      <c r="I347" s="9" t="n">
        <v>0</v>
      </c>
      <c r="J347" s="9" t="n">
        <v>0</v>
      </c>
      <c r="K347" s="9" t="n">
        <v>0</v>
      </c>
      <c r="L347" s="9" t="n">
        <v>0</v>
      </c>
      <c r="M347" s="9" t="n">
        <v>0</v>
      </c>
      <c r="N347" s="12" t="n">
        <f aca="true">IFERROR(ROUND(SUM(OFFSET(B347,0,0,1,POSTAVKE!$B$7))/POSTAVKE!$B$7,2),0)</f>
        <v>0</v>
      </c>
    </row>
    <row r="348" customFormat="false" ht="15" hidden="false" customHeight="false" outlineLevel="0" collapsed="false">
      <c r="A348" s="11" t="s">
        <v>1739</v>
      </c>
      <c r="B348" s="9" t="n">
        <v>0</v>
      </c>
      <c r="C348" s="9" t="n">
        <v>0</v>
      </c>
      <c r="D348" s="9" t="n">
        <v>0</v>
      </c>
      <c r="E348" s="9" t="n">
        <v>0</v>
      </c>
      <c r="F348" s="9" t="n">
        <v>0</v>
      </c>
      <c r="G348" s="9" t="n">
        <v>0</v>
      </c>
      <c r="H348" s="9" t="n">
        <v>0</v>
      </c>
      <c r="I348" s="9" t="n">
        <v>0</v>
      </c>
      <c r="J348" s="9" t="n">
        <v>0</v>
      </c>
      <c r="K348" s="9" t="n">
        <v>0</v>
      </c>
      <c r="L348" s="9" t="n">
        <v>0</v>
      </c>
      <c r="M348" s="9" t="n">
        <v>0</v>
      </c>
      <c r="N348" s="12" t="n">
        <f aca="true">IFERROR(ROUND(SUM(OFFSET(B348,0,0,1,POSTAVKE!$B$7))/POSTAVKE!$B$7,2),0)</f>
        <v>0</v>
      </c>
    </row>
    <row r="349" customFormat="false" ht="15" hidden="false" customHeight="false" outlineLevel="0" collapsed="false">
      <c r="A349" s="11" t="s">
        <v>1741</v>
      </c>
      <c r="B349" s="9" t="n">
        <v>0</v>
      </c>
      <c r="C349" s="9" t="n">
        <v>0</v>
      </c>
      <c r="D349" s="9" t="n">
        <v>0</v>
      </c>
      <c r="E349" s="9" t="n">
        <v>0</v>
      </c>
      <c r="F349" s="9" t="n">
        <v>0</v>
      </c>
      <c r="G349" s="9" t="n">
        <v>0</v>
      </c>
      <c r="H349" s="9" t="n">
        <v>0</v>
      </c>
      <c r="I349" s="9" t="n">
        <v>0</v>
      </c>
      <c r="J349" s="9" t="n">
        <v>0</v>
      </c>
      <c r="K349" s="9" t="n">
        <v>0</v>
      </c>
      <c r="L349" s="9" t="n">
        <v>0</v>
      </c>
      <c r="M349" s="9" t="n">
        <v>0</v>
      </c>
      <c r="N349" s="12" t="n">
        <f aca="true">IFERROR(ROUND(SUM(OFFSET(B349,0,0,1,POSTAVKE!$B$7))/POSTAVKE!$B$7,2),0)</f>
        <v>0</v>
      </c>
    </row>
    <row r="350" customFormat="false" ht="15" hidden="false" customHeight="false" outlineLevel="0" collapsed="false">
      <c r="A350" s="11" t="s">
        <v>1743</v>
      </c>
      <c r="B350" s="9" t="n">
        <v>0</v>
      </c>
      <c r="C350" s="9" t="n">
        <v>0</v>
      </c>
      <c r="D350" s="9" t="n">
        <v>0</v>
      </c>
      <c r="E350" s="9" t="n">
        <v>0</v>
      </c>
      <c r="F350" s="9" t="n">
        <v>0</v>
      </c>
      <c r="G350" s="9" t="n">
        <v>0</v>
      </c>
      <c r="H350" s="9" t="n">
        <v>0</v>
      </c>
      <c r="I350" s="9" t="n">
        <v>0</v>
      </c>
      <c r="J350" s="9" t="n">
        <v>0</v>
      </c>
      <c r="K350" s="9" t="n">
        <v>0</v>
      </c>
      <c r="L350" s="9" t="n">
        <v>0</v>
      </c>
      <c r="M350" s="9" t="n">
        <v>0</v>
      </c>
      <c r="N350" s="12" t="n">
        <f aca="true">IFERROR(ROUND(SUM(OFFSET(B350,0,0,1,POSTAVKE!$B$7))/POSTAVKE!$B$7,2),0)</f>
        <v>0</v>
      </c>
    </row>
    <row r="351" customFormat="false" ht="15" hidden="false" customHeight="false" outlineLevel="0" collapsed="false">
      <c r="A351" s="11" t="s">
        <v>1745</v>
      </c>
      <c r="B351" s="9" t="n">
        <v>0</v>
      </c>
      <c r="C351" s="9" t="n">
        <v>0</v>
      </c>
      <c r="D351" s="9" t="n">
        <v>0</v>
      </c>
      <c r="E351" s="9" t="n">
        <v>0</v>
      </c>
      <c r="F351" s="9" t="n">
        <v>0</v>
      </c>
      <c r="G351" s="9" t="n">
        <v>0</v>
      </c>
      <c r="H351" s="9" t="n">
        <v>0</v>
      </c>
      <c r="I351" s="9" t="n">
        <v>0</v>
      </c>
      <c r="J351" s="9" t="n">
        <v>0</v>
      </c>
      <c r="K351" s="9" t="n">
        <v>0</v>
      </c>
      <c r="L351" s="9" t="n">
        <v>0</v>
      </c>
      <c r="M351" s="9" t="n">
        <v>0</v>
      </c>
      <c r="N351" s="12" t="n">
        <f aca="true">IFERROR(ROUND(SUM(OFFSET(B351,0,0,1,POSTAVKE!$B$7))/POSTAVKE!$B$7,2),0)</f>
        <v>0</v>
      </c>
    </row>
    <row r="352" customFormat="false" ht="15" hidden="false" customHeight="false" outlineLevel="0" collapsed="false">
      <c r="A352" s="11" t="s">
        <v>1747</v>
      </c>
      <c r="B352" s="9" t="n">
        <v>0</v>
      </c>
      <c r="C352" s="9" t="n">
        <v>0</v>
      </c>
      <c r="D352" s="9" t="n">
        <v>0</v>
      </c>
      <c r="E352" s="9" t="n">
        <v>0</v>
      </c>
      <c r="F352" s="9" t="n">
        <v>0</v>
      </c>
      <c r="G352" s="9" t="n">
        <v>0</v>
      </c>
      <c r="H352" s="9" t="n">
        <v>0</v>
      </c>
      <c r="I352" s="9" t="n">
        <v>0</v>
      </c>
      <c r="J352" s="9" t="n">
        <v>0</v>
      </c>
      <c r="K352" s="9" t="n">
        <v>0</v>
      </c>
      <c r="L352" s="9" t="n">
        <v>0</v>
      </c>
      <c r="M352" s="9" t="n">
        <v>0</v>
      </c>
      <c r="N352" s="12" t="n">
        <f aca="true">IFERROR(ROUND(SUM(OFFSET(B352,0,0,1,POSTAVKE!$B$7))/POSTAVKE!$B$7,2),0)</f>
        <v>0</v>
      </c>
    </row>
    <row r="353" customFormat="false" ht="15" hidden="false" customHeight="false" outlineLevel="0" collapsed="false">
      <c r="A353" s="11" t="s">
        <v>1019</v>
      </c>
      <c r="B353" s="9" t="n">
        <v>0</v>
      </c>
      <c r="C353" s="9" t="n">
        <v>0</v>
      </c>
      <c r="D353" s="9" t="n">
        <v>0</v>
      </c>
      <c r="E353" s="9" t="n">
        <v>0</v>
      </c>
      <c r="F353" s="9" t="n">
        <v>1</v>
      </c>
      <c r="G353" s="9" t="n">
        <v>0</v>
      </c>
      <c r="H353" s="9" t="n">
        <v>0</v>
      </c>
      <c r="I353" s="9" t="n">
        <v>0</v>
      </c>
      <c r="J353" s="9" t="n">
        <v>0</v>
      </c>
      <c r="K353" s="9" t="n">
        <v>0</v>
      </c>
      <c r="L353" s="9" t="n">
        <v>0</v>
      </c>
      <c r="M353" s="9" t="n">
        <v>0</v>
      </c>
      <c r="N353" s="12" t="n">
        <f aca="true">IFERROR(ROUND(SUM(OFFSET(B353,0,0,1,POSTAVKE!$B$7))/POSTAVKE!$B$7,2),0)</f>
        <v>0.13</v>
      </c>
    </row>
    <row r="354" customFormat="false" ht="15" hidden="false" customHeight="false" outlineLevel="0" collapsed="false">
      <c r="A354" s="11" t="s">
        <v>1749</v>
      </c>
      <c r="B354" s="9" t="n">
        <v>0</v>
      </c>
      <c r="C354" s="9" t="n">
        <v>0</v>
      </c>
      <c r="D354" s="9" t="n">
        <v>0</v>
      </c>
      <c r="E354" s="9" t="n">
        <v>0</v>
      </c>
      <c r="F354" s="9" t="n">
        <v>0</v>
      </c>
      <c r="G354" s="9" t="n">
        <v>0</v>
      </c>
      <c r="H354" s="9" t="n">
        <v>0</v>
      </c>
      <c r="I354" s="9" t="n">
        <v>0</v>
      </c>
      <c r="J354" s="9" t="n">
        <v>0</v>
      </c>
      <c r="K354" s="9" t="n">
        <v>0</v>
      </c>
      <c r="L354" s="9" t="n">
        <v>0</v>
      </c>
      <c r="M354" s="9" t="n">
        <v>0</v>
      </c>
      <c r="N354" s="12" t="n">
        <f aca="true">IFERROR(ROUND(SUM(OFFSET(B354,0,0,1,POSTAVKE!$B$7))/POSTAVKE!$B$7,2),0)</f>
        <v>0</v>
      </c>
    </row>
    <row r="355" customFormat="false" ht="15" hidden="false" customHeight="false" outlineLevel="0" collapsed="false">
      <c r="A355" s="11" t="s">
        <v>237</v>
      </c>
      <c r="B355" s="9" t="n">
        <v>0</v>
      </c>
      <c r="C355" s="9" t="n">
        <v>3</v>
      </c>
      <c r="D355" s="9" t="n">
        <v>0</v>
      </c>
      <c r="E355" s="9" t="n">
        <v>2</v>
      </c>
      <c r="F355" s="9" t="n">
        <v>0</v>
      </c>
      <c r="G355" s="9" t="n">
        <v>5</v>
      </c>
      <c r="H355" s="9" t="n">
        <v>1</v>
      </c>
      <c r="I355" s="9" t="n">
        <v>0</v>
      </c>
      <c r="J355" s="9" t="n">
        <v>0</v>
      </c>
      <c r="K355" s="9" t="n">
        <v>0</v>
      </c>
      <c r="L355" s="9" t="n">
        <v>0</v>
      </c>
      <c r="M355" s="9" t="n">
        <v>0</v>
      </c>
      <c r="N355" s="12" t="n">
        <f aca="true">IFERROR(ROUND(SUM(OFFSET(B355,0,0,1,POSTAVKE!$B$7))/POSTAVKE!$B$7,2),0)</f>
        <v>1.38</v>
      </c>
    </row>
    <row r="356" customFormat="false" ht="15" hidden="false" customHeight="false" outlineLevel="0" collapsed="false">
      <c r="A356" s="11" t="s">
        <v>203</v>
      </c>
      <c r="B356" s="9" t="n">
        <v>0</v>
      </c>
      <c r="C356" s="9" t="n">
        <v>0</v>
      </c>
      <c r="D356" s="9" t="n">
        <v>5</v>
      </c>
      <c r="E356" s="9" t="n">
        <v>12</v>
      </c>
      <c r="F356" s="9" t="n">
        <v>0</v>
      </c>
      <c r="G356" s="9" t="n">
        <v>4</v>
      </c>
      <c r="H356" s="9" t="n">
        <v>13</v>
      </c>
      <c r="I356" s="9" t="n">
        <v>0</v>
      </c>
      <c r="J356" s="9" t="n">
        <v>0</v>
      </c>
      <c r="K356" s="9" t="n">
        <v>0</v>
      </c>
      <c r="L356" s="9" t="n">
        <v>0</v>
      </c>
      <c r="M356" s="9" t="n">
        <v>0</v>
      </c>
      <c r="N356" s="12" t="n">
        <f aca="true">IFERROR(ROUND(SUM(OFFSET(B356,0,0,1,POSTAVKE!$B$7))/POSTAVKE!$B$7,2),0)</f>
        <v>4.25</v>
      </c>
    </row>
    <row r="357" customFormat="false" ht="15" hidden="false" customHeight="false" outlineLevel="0" collapsed="false">
      <c r="A357" s="11" t="s">
        <v>1751</v>
      </c>
      <c r="B357" s="9" t="n">
        <v>0</v>
      </c>
      <c r="C357" s="9" t="n">
        <v>0</v>
      </c>
      <c r="D357" s="9" t="n">
        <v>0</v>
      </c>
      <c r="E357" s="9" t="n">
        <v>-1</v>
      </c>
      <c r="F357" s="9" t="n">
        <v>0</v>
      </c>
      <c r="G357" s="9" t="n">
        <v>0</v>
      </c>
      <c r="H357" s="9" t="n">
        <v>0</v>
      </c>
      <c r="I357" s="9" t="n">
        <v>0</v>
      </c>
      <c r="J357" s="9" t="n">
        <v>0</v>
      </c>
      <c r="K357" s="9" t="n">
        <v>0</v>
      </c>
      <c r="L357" s="9" t="n">
        <v>0</v>
      </c>
      <c r="M357" s="9" t="n">
        <v>0</v>
      </c>
      <c r="N357" s="12" t="n">
        <f aca="true">IFERROR(ROUND(SUM(OFFSET(B357,0,0,1,POSTAVKE!$B$7))/POSTAVKE!$B$7,2),0)</f>
        <v>-0.13</v>
      </c>
    </row>
    <row r="358" customFormat="false" ht="15" hidden="false" customHeight="false" outlineLevel="0" collapsed="false">
      <c r="A358" s="11" t="s">
        <v>409</v>
      </c>
      <c r="B358" s="9" t="n">
        <v>0</v>
      </c>
      <c r="C358" s="9" t="n">
        <v>13</v>
      </c>
      <c r="D358" s="9" t="n">
        <v>1</v>
      </c>
      <c r="E358" s="9" t="n">
        <v>3</v>
      </c>
      <c r="F358" s="9" t="n">
        <v>1</v>
      </c>
      <c r="G358" s="9" t="n">
        <v>4</v>
      </c>
      <c r="H358" s="9" t="n">
        <v>5</v>
      </c>
      <c r="I358" s="9" t="n">
        <v>0</v>
      </c>
      <c r="J358" s="9" t="n">
        <v>0</v>
      </c>
      <c r="K358" s="9" t="n">
        <v>0</v>
      </c>
      <c r="L358" s="9" t="n">
        <v>0</v>
      </c>
      <c r="M358" s="9" t="n">
        <v>0</v>
      </c>
      <c r="N358" s="12" t="n">
        <f aca="true">IFERROR(ROUND(SUM(OFFSET(B358,0,0,1,POSTAVKE!$B$7))/POSTAVKE!$B$7,2),0)</f>
        <v>3.38</v>
      </c>
    </row>
    <row r="359" customFormat="false" ht="15" hidden="false" customHeight="false" outlineLevel="0" collapsed="false">
      <c r="A359" s="11" t="s">
        <v>1753</v>
      </c>
      <c r="B359" s="9" t="n">
        <v>0</v>
      </c>
      <c r="C359" s="9" t="n">
        <v>0</v>
      </c>
      <c r="D359" s="9" t="n">
        <v>0</v>
      </c>
      <c r="E359" s="9" t="n">
        <v>0</v>
      </c>
      <c r="F359" s="9" t="n">
        <v>0</v>
      </c>
      <c r="G359" s="9" t="n">
        <v>0</v>
      </c>
      <c r="H359" s="9" t="n">
        <v>0</v>
      </c>
      <c r="I359" s="9" t="n">
        <v>0</v>
      </c>
      <c r="J359" s="9" t="n">
        <v>0</v>
      </c>
      <c r="K359" s="9" t="n">
        <v>0</v>
      </c>
      <c r="L359" s="9" t="n">
        <v>0</v>
      </c>
      <c r="M359" s="9" t="n">
        <v>0</v>
      </c>
      <c r="N359" s="12" t="n">
        <f aca="true">IFERROR(ROUND(SUM(OFFSET(B359,0,0,1,POSTAVKE!$B$7))/POSTAVKE!$B$7,2),0)</f>
        <v>0</v>
      </c>
    </row>
    <row r="360" customFormat="false" ht="15" hidden="false" customHeight="false" outlineLevel="0" collapsed="false">
      <c r="A360" s="11" t="s">
        <v>1755</v>
      </c>
      <c r="B360" s="9" t="n">
        <v>0</v>
      </c>
      <c r="C360" s="9" t="n">
        <v>0</v>
      </c>
      <c r="D360" s="9" t="n">
        <v>0</v>
      </c>
      <c r="E360" s="9" t="n">
        <v>1</v>
      </c>
      <c r="F360" s="9" t="n">
        <v>0</v>
      </c>
      <c r="G360" s="9" t="n">
        <v>0</v>
      </c>
      <c r="H360" s="9" t="n">
        <v>0</v>
      </c>
      <c r="I360" s="9" t="n">
        <v>0</v>
      </c>
      <c r="J360" s="9" t="n">
        <v>0</v>
      </c>
      <c r="K360" s="9" t="n">
        <v>0</v>
      </c>
      <c r="L360" s="9" t="n">
        <v>0</v>
      </c>
      <c r="M360" s="9" t="n">
        <v>0</v>
      </c>
      <c r="N360" s="12" t="n">
        <f aca="true">IFERROR(ROUND(SUM(OFFSET(B360,0,0,1,POSTAVKE!$B$7))/POSTAVKE!$B$7,2),0)</f>
        <v>0.13</v>
      </c>
    </row>
    <row r="361" customFormat="false" ht="15" hidden="false" customHeight="false" outlineLevel="0" collapsed="false">
      <c r="A361" s="11" t="s">
        <v>1756</v>
      </c>
      <c r="B361" s="9" t="n">
        <v>0</v>
      </c>
      <c r="C361" s="9" t="n">
        <v>0</v>
      </c>
      <c r="D361" s="9" t="n">
        <v>0</v>
      </c>
      <c r="E361" s="9" t="n">
        <v>0</v>
      </c>
      <c r="F361" s="9" t="n">
        <v>0</v>
      </c>
      <c r="G361" s="9" t="n">
        <v>0</v>
      </c>
      <c r="H361" s="9" t="n">
        <v>0</v>
      </c>
      <c r="I361" s="9" t="n">
        <v>0</v>
      </c>
      <c r="J361" s="9" t="n">
        <v>0</v>
      </c>
      <c r="K361" s="9" t="n">
        <v>0</v>
      </c>
      <c r="L361" s="9" t="n">
        <v>0</v>
      </c>
      <c r="M361" s="9" t="n">
        <v>0</v>
      </c>
      <c r="N361" s="12" t="n">
        <f aca="true">IFERROR(ROUND(SUM(OFFSET(B361,0,0,1,POSTAVKE!$B$7))/POSTAVKE!$B$7,2),0)</f>
        <v>0</v>
      </c>
    </row>
    <row r="362" customFormat="false" ht="15" hidden="false" customHeight="false" outlineLevel="0" collapsed="false">
      <c r="A362" s="11" t="s">
        <v>1758</v>
      </c>
      <c r="B362" s="9" t="n">
        <v>0</v>
      </c>
      <c r="C362" s="9" t="n">
        <v>0</v>
      </c>
      <c r="D362" s="9" t="n">
        <v>0</v>
      </c>
      <c r="E362" s="9" t="n">
        <v>0</v>
      </c>
      <c r="F362" s="9" t="n">
        <v>0</v>
      </c>
      <c r="G362" s="9" t="n">
        <v>0</v>
      </c>
      <c r="H362" s="9" t="n">
        <v>0</v>
      </c>
      <c r="I362" s="9" t="n">
        <v>0</v>
      </c>
      <c r="J362" s="9" t="n">
        <v>0</v>
      </c>
      <c r="K362" s="9" t="n">
        <v>0</v>
      </c>
      <c r="L362" s="9" t="n">
        <v>0</v>
      </c>
      <c r="M362" s="9" t="n">
        <v>0</v>
      </c>
      <c r="N362" s="12" t="n">
        <f aca="true">IFERROR(ROUND(SUM(OFFSET(B362,0,0,1,POSTAVKE!$B$7))/POSTAVKE!$B$7,2),0)</f>
        <v>0</v>
      </c>
    </row>
    <row r="363" customFormat="false" ht="15" hidden="false" customHeight="false" outlineLevel="0" collapsed="false">
      <c r="A363" s="11" t="s">
        <v>1428</v>
      </c>
      <c r="B363" s="9" t="n">
        <v>0</v>
      </c>
      <c r="C363" s="9" t="n">
        <v>0</v>
      </c>
      <c r="D363" s="9" t="n">
        <v>-1</v>
      </c>
      <c r="E363" s="9" t="n">
        <v>0</v>
      </c>
      <c r="F363" s="9" t="n">
        <v>1</v>
      </c>
      <c r="G363" s="9" t="n">
        <v>0</v>
      </c>
      <c r="H363" s="9" t="n">
        <v>0</v>
      </c>
      <c r="I363" s="9" t="n">
        <v>0</v>
      </c>
      <c r="J363" s="9" t="n">
        <v>0</v>
      </c>
      <c r="K363" s="9" t="n">
        <v>0</v>
      </c>
      <c r="L363" s="9" t="n">
        <v>0</v>
      </c>
      <c r="M363" s="9" t="n">
        <v>0</v>
      </c>
      <c r="N363" s="12" t="n">
        <f aca="true">IFERROR(ROUND(SUM(OFFSET(B363,0,0,1,POSTAVKE!$B$7))/POSTAVKE!$B$7,2),0)</f>
        <v>0</v>
      </c>
    </row>
    <row r="364" customFormat="false" ht="15" hidden="false" customHeight="false" outlineLevel="0" collapsed="false">
      <c r="A364" s="11" t="s">
        <v>1430</v>
      </c>
      <c r="B364" s="9" t="n">
        <v>0</v>
      </c>
      <c r="C364" s="9" t="n">
        <v>0</v>
      </c>
      <c r="D364" s="9" t="n">
        <v>0</v>
      </c>
      <c r="E364" s="9" t="n">
        <v>0</v>
      </c>
      <c r="F364" s="9" t="n">
        <v>0</v>
      </c>
      <c r="G364" s="9" t="n">
        <v>0</v>
      </c>
      <c r="H364" s="9" t="n">
        <v>0</v>
      </c>
      <c r="I364" s="9" t="n">
        <v>0</v>
      </c>
      <c r="J364" s="9" t="n">
        <v>0</v>
      </c>
      <c r="K364" s="9" t="n">
        <v>0</v>
      </c>
      <c r="L364" s="9" t="n">
        <v>0</v>
      </c>
      <c r="M364" s="9" t="n">
        <v>0</v>
      </c>
      <c r="N364" s="12" t="n">
        <f aca="true">IFERROR(ROUND(SUM(OFFSET(B364,0,0,1,POSTAVKE!$B$7))/POSTAVKE!$B$7,2),0)</f>
        <v>0</v>
      </c>
    </row>
    <row r="365" customFormat="false" ht="15" hidden="false" customHeight="false" outlineLevel="0" collapsed="false">
      <c r="A365" s="11" t="s">
        <v>1432</v>
      </c>
      <c r="B365" s="9" t="n">
        <v>0</v>
      </c>
      <c r="C365" s="9" t="n">
        <v>0</v>
      </c>
      <c r="D365" s="9" t="n">
        <v>0</v>
      </c>
      <c r="E365" s="9" t="n">
        <v>0</v>
      </c>
      <c r="F365" s="9" t="n">
        <v>0</v>
      </c>
      <c r="G365" s="9" t="n">
        <v>0</v>
      </c>
      <c r="H365" s="9" t="n">
        <v>0</v>
      </c>
      <c r="I365" s="9" t="n">
        <v>0</v>
      </c>
      <c r="J365" s="9" t="n">
        <v>0</v>
      </c>
      <c r="K365" s="9" t="n">
        <v>0</v>
      </c>
      <c r="L365" s="9" t="n">
        <v>0</v>
      </c>
      <c r="M365" s="9" t="n">
        <v>0</v>
      </c>
      <c r="N365" s="12" t="n">
        <f aca="true">IFERROR(ROUND(SUM(OFFSET(B365,0,0,1,POSTAVKE!$B$7))/POSTAVKE!$B$7,2),0)</f>
        <v>0</v>
      </c>
    </row>
    <row r="366" customFormat="false" ht="15" hidden="false" customHeight="false" outlineLevel="0" collapsed="false">
      <c r="A366" s="11" t="s">
        <v>1434</v>
      </c>
      <c r="B366" s="9" t="n">
        <v>0</v>
      </c>
      <c r="C366" s="9" t="n">
        <v>0</v>
      </c>
      <c r="D366" s="9" t="n">
        <v>0</v>
      </c>
      <c r="E366" s="9" t="n">
        <v>0</v>
      </c>
      <c r="F366" s="9" t="n">
        <v>0</v>
      </c>
      <c r="G366" s="9" t="n">
        <v>0</v>
      </c>
      <c r="H366" s="9" t="n">
        <v>0</v>
      </c>
      <c r="I366" s="9" t="n">
        <v>0</v>
      </c>
      <c r="J366" s="9" t="n">
        <v>0</v>
      </c>
      <c r="K366" s="9" t="n">
        <v>0</v>
      </c>
      <c r="L366" s="9" t="n">
        <v>0</v>
      </c>
      <c r="M366" s="9" t="n">
        <v>0</v>
      </c>
      <c r="N366" s="12" t="n">
        <f aca="true">IFERROR(ROUND(SUM(OFFSET(B366,0,0,1,POSTAVKE!$B$7))/POSTAVKE!$B$7,2),0)</f>
        <v>0</v>
      </c>
    </row>
    <row r="367" customFormat="false" ht="15" hidden="false" customHeight="false" outlineLevel="0" collapsed="false">
      <c r="A367" s="11" t="s">
        <v>421</v>
      </c>
      <c r="B367" s="9" t="n">
        <v>0</v>
      </c>
      <c r="C367" s="9" t="n">
        <v>1</v>
      </c>
      <c r="D367" s="9" t="n">
        <v>1</v>
      </c>
      <c r="E367" s="9" t="n">
        <v>0</v>
      </c>
      <c r="F367" s="9" t="n">
        <v>0</v>
      </c>
      <c r="G367" s="9" t="n">
        <v>1</v>
      </c>
      <c r="H367" s="9" t="n">
        <v>1</v>
      </c>
      <c r="I367" s="9" t="n">
        <v>2</v>
      </c>
      <c r="J367" s="9" t="n">
        <v>0</v>
      </c>
      <c r="K367" s="9" t="n">
        <v>0</v>
      </c>
      <c r="L367" s="9" t="n">
        <v>0</v>
      </c>
      <c r="M367" s="9" t="n">
        <v>0</v>
      </c>
      <c r="N367" s="12" t="n">
        <f aca="true">IFERROR(ROUND(SUM(OFFSET(B367,0,0,1,POSTAVKE!$B$7))/POSTAVKE!$B$7,2),0)</f>
        <v>0.75</v>
      </c>
    </row>
    <row r="368" customFormat="false" ht="15" hidden="false" customHeight="false" outlineLevel="0" collapsed="false">
      <c r="A368" s="11" t="s">
        <v>1760</v>
      </c>
      <c r="B368" s="9" t="n">
        <v>0</v>
      </c>
      <c r="C368" s="9" t="n">
        <v>0</v>
      </c>
      <c r="D368" s="9" t="n">
        <v>0</v>
      </c>
      <c r="E368" s="9" t="n">
        <v>0</v>
      </c>
      <c r="F368" s="9" t="n">
        <v>0</v>
      </c>
      <c r="G368" s="9" t="n">
        <v>0</v>
      </c>
      <c r="H368" s="9" t="n">
        <v>0</v>
      </c>
      <c r="I368" s="9" t="n">
        <v>1</v>
      </c>
      <c r="J368" s="9" t="n">
        <v>0</v>
      </c>
      <c r="K368" s="9" t="n">
        <v>0</v>
      </c>
      <c r="L368" s="9" t="n">
        <v>0</v>
      </c>
      <c r="M368" s="9" t="n">
        <v>0</v>
      </c>
      <c r="N368" s="12" t="n">
        <f aca="true">IFERROR(ROUND(SUM(OFFSET(B368,0,0,1,POSTAVKE!$B$7))/POSTAVKE!$B$7,2),0)</f>
        <v>0.13</v>
      </c>
    </row>
    <row r="369" customFormat="false" ht="15" hidden="false" customHeight="false" outlineLevel="0" collapsed="false">
      <c r="A369" s="11" t="s">
        <v>1762</v>
      </c>
      <c r="B369" s="9" t="n">
        <v>0</v>
      </c>
      <c r="C369" s="9" t="n">
        <v>0</v>
      </c>
      <c r="D369" s="9" t="n">
        <v>0</v>
      </c>
      <c r="E369" s="9" t="n">
        <v>-3</v>
      </c>
      <c r="F369" s="9" t="n">
        <v>0</v>
      </c>
      <c r="G369" s="9" t="n">
        <v>0</v>
      </c>
      <c r="H369" s="9" t="n">
        <v>-1</v>
      </c>
      <c r="I369" s="9" t="n">
        <v>0</v>
      </c>
      <c r="J369" s="9" t="n">
        <v>0</v>
      </c>
      <c r="K369" s="9" t="n">
        <v>0</v>
      </c>
      <c r="L369" s="9" t="n">
        <v>0</v>
      </c>
      <c r="M369" s="9" t="n">
        <v>0</v>
      </c>
      <c r="N369" s="12" t="n">
        <f aca="true">IFERROR(ROUND(SUM(OFFSET(B369,0,0,1,POSTAVKE!$B$7))/POSTAVKE!$B$7,2),0)</f>
        <v>-0.5</v>
      </c>
    </row>
    <row r="370" customFormat="false" ht="15" hidden="false" customHeight="false" outlineLevel="0" collapsed="false">
      <c r="A370" s="11" t="s">
        <v>1442</v>
      </c>
      <c r="B370" s="9" t="n">
        <v>0</v>
      </c>
      <c r="C370" s="9" t="n">
        <v>0</v>
      </c>
      <c r="D370" s="9" t="n">
        <v>0</v>
      </c>
      <c r="E370" s="9" t="n">
        <v>-2</v>
      </c>
      <c r="F370" s="9" t="n">
        <v>0</v>
      </c>
      <c r="G370" s="9" t="n">
        <v>0</v>
      </c>
      <c r="H370" s="9" t="n">
        <v>-1</v>
      </c>
      <c r="I370" s="9" t="n">
        <v>0</v>
      </c>
      <c r="J370" s="9" t="n">
        <v>0</v>
      </c>
      <c r="K370" s="9" t="n">
        <v>0</v>
      </c>
      <c r="L370" s="9" t="n">
        <v>0</v>
      </c>
      <c r="M370" s="9" t="n">
        <v>0</v>
      </c>
      <c r="N370" s="12" t="n">
        <f aca="true">IFERROR(ROUND(SUM(OFFSET(B370,0,0,1,POSTAVKE!$B$7))/POSTAVKE!$B$7,2),0)</f>
        <v>-0.38</v>
      </c>
    </row>
    <row r="371" customFormat="false" ht="15" hidden="false" customHeight="false" outlineLevel="0" collapsed="false">
      <c r="A371" s="11" t="s">
        <v>1764</v>
      </c>
      <c r="B371" s="9" t="n">
        <v>0</v>
      </c>
      <c r="C371" s="9" t="n">
        <v>0</v>
      </c>
      <c r="D371" s="9" t="n">
        <v>0</v>
      </c>
      <c r="E371" s="9" t="n">
        <v>0</v>
      </c>
      <c r="F371" s="9" t="n">
        <v>0</v>
      </c>
      <c r="G371" s="9" t="n">
        <v>0</v>
      </c>
      <c r="H371" s="9" t="n">
        <v>-1</v>
      </c>
      <c r="I371" s="9" t="n">
        <v>0</v>
      </c>
      <c r="J371" s="9" t="n">
        <v>0</v>
      </c>
      <c r="K371" s="9" t="n">
        <v>0</v>
      </c>
      <c r="L371" s="9" t="n">
        <v>0</v>
      </c>
      <c r="M371" s="9" t="n">
        <v>0</v>
      </c>
      <c r="N371" s="12" t="n">
        <f aca="true">IFERROR(ROUND(SUM(OFFSET(B371,0,0,1,POSTAVKE!$B$7))/POSTAVKE!$B$7,2),0)</f>
        <v>-0.13</v>
      </c>
    </row>
    <row r="372" customFormat="false" ht="15" hidden="false" customHeight="false" outlineLevel="0" collapsed="false">
      <c r="A372" s="11" t="s">
        <v>795</v>
      </c>
      <c r="B372" s="9" t="n">
        <v>0</v>
      </c>
      <c r="C372" s="9" t="n">
        <v>1</v>
      </c>
      <c r="D372" s="9" t="n">
        <v>3</v>
      </c>
      <c r="E372" s="9" t="n">
        <v>1</v>
      </c>
      <c r="F372" s="9" t="n">
        <v>0</v>
      </c>
      <c r="G372" s="9" t="n">
        <v>2</v>
      </c>
      <c r="H372" s="9" t="n">
        <v>1</v>
      </c>
      <c r="I372" s="9" t="n">
        <v>0</v>
      </c>
      <c r="J372" s="9" t="n">
        <v>0</v>
      </c>
      <c r="K372" s="9" t="n">
        <v>0</v>
      </c>
      <c r="L372" s="9" t="n">
        <v>0</v>
      </c>
      <c r="M372" s="9" t="n">
        <v>0</v>
      </c>
      <c r="N372" s="12" t="n">
        <f aca="true">IFERROR(ROUND(SUM(OFFSET(B372,0,0,1,POSTAVKE!$B$7))/POSTAVKE!$B$7,2),0)</f>
        <v>1</v>
      </c>
    </row>
    <row r="373" customFormat="false" ht="15" hidden="false" customHeight="false" outlineLevel="0" collapsed="false">
      <c r="A373" s="11" t="s">
        <v>1444</v>
      </c>
      <c r="B373" s="9" t="n">
        <v>0</v>
      </c>
      <c r="C373" s="9" t="n">
        <v>1</v>
      </c>
      <c r="D373" s="9" t="n">
        <v>0</v>
      </c>
      <c r="E373" s="9" t="n">
        <v>0</v>
      </c>
      <c r="F373" s="9" t="n">
        <v>0</v>
      </c>
      <c r="G373" s="9" t="n">
        <v>0</v>
      </c>
      <c r="H373" s="9" t="n">
        <v>0</v>
      </c>
      <c r="I373" s="9" t="n">
        <v>0</v>
      </c>
      <c r="J373" s="9" t="n">
        <v>0</v>
      </c>
      <c r="K373" s="9" t="n">
        <v>0</v>
      </c>
      <c r="L373" s="9" t="n">
        <v>0</v>
      </c>
      <c r="M373" s="9" t="n">
        <v>0</v>
      </c>
      <c r="N373" s="12" t="n">
        <f aca="true">IFERROR(ROUND(SUM(OFFSET(B373,0,0,1,POSTAVKE!$B$7))/POSTAVKE!$B$7,2),0)</f>
        <v>0.13</v>
      </c>
    </row>
    <row r="374" customFormat="false" ht="15" hidden="false" customHeight="false" outlineLevel="0" collapsed="false">
      <c r="A374" s="11" t="s">
        <v>1766</v>
      </c>
      <c r="B374" s="9" t="n">
        <v>0</v>
      </c>
      <c r="C374" s="9" t="n">
        <v>0</v>
      </c>
      <c r="D374" s="9" t="n">
        <v>0</v>
      </c>
      <c r="E374" s="9" t="n">
        <v>1</v>
      </c>
      <c r="F374" s="9" t="n">
        <v>0</v>
      </c>
      <c r="G374" s="9" t="n">
        <v>0</v>
      </c>
      <c r="H374" s="9" t="n">
        <v>0</v>
      </c>
      <c r="I374" s="9" t="n">
        <v>0</v>
      </c>
      <c r="J374" s="9" t="n">
        <v>0</v>
      </c>
      <c r="K374" s="9" t="n">
        <v>0</v>
      </c>
      <c r="L374" s="9" t="n">
        <v>0</v>
      </c>
      <c r="M374" s="9" t="n">
        <v>0</v>
      </c>
      <c r="N374" s="12" t="n">
        <f aca="true">IFERROR(ROUND(SUM(OFFSET(B374,0,0,1,POSTAVKE!$B$7))/POSTAVKE!$B$7,2),0)</f>
        <v>0.13</v>
      </c>
    </row>
    <row r="375" customFormat="false" ht="15" hidden="false" customHeight="false" outlineLevel="0" collapsed="false">
      <c r="A375" s="11" t="s">
        <v>489</v>
      </c>
      <c r="B375" s="9" t="n">
        <v>0</v>
      </c>
      <c r="C375" s="9" t="n">
        <v>0</v>
      </c>
      <c r="D375" s="9" t="n">
        <v>25</v>
      </c>
      <c r="E375" s="9" t="n">
        <v>13</v>
      </c>
      <c r="F375" s="9" t="n">
        <v>4</v>
      </c>
      <c r="G375" s="9" t="n">
        <v>8</v>
      </c>
      <c r="H375" s="9" t="n">
        <v>6</v>
      </c>
      <c r="I375" s="9" t="n">
        <v>14</v>
      </c>
      <c r="J375" s="9" t="n">
        <v>0</v>
      </c>
      <c r="K375" s="9" t="n">
        <v>0</v>
      </c>
      <c r="L375" s="9" t="n">
        <v>0</v>
      </c>
      <c r="M375" s="9" t="n">
        <v>0</v>
      </c>
      <c r="N375" s="12" t="n">
        <f aca="true">IFERROR(ROUND(SUM(OFFSET(B375,0,0,1,POSTAVKE!$B$7))/POSTAVKE!$B$7,2),0)</f>
        <v>8.75</v>
      </c>
    </row>
    <row r="376" customFormat="false" ht="15" hidden="false" customHeight="false" outlineLevel="0" collapsed="false">
      <c r="A376" s="11" t="s">
        <v>713</v>
      </c>
      <c r="B376" s="9" t="n">
        <v>0</v>
      </c>
      <c r="C376" s="9" t="n">
        <v>0</v>
      </c>
      <c r="D376" s="9" t="n">
        <v>2</v>
      </c>
      <c r="E376" s="9" t="n">
        <v>3</v>
      </c>
      <c r="F376" s="9" t="n">
        <v>0</v>
      </c>
      <c r="G376" s="9" t="n">
        <v>4</v>
      </c>
      <c r="H376" s="9" t="n">
        <v>0</v>
      </c>
      <c r="I376" s="9" t="n">
        <v>0</v>
      </c>
      <c r="J376" s="9" t="n">
        <v>0</v>
      </c>
      <c r="K376" s="9" t="n">
        <v>0</v>
      </c>
      <c r="L376" s="9" t="n">
        <v>0</v>
      </c>
      <c r="M376" s="9" t="n">
        <v>0</v>
      </c>
      <c r="N376" s="12" t="n">
        <f aca="true">IFERROR(ROUND(SUM(OFFSET(B376,0,0,1,POSTAVKE!$B$7))/POSTAVKE!$B$7,2),0)</f>
        <v>1.13</v>
      </c>
    </row>
    <row r="377" customFormat="false" ht="15" hidden="false" customHeight="false" outlineLevel="0" collapsed="false">
      <c r="A377" s="11" t="s">
        <v>461</v>
      </c>
      <c r="B377" s="9" t="n">
        <v>0</v>
      </c>
      <c r="C377" s="9" t="n">
        <v>2</v>
      </c>
      <c r="D377" s="9" t="n">
        <v>4</v>
      </c>
      <c r="E377" s="9" t="n">
        <v>3</v>
      </c>
      <c r="F377" s="9" t="n">
        <v>1</v>
      </c>
      <c r="G377" s="9" t="n">
        <v>0</v>
      </c>
      <c r="H377" s="9" t="n">
        <v>3</v>
      </c>
      <c r="I377" s="9" t="n">
        <v>4</v>
      </c>
      <c r="J377" s="9" t="n">
        <v>0</v>
      </c>
      <c r="K377" s="9" t="n">
        <v>0</v>
      </c>
      <c r="L377" s="9" t="n">
        <v>0</v>
      </c>
      <c r="M377" s="9" t="n">
        <v>0</v>
      </c>
      <c r="N377" s="12" t="n">
        <f aca="true">IFERROR(ROUND(SUM(OFFSET(B377,0,0,1,POSTAVKE!$B$7))/POSTAVKE!$B$7,2),0)</f>
        <v>2.13</v>
      </c>
    </row>
    <row r="378" customFormat="false" ht="15" hidden="false" customHeight="false" outlineLevel="0" collapsed="false">
      <c r="A378" s="11" t="s">
        <v>1768</v>
      </c>
      <c r="B378" s="9" t="n">
        <v>0</v>
      </c>
      <c r="C378" s="9" t="n">
        <v>0</v>
      </c>
      <c r="D378" s="9" t="n">
        <v>0</v>
      </c>
      <c r="E378" s="9" t="n">
        <v>0</v>
      </c>
      <c r="F378" s="9" t="n">
        <v>0</v>
      </c>
      <c r="G378" s="9" t="n">
        <v>0</v>
      </c>
      <c r="H378" s="9" t="n">
        <v>0</v>
      </c>
      <c r="I378" s="9" t="n">
        <v>0</v>
      </c>
      <c r="J378" s="9" t="n">
        <v>0</v>
      </c>
      <c r="K378" s="9" t="n">
        <v>0</v>
      </c>
      <c r="L378" s="9" t="n">
        <v>0</v>
      </c>
      <c r="M378" s="9" t="n">
        <v>0</v>
      </c>
      <c r="N378" s="12" t="n">
        <f aca="true">IFERROR(ROUND(SUM(OFFSET(B378,0,0,1,POSTAVKE!$B$7))/POSTAVKE!$B$7,2),0)</f>
        <v>0</v>
      </c>
    </row>
    <row r="379" customFormat="false" ht="15" hidden="false" customHeight="false" outlineLevel="0" collapsed="false">
      <c r="A379" s="11" t="s">
        <v>197</v>
      </c>
      <c r="B379" s="9" t="n">
        <v>0</v>
      </c>
      <c r="C379" s="9" t="n">
        <v>0</v>
      </c>
      <c r="D379" s="9" t="n">
        <v>5</v>
      </c>
      <c r="E379" s="9" t="n">
        <v>5</v>
      </c>
      <c r="F379" s="9" t="n">
        <v>10</v>
      </c>
      <c r="G379" s="9" t="n">
        <v>10</v>
      </c>
      <c r="H379" s="9" t="n">
        <v>5</v>
      </c>
      <c r="I379" s="9" t="n">
        <v>0</v>
      </c>
      <c r="J379" s="9" t="n">
        <v>0</v>
      </c>
      <c r="K379" s="9" t="n">
        <v>0</v>
      </c>
      <c r="L379" s="9" t="n">
        <v>0</v>
      </c>
      <c r="M379" s="9" t="n">
        <v>0</v>
      </c>
      <c r="N379" s="12" t="n">
        <f aca="true">IFERROR(ROUND(SUM(OFFSET(B379,0,0,1,POSTAVKE!$B$7))/POSTAVKE!$B$7,2),0)</f>
        <v>4.38</v>
      </c>
    </row>
    <row r="380" customFormat="false" ht="15" hidden="false" customHeight="false" outlineLevel="0" collapsed="false">
      <c r="A380" s="11" t="s">
        <v>577</v>
      </c>
      <c r="B380" s="9" t="n">
        <v>0</v>
      </c>
      <c r="C380" s="9" t="n">
        <v>0</v>
      </c>
      <c r="D380" s="9" t="n">
        <v>0</v>
      </c>
      <c r="E380" s="9" t="n">
        <v>0</v>
      </c>
      <c r="F380" s="9" t="n">
        <v>0</v>
      </c>
      <c r="G380" s="9" t="n">
        <v>0</v>
      </c>
      <c r="H380" s="9" t="n">
        <v>0</v>
      </c>
      <c r="I380" s="9" t="n">
        <v>0</v>
      </c>
      <c r="J380" s="9" t="n">
        <v>0</v>
      </c>
      <c r="K380" s="9" t="n">
        <v>0</v>
      </c>
      <c r="L380" s="9" t="n">
        <v>0</v>
      </c>
      <c r="M380" s="9" t="n">
        <v>0</v>
      </c>
      <c r="N380" s="12" t="n">
        <f aca="true">IFERROR(ROUND(SUM(OFFSET(B380,0,0,1,POSTAVKE!$B$7))/POSTAVKE!$B$7,2),0)</f>
        <v>0</v>
      </c>
    </row>
    <row r="381" customFormat="false" ht="15" hidden="false" customHeight="false" outlineLevel="0" collapsed="false">
      <c r="A381" s="11" t="s">
        <v>605</v>
      </c>
      <c r="B381" s="9" t="n">
        <v>0</v>
      </c>
      <c r="C381" s="9" t="n">
        <v>0</v>
      </c>
      <c r="D381" s="9" t="n">
        <v>0</v>
      </c>
      <c r="E381" s="9" t="n">
        <v>0</v>
      </c>
      <c r="F381" s="9" t="n">
        <v>1</v>
      </c>
      <c r="G381" s="9" t="n">
        <v>0</v>
      </c>
      <c r="H381" s="9" t="n">
        <v>0</v>
      </c>
      <c r="I381" s="9" t="n">
        <v>0</v>
      </c>
      <c r="J381" s="9" t="n">
        <v>0</v>
      </c>
      <c r="K381" s="9" t="n">
        <v>0</v>
      </c>
      <c r="L381" s="9" t="n">
        <v>0</v>
      </c>
      <c r="M381" s="9" t="n">
        <v>0</v>
      </c>
      <c r="N381" s="12" t="n">
        <f aca="true">IFERROR(ROUND(SUM(OFFSET(B381,0,0,1,POSTAVKE!$B$7))/POSTAVKE!$B$7,2),0)</f>
        <v>0.13</v>
      </c>
    </row>
    <row r="382" customFormat="false" ht="15" hidden="false" customHeight="false" outlineLevel="0" collapsed="false">
      <c r="A382" s="11" t="s">
        <v>1454</v>
      </c>
      <c r="B382" s="9" t="n">
        <v>0</v>
      </c>
      <c r="C382" s="9" t="n">
        <v>0</v>
      </c>
      <c r="D382" s="9" t="n">
        <v>0</v>
      </c>
      <c r="E382" s="9" t="n">
        <v>0</v>
      </c>
      <c r="F382" s="9" t="n">
        <v>0</v>
      </c>
      <c r="G382" s="9" t="n">
        <v>-1</v>
      </c>
      <c r="H382" s="9" t="n">
        <v>-1</v>
      </c>
      <c r="I382" s="9" t="n">
        <v>0</v>
      </c>
      <c r="J382" s="9" t="n">
        <v>0</v>
      </c>
      <c r="K382" s="9" t="n">
        <v>0</v>
      </c>
      <c r="L382" s="9" t="n">
        <v>0</v>
      </c>
      <c r="M382" s="9" t="n">
        <v>0</v>
      </c>
      <c r="N382" s="12" t="n">
        <f aca="true">IFERROR(ROUND(SUM(OFFSET(B382,0,0,1,POSTAVKE!$B$7))/POSTAVKE!$B$7,2),0)</f>
        <v>-0.25</v>
      </c>
    </row>
    <row r="383" customFormat="false" ht="15" hidden="false" customHeight="false" outlineLevel="0" collapsed="false">
      <c r="A383" s="11" t="s">
        <v>1456</v>
      </c>
      <c r="B383" s="9" t="n">
        <v>0</v>
      </c>
      <c r="C383" s="9" t="n">
        <v>0</v>
      </c>
      <c r="D383" s="9" t="n">
        <v>0</v>
      </c>
      <c r="E383" s="9" t="n">
        <v>0</v>
      </c>
      <c r="F383" s="9" t="n">
        <v>0</v>
      </c>
      <c r="G383" s="9" t="n">
        <v>0</v>
      </c>
      <c r="H383" s="9" t="n">
        <v>-1</v>
      </c>
      <c r="I383" s="9" t="n">
        <v>0</v>
      </c>
      <c r="J383" s="9" t="n">
        <v>0</v>
      </c>
      <c r="K383" s="9" t="n">
        <v>0</v>
      </c>
      <c r="L383" s="9" t="n">
        <v>0</v>
      </c>
      <c r="M383" s="9" t="n">
        <v>0</v>
      </c>
      <c r="N383" s="12" t="n">
        <f aca="true">IFERROR(ROUND(SUM(OFFSET(B383,0,0,1,POSTAVKE!$B$7))/POSTAVKE!$B$7,2),0)</f>
        <v>-0.13</v>
      </c>
    </row>
    <row r="384" customFormat="false" ht="15" hidden="false" customHeight="false" outlineLevel="0" collapsed="false">
      <c r="A384" s="11" t="s">
        <v>1466</v>
      </c>
      <c r="B384" s="9" t="n">
        <v>0</v>
      </c>
      <c r="C384" s="9" t="n">
        <v>0</v>
      </c>
      <c r="D384" s="9" t="n">
        <v>0</v>
      </c>
      <c r="E384" s="9" t="n">
        <v>0</v>
      </c>
      <c r="F384" s="9" t="n">
        <v>0</v>
      </c>
      <c r="G384" s="9" t="n">
        <v>0</v>
      </c>
      <c r="H384" s="9" t="n">
        <v>0</v>
      </c>
      <c r="I384" s="9" t="n">
        <v>0</v>
      </c>
      <c r="J384" s="9" t="n">
        <v>0</v>
      </c>
      <c r="K384" s="9" t="n">
        <v>0</v>
      </c>
      <c r="L384" s="9" t="n">
        <v>0</v>
      </c>
      <c r="M384" s="9" t="n">
        <v>0</v>
      </c>
      <c r="N384" s="12" t="n">
        <f aca="true">IFERROR(ROUND(SUM(OFFSET(B384,0,0,1,POSTAVKE!$B$7))/POSTAVKE!$B$7,2),0)</f>
        <v>0</v>
      </c>
    </row>
    <row r="385" customFormat="false" ht="15" hidden="false" customHeight="false" outlineLevel="0" collapsed="false">
      <c r="A385" s="11" t="s">
        <v>1242</v>
      </c>
      <c r="B385" s="9" t="n">
        <v>0</v>
      </c>
      <c r="C385" s="9" t="n">
        <v>0</v>
      </c>
      <c r="D385" s="9" t="n">
        <v>0</v>
      </c>
      <c r="E385" s="9" t="n">
        <v>0</v>
      </c>
      <c r="F385" s="9" t="n">
        <v>-1</v>
      </c>
      <c r="G385" s="9" t="n">
        <v>0</v>
      </c>
      <c r="H385" s="9" t="n">
        <v>0</v>
      </c>
      <c r="I385" s="9" t="n">
        <v>0</v>
      </c>
      <c r="J385" s="9" t="n">
        <v>0</v>
      </c>
      <c r="K385" s="9" t="n">
        <v>0</v>
      </c>
      <c r="L385" s="9" t="n">
        <v>0</v>
      </c>
      <c r="M385" s="9" t="n">
        <v>0</v>
      </c>
      <c r="N385" s="12" t="n">
        <f aca="true">IFERROR(ROUND(SUM(OFFSET(B385,0,0,1,POSTAVKE!$B$7))/POSTAVKE!$B$7,2),0)</f>
        <v>-0.13</v>
      </c>
    </row>
    <row r="386" customFormat="false" ht="15" hidden="false" customHeight="false" outlineLevel="0" collapsed="false">
      <c r="A386" s="11" t="s">
        <v>937</v>
      </c>
      <c r="B386" s="9" t="n">
        <v>0</v>
      </c>
      <c r="C386" s="9" t="n">
        <v>0</v>
      </c>
      <c r="D386" s="9" t="n">
        <v>0</v>
      </c>
      <c r="E386" s="9" t="n">
        <v>0</v>
      </c>
      <c r="F386" s="9" t="n">
        <v>0</v>
      </c>
      <c r="G386" s="9" t="n">
        <v>0</v>
      </c>
      <c r="H386" s="9" t="n">
        <v>0</v>
      </c>
      <c r="I386" s="9" t="n">
        <v>0</v>
      </c>
      <c r="J386" s="9" t="n">
        <v>0</v>
      </c>
      <c r="K386" s="9" t="n">
        <v>0</v>
      </c>
      <c r="L386" s="9" t="n">
        <v>0</v>
      </c>
      <c r="M386" s="9" t="n">
        <v>0</v>
      </c>
      <c r="N386" s="12" t="n">
        <f aca="true">IFERROR(ROUND(SUM(OFFSET(B386,0,0,1,POSTAVKE!$B$7))/POSTAVKE!$B$7,2),0)</f>
        <v>0</v>
      </c>
    </row>
    <row r="387" customFormat="false" ht="15" hidden="false" customHeight="false" outlineLevel="0" collapsed="false">
      <c r="A387" s="11" t="s">
        <v>587</v>
      </c>
      <c r="B387" s="9" t="n">
        <v>0</v>
      </c>
      <c r="C387" s="9" t="n">
        <v>0</v>
      </c>
      <c r="D387" s="9" t="n">
        <v>0</v>
      </c>
      <c r="E387" s="9" t="n">
        <v>0</v>
      </c>
      <c r="F387" s="9" t="n">
        <v>0</v>
      </c>
      <c r="G387" s="9" t="n">
        <v>0</v>
      </c>
      <c r="H387" s="9" t="n">
        <v>0</v>
      </c>
      <c r="I387" s="9" t="n">
        <v>0</v>
      </c>
      <c r="J387" s="9" t="n">
        <v>0</v>
      </c>
      <c r="K387" s="9" t="n">
        <v>0</v>
      </c>
      <c r="L387" s="9" t="n">
        <v>0</v>
      </c>
      <c r="M387" s="9" t="n">
        <v>0</v>
      </c>
      <c r="N387" s="12" t="n">
        <f aca="true">IFERROR(ROUND(SUM(OFFSET(B387,0,0,1,POSTAVKE!$B$7))/POSTAVKE!$B$7,2),0)</f>
        <v>0</v>
      </c>
    </row>
    <row r="388" customFormat="false" ht="15" hidden="false" customHeight="false" outlineLevel="0" collapsed="false">
      <c r="A388" s="11" t="s">
        <v>1155</v>
      </c>
      <c r="B388" s="9" t="n">
        <v>0</v>
      </c>
      <c r="C388" s="9" t="n">
        <v>0</v>
      </c>
      <c r="D388" s="9" t="n">
        <v>0</v>
      </c>
      <c r="E388" s="9" t="n">
        <v>0</v>
      </c>
      <c r="F388" s="9" t="n">
        <v>0</v>
      </c>
      <c r="G388" s="9" t="n">
        <v>0</v>
      </c>
      <c r="H388" s="9" t="n">
        <v>0</v>
      </c>
      <c r="I388" s="9" t="n">
        <v>0</v>
      </c>
      <c r="J388" s="9" t="n">
        <v>0</v>
      </c>
      <c r="K388" s="9" t="n">
        <v>0</v>
      </c>
      <c r="L388" s="9" t="n">
        <v>0</v>
      </c>
      <c r="M388" s="9" t="n">
        <v>0</v>
      </c>
      <c r="N388" s="12" t="n">
        <f aca="true">IFERROR(ROUND(SUM(OFFSET(B388,0,0,1,POSTAVKE!$B$7))/POSTAVKE!$B$7,2),0)</f>
        <v>0</v>
      </c>
    </row>
    <row r="389" customFormat="false" ht="15" hidden="false" customHeight="false" outlineLevel="0" collapsed="false">
      <c r="A389" s="11" t="s">
        <v>465</v>
      </c>
      <c r="B389" s="9" t="n">
        <v>0</v>
      </c>
      <c r="C389" s="9" t="n">
        <v>0</v>
      </c>
      <c r="D389" s="9" t="n">
        <v>0</v>
      </c>
      <c r="E389" s="9" t="n">
        <v>0</v>
      </c>
      <c r="F389" s="9" t="n">
        <v>0</v>
      </c>
      <c r="G389" s="9" t="n">
        <v>0</v>
      </c>
      <c r="H389" s="9" t="n">
        <v>0</v>
      </c>
      <c r="I389" s="9" t="n">
        <v>0</v>
      </c>
      <c r="J389" s="9" t="n">
        <v>0</v>
      </c>
      <c r="K389" s="9" t="n">
        <v>0</v>
      </c>
      <c r="L389" s="9" t="n">
        <v>0</v>
      </c>
      <c r="M389" s="9" t="n">
        <v>0</v>
      </c>
      <c r="N389" s="12" t="n">
        <f aca="true">IFERROR(ROUND(SUM(OFFSET(B389,0,0,1,POSTAVKE!$B$7))/POSTAVKE!$B$7,2),0)</f>
        <v>0</v>
      </c>
    </row>
    <row r="390" customFormat="false" ht="15" hidden="false" customHeight="false" outlineLevel="0" collapsed="false">
      <c r="A390" s="11" t="s">
        <v>503</v>
      </c>
      <c r="B390" s="9" t="n">
        <v>0</v>
      </c>
      <c r="C390" s="9" t="n">
        <v>0</v>
      </c>
      <c r="D390" s="9" t="n">
        <v>0</v>
      </c>
      <c r="E390" s="9" t="n">
        <v>0</v>
      </c>
      <c r="F390" s="9" t="n">
        <v>0</v>
      </c>
      <c r="G390" s="9" t="n">
        <v>0</v>
      </c>
      <c r="H390" s="9" t="n">
        <v>0</v>
      </c>
      <c r="I390" s="9" t="n">
        <v>0</v>
      </c>
      <c r="J390" s="9" t="n">
        <v>0</v>
      </c>
      <c r="K390" s="9" t="n">
        <v>0</v>
      </c>
      <c r="L390" s="9" t="n">
        <v>0</v>
      </c>
      <c r="M390" s="9" t="n">
        <v>0</v>
      </c>
      <c r="N390" s="12" t="n">
        <f aca="true">IFERROR(ROUND(SUM(OFFSET(B390,0,0,1,POSTAVKE!$B$7))/POSTAVKE!$B$7,2),0)</f>
        <v>0</v>
      </c>
    </row>
    <row r="391" customFormat="false" ht="15" hidden="false" customHeight="false" outlineLevel="0" collapsed="false">
      <c r="A391" s="11" t="s">
        <v>1770</v>
      </c>
      <c r="B391" s="9" t="n">
        <v>0</v>
      </c>
      <c r="C391" s="9" t="n">
        <v>0</v>
      </c>
      <c r="D391" s="9" t="n">
        <v>0</v>
      </c>
      <c r="E391" s="9" t="n">
        <v>0</v>
      </c>
      <c r="F391" s="9" t="n">
        <v>0</v>
      </c>
      <c r="G391" s="9" t="n">
        <v>0</v>
      </c>
      <c r="H391" s="9" t="n">
        <v>0</v>
      </c>
      <c r="I391" s="9" t="n">
        <v>0</v>
      </c>
      <c r="J391" s="9" t="n">
        <v>0</v>
      </c>
      <c r="K391" s="9" t="n">
        <v>0</v>
      </c>
      <c r="L391" s="9" t="n">
        <v>0</v>
      </c>
      <c r="M391" s="9" t="n">
        <v>0</v>
      </c>
      <c r="N391" s="12" t="n">
        <f aca="true">IFERROR(ROUND(SUM(OFFSET(B391,0,0,1,POSTAVKE!$B$7))/POSTAVKE!$B$7,2),0)</f>
        <v>0</v>
      </c>
    </row>
    <row r="392" customFormat="false" ht="15" hidden="false" customHeight="false" outlineLevel="0" collapsed="false">
      <c r="A392" s="11" t="s">
        <v>1771</v>
      </c>
      <c r="B392" s="9" t="n">
        <v>0</v>
      </c>
      <c r="C392" s="9" t="n">
        <v>0</v>
      </c>
      <c r="D392" s="9" t="n">
        <v>0</v>
      </c>
      <c r="E392" s="9" t="n">
        <v>0</v>
      </c>
      <c r="F392" s="9" t="n">
        <v>0</v>
      </c>
      <c r="G392" s="9" t="n">
        <v>0</v>
      </c>
      <c r="H392" s="9" t="n">
        <v>0</v>
      </c>
      <c r="I392" s="9" t="n">
        <v>0</v>
      </c>
      <c r="J392" s="9" t="n">
        <v>0</v>
      </c>
      <c r="K392" s="9" t="n">
        <v>0</v>
      </c>
      <c r="L392" s="9" t="n">
        <v>0</v>
      </c>
      <c r="M392" s="9" t="n">
        <v>0</v>
      </c>
      <c r="N392" s="12" t="n">
        <f aca="true">IFERROR(ROUND(SUM(OFFSET(B392,0,0,1,POSTAVKE!$B$7))/POSTAVKE!$B$7,2),0)</f>
        <v>0</v>
      </c>
    </row>
    <row r="393" customFormat="false" ht="15" hidden="false" customHeight="false" outlineLevel="0" collapsed="false">
      <c r="A393" s="11" t="s">
        <v>491</v>
      </c>
      <c r="B393" s="9" t="n">
        <v>0</v>
      </c>
      <c r="C393" s="9" t="n">
        <v>0</v>
      </c>
      <c r="D393" s="9" t="n">
        <v>0</v>
      </c>
      <c r="E393" s="9" t="n">
        <v>0</v>
      </c>
      <c r="F393" s="9" t="n">
        <v>1</v>
      </c>
      <c r="G393" s="9" t="n">
        <v>0</v>
      </c>
      <c r="H393" s="9" t="n">
        <v>0</v>
      </c>
      <c r="I393" s="9" t="n">
        <v>1</v>
      </c>
      <c r="J393" s="9" t="n">
        <v>0</v>
      </c>
      <c r="K393" s="9" t="n">
        <v>0</v>
      </c>
      <c r="L393" s="9" t="n">
        <v>0</v>
      </c>
      <c r="M393" s="9" t="n">
        <v>0</v>
      </c>
      <c r="N393" s="12" t="n">
        <f aca="true">IFERROR(ROUND(SUM(OFFSET(B393,0,0,1,POSTAVKE!$B$7))/POSTAVKE!$B$7,2),0)</f>
        <v>0.25</v>
      </c>
    </row>
    <row r="394" customFormat="false" ht="15" hidden="false" customHeight="false" outlineLevel="0" collapsed="false">
      <c r="A394" s="11" t="s">
        <v>249</v>
      </c>
      <c r="B394" s="9" t="n">
        <v>0</v>
      </c>
      <c r="C394" s="9" t="n">
        <v>0</v>
      </c>
      <c r="D394" s="9" t="n">
        <v>0</v>
      </c>
      <c r="E394" s="9" t="n">
        <v>0</v>
      </c>
      <c r="F394" s="9" t="n">
        <v>0</v>
      </c>
      <c r="G394" s="9" t="n">
        <v>0</v>
      </c>
      <c r="H394" s="9" t="n">
        <v>0</v>
      </c>
      <c r="I394" s="9" t="n">
        <v>3</v>
      </c>
      <c r="J394" s="9" t="n">
        <v>0</v>
      </c>
      <c r="K394" s="9" t="n">
        <v>0</v>
      </c>
      <c r="L394" s="9" t="n">
        <v>0</v>
      </c>
      <c r="M394" s="9" t="n">
        <v>0</v>
      </c>
      <c r="N394" s="12" t="n">
        <f aca="true">IFERROR(ROUND(SUM(OFFSET(B394,0,0,1,POSTAVKE!$B$7))/POSTAVKE!$B$7,2),0)</f>
        <v>0.38</v>
      </c>
    </row>
    <row r="395" customFormat="false" ht="15" hidden="false" customHeight="false" outlineLevel="0" collapsed="false">
      <c r="A395" s="11" t="s">
        <v>555</v>
      </c>
      <c r="B395" s="9" t="n">
        <v>0</v>
      </c>
      <c r="C395" s="9" t="n">
        <v>0</v>
      </c>
      <c r="D395" s="9" t="n">
        <v>0</v>
      </c>
      <c r="E395" s="9" t="n">
        <v>0</v>
      </c>
      <c r="F395" s="9" t="n">
        <v>0</v>
      </c>
      <c r="G395" s="9" t="n">
        <v>0</v>
      </c>
      <c r="H395" s="9" t="n">
        <v>0</v>
      </c>
      <c r="I395" s="9" t="n">
        <v>0</v>
      </c>
      <c r="J395" s="9" t="n">
        <v>0</v>
      </c>
      <c r="K395" s="9" t="n">
        <v>0</v>
      </c>
      <c r="L395" s="9" t="n">
        <v>0</v>
      </c>
      <c r="M395" s="9" t="n">
        <v>0</v>
      </c>
      <c r="N395" s="12" t="n">
        <f aca="true">IFERROR(ROUND(SUM(OFFSET(B395,0,0,1,POSTAVKE!$B$7))/POSTAVKE!$B$7,2),0)</f>
        <v>0</v>
      </c>
    </row>
    <row r="396" customFormat="false" ht="15" hidden="false" customHeight="false" outlineLevel="0" collapsed="false">
      <c r="A396" s="11" t="s">
        <v>505</v>
      </c>
      <c r="B396" s="9" t="n">
        <v>0</v>
      </c>
      <c r="C396" s="9" t="n">
        <v>0</v>
      </c>
      <c r="D396" s="9" t="n">
        <v>0</v>
      </c>
      <c r="E396" s="9" t="n">
        <v>0</v>
      </c>
      <c r="F396" s="9" t="n">
        <v>0</v>
      </c>
      <c r="G396" s="9" t="n">
        <v>0</v>
      </c>
      <c r="H396" s="9" t="n">
        <v>2</v>
      </c>
      <c r="I396" s="9" t="n">
        <v>0</v>
      </c>
      <c r="J396" s="9" t="n">
        <v>0</v>
      </c>
      <c r="K396" s="9" t="n">
        <v>0</v>
      </c>
      <c r="L396" s="9" t="n">
        <v>0</v>
      </c>
      <c r="M396" s="9" t="n">
        <v>0</v>
      </c>
      <c r="N396" s="12" t="n">
        <f aca="true">IFERROR(ROUND(SUM(OFFSET(B396,0,0,1,POSTAVKE!$B$7))/POSTAVKE!$B$7,2),0)</f>
        <v>0.25</v>
      </c>
    </row>
    <row r="397" customFormat="false" ht="15" hidden="false" customHeight="false" outlineLevel="0" collapsed="false">
      <c r="A397" s="11" t="s">
        <v>731</v>
      </c>
      <c r="B397" s="9" t="n">
        <v>0</v>
      </c>
      <c r="C397" s="9" t="n">
        <v>0</v>
      </c>
      <c r="D397" s="9" t="n">
        <v>0</v>
      </c>
      <c r="E397" s="9" t="n">
        <v>0</v>
      </c>
      <c r="F397" s="9" t="n">
        <v>8</v>
      </c>
      <c r="G397" s="9" t="n">
        <v>0</v>
      </c>
      <c r="H397" s="9" t="n">
        <v>0</v>
      </c>
      <c r="I397" s="9" t="n">
        <v>0</v>
      </c>
      <c r="J397" s="9" t="n">
        <v>0</v>
      </c>
      <c r="K397" s="9" t="n">
        <v>0</v>
      </c>
      <c r="L397" s="9" t="n">
        <v>0</v>
      </c>
      <c r="M397" s="9" t="n">
        <v>0</v>
      </c>
      <c r="N397" s="12" t="n">
        <f aca="true">IFERROR(ROUND(SUM(OFFSET(B397,0,0,1,POSTAVKE!$B$7))/POSTAVKE!$B$7,2),0)</f>
        <v>1</v>
      </c>
    </row>
    <row r="398" customFormat="false" ht="15" hidden="false" customHeight="false" outlineLevel="0" collapsed="false">
      <c r="A398" s="11" t="s">
        <v>1472</v>
      </c>
      <c r="B398" s="9" t="n">
        <v>0</v>
      </c>
      <c r="C398" s="9" t="n">
        <v>0</v>
      </c>
      <c r="D398" s="9" t="n">
        <v>-1</v>
      </c>
      <c r="E398" s="9" t="n">
        <v>0</v>
      </c>
      <c r="F398" s="9" t="n">
        <v>0</v>
      </c>
      <c r="G398" s="9" t="n">
        <v>0</v>
      </c>
      <c r="H398" s="9" t="n">
        <v>0</v>
      </c>
      <c r="I398" s="9" t="n">
        <v>0</v>
      </c>
      <c r="J398" s="9" t="n">
        <v>0</v>
      </c>
      <c r="K398" s="9" t="n">
        <v>0</v>
      </c>
      <c r="L398" s="9" t="n">
        <v>0</v>
      </c>
      <c r="M398" s="9" t="n">
        <v>0</v>
      </c>
      <c r="N398" s="12" t="n">
        <f aca="true">IFERROR(ROUND(SUM(OFFSET(B398,0,0,1,POSTAVKE!$B$7))/POSTAVKE!$B$7,2),0)</f>
        <v>-0.13</v>
      </c>
    </row>
    <row r="399" customFormat="false" ht="15" hidden="false" customHeight="false" outlineLevel="0" collapsed="false">
      <c r="A399" s="11" t="s">
        <v>1021</v>
      </c>
      <c r="B399" s="9" t="n">
        <v>0</v>
      </c>
      <c r="C399" s="9" t="n">
        <v>0</v>
      </c>
      <c r="D399" s="9" t="n">
        <v>0</v>
      </c>
      <c r="E399" s="9" t="n">
        <v>0</v>
      </c>
      <c r="F399" s="9" t="n">
        <v>0</v>
      </c>
      <c r="G399" s="9" t="n">
        <v>0</v>
      </c>
      <c r="H399" s="9" t="n">
        <v>0</v>
      </c>
      <c r="I399" s="9" t="n">
        <v>0</v>
      </c>
      <c r="J399" s="9" t="n">
        <v>0</v>
      </c>
      <c r="K399" s="9" t="n">
        <v>0</v>
      </c>
      <c r="L399" s="9" t="n">
        <v>0</v>
      </c>
      <c r="M399" s="9" t="n">
        <v>0</v>
      </c>
      <c r="N399" s="12" t="n">
        <f aca="true">IFERROR(ROUND(SUM(OFFSET(B399,0,0,1,POSTAVKE!$B$7))/POSTAVKE!$B$7,2),0)</f>
        <v>0</v>
      </c>
    </row>
    <row r="400" customFormat="false" ht="15" hidden="false" customHeight="false" outlineLevel="0" collapsed="false">
      <c r="A400" s="11" t="s">
        <v>1478</v>
      </c>
      <c r="B400" s="9" t="n">
        <v>0</v>
      </c>
      <c r="C400" s="9" t="n">
        <v>0</v>
      </c>
      <c r="D400" s="9" t="n">
        <v>-1</v>
      </c>
      <c r="E400" s="9" t="n">
        <v>0</v>
      </c>
      <c r="F400" s="9" t="n">
        <v>0</v>
      </c>
      <c r="G400" s="9" t="n">
        <v>0</v>
      </c>
      <c r="H400" s="9" t="n">
        <v>0</v>
      </c>
      <c r="I400" s="9" t="n">
        <v>0</v>
      </c>
      <c r="J400" s="9" t="n">
        <v>0</v>
      </c>
      <c r="K400" s="9" t="n">
        <v>0</v>
      </c>
      <c r="L400" s="9" t="n">
        <v>0</v>
      </c>
      <c r="M400" s="9" t="n">
        <v>0</v>
      </c>
      <c r="N400" s="12" t="n">
        <f aca="true">IFERROR(ROUND(SUM(OFFSET(B400,0,0,1,POSTAVKE!$B$7))/POSTAVKE!$B$7,2),0)</f>
        <v>-0.13</v>
      </c>
    </row>
    <row r="401" customFormat="false" ht="15" hidden="false" customHeight="false" outlineLevel="0" collapsed="false">
      <c r="A401" s="11" t="s">
        <v>1772</v>
      </c>
      <c r="B401" s="9" t="n">
        <v>0</v>
      </c>
      <c r="C401" s="9" t="n">
        <v>0</v>
      </c>
      <c r="D401" s="9" t="n">
        <v>-2</v>
      </c>
      <c r="E401" s="9" t="n">
        <v>0</v>
      </c>
      <c r="F401" s="9" t="n">
        <v>0</v>
      </c>
      <c r="G401" s="9" t="n">
        <v>0</v>
      </c>
      <c r="H401" s="9" t="n">
        <v>0</v>
      </c>
      <c r="I401" s="9" t="n">
        <v>0</v>
      </c>
      <c r="J401" s="9" t="n">
        <v>0</v>
      </c>
      <c r="K401" s="9" t="n">
        <v>0</v>
      </c>
      <c r="L401" s="9" t="n">
        <v>0</v>
      </c>
      <c r="M401" s="9" t="n">
        <v>0</v>
      </c>
      <c r="N401" s="12" t="n">
        <f aca="true">IFERROR(ROUND(SUM(OFFSET(B401,0,0,1,POSTAVKE!$B$7))/POSTAVKE!$B$7,2),0)</f>
        <v>-0.25</v>
      </c>
    </row>
    <row r="402" customFormat="false" ht="15" hidden="false" customHeight="false" outlineLevel="0" collapsed="false">
      <c r="A402" s="11" t="s">
        <v>1480</v>
      </c>
      <c r="B402" s="9" t="n">
        <v>0</v>
      </c>
      <c r="C402" s="9" t="n">
        <v>0</v>
      </c>
      <c r="D402" s="9" t="n">
        <v>0</v>
      </c>
      <c r="E402" s="9" t="n">
        <v>0</v>
      </c>
      <c r="F402" s="9" t="n">
        <v>0</v>
      </c>
      <c r="G402" s="9" t="n">
        <v>-2</v>
      </c>
      <c r="H402" s="9" t="n">
        <v>0</v>
      </c>
      <c r="I402" s="9" t="n">
        <v>0</v>
      </c>
      <c r="J402" s="9" t="n">
        <v>0</v>
      </c>
      <c r="K402" s="9" t="n">
        <v>0</v>
      </c>
      <c r="L402" s="9" t="n">
        <v>0</v>
      </c>
      <c r="M402" s="9" t="n">
        <v>0</v>
      </c>
      <c r="N402" s="12" t="n">
        <f aca="true">IFERROR(ROUND(SUM(OFFSET(B402,0,0,1,POSTAVKE!$B$7))/POSTAVKE!$B$7,2),0)</f>
        <v>-0.25</v>
      </c>
    </row>
    <row r="403" customFormat="false" ht="15" hidden="false" customHeight="false" outlineLevel="0" collapsed="false">
      <c r="A403" s="11" t="s">
        <v>677</v>
      </c>
      <c r="B403" s="9" t="n">
        <v>0</v>
      </c>
      <c r="C403" s="9" t="n">
        <v>7</v>
      </c>
      <c r="D403" s="9" t="n">
        <v>6</v>
      </c>
      <c r="E403" s="9" t="n">
        <v>14</v>
      </c>
      <c r="F403" s="9" t="n">
        <v>11</v>
      </c>
      <c r="G403" s="9" t="n">
        <v>11</v>
      </c>
      <c r="H403" s="9" t="n">
        <v>1</v>
      </c>
      <c r="I403" s="9" t="n">
        <v>2</v>
      </c>
      <c r="J403" s="9" t="n">
        <v>0</v>
      </c>
      <c r="K403" s="9" t="n">
        <v>0</v>
      </c>
      <c r="L403" s="9" t="n">
        <v>0</v>
      </c>
      <c r="M403" s="9" t="n">
        <v>0</v>
      </c>
      <c r="N403" s="12" t="n">
        <f aca="true">IFERROR(ROUND(SUM(OFFSET(B403,0,0,1,POSTAVKE!$B$7))/POSTAVKE!$B$7,2),0)</f>
        <v>6.5</v>
      </c>
    </row>
    <row r="404" customFormat="false" ht="15" hidden="false" customHeight="false" outlineLevel="0" collapsed="false">
      <c r="A404" s="11" t="s">
        <v>1250</v>
      </c>
      <c r="B404" s="9" t="n">
        <v>0</v>
      </c>
      <c r="C404" s="9" t="n">
        <v>0</v>
      </c>
      <c r="D404" s="9" t="n">
        <v>0</v>
      </c>
      <c r="E404" s="9" t="n">
        <v>0</v>
      </c>
      <c r="F404" s="9" t="n">
        <v>0</v>
      </c>
      <c r="G404" s="9" t="n">
        <v>0</v>
      </c>
      <c r="H404" s="9" t="n">
        <v>0</v>
      </c>
      <c r="I404" s="9" t="n">
        <v>0</v>
      </c>
      <c r="J404" s="9" t="n">
        <v>0</v>
      </c>
      <c r="K404" s="9" t="n">
        <v>0</v>
      </c>
      <c r="L404" s="9" t="n">
        <v>0</v>
      </c>
      <c r="M404" s="9" t="n">
        <v>0</v>
      </c>
      <c r="N404" s="12" t="n">
        <f aca="true">IFERROR(ROUND(SUM(OFFSET(B404,0,0,1,POSTAVKE!$B$7))/POSTAVKE!$B$7,2),0)</f>
        <v>0</v>
      </c>
    </row>
    <row r="405" customFormat="false" ht="15" hidden="false" customHeight="false" outlineLevel="0" collapsed="false">
      <c r="A405" s="11" t="s">
        <v>1252</v>
      </c>
      <c r="B405" s="9" t="n">
        <v>0</v>
      </c>
      <c r="C405" s="9" t="n">
        <v>0</v>
      </c>
      <c r="D405" s="9" t="n">
        <v>0</v>
      </c>
      <c r="E405" s="9" t="n">
        <v>0</v>
      </c>
      <c r="F405" s="9" t="n">
        <v>0</v>
      </c>
      <c r="G405" s="9" t="n">
        <v>0</v>
      </c>
      <c r="H405" s="9" t="n">
        <v>0</v>
      </c>
      <c r="I405" s="9" t="n">
        <v>0</v>
      </c>
      <c r="J405" s="9" t="n">
        <v>0</v>
      </c>
      <c r="K405" s="9" t="n">
        <v>0</v>
      </c>
      <c r="L405" s="9" t="n">
        <v>0</v>
      </c>
      <c r="M405" s="9" t="n">
        <v>0</v>
      </c>
      <c r="N405" s="12" t="n">
        <f aca="true">IFERROR(ROUND(SUM(OFFSET(B405,0,0,1,POSTAVKE!$B$7))/POSTAVKE!$B$7,2),0)</f>
        <v>0</v>
      </c>
    </row>
    <row r="406" customFormat="false" ht="15" hidden="false" customHeight="false" outlineLevel="0" collapsed="false">
      <c r="A406" s="11" t="s">
        <v>811</v>
      </c>
      <c r="B406" s="9" t="n">
        <v>0</v>
      </c>
      <c r="C406" s="9" t="n">
        <v>1</v>
      </c>
      <c r="D406" s="9" t="n">
        <v>0</v>
      </c>
      <c r="E406" s="9" t="n">
        <v>1</v>
      </c>
      <c r="F406" s="9" t="n">
        <v>0</v>
      </c>
      <c r="G406" s="9" t="n">
        <v>1</v>
      </c>
      <c r="H406" s="9" t="n">
        <v>0</v>
      </c>
      <c r="I406" s="9" t="n">
        <v>0</v>
      </c>
      <c r="J406" s="9" t="n">
        <v>0</v>
      </c>
      <c r="K406" s="9" t="n">
        <v>0</v>
      </c>
      <c r="L406" s="9" t="n">
        <v>0</v>
      </c>
      <c r="M406" s="9" t="n">
        <v>0</v>
      </c>
      <c r="N406" s="12" t="n">
        <f aca="true">IFERROR(ROUND(SUM(OFFSET(B406,0,0,1,POSTAVKE!$B$7))/POSTAVKE!$B$7,2),0)</f>
        <v>0.38</v>
      </c>
    </row>
    <row r="407" customFormat="false" ht="15" hidden="false" customHeight="false" outlineLevel="0" collapsed="false">
      <c r="A407" s="11" t="s">
        <v>1482</v>
      </c>
      <c r="B407" s="9" t="n">
        <v>0</v>
      </c>
      <c r="C407" s="9" t="n">
        <v>2</v>
      </c>
      <c r="D407" s="9" t="n">
        <v>9</v>
      </c>
      <c r="E407" s="9" t="n">
        <v>10</v>
      </c>
      <c r="F407" s="9" t="n">
        <v>25</v>
      </c>
      <c r="G407" s="9" t="n">
        <v>0</v>
      </c>
      <c r="H407" s="9" t="n">
        <v>0</v>
      </c>
      <c r="I407" s="9" t="n">
        <v>0</v>
      </c>
      <c r="J407" s="9" t="n">
        <v>0</v>
      </c>
      <c r="K407" s="9" t="n">
        <v>0</v>
      </c>
      <c r="L407" s="9" t="n">
        <v>0</v>
      </c>
      <c r="M407" s="9" t="n">
        <v>0</v>
      </c>
      <c r="N407" s="12" t="n">
        <f aca="true">IFERROR(ROUND(SUM(OFFSET(B407,0,0,1,POSTAVKE!$B$7))/POSTAVKE!$B$7,2),0)</f>
        <v>5.75</v>
      </c>
    </row>
    <row r="408" customFormat="false" ht="15" hidden="false" customHeight="false" outlineLevel="0" collapsed="false">
      <c r="A408" s="11" t="s">
        <v>1774</v>
      </c>
      <c r="B408" s="9" t="n">
        <v>0</v>
      </c>
      <c r="C408" s="9" t="n">
        <v>0</v>
      </c>
      <c r="D408" s="9" t="n">
        <v>0</v>
      </c>
      <c r="E408" s="9" t="n">
        <v>0</v>
      </c>
      <c r="F408" s="9" t="n">
        <v>0</v>
      </c>
      <c r="G408" s="9" t="n">
        <v>0</v>
      </c>
      <c r="H408" s="9" t="n">
        <v>0</v>
      </c>
      <c r="I408" s="9" t="n">
        <v>1</v>
      </c>
      <c r="J408" s="9" t="n">
        <v>0</v>
      </c>
      <c r="K408" s="9" t="n">
        <v>0</v>
      </c>
      <c r="L408" s="9" t="n">
        <v>0</v>
      </c>
      <c r="M408" s="9" t="n">
        <v>0</v>
      </c>
      <c r="N408" s="12" t="n">
        <f aca="true">IFERROR(ROUND(SUM(OFFSET(B408,0,0,1,POSTAVKE!$B$7))/POSTAVKE!$B$7,2),0)</f>
        <v>0.13</v>
      </c>
    </row>
    <row r="409" customFormat="false" ht="15" hidden="false" customHeight="false" outlineLevel="0" collapsed="false">
      <c r="A409" s="11" t="s">
        <v>1484</v>
      </c>
      <c r="B409" s="9" t="n">
        <v>0</v>
      </c>
      <c r="C409" s="9" t="n">
        <v>6</v>
      </c>
      <c r="D409" s="9" t="n">
        <v>12</v>
      </c>
      <c r="E409" s="9" t="n">
        <v>4</v>
      </c>
      <c r="F409" s="9" t="n">
        <v>4</v>
      </c>
      <c r="G409" s="9" t="n">
        <v>15</v>
      </c>
      <c r="H409" s="9" t="n">
        <v>8</v>
      </c>
      <c r="I409" s="9" t="n">
        <v>15</v>
      </c>
      <c r="J409" s="9" t="n">
        <v>0</v>
      </c>
      <c r="K409" s="9" t="n">
        <v>0</v>
      </c>
      <c r="L409" s="9" t="n">
        <v>0</v>
      </c>
      <c r="M409" s="9" t="n">
        <v>0</v>
      </c>
      <c r="N409" s="12" t="n">
        <f aca="true">IFERROR(ROUND(SUM(OFFSET(B409,0,0,1,POSTAVKE!$B$7))/POSTAVKE!$B$7,2),0)</f>
        <v>8</v>
      </c>
    </row>
    <row r="410" customFormat="false" ht="15" hidden="false" customHeight="false" outlineLevel="0" collapsed="false">
      <c r="A410" s="11" t="s">
        <v>277</v>
      </c>
      <c r="B410" s="9" t="n">
        <v>0</v>
      </c>
      <c r="C410" s="9" t="n">
        <v>0</v>
      </c>
      <c r="D410" s="9" t="n">
        <v>8</v>
      </c>
      <c r="E410" s="9" t="n">
        <v>6</v>
      </c>
      <c r="F410" s="9" t="n">
        <v>2</v>
      </c>
      <c r="G410" s="9" t="n">
        <v>6</v>
      </c>
      <c r="H410" s="9" t="n">
        <v>6</v>
      </c>
      <c r="I410" s="9" t="n">
        <v>6</v>
      </c>
      <c r="J410" s="9" t="n">
        <v>0</v>
      </c>
      <c r="K410" s="9" t="n">
        <v>0</v>
      </c>
      <c r="L410" s="9" t="n">
        <v>0</v>
      </c>
      <c r="M410" s="9" t="n">
        <v>0</v>
      </c>
      <c r="N410" s="12" t="n">
        <f aca="true">IFERROR(ROUND(SUM(OFFSET(B410,0,0,1,POSTAVKE!$B$7))/POSTAVKE!$B$7,2),0)</f>
        <v>4.25</v>
      </c>
    </row>
    <row r="411" customFormat="false" ht="15" hidden="false" customHeight="false" outlineLevel="0" collapsed="false">
      <c r="A411" s="11" t="s">
        <v>1486</v>
      </c>
      <c r="B411" s="9" t="n">
        <v>0</v>
      </c>
      <c r="C411" s="9" t="n">
        <v>0</v>
      </c>
      <c r="D411" s="9" t="n">
        <v>5</v>
      </c>
      <c r="E411" s="9" t="n">
        <v>19</v>
      </c>
      <c r="F411" s="9" t="n">
        <v>7</v>
      </c>
      <c r="G411" s="9" t="n">
        <v>9</v>
      </c>
      <c r="H411" s="9" t="n">
        <v>9</v>
      </c>
      <c r="I411" s="9" t="n">
        <v>5</v>
      </c>
      <c r="J411" s="9" t="n">
        <v>0</v>
      </c>
      <c r="K411" s="9" t="n">
        <v>0</v>
      </c>
      <c r="L411" s="9" t="n">
        <v>0</v>
      </c>
      <c r="M411" s="9" t="n">
        <v>0</v>
      </c>
      <c r="N411" s="12" t="n">
        <f aca="true">IFERROR(ROUND(SUM(OFFSET(B411,0,0,1,POSTAVKE!$B$7))/POSTAVKE!$B$7,2),0)</f>
        <v>6.75</v>
      </c>
    </row>
    <row r="412" customFormat="false" ht="15" hidden="false" customHeight="false" outlineLevel="0" collapsed="false">
      <c r="A412" s="11" t="s">
        <v>859</v>
      </c>
      <c r="B412" s="9" t="n">
        <v>0</v>
      </c>
      <c r="C412" s="9" t="n">
        <v>0</v>
      </c>
      <c r="D412" s="9" t="n">
        <v>0</v>
      </c>
      <c r="E412" s="9" t="n">
        <v>0</v>
      </c>
      <c r="F412" s="9" t="n">
        <v>0</v>
      </c>
      <c r="G412" s="9" t="n">
        <v>0</v>
      </c>
      <c r="H412" s="9" t="n">
        <v>0</v>
      </c>
      <c r="I412" s="9" t="n">
        <v>0</v>
      </c>
      <c r="J412" s="9" t="n">
        <v>0</v>
      </c>
      <c r="K412" s="9" t="n">
        <v>0</v>
      </c>
      <c r="L412" s="9" t="n">
        <v>0</v>
      </c>
      <c r="M412" s="9" t="n">
        <v>0</v>
      </c>
      <c r="N412" s="12" t="n">
        <f aca="true">IFERROR(ROUND(SUM(OFFSET(B412,0,0,1,POSTAVKE!$B$7))/POSTAVKE!$B$7,2),0)</f>
        <v>0</v>
      </c>
    </row>
    <row r="413" customFormat="false" ht="15" hidden="false" customHeight="false" outlineLevel="0" collapsed="false">
      <c r="A413" s="11" t="s">
        <v>1488</v>
      </c>
      <c r="B413" s="9" t="n">
        <v>0</v>
      </c>
      <c r="C413" s="9" t="n">
        <v>0</v>
      </c>
      <c r="D413" s="9" t="n">
        <v>0</v>
      </c>
      <c r="E413" s="9" t="n">
        <v>0</v>
      </c>
      <c r="F413" s="9" t="n">
        <v>0</v>
      </c>
      <c r="G413" s="9" t="n">
        <v>-1</v>
      </c>
      <c r="H413" s="9" t="n">
        <v>-1</v>
      </c>
      <c r="I413" s="9" t="n">
        <v>0</v>
      </c>
      <c r="J413" s="9" t="n">
        <v>0</v>
      </c>
      <c r="K413" s="9" t="n">
        <v>0</v>
      </c>
      <c r="L413" s="9" t="n">
        <v>0</v>
      </c>
      <c r="M413" s="9" t="n">
        <v>0</v>
      </c>
      <c r="N413" s="12" t="n">
        <f aca="true">IFERROR(ROUND(SUM(OFFSET(B413,0,0,1,POSTAVKE!$B$7))/POSTAVKE!$B$7,2),0)</f>
        <v>-0.25</v>
      </c>
    </row>
    <row r="414" customFormat="false" ht="15" hidden="false" customHeight="false" outlineLevel="0" collapsed="false">
      <c r="A414" s="11" t="s">
        <v>1490</v>
      </c>
      <c r="B414" s="9" t="n">
        <v>0</v>
      </c>
      <c r="C414" s="9" t="n">
        <v>0</v>
      </c>
      <c r="D414" s="9" t="n">
        <v>0</v>
      </c>
      <c r="E414" s="9" t="n">
        <v>0</v>
      </c>
      <c r="F414" s="9" t="n">
        <v>0</v>
      </c>
      <c r="G414" s="9" t="n">
        <v>0</v>
      </c>
      <c r="H414" s="9" t="n">
        <v>-1</v>
      </c>
      <c r="I414" s="9" t="n">
        <v>0</v>
      </c>
      <c r="J414" s="9" t="n">
        <v>0</v>
      </c>
      <c r="K414" s="9" t="n">
        <v>0</v>
      </c>
      <c r="L414" s="9" t="n">
        <v>0</v>
      </c>
      <c r="M414" s="9" t="n">
        <v>0</v>
      </c>
      <c r="N414" s="12" t="n">
        <f aca="true">IFERROR(ROUND(SUM(OFFSET(B414,0,0,1,POSTAVKE!$B$7))/POSTAVKE!$B$7,2),0)</f>
        <v>-0.13</v>
      </c>
    </row>
    <row r="415" customFormat="false" ht="15" hidden="false" customHeight="false" outlineLevel="0" collapsed="false">
      <c r="A415" s="11" t="s">
        <v>1494</v>
      </c>
      <c r="B415" s="9" t="n">
        <v>0</v>
      </c>
      <c r="C415" s="9" t="n">
        <v>0</v>
      </c>
      <c r="D415" s="9" t="n">
        <v>0</v>
      </c>
      <c r="E415" s="9" t="n">
        <v>0</v>
      </c>
      <c r="F415" s="9" t="n">
        <v>0</v>
      </c>
      <c r="G415" s="9" t="n">
        <v>2</v>
      </c>
      <c r="H415" s="9" t="n">
        <v>1</v>
      </c>
      <c r="I415" s="9" t="n">
        <v>0</v>
      </c>
      <c r="J415" s="9" t="n">
        <v>0</v>
      </c>
      <c r="K415" s="9" t="n">
        <v>0</v>
      </c>
      <c r="L415" s="9" t="n">
        <v>0</v>
      </c>
      <c r="M415" s="9" t="n">
        <v>0</v>
      </c>
      <c r="N415" s="12" t="n">
        <f aca="true">IFERROR(ROUND(SUM(OFFSET(B415,0,0,1,POSTAVKE!$B$7))/POSTAVKE!$B$7,2),0)</f>
        <v>0.38</v>
      </c>
    </row>
    <row r="416" customFormat="false" ht="15" hidden="false" customHeight="false" outlineLevel="0" collapsed="false">
      <c r="A416" s="11" t="s">
        <v>1776</v>
      </c>
      <c r="B416" s="9" t="n">
        <v>0</v>
      </c>
      <c r="C416" s="9" t="n">
        <v>-1</v>
      </c>
      <c r="D416" s="9" t="n">
        <v>0</v>
      </c>
      <c r="E416" s="9" t="n">
        <v>0</v>
      </c>
      <c r="F416" s="9" t="n">
        <v>0</v>
      </c>
      <c r="G416" s="9" t="n">
        <v>0</v>
      </c>
      <c r="H416" s="9" t="n">
        <v>0</v>
      </c>
      <c r="I416" s="9" t="n">
        <v>0</v>
      </c>
      <c r="J416" s="9" t="n">
        <v>0</v>
      </c>
      <c r="K416" s="9" t="n">
        <v>0</v>
      </c>
      <c r="L416" s="9" t="n">
        <v>0</v>
      </c>
      <c r="M416" s="9" t="n">
        <v>0</v>
      </c>
      <c r="N416" s="12" t="n">
        <f aca="true">IFERROR(ROUND(SUM(OFFSET(B416,0,0,1,POSTAVKE!$B$7))/POSTAVKE!$B$7,2),0)</f>
        <v>-0.13</v>
      </c>
    </row>
    <row r="417" customFormat="false" ht="15" hidden="false" customHeight="false" outlineLevel="0" collapsed="false">
      <c r="A417" s="11" t="s">
        <v>1778</v>
      </c>
      <c r="B417" s="9" t="n">
        <v>0</v>
      </c>
      <c r="C417" s="9" t="n">
        <v>0</v>
      </c>
      <c r="D417" s="9" t="n">
        <v>0</v>
      </c>
      <c r="E417" s="9" t="n">
        <v>2</v>
      </c>
      <c r="F417" s="9" t="n">
        <v>0</v>
      </c>
      <c r="G417" s="9" t="n">
        <v>-1</v>
      </c>
      <c r="H417" s="9" t="n">
        <v>0</v>
      </c>
      <c r="I417" s="9" t="n">
        <v>0</v>
      </c>
      <c r="J417" s="9" t="n">
        <v>0</v>
      </c>
      <c r="K417" s="9" t="n">
        <v>0</v>
      </c>
      <c r="L417" s="9" t="n">
        <v>0</v>
      </c>
      <c r="M417" s="9" t="n">
        <v>0</v>
      </c>
      <c r="N417" s="12" t="n">
        <f aca="true">IFERROR(ROUND(SUM(OFFSET(B417,0,0,1,POSTAVKE!$B$7))/POSTAVKE!$B$7,2),0)</f>
        <v>0.13</v>
      </c>
    </row>
    <row r="418" customFormat="false" ht="15" hidden="false" customHeight="false" outlineLevel="0" collapsed="false">
      <c r="A418" s="11" t="s">
        <v>591</v>
      </c>
      <c r="B418" s="9" t="n">
        <v>0</v>
      </c>
      <c r="C418" s="9" t="n">
        <v>1</v>
      </c>
      <c r="D418" s="9" t="n">
        <v>0</v>
      </c>
      <c r="E418" s="9" t="n">
        <v>0</v>
      </c>
      <c r="F418" s="9" t="n">
        <v>0</v>
      </c>
      <c r="G418" s="9" t="n">
        <v>0</v>
      </c>
      <c r="H418" s="9" t="n">
        <v>0</v>
      </c>
      <c r="I418" s="9" t="n">
        <v>1</v>
      </c>
      <c r="J418" s="9" t="n">
        <v>0</v>
      </c>
      <c r="K418" s="9" t="n">
        <v>0</v>
      </c>
      <c r="L418" s="9" t="n">
        <v>0</v>
      </c>
      <c r="M418" s="9" t="n">
        <v>0</v>
      </c>
      <c r="N418" s="12" t="n">
        <f aca="true">IFERROR(ROUND(SUM(OFFSET(B418,0,0,1,POSTAVKE!$B$7))/POSTAVKE!$B$7,2),0)</f>
        <v>0.25</v>
      </c>
    </row>
    <row r="419" customFormat="false" ht="15" hidden="false" customHeight="false" outlineLevel="0" collapsed="false">
      <c r="A419" s="11" t="s">
        <v>413</v>
      </c>
      <c r="B419" s="9" t="n">
        <v>0</v>
      </c>
      <c r="C419" s="9" t="n">
        <v>1</v>
      </c>
      <c r="D419" s="9" t="n">
        <v>0</v>
      </c>
      <c r="E419" s="9" t="n">
        <v>1</v>
      </c>
      <c r="F419" s="9" t="n">
        <v>2</v>
      </c>
      <c r="G419" s="9" t="n">
        <v>1</v>
      </c>
      <c r="H419" s="9" t="n">
        <v>0</v>
      </c>
      <c r="I419" s="9" t="n">
        <v>0</v>
      </c>
      <c r="J419" s="9" t="n">
        <v>0</v>
      </c>
      <c r="K419" s="9" t="n">
        <v>0</v>
      </c>
      <c r="L419" s="9" t="n">
        <v>0</v>
      </c>
      <c r="M419" s="9" t="n">
        <v>0</v>
      </c>
      <c r="N419" s="12" t="n">
        <f aca="true">IFERROR(ROUND(SUM(OFFSET(B419,0,0,1,POSTAVKE!$B$7))/POSTAVKE!$B$7,2),0)</f>
        <v>0.63</v>
      </c>
    </row>
    <row r="420" customFormat="false" ht="15" hidden="false" customHeight="false" outlineLevel="0" collapsed="false">
      <c r="A420" s="11" t="s">
        <v>939</v>
      </c>
      <c r="B420" s="9" t="n">
        <v>0</v>
      </c>
      <c r="C420" s="9" t="n">
        <v>0</v>
      </c>
      <c r="D420" s="9" t="n">
        <v>0</v>
      </c>
      <c r="E420" s="9" t="n">
        <v>4</v>
      </c>
      <c r="F420" s="9" t="n">
        <v>2</v>
      </c>
      <c r="G420" s="9" t="n">
        <v>2</v>
      </c>
      <c r="H420" s="9" t="n">
        <v>2</v>
      </c>
      <c r="I420" s="9" t="n">
        <v>1</v>
      </c>
      <c r="J420" s="9" t="n">
        <v>0</v>
      </c>
      <c r="K420" s="9" t="n">
        <v>0</v>
      </c>
      <c r="L420" s="9" t="n">
        <v>0</v>
      </c>
      <c r="M420" s="9" t="n">
        <v>0</v>
      </c>
      <c r="N420" s="12" t="n">
        <f aca="true">IFERROR(ROUND(SUM(OFFSET(B420,0,0,1,POSTAVKE!$B$7))/POSTAVKE!$B$7,2),0)</f>
        <v>1.38</v>
      </c>
    </row>
    <row r="421" customFormat="false" ht="15" hidden="false" customHeight="false" outlineLevel="0" collapsed="false">
      <c r="A421" s="11" t="s">
        <v>693</v>
      </c>
      <c r="B421" s="9" t="n">
        <v>0</v>
      </c>
      <c r="C421" s="9" t="n">
        <v>1</v>
      </c>
      <c r="D421" s="9" t="n">
        <v>0</v>
      </c>
      <c r="E421" s="9" t="n">
        <v>0</v>
      </c>
      <c r="F421" s="9" t="n">
        <v>1</v>
      </c>
      <c r="G421" s="9" t="n">
        <v>0</v>
      </c>
      <c r="H421" s="9" t="n">
        <v>0</v>
      </c>
      <c r="I421" s="9" t="n">
        <v>0</v>
      </c>
      <c r="J421" s="9" t="n">
        <v>0</v>
      </c>
      <c r="K421" s="9" t="n">
        <v>0</v>
      </c>
      <c r="L421" s="9" t="n">
        <v>0</v>
      </c>
      <c r="M421" s="9" t="n">
        <v>0</v>
      </c>
      <c r="N421" s="12" t="n">
        <f aca="true">IFERROR(ROUND(SUM(OFFSET(B421,0,0,1,POSTAVKE!$B$7))/POSTAVKE!$B$7,2),0)</f>
        <v>0.25</v>
      </c>
    </row>
    <row r="422" customFormat="false" ht="15" hidden="false" customHeight="false" outlineLevel="0" collapsed="false">
      <c r="A422" s="11" t="s">
        <v>1049</v>
      </c>
      <c r="B422" s="9" t="n">
        <v>0</v>
      </c>
      <c r="C422" s="9" t="n">
        <v>0</v>
      </c>
      <c r="D422" s="9" t="n">
        <v>1</v>
      </c>
      <c r="E422" s="9" t="n">
        <v>1</v>
      </c>
      <c r="F422" s="9" t="n">
        <v>0</v>
      </c>
      <c r="G422" s="9" t="n">
        <v>0</v>
      </c>
      <c r="H422" s="9" t="n">
        <v>0</v>
      </c>
      <c r="I422" s="9" t="n">
        <v>0</v>
      </c>
      <c r="J422" s="9" t="n">
        <v>0</v>
      </c>
      <c r="K422" s="9" t="n">
        <v>0</v>
      </c>
      <c r="L422" s="9" t="n">
        <v>0</v>
      </c>
      <c r="M422" s="9" t="n">
        <v>0</v>
      </c>
      <c r="N422" s="12" t="n">
        <f aca="true">IFERROR(ROUND(SUM(OFFSET(B422,0,0,1,POSTAVKE!$B$7))/POSTAVKE!$B$7,2),0)</f>
        <v>0.25</v>
      </c>
    </row>
    <row r="423" customFormat="false" ht="15" hidden="false" customHeight="false" outlineLevel="0" collapsed="false">
      <c r="A423" s="11" t="s">
        <v>1496</v>
      </c>
      <c r="B423" s="9" t="n">
        <v>0</v>
      </c>
      <c r="C423" s="9" t="n">
        <v>0</v>
      </c>
      <c r="D423" s="9" t="n">
        <v>8</v>
      </c>
      <c r="E423" s="9" t="n">
        <v>18</v>
      </c>
      <c r="F423" s="9" t="n">
        <v>14</v>
      </c>
      <c r="G423" s="9" t="n">
        <v>0</v>
      </c>
      <c r="H423" s="9" t="n">
        <v>0</v>
      </c>
      <c r="I423" s="9" t="n">
        <v>0</v>
      </c>
      <c r="J423" s="9" t="n">
        <v>0</v>
      </c>
      <c r="K423" s="9" t="n">
        <v>0</v>
      </c>
      <c r="L423" s="9" t="n">
        <v>0</v>
      </c>
      <c r="M423" s="9" t="n">
        <v>0</v>
      </c>
      <c r="N423" s="12" t="n">
        <f aca="true">IFERROR(ROUND(SUM(OFFSET(B423,0,0,1,POSTAVKE!$B$7))/POSTAVKE!$B$7,2),0)</f>
        <v>5</v>
      </c>
    </row>
    <row r="424" customFormat="false" ht="15" hidden="false" customHeight="false" outlineLevel="0" collapsed="false">
      <c r="A424" s="11" t="s">
        <v>747</v>
      </c>
      <c r="B424" s="9" t="n">
        <v>0</v>
      </c>
      <c r="C424" s="9" t="n">
        <v>0</v>
      </c>
      <c r="D424" s="9" t="n">
        <v>2</v>
      </c>
      <c r="E424" s="9" t="n">
        <v>4</v>
      </c>
      <c r="F424" s="9" t="n">
        <v>0</v>
      </c>
      <c r="G424" s="9" t="n">
        <v>1</v>
      </c>
      <c r="H424" s="9" t="n">
        <v>0</v>
      </c>
      <c r="I424" s="9" t="n">
        <v>1</v>
      </c>
      <c r="J424" s="9" t="n">
        <v>0</v>
      </c>
      <c r="K424" s="9" t="n">
        <v>0</v>
      </c>
      <c r="L424" s="9" t="n">
        <v>0</v>
      </c>
      <c r="M424" s="9" t="n">
        <v>0</v>
      </c>
      <c r="N424" s="12" t="n">
        <f aca="true">IFERROR(ROUND(SUM(OFFSET(B424,0,0,1,POSTAVKE!$B$7))/POSTAVKE!$B$7,2),0)</f>
        <v>1</v>
      </c>
    </row>
    <row r="425" customFormat="false" ht="15" hidden="false" customHeight="false" outlineLevel="0" collapsed="false">
      <c r="A425" s="11" t="s">
        <v>1780</v>
      </c>
      <c r="B425" s="9" t="n">
        <v>0</v>
      </c>
      <c r="C425" s="9" t="n">
        <v>0</v>
      </c>
      <c r="D425" s="9" t="n">
        <v>0</v>
      </c>
      <c r="E425" s="9" t="n">
        <v>0</v>
      </c>
      <c r="F425" s="9" t="n">
        <v>0</v>
      </c>
      <c r="G425" s="9" t="n">
        <v>0</v>
      </c>
      <c r="H425" s="9" t="n">
        <v>0</v>
      </c>
      <c r="I425" s="9" t="n">
        <v>0</v>
      </c>
      <c r="J425" s="9" t="n">
        <v>0</v>
      </c>
      <c r="K425" s="9" t="n">
        <v>0</v>
      </c>
      <c r="L425" s="9" t="n">
        <v>0</v>
      </c>
      <c r="M425" s="9" t="n">
        <v>0</v>
      </c>
      <c r="N425" s="12" t="n">
        <f aca="true">IFERROR(ROUND(SUM(OFFSET(B425,0,0,1,POSTAVKE!$B$7))/POSTAVKE!$B$7,2),0)</f>
        <v>0</v>
      </c>
    </row>
    <row r="426" customFormat="false" ht="15" hidden="false" customHeight="false" outlineLevel="0" collapsed="false">
      <c r="A426" s="11" t="s">
        <v>1782</v>
      </c>
      <c r="B426" s="9" t="n">
        <v>0</v>
      </c>
      <c r="C426" s="9" t="n">
        <v>0</v>
      </c>
      <c r="D426" s="9" t="n">
        <v>0</v>
      </c>
      <c r="E426" s="9" t="n">
        <v>0</v>
      </c>
      <c r="F426" s="9" t="n">
        <v>0</v>
      </c>
      <c r="G426" s="9" t="n">
        <v>0</v>
      </c>
      <c r="H426" s="9" t="n">
        <v>0</v>
      </c>
      <c r="I426" s="9" t="n">
        <v>0</v>
      </c>
      <c r="J426" s="9" t="n">
        <v>0</v>
      </c>
      <c r="K426" s="9" t="n">
        <v>0</v>
      </c>
      <c r="L426" s="9" t="n">
        <v>0</v>
      </c>
      <c r="M426" s="9" t="n">
        <v>0</v>
      </c>
      <c r="N426" s="12" t="n">
        <f aca="true">IFERROR(ROUND(SUM(OFFSET(B426,0,0,1,POSTAVKE!$B$7))/POSTAVKE!$B$7,2),0)</f>
        <v>0</v>
      </c>
    </row>
    <row r="427" customFormat="false" ht="15" hidden="false" customHeight="false" outlineLevel="0" collapsed="false">
      <c r="A427" s="11" t="s">
        <v>1784</v>
      </c>
      <c r="B427" s="9" t="n">
        <v>0</v>
      </c>
      <c r="C427" s="9" t="n">
        <v>0</v>
      </c>
      <c r="D427" s="9" t="n">
        <v>0</v>
      </c>
      <c r="E427" s="9" t="n">
        <v>0</v>
      </c>
      <c r="F427" s="9" t="n">
        <v>0</v>
      </c>
      <c r="G427" s="9" t="n">
        <v>0</v>
      </c>
      <c r="H427" s="9" t="n">
        <v>0</v>
      </c>
      <c r="I427" s="9" t="n">
        <v>0</v>
      </c>
      <c r="J427" s="9" t="n">
        <v>0</v>
      </c>
      <c r="K427" s="9" t="n">
        <v>0</v>
      </c>
      <c r="L427" s="9" t="n">
        <v>0</v>
      </c>
      <c r="M427" s="9" t="n">
        <v>0</v>
      </c>
      <c r="N427" s="12" t="n">
        <f aca="true">IFERROR(ROUND(SUM(OFFSET(B427,0,0,1,POSTAVKE!$B$7))/POSTAVKE!$B$7,2),0)</f>
        <v>0</v>
      </c>
    </row>
    <row r="428" customFormat="false" ht="15" hidden="false" customHeight="false" outlineLevel="0" collapsed="false">
      <c r="A428" s="11" t="s">
        <v>1502</v>
      </c>
      <c r="B428" s="9" t="n">
        <v>0</v>
      </c>
      <c r="C428" s="9" t="n">
        <v>0</v>
      </c>
      <c r="D428" s="9" t="n">
        <v>0</v>
      </c>
      <c r="E428" s="9" t="n">
        <v>0</v>
      </c>
      <c r="F428" s="9" t="n">
        <v>0</v>
      </c>
      <c r="G428" s="9" t="n">
        <v>0</v>
      </c>
      <c r="H428" s="9" t="n">
        <v>0</v>
      </c>
      <c r="I428" s="9" t="n">
        <v>0</v>
      </c>
      <c r="J428" s="9" t="n">
        <v>0</v>
      </c>
      <c r="K428" s="9" t="n">
        <v>0</v>
      </c>
      <c r="L428" s="9" t="n">
        <v>0</v>
      </c>
      <c r="M428" s="9" t="n">
        <v>0</v>
      </c>
      <c r="N428" s="12" t="n">
        <f aca="true">IFERROR(ROUND(SUM(OFFSET(B428,0,0,1,POSTAVKE!$B$7))/POSTAVKE!$B$7,2),0)</f>
        <v>0</v>
      </c>
    </row>
    <row r="429" customFormat="false" ht="15" hidden="false" customHeight="false" outlineLevel="0" collapsed="false">
      <c r="A429" s="11" t="s">
        <v>1786</v>
      </c>
      <c r="B429" s="9" t="n">
        <v>0</v>
      </c>
      <c r="C429" s="9" t="n">
        <v>0</v>
      </c>
      <c r="D429" s="9" t="n">
        <v>0</v>
      </c>
      <c r="E429" s="9" t="n">
        <v>1</v>
      </c>
      <c r="F429" s="9" t="n">
        <v>0</v>
      </c>
      <c r="G429" s="9" t="n">
        <v>0</v>
      </c>
      <c r="H429" s="9" t="n">
        <v>0</v>
      </c>
      <c r="I429" s="9" t="n">
        <v>0</v>
      </c>
      <c r="J429" s="9" t="n">
        <v>0</v>
      </c>
      <c r="K429" s="9" t="n">
        <v>0</v>
      </c>
      <c r="L429" s="9" t="n">
        <v>0</v>
      </c>
      <c r="M429" s="9" t="n">
        <v>0</v>
      </c>
      <c r="N429" s="12" t="n">
        <f aca="true">IFERROR(ROUND(SUM(OFFSET(B429,0,0,1,POSTAVKE!$B$7))/POSTAVKE!$B$7,2),0)</f>
        <v>0.13</v>
      </c>
    </row>
    <row r="430" customFormat="false" ht="15" hidden="false" customHeight="false" outlineLevel="0" collapsed="false">
      <c r="A430" s="11" t="s">
        <v>1788</v>
      </c>
      <c r="B430" s="9" t="n">
        <v>0</v>
      </c>
      <c r="C430" s="9" t="n">
        <v>0</v>
      </c>
      <c r="D430" s="9" t="n">
        <v>0</v>
      </c>
      <c r="E430" s="9" t="n">
        <v>0</v>
      </c>
      <c r="F430" s="9" t="n">
        <v>0</v>
      </c>
      <c r="G430" s="9" t="n">
        <v>-1</v>
      </c>
      <c r="H430" s="9" t="n">
        <v>0</v>
      </c>
      <c r="I430" s="9" t="n">
        <v>0</v>
      </c>
      <c r="J430" s="9" t="n">
        <v>0</v>
      </c>
      <c r="K430" s="9" t="n">
        <v>0</v>
      </c>
      <c r="L430" s="9" t="n">
        <v>0</v>
      </c>
      <c r="M430" s="9" t="n">
        <v>0</v>
      </c>
      <c r="N430" s="12" t="n">
        <f aca="true">IFERROR(ROUND(SUM(OFFSET(B430,0,0,1,POSTAVKE!$B$7))/POSTAVKE!$B$7,2),0)</f>
        <v>-0.13</v>
      </c>
    </row>
    <row r="431" customFormat="false" ht="15" hidden="false" customHeight="false" outlineLevel="0" collapsed="false">
      <c r="A431" s="11" t="s">
        <v>1504</v>
      </c>
      <c r="B431" s="9" t="n">
        <v>0</v>
      </c>
      <c r="C431" s="9" t="n">
        <v>0</v>
      </c>
      <c r="D431" s="9" t="n">
        <v>0</v>
      </c>
      <c r="E431" s="9" t="n">
        <v>0</v>
      </c>
      <c r="F431" s="9" t="n">
        <v>1</v>
      </c>
      <c r="G431" s="9" t="n">
        <v>0</v>
      </c>
      <c r="H431" s="9" t="n">
        <v>0</v>
      </c>
      <c r="I431" s="9" t="n">
        <v>0</v>
      </c>
      <c r="J431" s="9" t="n">
        <v>0</v>
      </c>
      <c r="K431" s="9" t="n">
        <v>0</v>
      </c>
      <c r="L431" s="9" t="n">
        <v>0</v>
      </c>
      <c r="M431" s="9" t="n">
        <v>0</v>
      </c>
      <c r="N431" s="12" t="n">
        <f aca="true">IFERROR(ROUND(SUM(OFFSET(B431,0,0,1,POSTAVKE!$B$7))/POSTAVKE!$B$7,2),0)</f>
        <v>0.13</v>
      </c>
    </row>
    <row r="432" customFormat="false" ht="15" hidden="false" customHeight="false" outlineLevel="0" collapsed="false">
      <c r="A432" s="11" t="s">
        <v>1506</v>
      </c>
      <c r="B432" s="9" t="n">
        <v>0</v>
      </c>
      <c r="C432" s="9" t="n">
        <v>0</v>
      </c>
      <c r="D432" s="9" t="n">
        <v>0</v>
      </c>
      <c r="E432" s="9" t="n">
        <v>0</v>
      </c>
      <c r="F432" s="9" t="n">
        <v>0</v>
      </c>
      <c r="G432" s="9" t="n">
        <v>-1</v>
      </c>
      <c r="H432" s="9" t="n">
        <v>-1</v>
      </c>
      <c r="I432" s="9" t="n">
        <v>0</v>
      </c>
      <c r="J432" s="9" t="n">
        <v>0</v>
      </c>
      <c r="K432" s="9" t="n">
        <v>0</v>
      </c>
      <c r="L432" s="9" t="n">
        <v>0</v>
      </c>
      <c r="M432" s="9" t="n">
        <v>0</v>
      </c>
      <c r="N432" s="12" t="n">
        <f aca="true">IFERROR(ROUND(SUM(OFFSET(B432,0,0,1,POSTAVKE!$B$7))/POSTAVKE!$B$7,2),0)</f>
        <v>-0.25</v>
      </c>
    </row>
    <row r="433" customFormat="false" ht="15" hidden="false" customHeight="false" outlineLevel="0" collapsed="false">
      <c r="A433" s="11" t="s">
        <v>801</v>
      </c>
      <c r="B433" s="9" t="n">
        <v>0</v>
      </c>
      <c r="C433" s="9" t="n">
        <v>3</v>
      </c>
      <c r="D433" s="9" t="n">
        <v>0</v>
      </c>
      <c r="E433" s="9" t="n">
        <v>0</v>
      </c>
      <c r="F433" s="9" t="n">
        <v>0</v>
      </c>
      <c r="G433" s="9" t="n">
        <v>2</v>
      </c>
      <c r="H433" s="9" t="n">
        <v>1</v>
      </c>
      <c r="I433" s="9" t="n">
        <v>1</v>
      </c>
      <c r="J433" s="9" t="n">
        <v>0</v>
      </c>
      <c r="K433" s="9" t="n">
        <v>0</v>
      </c>
      <c r="L433" s="9" t="n">
        <v>0</v>
      </c>
      <c r="M433" s="9" t="n">
        <v>0</v>
      </c>
      <c r="N433" s="12" t="n">
        <f aca="true">IFERROR(ROUND(SUM(OFFSET(B433,0,0,1,POSTAVKE!$B$7))/POSTAVKE!$B$7,2),0)</f>
        <v>0.88</v>
      </c>
    </row>
    <row r="434" customFormat="false" ht="15" hidden="false" customHeight="false" outlineLevel="0" collapsed="false">
      <c r="A434" s="11" t="s">
        <v>441</v>
      </c>
      <c r="B434" s="9" t="n">
        <v>0</v>
      </c>
      <c r="C434" s="9" t="n">
        <v>0</v>
      </c>
      <c r="D434" s="9" t="n">
        <v>0</v>
      </c>
      <c r="E434" s="9" t="n">
        <v>-1</v>
      </c>
      <c r="F434" s="9" t="n">
        <v>0</v>
      </c>
      <c r="G434" s="9" t="n">
        <v>0</v>
      </c>
      <c r="H434" s="9" t="n">
        <v>0</v>
      </c>
      <c r="I434" s="9" t="n">
        <v>0</v>
      </c>
      <c r="J434" s="9" t="n">
        <v>0</v>
      </c>
      <c r="K434" s="9" t="n">
        <v>0</v>
      </c>
      <c r="L434" s="9" t="n">
        <v>0</v>
      </c>
      <c r="M434" s="9" t="n">
        <v>0</v>
      </c>
      <c r="N434" s="12" t="n">
        <f aca="true">IFERROR(ROUND(SUM(OFFSET(B434,0,0,1,POSTAVKE!$B$7))/POSTAVKE!$B$7,2),0)</f>
        <v>-0.13</v>
      </c>
    </row>
    <row r="435" customFormat="false" ht="15" hidden="false" customHeight="false" outlineLevel="0" collapsed="false">
      <c r="A435" s="11" t="s">
        <v>559</v>
      </c>
      <c r="B435" s="9" t="n">
        <v>0</v>
      </c>
      <c r="C435" s="9" t="n">
        <v>1</v>
      </c>
      <c r="D435" s="9" t="n">
        <v>2</v>
      </c>
      <c r="E435" s="9" t="n">
        <v>-1</v>
      </c>
      <c r="F435" s="9" t="n">
        <v>0</v>
      </c>
      <c r="G435" s="9" t="n">
        <v>0</v>
      </c>
      <c r="H435" s="9" t="n">
        <v>0</v>
      </c>
      <c r="I435" s="9" t="n">
        <v>0</v>
      </c>
      <c r="J435" s="9" t="n">
        <v>0</v>
      </c>
      <c r="K435" s="9" t="n">
        <v>0</v>
      </c>
      <c r="L435" s="9" t="n">
        <v>0</v>
      </c>
      <c r="M435" s="9" t="n">
        <v>0</v>
      </c>
      <c r="N435" s="12" t="n">
        <f aca="true">IFERROR(ROUND(SUM(OFFSET(B435,0,0,1,POSTAVKE!$B$7))/POSTAVKE!$B$7,2),0)</f>
        <v>0.25</v>
      </c>
    </row>
    <row r="436" customFormat="false" ht="15" hidden="false" customHeight="false" outlineLevel="0" collapsed="false">
      <c r="A436" s="11" t="s">
        <v>1075</v>
      </c>
      <c r="B436" s="9" t="n">
        <v>0</v>
      </c>
      <c r="C436" s="9" t="n">
        <v>2</v>
      </c>
      <c r="D436" s="9" t="n">
        <v>1</v>
      </c>
      <c r="E436" s="9" t="n">
        <v>0</v>
      </c>
      <c r="F436" s="9" t="n">
        <v>0</v>
      </c>
      <c r="G436" s="9" t="n">
        <v>4</v>
      </c>
      <c r="H436" s="9" t="n">
        <v>0</v>
      </c>
      <c r="I436" s="9" t="n">
        <v>4</v>
      </c>
      <c r="J436" s="9" t="n">
        <v>0</v>
      </c>
      <c r="K436" s="9" t="n">
        <v>0</v>
      </c>
      <c r="L436" s="9" t="n">
        <v>0</v>
      </c>
      <c r="M436" s="9" t="n">
        <v>0</v>
      </c>
      <c r="N436" s="12" t="n">
        <f aca="true">IFERROR(ROUND(SUM(OFFSET(B436,0,0,1,POSTAVKE!$B$7))/POSTAVKE!$B$7,2),0)</f>
        <v>1.38</v>
      </c>
    </row>
    <row r="437" customFormat="false" ht="15" hidden="false" customHeight="false" outlineLevel="0" collapsed="false">
      <c r="A437" s="11" t="s">
        <v>129</v>
      </c>
      <c r="B437" s="9" t="n">
        <v>0</v>
      </c>
      <c r="C437" s="9" t="n">
        <v>0</v>
      </c>
      <c r="D437" s="9" t="n">
        <v>0</v>
      </c>
      <c r="E437" s="9" t="n">
        <v>0</v>
      </c>
      <c r="F437" s="9" t="n">
        <v>0</v>
      </c>
      <c r="G437" s="9" t="n">
        <v>0</v>
      </c>
      <c r="H437" s="9" t="n">
        <v>13</v>
      </c>
      <c r="I437" s="9" t="n">
        <v>0</v>
      </c>
      <c r="J437" s="9" t="n">
        <v>0</v>
      </c>
      <c r="K437" s="9" t="n">
        <v>0</v>
      </c>
      <c r="L437" s="9" t="n">
        <v>0</v>
      </c>
      <c r="M437" s="9" t="n">
        <v>0</v>
      </c>
      <c r="N437" s="12" t="n">
        <f aca="true">IFERROR(ROUND(SUM(OFFSET(B437,0,0,1,POSTAVKE!$B$7))/POSTAVKE!$B$7,2),0)</f>
        <v>1.63</v>
      </c>
    </row>
    <row r="438" customFormat="false" ht="15" hidden="false" customHeight="false" outlineLevel="0" collapsed="false">
      <c r="A438" s="11" t="s">
        <v>115</v>
      </c>
      <c r="B438" s="9" t="n">
        <v>0</v>
      </c>
      <c r="C438" s="9" t="n">
        <v>0</v>
      </c>
      <c r="D438" s="9" t="n">
        <v>0</v>
      </c>
      <c r="E438" s="9" t="n">
        <v>0</v>
      </c>
      <c r="F438" s="9" t="n">
        <v>0</v>
      </c>
      <c r="G438" s="9" t="n">
        <v>0</v>
      </c>
      <c r="H438" s="9" t="n">
        <v>13</v>
      </c>
      <c r="I438" s="9" t="n">
        <v>0</v>
      </c>
      <c r="J438" s="9" t="n">
        <v>0</v>
      </c>
      <c r="K438" s="9" t="n">
        <v>0</v>
      </c>
      <c r="L438" s="9" t="n">
        <v>0</v>
      </c>
      <c r="M438" s="9" t="n">
        <v>0</v>
      </c>
      <c r="N438" s="12" t="n">
        <f aca="true">IFERROR(ROUND(SUM(OFFSET(B438,0,0,1,POSTAVKE!$B$7))/POSTAVKE!$B$7,2),0)</f>
        <v>1.63</v>
      </c>
    </row>
    <row r="439" customFormat="false" ht="15" hidden="false" customHeight="false" outlineLevel="0" collapsed="false">
      <c r="A439" s="11" t="s">
        <v>59</v>
      </c>
      <c r="B439" s="9" t="n">
        <v>0</v>
      </c>
      <c r="C439" s="9" t="n">
        <v>0</v>
      </c>
      <c r="D439" s="9" t="n">
        <v>0</v>
      </c>
      <c r="E439" s="9" t="n">
        <v>0</v>
      </c>
      <c r="F439" s="9" t="n">
        <v>0</v>
      </c>
      <c r="G439" s="9" t="n">
        <v>0</v>
      </c>
      <c r="H439" s="9" t="n">
        <v>13</v>
      </c>
      <c r="I439" s="9" t="n">
        <v>0</v>
      </c>
      <c r="J439" s="9" t="n">
        <v>0</v>
      </c>
      <c r="K439" s="9" t="n">
        <v>0</v>
      </c>
      <c r="L439" s="9" t="n">
        <v>0</v>
      </c>
      <c r="M439" s="9" t="n">
        <v>0</v>
      </c>
      <c r="N439" s="12" t="n">
        <f aca="true">IFERROR(ROUND(SUM(OFFSET(B439,0,0,1,POSTAVKE!$B$7))/POSTAVKE!$B$7,2),0)</f>
        <v>1.63</v>
      </c>
    </row>
    <row r="440" customFormat="false" ht="15" hidden="false" customHeight="false" outlineLevel="0" collapsed="false">
      <c r="A440" s="11" t="s">
        <v>43</v>
      </c>
      <c r="B440" s="9" t="n">
        <v>0</v>
      </c>
      <c r="C440" s="9" t="n">
        <v>0</v>
      </c>
      <c r="D440" s="9" t="n">
        <v>0</v>
      </c>
      <c r="E440" s="9" t="n">
        <v>0</v>
      </c>
      <c r="F440" s="9" t="n">
        <v>0</v>
      </c>
      <c r="G440" s="9" t="n">
        <v>0</v>
      </c>
      <c r="H440" s="9" t="n">
        <v>13</v>
      </c>
      <c r="I440" s="9" t="n">
        <v>0</v>
      </c>
      <c r="J440" s="9" t="n">
        <v>0</v>
      </c>
      <c r="K440" s="9" t="n">
        <v>0</v>
      </c>
      <c r="L440" s="9" t="n">
        <v>0</v>
      </c>
      <c r="M440" s="9" t="n">
        <v>0</v>
      </c>
      <c r="N440" s="12" t="n">
        <f aca="true">IFERROR(ROUND(SUM(OFFSET(B440,0,0,1,POSTAVKE!$B$7))/POSTAVKE!$B$7,2),0)</f>
        <v>1.63</v>
      </c>
    </row>
    <row r="441" customFormat="false" ht="15" hidden="false" customHeight="false" outlineLevel="0" collapsed="false">
      <c r="A441" s="11" t="s">
        <v>57</v>
      </c>
      <c r="B441" s="9" t="n">
        <v>0</v>
      </c>
      <c r="C441" s="9" t="n">
        <v>0</v>
      </c>
      <c r="D441" s="9" t="n">
        <v>0</v>
      </c>
      <c r="E441" s="9" t="n">
        <v>0</v>
      </c>
      <c r="F441" s="9" t="n">
        <v>0</v>
      </c>
      <c r="G441" s="9" t="n">
        <v>0</v>
      </c>
      <c r="H441" s="9" t="n">
        <v>13</v>
      </c>
      <c r="I441" s="9" t="n">
        <v>0</v>
      </c>
      <c r="J441" s="9" t="n">
        <v>0</v>
      </c>
      <c r="K441" s="9" t="n">
        <v>0</v>
      </c>
      <c r="L441" s="9" t="n">
        <v>0</v>
      </c>
      <c r="M441" s="9" t="n">
        <v>0</v>
      </c>
      <c r="N441" s="12" t="n">
        <f aca="true">IFERROR(ROUND(SUM(OFFSET(B441,0,0,1,POSTAVKE!$B$7))/POSTAVKE!$B$7,2),0)</f>
        <v>1.63</v>
      </c>
    </row>
    <row r="442" customFormat="false" ht="15" hidden="false" customHeight="false" outlineLevel="0" collapsed="false">
      <c r="A442" s="11" t="s">
        <v>45</v>
      </c>
      <c r="B442" s="9" t="n">
        <v>0</v>
      </c>
      <c r="C442" s="9" t="n">
        <v>0</v>
      </c>
      <c r="D442" s="9" t="n">
        <v>0</v>
      </c>
      <c r="E442" s="9" t="n">
        <v>0</v>
      </c>
      <c r="F442" s="9" t="n">
        <v>0</v>
      </c>
      <c r="G442" s="9" t="n">
        <v>0</v>
      </c>
      <c r="H442" s="9" t="n">
        <v>13</v>
      </c>
      <c r="I442" s="9" t="n">
        <v>0</v>
      </c>
      <c r="J442" s="9" t="n">
        <v>0</v>
      </c>
      <c r="K442" s="9" t="n">
        <v>0</v>
      </c>
      <c r="L442" s="9" t="n">
        <v>0</v>
      </c>
      <c r="M442" s="9" t="n">
        <v>0</v>
      </c>
      <c r="N442" s="12" t="n">
        <f aca="true">IFERROR(ROUND(SUM(OFFSET(B442,0,0,1,POSTAVKE!$B$7))/POSTAVKE!$B$7,2),0)</f>
        <v>1.63</v>
      </c>
    </row>
    <row r="443" customFormat="false" ht="15" hidden="false" customHeight="false" outlineLevel="0" collapsed="false">
      <c r="A443" s="11" t="s">
        <v>915</v>
      </c>
      <c r="B443" s="9" t="n">
        <v>0</v>
      </c>
      <c r="C443" s="9" t="n">
        <v>0</v>
      </c>
      <c r="D443" s="9" t="n">
        <v>0</v>
      </c>
      <c r="E443" s="9" t="n">
        <v>0</v>
      </c>
      <c r="F443" s="9" t="n">
        <v>0</v>
      </c>
      <c r="G443" s="9" t="n">
        <v>0</v>
      </c>
      <c r="H443" s="9" t="n">
        <v>0</v>
      </c>
      <c r="I443" s="9" t="n">
        <v>0</v>
      </c>
      <c r="J443" s="9" t="n">
        <v>0</v>
      </c>
      <c r="K443" s="9" t="n">
        <v>0</v>
      </c>
      <c r="L443" s="9" t="n">
        <v>0</v>
      </c>
      <c r="M443" s="9" t="n">
        <v>0</v>
      </c>
      <c r="N443" s="12" t="n">
        <f aca="true">IFERROR(ROUND(SUM(OFFSET(B443,0,0,1,POSTAVKE!$B$7))/POSTAVKE!$B$7,2),0)</f>
        <v>0</v>
      </c>
    </row>
    <row r="444" customFormat="false" ht="15" hidden="false" customHeight="false" outlineLevel="0" collapsed="false">
      <c r="A444" s="11" t="s">
        <v>829</v>
      </c>
      <c r="B444" s="9" t="n">
        <v>0</v>
      </c>
      <c r="C444" s="9" t="n">
        <v>2</v>
      </c>
      <c r="D444" s="9" t="n">
        <v>3</v>
      </c>
      <c r="E444" s="9" t="n">
        <v>0</v>
      </c>
      <c r="F444" s="9" t="n">
        <v>0</v>
      </c>
      <c r="G444" s="9" t="n">
        <v>0</v>
      </c>
      <c r="H444" s="9" t="n">
        <v>0</v>
      </c>
      <c r="I444" s="9" t="n">
        <v>0</v>
      </c>
      <c r="J444" s="9" t="n">
        <v>0</v>
      </c>
      <c r="K444" s="9" t="n">
        <v>0</v>
      </c>
      <c r="L444" s="9" t="n">
        <v>0</v>
      </c>
      <c r="M444" s="9" t="n">
        <v>0</v>
      </c>
      <c r="N444" s="12" t="n">
        <f aca="true">IFERROR(ROUND(SUM(OFFSET(B444,0,0,1,POSTAVKE!$B$7))/POSTAVKE!$B$7,2),0)</f>
        <v>0.63</v>
      </c>
    </row>
    <row r="445" customFormat="false" ht="15" hidden="false" customHeight="false" outlineLevel="0" collapsed="false">
      <c r="A445" s="11" t="s">
        <v>875</v>
      </c>
      <c r="B445" s="9" t="n">
        <v>0</v>
      </c>
      <c r="C445" s="9" t="n">
        <v>0</v>
      </c>
      <c r="D445" s="9" t="n">
        <v>3</v>
      </c>
      <c r="E445" s="9" t="n">
        <v>0</v>
      </c>
      <c r="F445" s="9" t="n">
        <v>0</v>
      </c>
      <c r="G445" s="9" t="n">
        <v>2</v>
      </c>
      <c r="H445" s="9" t="n">
        <v>5</v>
      </c>
      <c r="I445" s="9" t="n">
        <v>0</v>
      </c>
      <c r="J445" s="9" t="n">
        <v>1</v>
      </c>
      <c r="K445" s="9" t="n">
        <v>0</v>
      </c>
      <c r="L445" s="9" t="n">
        <v>0</v>
      </c>
      <c r="M445" s="9" t="n">
        <v>0</v>
      </c>
      <c r="N445" s="12" t="n">
        <f aca="true">IFERROR(ROUND(SUM(OFFSET(B445,0,0,1,POSTAVKE!$B$7))/POSTAVKE!$B$7,2),0)</f>
        <v>1.25</v>
      </c>
    </row>
    <row r="446" customFormat="false" ht="15" hidden="false" customHeight="false" outlineLevel="0" collapsed="false">
      <c r="A446" s="11" t="s">
        <v>1510</v>
      </c>
      <c r="B446" s="9" t="n">
        <v>0</v>
      </c>
      <c r="C446" s="9" t="n">
        <v>1</v>
      </c>
      <c r="D446" s="9" t="n">
        <v>0</v>
      </c>
      <c r="E446" s="9" t="n">
        <v>0</v>
      </c>
      <c r="F446" s="9" t="n">
        <v>0</v>
      </c>
      <c r="G446" s="9" t="n">
        <v>0</v>
      </c>
      <c r="H446" s="9" t="n">
        <v>0</v>
      </c>
      <c r="I446" s="9" t="n">
        <v>0</v>
      </c>
      <c r="J446" s="9" t="n">
        <v>0</v>
      </c>
      <c r="K446" s="9" t="n">
        <v>0</v>
      </c>
      <c r="L446" s="9" t="n">
        <v>0</v>
      </c>
      <c r="M446" s="9" t="n">
        <v>0</v>
      </c>
      <c r="N446" s="12" t="n">
        <f aca="true">IFERROR(ROUND(SUM(OFFSET(B446,0,0,1,POSTAVKE!$B$7))/POSTAVKE!$B$7,2),0)</f>
        <v>0.13</v>
      </c>
    </row>
    <row r="447" customFormat="false" ht="15" hidden="false" customHeight="false" outlineLevel="0" collapsed="false">
      <c r="A447" s="11" t="s">
        <v>119</v>
      </c>
      <c r="B447" s="9" t="n">
        <v>0</v>
      </c>
      <c r="C447" s="9" t="n">
        <v>5</v>
      </c>
      <c r="D447" s="9" t="n">
        <v>15</v>
      </c>
      <c r="E447" s="9" t="n">
        <v>17</v>
      </c>
      <c r="F447" s="9" t="n">
        <v>23</v>
      </c>
      <c r="G447" s="9" t="n">
        <v>11</v>
      </c>
      <c r="H447" s="9" t="n">
        <v>23</v>
      </c>
      <c r="I447" s="9" t="n">
        <v>24</v>
      </c>
      <c r="J447" s="9" t="n">
        <v>1</v>
      </c>
      <c r="K447" s="9" t="n">
        <v>0</v>
      </c>
      <c r="L447" s="9" t="n">
        <v>0</v>
      </c>
      <c r="M447" s="9" t="n">
        <v>0</v>
      </c>
      <c r="N447" s="12" t="n">
        <f aca="true">IFERROR(ROUND(SUM(OFFSET(B447,0,0,1,POSTAVKE!$B$7))/POSTAVKE!$B$7,2),0)</f>
        <v>14.75</v>
      </c>
    </row>
    <row r="448" customFormat="false" ht="15" hidden="false" customHeight="false" outlineLevel="0" collapsed="false">
      <c r="A448" s="11" t="s">
        <v>1077</v>
      </c>
      <c r="B448" s="9" t="n">
        <v>0</v>
      </c>
      <c r="C448" s="9" t="n">
        <v>0</v>
      </c>
      <c r="D448" s="9" t="n">
        <v>0</v>
      </c>
      <c r="E448" s="9" t="n">
        <v>0</v>
      </c>
      <c r="F448" s="9" t="n">
        <v>0</v>
      </c>
      <c r="G448" s="9" t="n">
        <v>0</v>
      </c>
      <c r="H448" s="9" t="n">
        <v>0</v>
      </c>
      <c r="I448" s="9" t="n">
        <v>0</v>
      </c>
      <c r="J448" s="9" t="n">
        <v>0</v>
      </c>
      <c r="K448" s="9" t="n">
        <v>0</v>
      </c>
      <c r="L448" s="9" t="n">
        <v>0</v>
      </c>
      <c r="M448" s="9" t="n">
        <v>0</v>
      </c>
      <c r="N448" s="12" t="n">
        <f aca="true">IFERROR(ROUND(SUM(OFFSET(B448,0,0,1,POSTAVKE!$B$7))/POSTAVKE!$B$7,2),0)</f>
        <v>0</v>
      </c>
    </row>
    <row r="449" customFormat="false" ht="15" hidden="false" customHeight="false" outlineLevel="0" collapsed="false">
      <c r="A449" s="11" t="s">
        <v>1025</v>
      </c>
      <c r="B449" s="9" t="n">
        <v>0</v>
      </c>
      <c r="C449" s="9" t="n">
        <v>0</v>
      </c>
      <c r="D449" s="9" t="n">
        <v>0</v>
      </c>
      <c r="E449" s="9" t="n">
        <v>0</v>
      </c>
      <c r="F449" s="9" t="n">
        <v>0</v>
      </c>
      <c r="G449" s="9" t="n">
        <v>0</v>
      </c>
      <c r="H449" s="9" t="n">
        <v>0</v>
      </c>
      <c r="I449" s="9" t="n">
        <v>0</v>
      </c>
      <c r="J449" s="9" t="n">
        <v>0</v>
      </c>
      <c r="K449" s="9" t="n">
        <v>0</v>
      </c>
      <c r="L449" s="9" t="n">
        <v>0</v>
      </c>
      <c r="M449" s="9" t="n">
        <v>0</v>
      </c>
      <c r="N449" s="12" t="n">
        <f aca="true">IFERROR(ROUND(SUM(OFFSET(B449,0,0,1,POSTAVKE!$B$7))/POSTAVKE!$B$7,2),0)</f>
        <v>0</v>
      </c>
    </row>
    <row r="450" customFormat="false" ht="15" hidden="false" customHeight="false" outlineLevel="0" collapsed="false">
      <c r="A450" s="11" t="s">
        <v>1079</v>
      </c>
      <c r="B450" s="9" t="n">
        <v>0</v>
      </c>
      <c r="C450" s="9" t="n">
        <v>0</v>
      </c>
      <c r="D450" s="9" t="n">
        <v>0</v>
      </c>
      <c r="E450" s="9" t="n">
        <v>0</v>
      </c>
      <c r="F450" s="9" t="n">
        <v>0</v>
      </c>
      <c r="G450" s="9" t="n">
        <v>0</v>
      </c>
      <c r="H450" s="9" t="n">
        <v>0</v>
      </c>
      <c r="I450" s="9" t="n">
        <v>0</v>
      </c>
      <c r="J450" s="9" t="n">
        <v>0</v>
      </c>
      <c r="K450" s="9" t="n">
        <v>0</v>
      </c>
      <c r="L450" s="9" t="n">
        <v>0</v>
      </c>
      <c r="M450" s="9" t="n">
        <v>0</v>
      </c>
      <c r="N450" s="12" t="n">
        <f aca="true">IFERROR(ROUND(SUM(OFFSET(B450,0,0,1,POSTAVKE!$B$7))/POSTAVKE!$B$7,2),0)</f>
        <v>0</v>
      </c>
    </row>
    <row r="451" customFormat="false" ht="15" hidden="false" customHeight="false" outlineLevel="0" collapsed="false">
      <c r="A451" s="11" t="s">
        <v>1027</v>
      </c>
      <c r="B451" s="9" t="n">
        <v>0</v>
      </c>
      <c r="C451" s="9" t="n">
        <v>0</v>
      </c>
      <c r="D451" s="9" t="n">
        <v>0</v>
      </c>
      <c r="E451" s="9" t="n">
        <v>0</v>
      </c>
      <c r="F451" s="9" t="n">
        <v>0</v>
      </c>
      <c r="G451" s="9" t="n">
        <v>0</v>
      </c>
      <c r="H451" s="9" t="n">
        <v>0</v>
      </c>
      <c r="I451" s="9" t="n">
        <v>0</v>
      </c>
      <c r="J451" s="9" t="n">
        <v>0</v>
      </c>
      <c r="K451" s="9" t="n">
        <v>0</v>
      </c>
      <c r="L451" s="9" t="n">
        <v>0</v>
      </c>
      <c r="M451" s="9" t="n">
        <v>0</v>
      </c>
      <c r="N451" s="12" t="n">
        <f aca="true">IFERROR(ROUND(SUM(OFFSET(B451,0,0,1,POSTAVKE!$B$7))/POSTAVKE!$B$7,2),0)</f>
        <v>0</v>
      </c>
    </row>
    <row r="452" customFormat="false" ht="15" hidden="false" customHeight="false" outlineLevel="0" collapsed="false">
      <c r="A452" s="11" t="s">
        <v>1029</v>
      </c>
      <c r="B452" s="9" t="n">
        <v>0</v>
      </c>
      <c r="C452" s="9" t="n">
        <v>0</v>
      </c>
      <c r="D452" s="9" t="n">
        <v>0</v>
      </c>
      <c r="E452" s="9" t="n">
        <v>0</v>
      </c>
      <c r="F452" s="9" t="n">
        <v>0</v>
      </c>
      <c r="G452" s="9" t="n">
        <v>0</v>
      </c>
      <c r="H452" s="9" t="n">
        <v>0</v>
      </c>
      <c r="I452" s="9" t="n">
        <v>0</v>
      </c>
      <c r="J452" s="9" t="n">
        <v>0</v>
      </c>
      <c r="K452" s="9" t="n">
        <v>0</v>
      </c>
      <c r="L452" s="9" t="n">
        <v>0</v>
      </c>
      <c r="M452" s="9" t="n">
        <v>0</v>
      </c>
      <c r="N452" s="12" t="n">
        <f aca="true">IFERROR(ROUND(SUM(OFFSET(B452,0,0,1,POSTAVKE!$B$7))/POSTAVKE!$B$7,2),0)</f>
        <v>0</v>
      </c>
    </row>
    <row r="453" customFormat="false" ht="15" hidden="false" customHeight="false" outlineLevel="0" collapsed="false">
      <c r="A453" s="11" t="s">
        <v>943</v>
      </c>
      <c r="B453" s="9" t="n">
        <v>0</v>
      </c>
      <c r="C453" s="9" t="n">
        <v>0</v>
      </c>
      <c r="D453" s="9" t="n">
        <v>0</v>
      </c>
      <c r="E453" s="9" t="n">
        <v>0</v>
      </c>
      <c r="F453" s="9" t="n">
        <v>0</v>
      </c>
      <c r="G453" s="9" t="n">
        <v>0</v>
      </c>
      <c r="H453" s="9" t="n">
        <v>0</v>
      </c>
      <c r="I453" s="9" t="n">
        <v>0</v>
      </c>
      <c r="J453" s="9" t="n">
        <v>0</v>
      </c>
      <c r="K453" s="9" t="n">
        <v>0</v>
      </c>
      <c r="L453" s="9" t="n">
        <v>0</v>
      </c>
      <c r="M453" s="9" t="n">
        <v>0</v>
      </c>
      <c r="N453" s="12" t="n">
        <f aca="true">IFERROR(ROUND(SUM(OFFSET(B453,0,0,1,POSTAVKE!$B$7))/POSTAVKE!$B$7,2),0)</f>
        <v>0</v>
      </c>
    </row>
    <row r="454" customFormat="false" ht="15" hidden="false" customHeight="false" outlineLevel="0" collapsed="false">
      <c r="A454" s="11" t="s">
        <v>1031</v>
      </c>
      <c r="B454" s="9" t="n">
        <v>0</v>
      </c>
      <c r="C454" s="9" t="n">
        <v>0</v>
      </c>
      <c r="D454" s="9" t="n">
        <v>0</v>
      </c>
      <c r="E454" s="9" t="n">
        <v>0</v>
      </c>
      <c r="F454" s="9" t="n">
        <v>0</v>
      </c>
      <c r="G454" s="9" t="n">
        <v>0</v>
      </c>
      <c r="H454" s="9" t="n">
        <v>0</v>
      </c>
      <c r="I454" s="9" t="n">
        <v>0</v>
      </c>
      <c r="J454" s="9" t="n">
        <v>0</v>
      </c>
      <c r="K454" s="9" t="n">
        <v>0</v>
      </c>
      <c r="L454" s="9" t="n">
        <v>0</v>
      </c>
      <c r="M454" s="9" t="n">
        <v>0</v>
      </c>
      <c r="N454" s="12" t="n">
        <f aca="true">IFERROR(ROUND(SUM(OFFSET(B454,0,0,1,POSTAVKE!$B$7))/POSTAVKE!$B$7,2),0)</f>
        <v>0</v>
      </c>
    </row>
    <row r="455" customFormat="false" ht="15" hidden="false" customHeight="false" outlineLevel="0" collapsed="false">
      <c r="A455" s="11" t="s">
        <v>1081</v>
      </c>
      <c r="B455" s="9" t="n">
        <v>0</v>
      </c>
      <c r="C455" s="9" t="n">
        <v>0</v>
      </c>
      <c r="D455" s="9" t="n">
        <v>0</v>
      </c>
      <c r="E455" s="9" t="n">
        <v>0</v>
      </c>
      <c r="F455" s="9" t="n">
        <v>0</v>
      </c>
      <c r="G455" s="9" t="n">
        <v>0</v>
      </c>
      <c r="H455" s="9" t="n">
        <v>0</v>
      </c>
      <c r="I455" s="9" t="n">
        <v>0</v>
      </c>
      <c r="J455" s="9" t="n">
        <v>0</v>
      </c>
      <c r="K455" s="9" t="n">
        <v>0</v>
      </c>
      <c r="L455" s="9" t="n">
        <v>0</v>
      </c>
      <c r="M455" s="9" t="n">
        <v>0</v>
      </c>
      <c r="N455" s="12" t="n">
        <f aca="true">IFERROR(ROUND(SUM(OFFSET(B455,0,0,1,POSTAVKE!$B$7))/POSTAVKE!$B$7,2),0)</f>
        <v>0</v>
      </c>
    </row>
    <row r="456" customFormat="false" ht="15" hidden="false" customHeight="false" outlineLevel="0" collapsed="false">
      <c r="A456" s="11" t="s">
        <v>1790</v>
      </c>
      <c r="B456" s="9" t="n">
        <v>0</v>
      </c>
      <c r="C456" s="9" t="n">
        <v>0</v>
      </c>
      <c r="D456" s="9" t="n">
        <v>0</v>
      </c>
      <c r="E456" s="9" t="n">
        <v>0</v>
      </c>
      <c r="F456" s="9" t="n">
        <v>0</v>
      </c>
      <c r="G456" s="9" t="n">
        <v>58</v>
      </c>
      <c r="H456" s="9" t="n">
        <v>25</v>
      </c>
      <c r="I456" s="9" t="n">
        <v>0</v>
      </c>
      <c r="J456" s="9" t="n">
        <v>0</v>
      </c>
      <c r="K456" s="9" t="n">
        <v>0</v>
      </c>
      <c r="L456" s="9" t="n">
        <v>0</v>
      </c>
      <c r="M456" s="9" t="n">
        <v>0</v>
      </c>
      <c r="N456" s="12" t="n">
        <f aca="true">IFERROR(ROUND(SUM(OFFSET(B456,0,0,1,POSTAVKE!$B$7))/POSTAVKE!$B$7,2),0)</f>
        <v>10.38</v>
      </c>
    </row>
    <row r="457" customFormat="false" ht="15" hidden="false" customHeight="false" outlineLevel="0" collapsed="false">
      <c r="A457" s="11" t="s">
        <v>1214</v>
      </c>
      <c r="B457" s="9" t="n">
        <v>0</v>
      </c>
      <c r="C457" s="9" t="n">
        <v>0</v>
      </c>
      <c r="D457" s="9" t="n">
        <v>0</v>
      </c>
      <c r="E457" s="9" t="n">
        <v>0</v>
      </c>
      <c r="F457" s="9" t="n">
        <v>0</v>
      </c>
      <c r="G457" s="9" t="n">
        <v>0</v>
      </c>
      <c r="H457" s="9" t="n">
        <v>0</v>
      </c>
      <c r="I457" s="9" t="n">
        <v>0</v>
      </c>
      <c r="J457" s="9" t="n">
        <v>0</v>
      </c>
      <c r="K457" s="9" t="n">
        <v>0</v>
      </c>
      <c r="L457" s="9" t="n">
        <v>0</v>
      </c>
      <c r="M457" s="9" t="n">
        <v>0</v>
      </c>
      <c r="N457" s="12" t="n">
        <f aca="true">IFERROR(ROUND(SUM(OFFSET(B457,0,0,1,POSTAVKE!$B$7))/POSTAVKE!$B$7,2),0)</f>
        <v>0</v>
      </c>
    </row>
    <row r="458" customFormat="false" ht="15" hidden="false" customHeight="false" outlineLevel="0" collapsed="false">
      <c r="A458" s="11" t="s">
        <v>1216</v>
      </c>
      <c r="B458" s="9" t="n">
        <v>0</v>
      </c>
      <c r="C458" s="9" t="n">
        <v>0</v>
      </c>
      <c r="D458" s="9" t="n">
        <v>0</v>
      </c>
      <c r="E458" s="9" t="n">
        <v>0</v>
      </c>
      <c r="F458" s="9" t="n">
        <v>0</v>
      </c>
      <c r="G458" s="9" t="n">
        <v>0</v>
      </c>
      <c r="H458" s="9" t="n">
        <v>0</v>
      </c>
      <c r="I458" s="9" t="n">
        <v>0</v>
      </c>
      <c r="J458" s="9" t="n">
        <v>0</v>
      </c>
      <c r="K458" s="9" t="n">
        <v>0</v>
      </c>
      <c r="L458" s="9" t="n">
        <v>0</v>
      </c>
      <c r="M458" s="9" t="n">
        <v>0</v>
      </c>
      <c r="N458" s="12" t="n">
        <f aca="true">IFERROR(ROUND(SUM(OFFSET(B458,0,0,1,POSTAVKE!$B$7))/POSTAVKE!$B$7,2),0)</f>
        <v>0</v>
      </c>
    </row>
    <row r="459" customFormat="false" ht="15" hidden="false" customHeight="false" outlineLevel="0" collapsed="false">
      <c r="A459" s="11" t="s">
        <v>1512</v>
      </c>
      <c r="B459" s="9" t="n">
        <v>0</v>
      </c>
      <c r="C459" s="9" t="n">
        <v>0</v>
      </c>
      <c r="D459" s="9" t="n">
        <v>0</v>
      </c>
      <c r="E459" s="9" t="n">
        <v>0</v>
      </c>
      <c r="F459" s="9" t="n">
        <v>0</v>
      </c>
      <c r="G459" s="9" t="n">
        <v>0</v>
      </c>
      <c r="H459" s="9" t="n">
        <v>50</v>
      </c>
      <c r="I459" s="9" t="n">
        <v>0</v>
      </c>
      <c r="J459" s="9" t="n">
        <v>0</v>
      </c>
      <c r="K459" s="9" t="n">
        <v>0</v>
      </c>
      <c r="L459" s="9" t="n">
        <v>0</v>
      </c>
      <c r="M459" s="9" t="n">
        <v>0</v>
      </c>
      <c r="N459" s="12" t="n">
        <f aca="true">IFERROR(ROUND(SUM(OFFSET(B459,0,0,1,POSTAVKE!$B$7))/POSTAVKE!$B$7,2),0)</f>
        <v>6.25</v>
      </c>
    </row>
    <row r="460" customFormat="false" ht="15" hidden="false" customHeight="false" outlineLevel="0" collapsed="false">
      <c r="A460" s="11" t="s">
        <v>1792</v>
      </c>
      <c r="B460" s="9" t="n">
        <v>0</v>
      </c>
      <c r="C460" s="9" t="n">
        <v>0</v>
      </c>
      <c r="D460" s="9" t="n">
        <v>0</v>
      </c>
      <c r="E460" s="9" t="n">
        <v>5</v>
      </c>
      <c r="F460" s="9" t="n">
        <v>0</v>
      </c>
      <c r="G460" s="9" t="n">
        <v>0</v>
      </c>
      <c r="H460" s="9" t="n">
        <v>0</v>
      </c>
      <c r="I460" s="9" t="n">
        <v>0</v>
      </c>
      <c r="J460" s="9" t="n">
        <v>0</v>
      </c>
      <c r="K460" s="9" t="n">
        <v>0</v>
      </c>
      <c r="L460" s="9" t="n">
        <v>0</v>
      </c>
      <c r="M460" s="9" t="n">
        <v>0</v>
      </c>
      <c r="N460" s="12" t="n">
        <f aca="true">IFERROR(ROUND(SUM(OFFSET(B460,0,0,1,POSTAVKE!$B$7))/POSTAVKE!$B$7,2),0)</f>
        <v>0.63</v>
      </c>
    </row>
    <row r="461" customFormat="false" ht="15" hidden="false" customHeight="false" outlineLevel="0" collapsed="false">
      <c r="A461" s="11" t="s">
        <v>1794</v>
      </c>
      <c r="B461" s="9" t="n">
        <v>0</v>
      </c>
      <c r="C461" s="9" t="n">
        <v>0</v>
      </c>
      <c r="D461" s="9" t="n">
        <v>0</v>
      </c>
      <c r="E461" s="9" t="n">
        <v>3</v>
      </c>
      <c r="F461" s="9" t="n">
        <v>0</v>
      </c>
      <c r="G461" s="9" t="n">
        <v>0</v>
      </c>
      <c r="H461" s="9" t="n">
        <v>0</v>
      </c>
      <c r="I461" s="9" t="n">
        <v>0</v>
      </c>
      <c r="J461" s="9" t="n">
        <v>0</v>
      </c>
      <c r="K461" s="9" t="n">
        <v>0</v>
      </c>
      <c r="L461" s="9" t="n">
        <v>0</v>
      </c>
      <c r="M461" s="9" t="n">
        <v>0</v>
      </c>
      <c r="N461" s="12" t="n">
        <f aca="true">IFERROR(ROUND(SUM(OFFSET(B461,0,0,1,POSTAVKE!$B$7))/POSTAVKE!$B$7,2),0)</f>
        <v>0.38</v>
      </c>
    </row>
    <row r="462" customFormat="false" ht="15" hidden="false" customHeight="false" outlineLevel="0" collapsed="false">
      <c r="A462" s="11" t="s">
        <v>1796</v>
      </c>
      <c r="B462" s="9" t="n">
        <v>0</v>
      </c>
      <c r="C462" s="9" t="n">
        <v>0</v>
      </c>
      <c r="D462" s="9" t="n">
        <v>0</v>
      </c>
      <c r="E462" s="9" t="n">
        <v>2</v>
      </c>
      <c r="F462" s="9" t="n">
        <v>0</v>
      </c>
      <c r="G462" s="9" t="n">
        <v>0</v>
      </c>
      <c r="H462" s="9" t="n">
        <v>0</v>
      </c>
      <c r="I462" s="9" t="n">
        <v>0</v>
      </c>
      <c r="J462" s="9" t="n">
        <v>0</v>
      </c>
      <c r="K462" s="9" t="n">
        <v>0</v>
      </c>
      <c r="L462" s="9" t="n">
        <v>0</v>
      </c>
      <c r="M462" s="9" t="n">
        <v>0</v>
      </c>
      <c r="N462" s="12" t="n">
        <f aca="true">IFERROR(ROUND(SUM(OFFSET(B462,0,0,1,POSTAVKE!$B$7))/POSTAVKE!$B$7,2),0)</f>
        <v>0.25</v>
      </c>
    </row>
    <row r="463" customFormat="false" ht="15" hidden="false" customHeight="false" outlineLevel="0" collapsed="false">
      <c r="A463" s="11" t="s">
        <v>1798</v>
      </c>
      <c r="B463" s="9" t="n">
        <v>0</v>
      </c>
      <c r="C463" s="9" t="n">
        <v>0</v>
      </c>
      <c r="D463" s="9" t="n">
        <v>0</v>
      </c>
      <c r="E463" s="9" t="n">
        <v>0</v>
      </c>
      <c r="F463" s="9" t="n">
        <v>0</v>
      </c>
      <c r="G463" s="9" t="n">
        <v>0</v>
      </c>
      <c r="H463" s="9" t="n">
        <v>12</v>
      </c>
      <c r="I463" s="9" t="n">
        <v>0</v>
      </c>
      <c r="J463" s="9" t="n">
        <v>0</v>
      </c>
      <c r="K463" s="9" t="n">
        <v>0</v>
      </c>
      <c r="L463" s="9" t="n">
        <v>0</v>
      </c>
      <c r="M463" s="9" t="n">
        <v>0</v>
      </c>
      <c r="N463" s="12" t="n">
        <f aca="true">IFERROR(ROUND(SUM(OFFSET(B463,0,0,1,POSTAVKE!$B$7))/POSTAVKE!$B$7,2),0)</f>
        <v>1.5</v>
      </c>
    </row>
    <row r="464" customFormat="false" ht="15" hidden="false" customHeight="false" outlineLevel="0" collapsed="false">
      <c r="A464" s="11" t="s">
        <v>1800</v>
      </c>
      <c r="B464" s="9" t="n">
        <v>0</v>
      </c>
      <c r="C464" s="9" t="n">
        <v>0</v>
      </c>
      <c r="D464" s="9" t="n">
        <v>0</v>
      </c>
      <c r="E464" s="9" t="n">
        <v>0</v>
      </c>
      <c r="F464" s="9" t="n">
        <v>0</v>
      </c>
      <c r="G464" s="9" t="n">
        <v>0</v>
      </c>
      <c r="H464" s="9" t="n">
        <v>1</v>
      </c>
      <c r="I464" s="9" t="n">
        <v>0</v>
      </c>
      <c r="J464" s="9" t="n">
        <v>0</v>
      </c>
      <c r="K464" s="9" t="n">
        <v>0</v>
      </c>
      <c r="L464" s="9" t="n">
        <v>0</v>
      </c>
      <c r="M464" s="9" t="n">
        <v>0</v>
      </c>
      <c r="N464" s="12" t="n">
        <f aca="true">IFERROR(ROUND(SUM(OFFSET(B464,0,0,1,POSTAVKE!$B$7))/POSTAVKE!$B$7,2),0)</f>
        <v>0.13</v>
      </c>
    </row>
    <row r="465" customFormat="false" ht="15" hidden="false" customHeight="false" outlineLevel="0" collapsed="false">
      <c r="A465" s="11" t="s">
        <v>1802</v>
      </c>
      <c r="B465" s="9" t="n">
        <v>0</v>
      </c>
      <c r="C465" s="9" t="n">
        <v>0</v>
      </c>
      <c r="D465" s="9" t="n">
        <v>0</v>
      </c>
      <c r="E465" s="9" t="n">
        <v>0</v>
      </c>
      <c r="F465" s="9" t="n">
        <v>0</v>
      </c>
      <c r="G465" s="9" t="n">
        <v>10</v>
      </c>
      <c r="H465" s="9" t="n">
        <v>0</v>
      </c>
      <c r="I465" s="9" t="n">
        <v>0</v>
      </c>
      <c r="J465" s="9" t="n">
        <v>0</v>
      </c>
      <c r="K465" s="9" t="n">
        <v>0</v>
      </c>
      <c r="L465" s="9" t="n">
        <v>0</v>
      </c>
      <c r="M465" s="9" t="n">
        <v>0</v>
      </c>
      <c r="N465" s="12" t="n">
        <f aca="true">IFERROR(ROUND(SUM(OFFSET(B465,0,0,1,POSTAVKE!$B$7))/POSTAVKE!$B$7,2),0)</f>
        <v>1.25</v>
      </c>
    </row>
    <row r="466" customFormat="false" ht="15" hidden="false" customHeight="false" outlineLevel="0" collapsed="false">
      <c r="A466" s="11" t="s">
        <v>1804</v>
      </c>
      <c r="B466" s="9" t="n">
        <v>0</v>
      </c>
      <c r="C466" s="9" t="n">
        <v>0</v>
      </c>
      <c r="D466" s="9" t="n">
        <v>0</v>
      </c>
      <c r="E466" s="9" t="n">
        <v>0</v>
      </c>
      <c r="F466" s="9" t="n">
        <v>0</v>
      </c>
      <c r="G466" s="9" t="n">
        <v>7</v>
      </c>
      <c r="H466" s="9" t="n">
        <v>0</v>
      </c>
      <c r="I466" s="9" t="n">
        <v>0</v>
      </c>
      <c r="J466" s="9" t="n">
        <v>0</v>
      </c>
      <c r="K466" s="9" t="n">
        <v>0</v>
      </c>
      <c r="L466" s="9" t="n">
        <v>0</v>
      </c>
      <c r="M466" s="9" t="n">
        <v>0</v>
      </c>
      <c r="N466" s="12" t="n">
        <f aca="true">IFERROR(ROUND(SUM(OFFSET(B466,0,0,1,POSTAVKE!$B$7))/POSTAVKE!$B$7,2),0)</f>
        <v>0.88</v>
      </c>
    </row>
    <row r="467" customFormat="false" ht="15" hidden="false" customHeight="false" outlineLevel="0" collapsed="false">
      <c r="A467" s="11" t="s">
        <v>803</v>
      </c>
      <c r="B467" s="9" t="n">
        <v>0</v>
      </c>
      <c r="C467" s="9" t="n">
        <v>8</v>
      </c>
      <c r="D467" s="9" t="n">
        <v>9</v>
      </c>
      <c r="E467" s="9" t="n">
        <v>6</v>
      </c>
      <c r="F467" s="9" t="n">
        <v>11</v>
      </c>
      <c r="G467" s="9" t="n">
        <v>4</v>
      </c>
      <c r="H467" s="9" t="n">
        <v>9</v>
      </c>
      <c r="I467" s="9" t="n">
        <v>3</v>
      </c>
      <c r="J467" s="9" t="n">
        <v>0</v>
      </c>
      <c r="K467" s="9" t="n">
        <v>0</v>
      </c>
      <c r="L467" s="9" t="n">
        <v>0</v>
      </c>
      <c r="M467" s="9" t="n">
        <v>0</v>
      </c>
      <c r="N467" s="12" t="n">
        <f aca="true">IFERROR(ROUND(SUM(OFFSET(B467,0,0,1,POSTAVKE!$B$7))/POSTAVKE!$B$7,2),0)</f>
        <v>6.25</v>
      </c>
    </row>
    <row r="468" customFormat="false" ht="15" hidden="false" customHeight="false" outlineLevel="0" collapsed="false">
      <c r="A468" s="11" t="s">
        <v>1133</v>
      </c>
      <c r="B468" s="9" t="n">
        <v>0</v>
      </c>
      <c r="C468" s="9" t="n">
        <v>1</v>
      </c>
      <c r="D468" s="9" t="n">
        <v>1</v>
      </c>
      <c r="E468" s="9" t="n">
        <v>2</v>
      </c>
      <c r="F468" s="9" t="n">
        <v>1</v>
      </c>
      <c r="G468" s="9" t="n">
        <v>0</v>
      </c>
      <c r="H468" s="9" t="n">
        <v>1</v>
      </c>
      <c r="I468" s="9" t="n">
        <v>2</v>
      </c>
      <c r="J468" s="9" t="n">
        <v>1</v>
      </c>
      <c r="K468" s="9" t="n">
        <v>0</v>
      </c>
      <c r="L468" s="9" t="n">
        <v>0</v>
      </c>
      <c r="M468" s="9" t="n">
        <v>0</v>
      </c>
      <c r="N468" s="12" t="n">
        <f aca="true">IFERROR(ROUND(SUM(OFFSET(B468,0,0,1,POSTAVKE!$B$7))/POSTAVKE!$B$7,2),0)</f>
        <v>1</v>
      </c>
    </row>
    <row r="469" customFormat="false" ht="15" hidden="false" customHeight="false" outlineLevel="0" collapsed="false">
      <c r="A469" s="11" t="s">
        <v>563</v>
      </c>
      <c r="B469" s="9" t="n">
        <v>0</v>
      </c>
      <c r="C469" s="9" t="n">
        <v>0</v>
      </c>
      <c r="D469" s="9" t="n">
        <v>0</v>
      </c>
      <c r="E469" s="9" t="n">
        <v>1</v>
      </c>
      <c r="F469" s="9" t="n">
        <v>0</v>
      </c>
      <c r="G469" s="9" t="n">
        <v>0</v>
      </c>
      <c r="H469" s="9" t="n">
        <v>0</v>
      </c>
      <c r="I469" s="9" t="n">
        <v>2</v>
      </c>
      <c r="J469" s="9" t="n">
        <v>0</v>
      </c>
      <c r="K469" s="9" t="n">
        <v>0</v>
      </c>
      <c r="L469" s="9" t="n">
        <v>0</v>
      </c>
      <c r="M469" s="9" t="n">
        <v>0</v>
      </c>
      <c r="N469" s="12" t="n">
        <f aca="true">IFERROR(ROUND(SUM(OFFSET(B469,0,0,1,POSTAVKE!$B$7))/POSTAVKE!$B$7,2),0)</f>
        <v>0.38</v>
      </c>
    </row>
    <row r="470" customFormat="false" ht="15" hidden="false" customHeight="false" outlineLevel="0" collapsed="false">
      <c r="A470" s="11" t="s">
        <v>861</v>
      </c>
      <c r="B470" s="9" t="n">
        <v>0</v>
      </c>
      <c r="C470" s="9" t="n">
        <v>0</v>
      </c>
      <c r="D470" s="9" t="n">
        <v>0</v>
      </c>
      <c r="E470" s="9" t="n">
        <v>0</v>
      </c>
      <c r="F470" s="9" t="n">
        <v>0</v>
      </c>
      <c r="G470" s="9" t="n">
        <v>0</v>
      </c>
      <c r="H470" s="9" t="n">
        <v>0</v>
      </c>
      <c r="I470" s="9" t="n">
        <v>2</v>
      </c>
      <c r="J470" s="9" t="n">
        <v>0</v>
      </c>
      <c r="K470" s="9" t="n">
        <v>0</v>
      </c>
      <c r="L470" s="9" t="n">
        <v>0</v>
      </c>
      <c r="M470" s="9" t="n">
        <v>0</v>
      </c>
      <c r="N470" s="12" t="n">
        <f aca="true">IFERROR(ROUND(SUM(OFFSET(B470,0,0,1,POSTAVKE!$B$7))/POSTAVKE!$B$7,2),0)</f>
        <v>0.25</v>
      </c>
    </row>
    <row r="471" customFormat="false" ht="15" hidden="false" customHeight="false" outlineLevel="0" collapsed="false">
      <c r="A471" s="11" t="s">
        <v>445</v>
      </c>
      <c r="B471" s="9" t="n">
        <v>0</v>
      </c>
      <c r="C471" s="9" t="n">
        <v>0</v>
      </c>
      <c r="D471" s="9" t="n">
        <v>0</v>
      </c>
      <c r="E471" s="9" t="n">
        <v>1</v>
      </c>
      <c r="F471" s="9" t="n">
        <v>0</v>
      </c>
      <c r="G471" s="9" t="n">
        <v>0</v>
      </c>
      <c r="H471" s="9" t="n">
        <v>0</v>
      </c>
      <c r="I471" s="9" t="n">
        <v>0</v>
      </c>
      <c r="J471" s="9" t="n">
        <v>0</v>
      </c>
      <c r="K471" s="9" t="n">
        <v>0</v>
      </c>
      <c r="L471" s="9" t="n">
        <v>0</v>
      </c>
      <c r="M471" s="9" t="n">
        <v>0</v>
      </c>
      <c r="N471" s="12" t="n">
        <f aca="true">IFERROR(ROUND(SUM(OFFSET(B471,0,0,1,POSTAVKE!$B$7))/POSTAVKE!$B$7,2),0)</f>
        <v>0.13</v>
      </c>
    </row>
    <row r="472" customFormat="false" ht="15" hidden="false" customHeight="false" outlineLevel="0" collapsed="false">
      <c r="A472" s="11" t="s">
        <v>303</v>
      </c>
      <c r="B472" s="9" t="n">
        <v>0</v>
      </c>
      <c r="C472" s="9" t="n">
        <v>0</v>
      </c>
      <c r="D472" s="9" t="n">
        <v>0</v>
      </c>
      <c r="E472" s="9" t="n">
        <v>-1</v>
      </c>
      <c r="F472" s="9" t="n">
        <v>0</v>
      </c>
      <c r="G472" s="9" t="n">
        <v>0</v>
      </c>
      <c r="H472" s="9" t="n">
        <v>2</v>
      </c>
      <c r="I472" s="9" t="n">
        <v>0</v>
      </c>
      <c r="J472" s="9" t="n">
        <v>0</v>
      </c>
      <c r="K472" s="9" t="n">
        <v>0</v>
      </c>
      <c r="L472" s="9" t="n">
        <v>0</v>
      </c>
      <c r="M472" s="9" t="n">
        <v>0</v>
      </c>
      <c r="N472" s="12" t="n">
        <f aca="true">IFERROR(ROUND(SUM(OFFSET(B472,0,0,1,POSTAVKE!$B$7))/POSTAVKE!$B$7,2),0)</f>
        <v>0.13</v>
      </c>
    </row>
    <row r="473" customFormat="false" ht="15" hidden="false" customHeight="false" outlineLevel="0" collapsed="false">
      <c r="A473" s="11" t="s">
        <v>1806</v>
      </c>
      <c r="B473" s="9" t="n">
        <v>0</v>
      </c>
      <c r="C473" s="9" t="n">
        <v>0</v>
      </c>
      <c r="D473" s="9" t="n">
        <v>0</v>
      </c>
      <c r="E473" s="9" t="n">
        <v>0</v>
      </c>
      <c r="F473" s="9" t="n">
        <v>0</v>
      </c>
      <c r="G473" s="9" t="n">
        <v>0</v>
      </c>
      <c r="H473" s="9" t="n">
        <v>0</v>
      </c>
      <c r="I473" s="9" t="n">
        <v>0</v>
      </c>
      <c r="J473" s="9" t="n">
        <v>0</v>
      </c>
      <c r="K473" s="9" t="n">
        <v>0</v>
      </c>
      <c r="L473" s="9" t="n">
        <v>0</v>
      </c>
      <c r="M473" s="9" t="n">
        <v>0</v>
      </c>
      <c r="N473" s="12" t="n">
        <f aca="true">IFERROR(ROUND(SUM(OFFSET(B473,0,0,1,POSTAVKE!$B$7))/POSTAVKE!$B$7,2),0)</f>
        <v>0</v>
      </c>
    </row>
    <row r="474" customFormat="false" ht="15" hidden="false" customHeight="false" outlineLevel="0" collapsed="false">
      <c r="A474" s="11" t="s">
        <v>1218</v>
      </c>
      <c r="B474" s="9" t="n">
        <v>0</v>
      </c>
      <c r="C474" s="9" t="n">
        <v>0</v>
      </c>
      <c r="D474" s="9" t="n">
        <v>0</v>
      </c>
      <c r="E474" s="9" t="n">
        <v>2</v>
      </c>
      <c r="F474" s="9" t="n">
        <v>1</v>
      </c>
      <c r="G474" s="9" t="n">
        <v>0</v>
      </c>
      <c r="H474" s="9" t="n">
        <v>0</v>
      </c>
      <c r="I474" s="9" t="n">
        <v>0</v>
      </c>
      <c r="J474" s="9" t="n">
        <v>0</v>
      </c>
      <c r="K474" s="9" t="n">
        <v>0</v>
      </c>
      <c r="L474" s="9" t="n">
        <v>0</v>
      </c>
      <c r="M474" s="9" t="n">
        <v>0</v>
      </c>
      <c r="N474" s="12" t="n">
        <f aca="true">IFERROR(ROUND(SUM(OFFSET(B474,0,0,1,POSTAVKE!$B$7))/POSTAVKE!$B$7,2),0)</f>
        <v>0.38</v>
      </c>
    </row>
    <row r="475" customFormat="false" ht="15" hidden="false" customHeight="false" outlineLevel="0" collapsed="false">
      <c r="A475" s="11" t="s">
        <v>669</v>
      </c>
      <c r="B475" s="9" t="n">
        <v>0</v>
      </c>
      <c r="C475" s="9" t="n">
        <v>10</v>
      </c>
      <c r="D475" s="9" t="n">
        <v>8</v>
      </c>
      <c r="E475" s="9" t="n">
        <v>2</v>
      </c>
      <c r="F475" s="9" t="n">
        <v>0</v>
      </c>
      <c r="G475" s="9" t="n">
        <v>0</v>
      </c>
      <c r="H475" s="9" t="n">
        <v>2</v>
      </c>
      <c r="I475" s="9" t="n">
        <v>3</v>
      </c>
      <c r="J475" s="9" t="n">
        <v>0</v>
      </c>
      <c r="K475" s="9" t="n">
        <v>0</v>
      </c>
      <c r="L475" s="9" t="n">
        <v>0</v>
      </c>
      <c r="M475" s="9" t="n">
        <v>0</v>
      </c>
      <c r="N475" s="12" t="n">
        <f aca="true">IFERROR(ROUND(SUM(OFFSET(B475,0,0,1,POSTAVKE!$B$7))/POSTAVKE!$B$7,2),0)</f>
        <v>3.13</v>
      </c>
    </row>
    <row r="476" customFormat="false" ht="15" hidden="false" customHeight="false" outlineLevel="0" collapsed="false">
      <c r="A476" s="11" t="s">
        <v>1520</v>
      </c>
      <c r="B476" s="9" t="n">
        <v>0</v>
      </c>
      <c r="C476" s="9" t="n">
        <v>0</v>
      </c>
      <c r="D476" s="9" t="n">
        <v>0</v>
      </c>
      <c r="E476" s="9" t="n">
        <v>0</v>
      </c>
      <c r="F476" s="9" t="n">
        <v>0</v>
      </c>
      <c r="G476" s="9" t="n">
        <v>0</v>
      </c>
      <c r="H476" s="9" t="n">
        <v>0</v>
      </c>
      <c r="I476" s="9" t="n">
        <v>0</v>
      </c>
      <c r="J476" s="9" t="n">
        <v>0</v>
      </c>
      <c r="K476" s="9" t="n">
        <v>0</v>
      </c>
      <c r="L476" s="9" t="n">
        <v>0</v>
      </c>
      <c r="M476" s="9" t="n">
        <v>0</v>
      </c>
      <c r="N476" s="12" t="n">
        <f aca="true">IFERROR(ROUND(SUM(OFFSET(B476,0,0,1,POSTAVKE!$B$7))/POSTAVKE!$B$7,2),0)</f>
        <v>0</v>
      </c>
    </row>
    <row r="477" customFormat="false" ht="15" hidden="false" customHeight="false" outlineLevel="0" collapsed="false">
      <c r="A477" s="11" t="s">
        <v>221</v>
      </c>
      <c r="B477" s="9" t="n">
        <v>0</v>
      </c>
      <c r="C477" s="9" t="n">
        <v>0</v>
      </c>
      <c r="D477" s="9" t="n">
        <v>0</v>
      </c>
      <c r="E477" s="9" t="n">
        <v>0</v>
      </c>
      <c r="F477" s="9" t="n">
        <v>0</v>
      </c>
      <c r="G477" s="9" t="n">
        <v>3</v>
      </c>
      <c r="H477" s="9" t="n">
        <v>0</v>
      </c>
      <c r="I477" s="9" t="n">
        <v>0</v>
      </c>
      <c r="J477" s="9" t="n">
        <v>0</v>
      </c>
      <c r="K477" s="9" t="n">
        <v>0</v>
      </c>
      <c r="L477" s="9" t="n">
        <v>0</v>
      </c>
      <c r="M477" s="9" t="n">
        <v>0</v>
      </c>
      <c r="N477" s="12" t="n">
        <f aca="true">IFERROR(ROUND(SUM(OFFSET(B477,0,0,1,POSTAVKE!$B$7))/POSTAVKE!$B$7,2),0)</f>
        <v>0.38</v>
      </c>
    </row>
    <row r="478" customFormat="false" ht="15" hidden="false" customHeight="false" outlineLevel="0" collapsed="false">
      <c r="A478" s="11" t="s">
        <v>1526</v>
      </c>
      <c r="B478" s="9" t="n">
        <v>0</v>
      </c>
      <c r="C478" s="9" t="n">
        <v>0</v>
      </c>
      <c r="D478" s="9" t="n">
        <v>4</v>
      </c>
      <c r="E478" s="9" t="n">
        <v>2</v>
      </c>
      <c r="F478" s="9" t="n">
        <v>0</v>
      </c>
      <c r="G478" s="9" t="n">
        <v>4</v>
      </c>
      <c r="H478" s="9" t="n">
        <v>3</v>
      </c>
      <c r="I478" s="9" t="n">
        <v>0</v>
      </c>
      <c r="J478" s="9" t="n">
        <v>0</v>
      </c>
      <c r="K478" s="9" t="n">
        <v>0</v>
      </c>
      <c r="L478" s="9" t="n">
        <v>0</v>
      </c>
      <c r="M478" s="9" t="n">
        <v>0</v>
      </c>
      <c r="N478" s="12" t="n">
        <f aca="true">IFERROR(ROUND(SUM(OFFSET(B478,0,0,1,POSTAVKE!$B$7))/POSTAVKE!$B$7,2),0)</f>
        <v>1.63</v>
      </c>
    </row>
    <row r="479" customFormat="false" ht="15" hidden="false" customHeight="false" outlineLevel="0" collapsed="false">
      <c r="A479" s="11" t="s">
        <v>1808</v>
      </c>
      <c r="B479" s="9" t="n">
        <v>0</v>
      </c>
      <c r="C479" s="9" t="n">
        <v>0</v>
      </c>
      <c r="D479" s="9" t="n">
        <v>0</v>
      </c>
      <c r="E479" s="9" t="n">
        <v>3</v>
      </c>
      <c r="F479" s="9" t="n">
        <v>0</v>
      </c>
      <c r="G479" s="9" t="n">
        <v>3</v>
      </c>
      <c r="H479" s="9" t="n">
        <v>0</v>
      </c>
      <c r="I479" s="9" t="n">
        <v>0</v>
      </c>
      <c r="J479" s="9" t="n">
        <v>0</v>
      </c>
      <c r="K479" s="9" t="n">
        <v>0</v>
      </c>
      <c r="L479" s="9" t="n">
        <v>0</v>
      </c>
      <c r="M479" s="9" t="n">
        <v>0</v>
      </c>
      <c r="N479" s="12" t="n">
        <f aca="true">IFERROR(ROUND(SUM(OFFSET(B479,0,0,1,POSTAVKE!$B$7))/POSTAVKE!$B$7,2),0)</f>
        <v>0.75</v>
      </c>
    </row>
    <row r="480" customFormat="false" ht="15" hidden="false" customHeight="false" outlineLevel="0" collapsed="false">
      <c r="A480" s="11" t="s">
        <v>1810</v>
      </c>
      <c r="B480" s="9" t="n">
        <v>0</v>
      </c>
      <c r="C480" s="9" t="n">
        <v>3</v>
      </c>
      <c r="D480" s="9" t="n">
        <v>0</v>
      </c>
      <c r="E480" s="9" t="n">
        <v>0</v>
      </c>
      <c r="F480" s="9" t="n">
        <v>4</v>
      </c>
      <c r="G480" s="9" t="n">
        <v>0</v>
      </c>
      <c r="H480" s="9" t="n">
        <v>0</v>
      </c>
      <c r="I480" s="9" t="n">
        <v>0</v>
      </c>
      <c r="J480" s="9" t="n">
        <v>0</v>
      </c>
      <c r="K480" s="9" t="n">
        <v>0</v>
      </c>
      <c r="L480" s="9" t="n">
        <v>0</v>
      </c>
      <c r="M480" s="9" t="n">
        <v>0</v>
      </c>
      <c r="N480" s="12" t="n">
        <f aca="true">IFERROR(ROUND(SUM(OFFSET(B480,0,0,1,POSTAVKE!$B$7))/POSTAVKE!$B$7,2),0)</f>
        <v>0.88</v>
      </c>
    </row>
    <row r="481" customFormat="false" ht="15" hidden="false" customHeight="false" outlineLevel="0" collapsed="false">
      <c r="A481" s="11" t="s">
        <v>1812</v>
      </c>
      <c r="B481" s="9" t="n">
        <v>0</v>
      </c>
      <c r="C481" s="9" t="n">
        <v>0</v>
      </c>
      <c r="D481" s="9" t="n">
        <v>3</v>
      </c>
      <c r="E481" s="9" t="n">
        <v>0</v>
      </c>
      <c r="F481" s="9" t="n">
        <v>1</v>
      </c>
      <c r="G481" s="9" t="n">
        <v>0</v>
      </c>
      <c r="H481" s="9" t="n">
        <v>0</v>
      </c>
      <c r="I481" s="9" t="n">
        <v>0</v>
      </c>
      <c r="J481" s="9" t="n">
        <v>0</v>
      </c>
      <c r="K481" s="9" t="n">
        <v>0</v>
      </c>
      <c r="L481" s="9" t="n">
        <v>0</v>
      </c>
      <c r="M481" s="9" t="n">
        <v>0</v>
      </c>
      <c r="N481" s="12" t="n">
        <f aca="true">IFERROR(ROUND(SUM(OFFSET(B481,0,0,1,POSTAVKE!$B$7))/POSTAVKE!$B$7,2),0)</f>
        <v>0.5</v>
      </c>
    </row>
    <row r="482" customFormat="false" ht="15" hidden="false" customHeight="false" outlineLevel="0" collapsed="false">
      <c r="A482" s="11" t="s">
        <v>877</v>
      </c>
      <c r="B482" s="9" t="n">
        <v>0</v>
      </c>
      <c r="C482" s="9" t="n">
        <v>0</v>
      </c>
      <c r="D482" s="9" t="n">
        <v>9</v>
      </c>
      <c r="E482" s="9" t="n">
        <v>15</v>
      </c>
      <c r="F482" s="9" t="n">
        <v>13</v>
      </c>
      <c r="G482" s="9" t="n">
        <v>0</v>
      </c>
      <c r="H482" s="9" t="n">
        <v>0</v>
      </c>
      <c r="I482" s="9" t="n">
        <v>0</v>
      </c>
      <c r="J482" s="9" t="n">
        <v>0</v>
      </c>
      <c r="K482" s="9" t="n">
        <v>0</v>
      </c>
      <c r="L482" s="9" t="n">
        <v>0</v>
      </c>
      <c r="M482" s="9" t="n">
        <v>0</v>
      </c>
      <c r="N482" s="12" t="n">
        <f aca="true">IFERROR(ROUND(SUM(OFFSET(B482,0,0,1,POSTAVKE!$B$7))/POSTAVKE!$B$7,2),0)</f>
        <v>4.63</v>
      </c>
    </row>
    <row r="483" customFormat="false" ht="15" hidden="false" customHeight="false" outlineLevel="0" collapsed="false">
      <c r="A483" s="11" t="s">
        <v>1814</v>
      </c>
      <c r="B483" s="9" t="n">
        <v>0</v>
      </c>
      <c r="C483" s="9" t="n">
        <v>0</v>
      </c>
      <c r="D483" s="9" t="n">
        <v>0</v>
      </c>
      <c r="E483" s="9" t="n">
        <v>0</v>
      </c>
      <c r="F483" s="9" t="n">
        <v>1</v>
      </c>
      <c r="G483" s="9" t="n">
        <v>0</v>
      </c>
      <c r="H483" s="9" t="n">
        <v>0</v>
      </c>
      <c r="I483" s="9" t="n">
        <v>0</v>
      </c>
      <c r="J483" s="9" t="n">
        <v>0</v>
      </c>
      <c r="K483" s="9" t="n">
        <v>0</v>
      </c>
      <c r="L483" s="9" t="n">
        <v>0</v>
      </c>
      <c r="M483" s="9" t="n">
        <v>0</v>
      </c>
      <c r="N483" s="12" t="n">
        <f aca="true">IFERROR(ROUND(SUM(OFFSET(B483,0,0,1,POSTAVKE!$B$7))/POSTAVKE!$B$7,2),0)</f>
        <v>0.13</v>
      </c>
    </row>
    <row r="484" customFormat="false" ht="15" hidden="false" customHeight="false" outlineLevel="0" collapsed="false">
      <c r="A484" s="11" t="s">
        <v>1528</v>
      </c>
      <c r="B484" s="9" t="n">
        <v>0</v>
      </c>
      <c r="C484" s="9" t="n">
        <v>8</v>
      </c>
      <c r="D484" s="9" t="n">
        <v>16</v>
      </c>
      <c r="E484" s="9" t="n">
        <v>6</v>
      </c>
      <c r="F484" s="9" t="n">
        <v>12</v>
      </c>
      <c r="G484" s="9" t="n">
        <v>8</v>
      </c>
      <c r="H484" s="9" t="n">
        <v>1</v>
      </c>
      <c r="I484" s="9" t="n">
        <v>0</v>
      </c>
      <c r="J484" s="9" t="n">
        <v>0</v>
      </c>
      <c r="K484" s="9" t="n">
        <v>0</v>
      </c>
      <c r="L484" s="9" t="n">
        <v>0</v>
      </c>
      <c r="M484" s="9" t="n">
        <v>0</v>
      </c>
      <c r="N484" s="12" t="n">
        <f aca="true">IFERROR(ROUND(SUM(OFFSET(B484,0,0,1,POSTAVKE!$B$7))/POSTAVKE!$B$7,2),0)</f>
        <v>6.38</v>
      </c>
    </row>
    <row r="485" customFormat="false" ht="15" hidden="false" customHeight="false" outlineLevel="0" collapsed="false">
      <c r="A485" s="11" t="s">
        <v>1816</v>
      </c>
      <c r="B485" s="9" t="n">
        <v>0</v>
      </c>
      <c r="C485" s="9" t="n">
        <v>0</v>
      </c>
      <c r="D485" s="9" t="n">
        <v>0</v>
      </c>
      <c r="E485" s="9" t="n">
        <v>0</v>
      </c>
      <c r="F485" s="9" t="n">
        <v>3</v>
      </c>
      <c r="G485" s="9" t="n">
        <v>3</v>
      </c>
      <c r="H485" s="9" t="n">
        <v>0</v>
      </c>
      <c r="I485" s="9" t="n">
        <v>0</v>
      </c>
      <c r="J485" s="9" t="n">
        <v>0</v>
      </c>
      <c r="K485" s="9" t="n">
        <v>0</v>
      </c>
      <c r="L485" s="9" t="n">
        <v>0</v>
      </c>
      <c r="M485" s="9" t="n">
        <v>0</v>
      </c>
      <c r="N485" s="12" t="n">
        <f aca="true">IFERROR(ROUND(SUM(OFFSET(B485,0,0,1,POSTAVKE!$B$7))/POSTAVKE!$B$7,2),0)</f>
        <v>0.75</v>
      </c>
    </row>
    <row r="486" customFormat="false" ht="15" hidden="false" customHeight="false" outlineLevel="0" collapsed="false">
      <c r="A486" s="11" t="s">
        <v>1534</v>
      </c>
      <c r="B486" s="9" t="n">
        <v>0</v>
      </c>
      <c r="C486" s="9" t="n">
        <v>17</v>
      </c>
      <c r="D486" s="9" t="n">
        <v>0</v>
      </c>
      <c r="E486" s="9" t="n">
        <v>5</v>
      </c>
      <c r="F486" s="9" t="n">
        <v>0</v>
      </c>
      <c r="G486" s="9" t="n">
        <v>0</v>
      </c>
      <c r="H486" s="9" t="n">
        <v>0</v>
      </c>
      <c r="I486" s="9" t="n">
        <v>0</v>
      </c>
      <c r="J486" s="9" t="n">
        <v>0</v>
      </c>
      <c r="K486" s="9" t="n">
        <v>0</v>
      </c>
      <c r="L486" s="9" t="n">
        <v>0</v>
      </c>
      <c r="M486" s="9" t="n">
        <v>0</v>
      </c>
      <c r="N486" s="12" t="n">
        <f aca="true">IFERROR(ROUND(SUM(OFFSET(B486,0,0,1,POSTAVKE!$B$7))/POSTAVKE!$B$7,2),0)</f>
        <v>2.75</v>
      </c>
    </row>
    <row r="487" customFormat="false" ht="15" hidden="false" customHeight="false" outlineLevel="0" collapsed="false">
      <c r="A487" s="11" t="s">
        <v>1538</v>
      </c>
      <c r="B487" s="9" t="n">
        <v>0</v>
      </c>
      <c r="C487" s="9" t="n">
        <v>0</v>
      </c>
      <c r="D487" s="9" t="n">
        <v>2</v>
      </c>
      <c r="E487" s="9" t="n">
        <v>0</v>
      </c>
      <c r="F487" s="9" t="n">
        <v>5</v>
      </c>
      <c r="G487" s="9" t="n">
        <v>3</v>
      </c>
      <c r="H487" s="9" t="n">
        <v>0</v>
      </c>
      <c r="I487" s="9" t="n">
        <v>0</v>
      </c>
      <c r="J487" s="9" t="n">
        <v>0</v>
      </c>
      <c r="K487" s="9" t="n">
        <v>0</v>
      </c>
      <c r="L487" s="9" t="n">
        <v>0</v>
      </c>
      <c r="M487" s="9" t="n">
        <v>0</v>
      </c>
      <c r="N487" s="12" t="n">
        <f aca="true">IFERROR(ROUND(SUM(OFFSET(B487,0,0,1,POSTAVKE!$B$7))/POSTAVKE!$B$7,2),0)</f>
        <v>1.25</v>
      </c>
    </row>
    <row r="488" customFormat="false" ht="15" hidden="false" customHeight="false" outlineLevel="0" collapsed="false">
      <c r="A488" s="11" t="s">
        <v>1818</v>
      </c>
      <c r="B488" s="9" t="n">
        <v>0</v>
      </c>
      <c r="C488" s="9" t="n">
        <v>3</v>
      </c>
      <c r="D488" s="9" t="n">
        <v>1</v>
      </c>
      <c r="E488" s="9" t="n">
        <v>0</v>
      </c>
      <c r="F488" s="9" t="n">
        <v>3</v>
      </c>
      <c r="G488" s="9" t="n">
        <v>0</v>
      </c>
      <c r="H488" s="9" t="n">
        <v>0</v>
      </c>
      <c r="I488" s="9" t="n">
        <v>0</v>
      </c>
      <c r="J488" s="9" t="n">
        <v>0</v>
      </c>
      <c r="K488" s="9" t="n">
        <v>0</v>
      </c>
      <c r="L488" s="9" t="n">
        <v>0</v>
      </c>
      <c r="M488" s="9" t="n">
        <v>0</v>
      </c>
      <c r="N488" s="12" t="n">
        <f aca="true">IFERROR(ROUND(SUM(OFFSET(B488,0,0,1,POSTAVKE!$B$7))/POSTAVKE!$B$7,2),0)</f>
        <v>0.88</v>
      </c>
    </row>
    <row r="489" customFormat="false" ht="15" hidden="false" customHeight="false" outlineLevel="0" collapsed="false">
      <c r="A489" s="11" t="s">
        <v>1540</v>
      </c>
      <c r="B489" s="9" t="n">
        <v>0</v>
      </c>
      <c r="C489" s="9" t="n">
        <v>5</v>
      </c>
      <c r="D489" s="9" t="n">
        <v>0</v>
      </c>
      <c r="E489" s="9" t="n">
        <v>0</v>
      </c>
      <c r="F489" s="9" t="n">
        <v>0</v>
      </c>
      <c r="G489" s="9" t="n">
        <v>0</v>
      </c>
      <c r="H489" s="9" t="n">
        <v>0</v>
      </c>
      <c r="I489" s="9" t="n">
        <v>0</v>
      </c>
      <c r="J489" s="9" t="n">
        <v>0</v>
      </c>
      <c r="K489" s="9" t="n">
        <v>0</v>
      </c>
      <c r="L489" s="9" t="n">
        <v>0</v>
      </c>
      <c r="M489" s="9" t="n">
        <v>0</v>
      </c>
      <c r="N489" s="12" t="n">
        <f aca="true">IFERROR(ROUND(SUM(OFFSET(B489,0,0,1,POSTAVKE!$B$7))/POSTAVKE!$B$7,2),0)</f>
        <v>0.63</v>
      </c>
    </row>
    <row r="490" customFormat="false" ht="15" hidden="false" customHeight="false" outlineLevel="0" collapsed="false">
      <c r="A490" s="11" t="s">
        <v>1051</v>
      </c>
      <c r="B490" s="9" t="n">
        <v>0</v>
      </c>
      <c r="C490" s="9" t="n">
        <v>7</v>
      </c>
      <c r="D490" s="9" t="n">
        <v>0</v>
      </c>
      <c r="E490" s="9" t="n">
        <v>3</v>
      </c>
      <c r="F490" s="9" t="n">
        <v>9</v>
      </c>
      <c r="G490" s="9" t="n">
        <v>0</v>
      </c>
      <c r="H490" s="9" t="n">
        <v>0</v>
      </c>
      <c r="I490" s="9" t="n">
        <v>0</v>
      </c>
      <c r="J490" s="9" t="n">
        <v>0</v>
      </c>
      <c r="K490" s="9" t="n">
        <v>0</v>
      </c>
      <c r="L490" s="9" t="n">
        <v>0</v>
      </c>
      <c r="M490" s="9" t="n">
        <v>0</v>
      </c>
      <c r="N490" s="12" t="n">
        <f aca="true">IFERROR(ROUND(SUM(OFFSET(B490,0,0,1,POSTAVKE!$B$7))/POSTAVKE!$B$7,2),0)</f>
        <v>2.38</v>
      </c>
    </row>
    <row r="491" customFormat="false" ht="15" hidden="false" customHeight="false" outlineLevel="0" collapsed="false">
      <c r="A491" s="11" t="s">
        <v>1542</v>
      </c>
      <c r="B491" s="9" t="n">
        <v>0</v>
      </c>
      <c r="C491" s="9" t="n">
        <v>0</v>
      </c>
      <c r="D491" s="9" t="n">
        <v>1</v>
      </c>
      <c r="E491" s="9" t="n">
        <v>0</v>
      </c>
      <c r="F491" s="9" t="n">
        <v>3</v>
      </c>
      <c r="G491" s="9" t="n">
        <v>1</v>
      </c>
      <c r="H491" s="9" t="n">
        <v>0</v>
      </c>
      <c r="I491" s="9" t="n">
        <v>0</v>
      </c>
      <c r="J491" s="9" t="n">
        <v>0</v>
      </c>
      <c r="K491" s="9" t="n">
        <v>0</v>
      </c>
      <c r="L491" s="9" t="n">
        <v>0</v>
      </c>
      <c r="M491" s="9" t="n">
        <v>0</v>
      </c>
      <c r="N491" s="12" t="n">
        <f aca="true">IFERROR(ROUND(SUM(OFFSET(B491,0,0,1,POSTAVKE!$B$7))/POSTAVKE!$B$7,2),0)</f>
        <v>0.63</v>
      </c>
    </row>
    <row r="492" customFormat="false" ht="15" hidden="false" customHeight="false" outlineLevel="0" collapsed="false">
      <c r="A492" s="11" t="s">
        <v>1544</v>
      </c>
      <c r="B492" s="9" t="n">
        <v>0</v>
      </c>
      <c r="C492" s="9" t="n">
        <v>0</v>
      </c>
      <c r="D492" s="9" t="n">
        <v>4</v>
      </c>
      <c r="E492" s="9" t="n">
        <v>0</v>
      </c>
      <c r="F492" s="9" t="n">
        <v>4</v>
      </c>
      <c r="G492" s="9" t="n">
        <v>2</v>
      </c>
      <c r="H492" s="9" t="n">
        <v>0</v>
      </c>
      <c r="I492" s="9" t="n">
        <v>0</v>
      </c>
      <c r="J492" s="9" t="n">
        <v>0</v>
      </c>
      <c r="K492" s="9" t="n">
        <v>0</v>
      </c>
      <c r="L492" s="9" t="n">
        <v>0</v>
      </c>
      <c r="M492" s="9" t="n">
        <v>0</v>
      </c>
      <c r="N492" s="12" t="n">
        <f aca="true">IFERROR(ROUND(SUM(OFFSET(B492,0,0,1,POSTAVKE!$B$7))/POSTAVKE!$B$7,2),0)</f>
        <v>1.25</v>
      </c>
    </row>
    <row r="493" customFormat="false" ht="15" hidden="false" customHeight="false" outlineLevel="0" collapsed="false">
      <c r="A493" s="11" t="s">
        <v>1546</v>
      </c>
      <c r="B493" s="9" t="n">
        <v>0</v>
      </c>
      <c r="C493" s="9" t="n">
        <v>2</v>
      </c>
      <c r="D493" s="9" t="n">
        <v>4</v>
      </c>
      <c r="E493" s="9" t="n">
        <v>4</v>
      </c>
      <c r="F493" s="9" t="n">
        <v>1</v>
      </c>
      <c r="G493" s="9" t="n">
        <v>0</v>
      </c>
      <c r="H493" s="9" t="n">
        <v>0</v>
      </c>
      <c r="I493" s="9" t="n">
        <v>0</v>
      </c>
      <c r="J493" s="9" t="n">
        <v>0</v>
      </c>
      <c r="K493" s="9" t="n">
        <v>0</v>
      </c>
      <c r="L493" s="9" t="n">
        <v>0</v>
      </c>
      <c r="M493" s="9" t="n">
        <v>0</v>
      </c>
      <c r="N493" s="12" t="n">
        <f aca="true">IFERROR(ROUND(SUM(OFFSET(B493,0,0,1,POSTAVKE!$B$7))/POSTAVKE!$B$7,2),0)</f>
        <v>1.38</v>
      </c>
    </row>
    <row r="494" customFormat="false" ht="15" hidden="false" customHeight="false" outlineLevel="0" collapsed="false">
      <c r="A494" s="11" t="s">
        <v>1260</v>
      </c>
      <c r="B494" s="9" t="n">
        <v>0</v>
      </c>
      <c r="C494" s="9" t="n">
        <v>3</v>
      </c>
      <c r="D494" s="9" t="n">
        <v>0</v>
      </c>
      <c r="E494" s="9" t="n">
        <v>0</v>
      </c>
      <c r="F494" s="9" t="n">
        <v>9</v>
      </c>
      <c r="G494" s="9" t="n">
        <v>0</v>
      </c>
      <c r="H494" s="9" t="n">
        <v>4</v>
      </c>
      <c r="I494" s="9" t="n">
        <v>0</v>
      </c>
      <c r="J494" s="9" t="n">
        <v>0</v>
      </c>
      <c r="K494" s="9" t="n">
        <v>0</v>
      </c>
      <c r="L494" s="9" t="n">
        <v>0</v>
      </c>
      <c r="M494" s="9" t="n">
        <v>0</v>
      </c>
      <c r="N494" s="12" t="n">
        <f aca="true">IFERROR(ROUND(SUM(OFFSET(B494,0,0,1,POSTAVKE!$B$7))/POSTAVKE!$B$7,2),0)</f>
        <v>2</v>
      </c>
    </row>
    <row r="495" customFormat="false" ht="15" hidden="false" customHeight="false" outlineLevel="0" collapsed="false">
      <c r="A495" s="11" t="s">
        <v>1820</v>
      </c>
      <c r="B495" s="9" t="n">
        <v>0</v>
      </c>
      <c r="C495" s="9" t="n">
        <v>0</v>
      </c>
      <c r="D495" s="9" t="n">
        <v>0</v>
      </c>
      <c r="E495" s="9" t="n">
        <v>0</v>
      </c>
      <c r="F495" s="9" t="n">
        <v>0</v>
      </c>
      <c r="G495" s="9" t="n">
        <v>1</v>
      </c>
      <c r="H495" s="9" t="n">
        <v>0</v>
      </c>
      <c r="I495" s="9" t="n">
        <v>0</v>
      </c>
      <c r="J495" s="9" t="n">
        <v>0</v>
      </c>
      <c r="K495" s="9" t="n">
        <v>0</v>
      </c>
      <c r="L495" s="9" t="n">
        <v>0</v>
      </c>
      <c r="M495" s="9" t="n">
        <v>0</v>
      </c>
      <c r="N495" s="12" t="n">
        <f aca="true">IFERROR(ROUND(SUM(OFFSET(B495,0,0,1,POSTAVKE!$B$7))/POSTAVKE!$B$7,2),0)</f>
        <v>0.13</v>
      </c>
    </row>
    <row r="496" customFormat="false" ht="15" hidden="false" customHeight="false" outlineLevel="0" collapsed="false">
      <c r="A496" s="11" t="s">
        <v>1552</v>
      </c>
      <c r="B496" s="9" t="n">
        <v>0</v>
      </c>
      <c r="C496" s="9" t="n">
        <v>8</v>
      </c>
      <c r="D496" s="9" t="n">
        <v>0</v>
      </c>
      <c r="E496" s="9" t="n">
        <v>6</v>
      </c>
      <c r="F496" s="9" t="n">
        <v>6</v>
      </c>
      <c r="G496" s="9" t="n">
        <v>0</v>
      </c>
      <c r="H496" s="9" t="n">
        <v>0</v>
      </c>
      <c r="I496" s="9" t="n">
        <v>0</v>
      </c>
      <c r="J496" s="9" t="n">
        <v>0</v>
      </c>
      <c r="K496" s="9" t="n">
        <v>0</v>
      </c>
      <c r="L496" s="9" t="n">
        <v>0</v>
      </c>
      <c r="M496" s="9" t="n">
        <v>0</v>
      </c>
      <c r="N496" s="12" t="n">
        <f aca="true">IFERROR(ROUND(SUM(OFFSET(B496,0,0,1,POSTAVKE!$B$7))/POSTAVKE!$B$7,2),0)</f>
        <v>2.5</v>
      </c>
    </row>
    <row r="497" customFormat="false" ht="15" hidden="false" customHeight="false" outlineLevel="0" collapsed="false">
      <c r="A497" s="11" t="s">
        <v>1822</v>
      </c>
      <c r="B497" s="9" t="n">
        <v>0</v>
      </c>
      <c r="C497" s="9" t="n">
        <v>1</v>
      </c>
      <c r="D497" s="9" t="n">
        <v>0</v>
      </c>
      <c r="E497" s="9" t="n">
        <v>0</v>
      </c>
      <c r="F497" s="9" t="n">
        <v>0</v>
      </c>
      <c r="G497" s="9" t="n">
        <v>0</v>
      </c>
      <c r="H497" s="9" t="n">
        <v>0</v>
      </c>
      <c r="I497" s="9" t="n">
        <v>0</v>
      </c>
      <c r="J497" s="9" t="n">
        <v>0</v>
      </c>
      <c r="K497" s="9" t="n">
        <v>0</v>
      </c>
      <c r="L497" s="9" t="n">
        <v>0</v>
      </c>
      <c r="M497" s="9" t="n">
        <v>0</v>
      </c>
      <c r="N497" s="12" t="n">
        <f aca="true">IFERROR(ROUND(SUM(OFFSET(B497,0,0,1,POSTAVKE!$B$7))/POSTAVKE!$B$7,2),0)</f>
        <v>0.13</v>
      </c>
    </row>
    <row r="498" customFormat="false" ht="15" hidden="false" customHeight="false" outlineLevel="0" collapsed="false">
      <c r="A498" s="11" t="s">
        <v>1556</v>
      </c>
      <c r="B498" s="9" t="n">
        <v>0</v>
      </c>
      <c r="C498" s="9" t="n">
        <v>3</v>
      </c>
      <c r="D498" s="9" t="n">
        <v>22</v>
      </c>
      <c r="E498" s="9" t="n">
        <v>0</v>
      </c>
      <c r="F498" s="9" t="n">
        <v>12</v>
      </c>
      <c r="G498" s="9" t="n">
        <v>18</v>
      </c>
      <c r="H498" s="9" t="n">
        <v>0</v>
      </c>
      <c r="I498" s="9" t="n">
        <v>2</v>
      </c>
      <c r="J498" s="9" t="n">
        <v>3</v>
      </c>
      <c r="K498" s="9" t="n">
        <v>0</v>
      </c>
      <c r="L498" s="9" t="n">
        <v>0</v>
      </c>
      <c r="M498" s="9" t="n">
        <v>0</v>
      </c>
      <c r="N498" s="12" t="n">
        <f aca="true">IFERROR(ROUND(SUM(OFFSET(B498,0,0,1,POSTAVKE!$B$7))/POSTAVKE!$B$7,2),0)</f>
        <v>7.13</v>
      </c>
    </row>
    <row r="499" customFormat="false" ht="15" hidden="false" customHeight="false" outlineLevel="0" collapsed="false">
      <c r="A499" s="11" t="s">
        <v>1558</v>
      </c>
      <c r="B499" s="9" t="n">
        <v>0</v>
      </c>
      <c r="C499" s="9" t="n">
        <v>0</v>
      </c>
      <c r="D499" s="9" t="n">
        <v>0</v>
      </c>
      <c r="E499" s="9" t="n">
        <v>3</v>
      </c>
      <c r="F499" s="9" t="n">
        <v>2</v>
      </c>
      <c r="G499" s="9" t="n">
        <v>4</v>
      </c>
      <c r="H499" s="9" t="n">
        <v>0</v>
      </c>
      <c r="I499" s="9" t="n">
        <v>0</v>
      </c>
      <c r="J499" s="9" t="n">
        <v>0</v>
      </c>
      <c r="K499" s="9" t="n">
        <v>0</v>
      </c>
      <c r="L499" s="9" t="n">
        <v>0</v>
      </c>
      <c r="M499" s="9" t="n">
        <v>0</v>
      </c>
      <c r="N499" s="12" t="n">
        <f aca="true">IFERROR(ROUND(SUM(OFFSET(B499,0,0,1,POSTAVKE!$B$7))/POSTAVKE!$B$7,2),0)</f>
        <v>1.13</v>
      </c>
    </row>
    <row r="500" customFormat="false" ht="15" hidden="false" customHeight="false" outlineLevel="0" collapsed="false">
      <c r="A500" s="11" t="s">
        <v>1560</v>
      </c>
      <c r="B500" s="9" t="n">
        <v>0</v>
      </c>
      <c r="C500" s="9" t="n">
        <v>10</v>
      </c>
      <c r="D500" s="9" t="n">
        <v>2</v>
      </c>
      <c r="E500" s="9" t="n">
        <v>0</v>
      </c>
      <c r="F500" s="9" t="n">
        <v>0</v>
      </c>
      <c r="G500" s="9" t="n">
        <v>0</v>
      </c>
      <c r="H500" s="9" t="n">
        <v>1</v>
      </c>
      <c r="I500" s="9" t="n">
        <v>0</v>
      </c>
      <c r="J500" s="9" t="n">
        <v>0</v>
      </c>
      <c r="K500" s="9" t="n">
        <v>0</v>
      </c>
      <c r="L500" s="9" t="n">
        <v>0</v>
      </c>
      <c r="M500" s="9" t="n">
        <v>0</v>
      </c>
      <c r="N500" s="12" t="n">
        <f aca="true">IFERROR(ROUND(SUM(OFFSET(B500,0,0,1,POSTAVKE!$B$7))/POSTAVKE!$B$7,2),0)</f>
        <v>1.63</v>
      </c>
    </row>
    <row r="501" customFormat="false" ht="15" hidden="false" customHeight="false" outlineLevel="0" collapsed="false">
      <c r="A501" s="11" t="s">
        <v>1224</v>
      </c>
      <c r="B501" s="9" t="n">
        <v>0</v>
      </c>
      <c r="C501" s="9" t="n">
        <v>0</v>
      </c>
      <c r="D501" s="9" t="n">
        <v>8</v>
      </c>
      <c r="E501" s="9" t="n">
        <v>7</v>
      </c>
      <c r="F501" s="9" t="n">
        <v>1</v>
      </c>
      <c r="G501" s="9" t="n">
        <v>0</v>
      </c>
      <c r="H501" s="9" t="n">
        <v>0</v>
      </c>
      <c r="I501" s="9" t="n">
        <v>6</v>
      </c>
      <c r="J501" s="9" t="n">
        <v>0</v>
      </c>
      <c r="K501" s="9" t="n">
        <v>0</v>
      </c>
      <c r="L501" s="9" t="n">
        <v>0</v>
      </c>
      <c r="M501" s="9" t="n">
        <v>0</v>
      </c>
      <c r="N501" s="12" t="n">
        <f aca="true">IFERROR(ROUND(SUM(OFFSET(B501,0,0,1,POSTAVKE!$B$7))/POSTAVKE!$B$7,2),0)</f>
        <v>2.75</v>
      </c>
    </row>
    <row r="502" customFormat="false" ht="15" hidden="false" customHeight="false" outlineLevel="0" collapsed="false">
      <c r="A502" s="11" t="s">
        <v>1561</v>
      </c>
      <c r="B502" s="9" t="n">
        <v>0</v>
      </c>
      <c r="C502" s="9" t="n">
        <v>0</v>
      </c>
      <c r="D502" s="9" t="n">
        <v>0</v>
      </c>
      <c r="E502" s="9" t="n">
        <v>0</v>
      </c>
      <c r="F502" s="9" t="n">
        <v>1</v>
      </c>
      <c r="G502" s="9" t="n">
        <v>0</v>
      </c>
      <c r="H502" s="9" t="n">
        <v>0</v>
      </c>
      <c r="I502" s="9" t="n">
        <v>0</v>
      </c>
      <c r="J502" s="9" t="n">
        <v>0</v>
      </c>
      <c r="K502" s="9" t="n">
        <v>0</v>
      </c>
      <c r="L502" s="9" t="n">
        <v>0</v>
      </c>
      <c r="M502" s="9" t="n">
        <v>0</v>
      </c>
      <c r="N502" s="12" t="n">
        <f aca="true">IFERROR(ROUND(SUM(OFFSET(B502,0,0,1,POSTAVKE!$B$7))/POSTAVKE!$B$7,2),0)</f>
        <v>0.13</v>
      </c>
    </row>
    <row r="503" customFormat="false" ht="15" hidden="false" customHeight="false" outlineLevel="0" collapsed="false">
      <c r="A503" s="11" t="s">
        <v>1563</v>
      </c>
      <c r="B503" s="9" t="n">
        <v>0</v>
      </c>
      <c r="C503" s="9" t="n">
        <v>0</v>
      </c>
      <c r="D503" s="9" t="n">
        <v>0</v>
      </c>
      <c r="E503" s="9" t="n">
        <v>0</v>
      </c>
      <c r="F503" s="9" t="n">
        <v>9</v>
      </c>
      <c r="G503" s="9" t="n">
        <v>0</v>
      </c>
      <c r="H503" s="9" t="n">
        <v>1</v>
      </c>
      <c r="I503" s="9" t="n">
        <v>0</v>
      </c>
      <c r="J503" s="9" t="n">
        <v>0</v>
      </c>
      <c r="K503" s="9" t="n">
        <v>0</v>
      </c>
      <c r="L503" s="9" t="n">
        <v>0</v>
      </c>
      <c r="M503" s="9" t="n">
        <v>0</v>
      </c>
      <c r="N503" s="12" t="n">
        <f aca="true">IFERROR(ROUND(SUM(OFFSET(B503,0,0,1,POSTAVKE!$B$7))/POSTAVKE!$B$7,2),0)</f>
        <v>1.25</v>
      </c>
    </row>
    <row r="504" customFormat="false" ht="15" hidden="false" customHeight="false" outlineLevel="0" collapsed="false">
      <c r="A504" s="11" t="s">
        <v>1262</v>
      </c>
      <c r="B504" s="9" t="n">
        <v>0</v>
      </c>
      <c r="C504" s="9" t="n">
        <v>0</v>
      </c>
      <c r="D504" s="9" t="n">
        <v>4</v>
      </c>
      <c r="E504" s="9" t="n">
        <v>0</v>
      </c>
      <c r="F504" s="9" t="n">
        <v>0</v>
      </c>
      <c r="G504" s="9" t="n">
        <v>0</v>
      </c>
      <c r="H504" s="9" t="n">
        <v>0</v>
      </c>
      <c r="I504" s="9" t="n">
        <v>0</v>
      </c>
      <c r="J504" s="9" t="n">
        <v>0</v>
      </c>
      <c r="K504" s="9" t="n">
        <v>0</v>
      </c>
      <c r="L504" s="9" t="n">
        <v>0</v>
      </c>
      <c r="M504" s="9" t="n">
        <v>0</v>
      </c>
      <c r="N504" s="12" t="n">
        <f aca="true">IFERROR(ROUND(SUM(OFFSET(B504,0,0,1,POSTAVKE!$B$7))/POSTAVKE!$B$7,2),0)</f>
        <v>0.5</v>
      </c>
    </row>
    <row r="505" customFormat="false" ht="15" hidden="false" customHeight="false" outlineLevel="0" collapsed="false">
      <c r="A505" s="11" t="s">
        <v>1565</v>
      </c>
      <c r="B505" s="9" t="n">
        <v>0</v>
      </c>
      <c r="C505" s="9" t="n">
        <v>4</v>
      </c>
      <c r="D505" s="9" t="n">
        <v>3</v>
      </c>
      <c r="E505" s="9" t="n">
        <v>5</v>
      </c>
      <c r="F505" s="9" t="n">
        <v>4</v>
      </c>
      <c r="G505" s="9" t="n">
        <v>8</v>
      </c>
      <c r="H505" s="9" t="n">
        <v>0</v>
      </c>
      <c r="I505" s="9" t="n">
        <v>0</v>
      </c>
      <c r="J505" s="9" t="n">
        <v>0</v>
      </c>
      <c r="K505" s="9" t="n">
        <v>0</v>
      </c>
      <c r="L505" s="9" t="n">
        <v>0</v>
      </c>
      <c r="M505" s="9" t="n">
        <v>0</v>
      </c>
      <c r="N505" s="12" t="n">
        <f aca="true">IFERROR(ROUND(SUM(OFFSET(B505,0,0,1,POSTAVKE!$B$7))/POSTAVKE!$B$7,2),0)</f>
        <v>3</v>
      </c>
    </row>
    <row r="506" customFormat="false" ht="15" hidden="false" customHeight="false" outlineLevel="0" collapsed="false">
      <c r="A506" s="11" t="s">
        <v>1567</v>
      </c>
      <c r="B506" s="9" t="n">
        <v>0</v>
      </c>
      <c r="C506" s="9" t="n">
        <v>9</v>
      </c>
      <c r="D506" s="9" t="n">
        <v>0</v>
      </c>
      <c r="E506" s="9" t="n">
        <v>0</v>
      </c>
      <c r="F506" s="9" t="n">
        <v>3</v>
      </c>
      <c r="G506" s="9" t="n">
        <v>8</v>
      </c>
      <c r="H506" s="9" t="n">
        <v>0</v>
      </c>
      <c r="I506" s="9" t="n">
        <v>0</v>
      </c>
      <c r="J506" s="9" t="n">
        <v>0</v>
      </c>
      <c r="K506" s="9" t="n">
        <v>0</v>
      </c>
      <c r="L506" s="9" t="n">
        <v>0</v>
      </c>
      <c r="M506" s="9" t="n">
        <v>0</v>
      </c>
      <c r="N506" s="12" t="n">
        <f aca="true">IFERROR(ROUND(SUM(OFFSET(B506,0,0,1,POSTAVKE!$B$7))/POSTAVKE!$B$7,2),0)</f>
        <v>2.5</v>
      </c>
    </row>
    <row r="507" customFormat="false" ht="15" hidden="false" customHeight="false" outlineLevel="0" collapsed="false">
      <c r="A507" s="11" t="s">
        <v>899</v>
      </c>
      <c r="B507" s="9" t="n">
        <v>0</v>
      </c>
      <c r="C507" s="9" t="n">
        <v>0</v>
      </c>
      <c r="D507" s="9" t="n">
        <v>32</v>
      </c>
      <c r="E507" s="9" t="n">
        <v>17</v>
      </c>
      <c r="F507" s="9" t="n">
        <v>0</v>
      </c>
      <c r="G507" s="9" t="n">
        <v>14</v>
      </c>
      <c r="H507" s="9" t="n">
        <v>20</v>
      </c>
      <c r="I507" s="9" t="n">
        <v>2</v>
      </c>
      <c r="J507" s="9" t="n">
        <v>0</v>
      </c>
      <c r="K507" s="9" t="n">
        <v>0</v>
      </c>
      <c r="L507" s="9" t="n">
        <v>0</v>
      </c>
      <c r="M507" s="9" t="n">
        <v>0</v>
      </c>
      <c r="N507" s="12" t="n">
        <f aca="true">IFERROR(ROUND(SUM(OFFSET(B507,0,0,1,POSTAVKE!$B$7))/POSTAVKE!$B$7,2),0)</f>
        <v>10.63</v>
      </c>
    </row>
    <row r="508" customFormat="false" ht="15" hidden="false" customHeight="false" outlineLevel="0" collapsed="false">
      <c r="A508" s="11" t="s">
        <v>735</v>
      </c>
      <c r="B508" s="9" t="n">
        <v>0</v>
      </c>
      <c r="C508" s="9" t="n">
        <v>0</v>
      </c>
      <c r="D508" s="9" t="n">
        <v>0</v>
      </c>
      <c r="E508" s="9" t="n">
        <v>0</v>
      </c>
      <c r="F508" s="9" t="n">
        <v>10</v>
      </c>
      <c r="G508" s="9" t="n">
        <v>10</v>
      </c>
      <c r="H508" s="9" t="n">
        <v>0</v>
      </c>
      <c r="I508" s="9" t="n">
        <v>0</v>
      </c>
      <c r="J508" s="9" t="n">
        <v>0</v>
      </c>
      <c r="K508" s="9" t="n">
        <v>0</v>
      </c>
      <c r="L508" s="9" t="n">
        <v>0</v>
      </c>
      <c r="M508" s="9" t="n">
        <v>0</v>
      </c>
      <c r="N508" s="12" t="n">
        <f aca="true">IFERROR(ROUND(SUM(OFFSET(B508,0,0,1,POSTAVKE!$B$7))/POSTAVKE!$B$7,2),0)</f>
        <v>2.5</v>
      </c>
    </row>
    <row r="509" customFormat="false" ht="15" hidden="false" customHeight="false" outlineLevel="0" collapsed="false">
      <c r="A509" s="11" t="s">
        <v>1226</v>
      </c>
      <c r="B509" s="9" t="n">
        <v>0</v>
      </c>
      <c r="C509" s="9" t="n">
        <v>0</v>
      </c>
      <c r="D509" s="9" t="n">
        <v>0</v>
      </c>
      <c r="E509" s="9" t="n">
        <v>15</v>
      </c>
      <c r="F509" s="9" t="n">
        <v>1</v>
      </c>
      <c r="G509" s="9" t="n">
        <v>15</v>
      </c>
      <c r="H509" s="9" t="n">
        <v>15</v>
      </c>
      <c r="I509" s="9" t="n">
        <v>15</v>
      </c>
      <c r="J509" s="9" t="n">
        <v>0</v>
      </c>
      <c r="K509" s="9" t="n">
        <v>0</v>
      </c>
      <c r="L509" s="9" t="n">
        <v>0</v>
      </c>
      <c r="M509" s="9" t="n">
        <v>0</v>
      </c>
      <c r="N509" s="12" t="n">
        <f aca="true">IFERROR(ROUND(SUM(OFFSET(B509,0,0,1,POSTAVKE!$B$7))/POSTAVKE!$B$7,2),0)</f>
        <v>7.63</v>
      </c>
    </row>
    <row r="510" customFormat="false" ht="15" hidden="false" customHeight="false" outlineLevel="0" collapsed="false">
      <c r="A510" s="11" t="s">
        <v>1573</v>
      </c>
      <c r="B510" s="9" t="n">
        <v>0</v>
      </c>
      <c r="C510" s="9" t="n">
        <v>0</v>
      </c>
      <c r="D510" s="9" t="n">
        <v>0</v>
      </c>
      <c r="E510" s="9" t="n">
        <v>0</v>
      </c>
      <c r="F510" s="9" t="n">
        <v>0</v>
      </c>
      <c r="G510" s="9" t="n">
        <v>4</v>
      </c>
      <c r="H510" s="9" t="n">
        <v>0</v>
      </c>
      <c r="I510" s="9" t="n">
        <v>0</v>
      </c>
      <c r="J510" s="9" t="n">
        <v>0</v>
      </c>
      <c r="K510" s="9" t="n">
        <v>0</v>
      </c>
      <c r="L510" s="9" t="n">
        <v>0</v>
      </c>
      <c r="M510" s="9" t="n">
        <v>0</v>
      </c>
      <c r="N510" s="12" t="n">
        <f aca="true">IFERROR(ROUND(SUM(OFFSET(B510,0,0,1,POSTAVKE!$B$7))/POSTAVKE!$B$7,2),0)</f>
        <v>0.5</v>
      </c>
    </row>
    <row r="511" customFormat="false" ht="15" hidden="false" customHeight="false" outlineLevel="0" collapsed="false">
      <c r="A511" s="11" t="s">
        <v>1575</v>
      </c>
      <c r="B511" s="9" t="n">
        <v>0</v>
      </c>
      <c r="C511" s="9" t="n">
        <v>9</v>
      </c>
      <c r="D511" s="9" t="n">
        <v>0</v>
      </c>
      <c r="E511" s="9" t="n">
        <v>0</v>
      </c>
      <c r="F511" s="9" t="n">
        <v>0</v>
      </c>
      <c r="G511" s="9" t="n">
        <v>0</v>
      </c>
      <c r="H511" s="9" t="n">
        <v>0</v>
      </c>
      <c r="I511" s="9" t="n">
        <v>0</v>
      </c>
      <c r="J511" s="9" t="n">
        <v>0</v>
      </c>
      <c r="K511" s="9" t="n">
        <v>0</v>
      </c>
      <c r="L511" s="9" t="n">
        <v>0</v>
      </c>
      <c r="M511" s="9" t="n">
        <v>0</v>
      </c>
      <c r="N511" s="12" t="n">
        <f aca="true">IFERROR(ROUND(SUM(OFFSET(B511,0,0,1,POSTAVKE!$B$7))/POSTAVKE!$B$7,2),0)</f>
        <v>1.13</v>
      </c>
    </row>
    <row r="512" customFormat="false" ht="15" hidden="false" customHeight="false" outlineLevel="0" collapsed="false">
      <c r="A512" s="11" t="s">
        <v>1577</v>
      </c>
      <c r="B512" s="9" t="n">
        <v>0</v>
      </c>
      <c r="C512" s="9" t="n">
        <v>0</v>
      </c>
      <c r="D512" s="9" t="n">
        <v>-1</v>
      </c>
      <c r="E512" s="9" t="n">
        <v>4</v>
      </c>
      <c r="F512" s="9" t="n">
        <v>8</v>
      </c>
      <c r="G512" s="9" t="n">
        <v>1</v>
      </c>
      <c r="H512" s="9" t="n">
        <v>0</v>
      </c>
      <c r="I512" s="9" t="n">
        <v>0</v>
      </c>
      <c r="J512" s="9" t="n">
        <v>0</v>
      </c>
      <c r="K512" s="9" t="n">
        <v>0</v>
      </c>
      <c r="L512" s="9" t="n">
        <v>0</v>
      </c>
      <c r="M512" s="9" t="n">
        <v>0</v>
      </c>
      <c r="N512" s="12" t="n">
        <f aca="true">IFERROR(ROUND(SUM(OFFSET(B512,0,0,1,POSTAVKE!$B$7))/POSTAVKE!$B$7,2),0)</f>
        <v>1.5</v>
      </c>
    </row>
    <row r="513" customFormat="false" ht="15" hidden="false" customHeight="false" outlineLevel="0" collapsed="false">
      <c r="A513" s="11" t="s">
        <v>1579</v>
      </c>
      <c r="B513" s="9" t="n">
        <v>0</v>
      </c>
      <c r="C513" s="9" t="n">
        <v>4</v>
      </c>
      <c r="D513" s="9" t="n">
        <v>3</v>
      </c>
      <c r="E513" s="9" t="n">
        <v>0</v>
      </c>
      <c r="F513" s="9" t="n">
        <v>3</v>
      </c>
      <c r="G513" s="9" t="n">
        <v>2</v>
      </c>
      <c r="H513" s="9" t="n">
        <v>0</v>
      </c>
      <c r="I513" s="9" t="n">
        <v>0</v>
      </c>
      <c r="J513" s="9" t="n">
        <v>0</v>
      </c>
      <c r="K513" s="9" t="n">
        <v>0</v>
      </c>
      <c r="L513" s="9" t="n">
        <v>0</v>
      </c>
      <c r="M513" s="9" t="n">
        <v>0</v>
      </c>
      <c r="N513" s="12" t="n">
        <f aca="true">IFERROR(ROUND(SUM(OFFSET(B513,0,0,1,POSTAVKE!$B$7))/POSTAVKE!$B$7,2),0)</f>
        <v>1.5</v>
      </c>
    </row>
    <row r="514" customFormat="false" ht="15" hidden="false" customHeight="false" outlineLevel="0" collapsed="false">
      <c r="A514" s="11" t="s">
        <v>1823</v>
      </c>
      <c r="B514" s="9" t="n">
        <v>0</v>
      </c>
      <c r="C514" s="9" t="n">
        <v>4</v>
      </c>
      <c r="D514" s="9" t="n">
        <v>0</v>
      </c>
      <c r="E514" s="9" t="n">
        <v>4</v>
      </c>
      <c r="F514" s="9" t="n">
        <v>5</v>
      </c>
      <c r="G514" s="9" t="n">
        <v>0</v>
      </c>
      <c r="H514" s="9" t="n">
        <v>0</v>
      </c>
      <c r="I514" s="9" t="n">
        <v>0</v>
      </c>
      <c r="J514" s="9" t="n">
        <v>0</v>
      </c>
      <c r="K514" s="9" t="n">
        <v>0</v>
      </c>
      <c r="L514" s="9" t="n">
        <v>0</v>
      </c>
      <c r="M514" s="9" t="n">
        <v>0</v>
      </c>
      <c r="N514" s="12" t="n">
        <f aca="true">IFERROR(ROUND(SUM(OFFSET(B514,0,0,1,POSTAVKE!$B$7))/POSTAVKE!$B$7,2),0)</f>
        <v>1.63</v>
      </c>
    </row>
    <row r="515" customFormat="false" ht="15" hidden="false" customHeight="false" outlineLevel="0" collapsed="false">
      <c r="A515" s="11" t="s">
        <v>1825</v>
      </c>
      <c r="B515" s="9" t="n">
        <v>0</v>
      </c>
      <c r="C515" s="9" t="n">
        <v>4</v>
      </c>
      <c r="D515" s="9" t="n">
        <v>0</v>
      </c>
      <c r="E515" s="9" t="n">
        <v>0</v>
      </c>
      <c r="F515" s="9" t="n">
        <v>0</v>
      </c>
      <c r="G515" s="9" t="n">
        <v>0</v>
      </c>
      <c r="H515" s="9" t="n">
        <v>0</v>
      </c>
      <c r="I515" s="9" t="n">
        <v>0</v>
      </c>
      <c r="J515" s="9" t="n">
        <v>0</v>
      </c>
      <c r="K515" s="9" t="n">
        <v>0</v>
      </c>
      <c r="L515" s="9" t="n">
        <v>0</v>
      </c>
      <c r="M515" s="9" t="n">
        <v>0</v>
      </c>
      <c r="N515" s="12" t="n">
        <f aca="true">IFERROR(ROUND(SUM(OFFSET(B515,0,0,1,POSTAVKE!$B$7))/POSTAVKE!$B$7,2),0)</f>
        <v>0.5</v>
      </c>
    </row>
    <row r="516" customFormat="false" ht="15" hidden="false" customHeight="false" outlineLevel="0" collapsed="false">
      <c r="A516" s="11" t="s">
        <v>681</v>
      </c>
      <c r="B516" s="9" t="n">
        <v>0</v>
      </c>
      <c r="C516" s="9" t="n">
        <v>0</v>
      </c>
      <c r="D516" s="9" t="n">
        <v>18</v>
      </c>
      <c r="E516" s="9" t="n">
        <v>0</v>
      </c>
      <c r="F516" s="9" t="n">
        <v>0</v>
      </c>
      <c r="G516" s="9" t="n">
        <v>0</v>
      </c>
      <c r="H516" s="9" t="n">
        <v>-1</v>
      </c>
      <c r="I516" s="9" t="n">
        <v>9</v>
      </c>
      <c r="J516" s="9" t="n">
        <v>0</v>
      </c>
      <c r="K516" s="9" t="n">
        <v>0</v>
      </c>
      <c r="L516" s="9" t="n">
        <v>0</v>
      </c>
      <c r="M516" s="9" t="n">
        <v>0</v>
      </c>
      <c r="N516" s="12" t="n">
        <f aca="true">IFERROR(ROUND(SUM(OFFSET(B516,0,0,1,POSTAVKE!$B$7))/POSTAVKE!$B$7,2),0)</f>
        <v>3.25</v>
      </c>
    </row>
    <row r="517" customFormat="false" ht="15" hidden="false" customHeight="false" outlineLevel="0" collapsed="false">
      <c r="A517" s="11" t="s">
        <v>1581</v>
      </c>
      <c r="B517" s="9" t="n">
        <v>0</v>
      </c>
      <c r="C517" s="9" t="n">
        <v>4</v>
      </c>
      <c r="D517" s="9" t="n">
        <v>0</v>
      </c>
      <c r="E517" s="9" t="n">
        <v>0</v>
      </c>
      <c r="F517" s="9" t="n">
        <v>0</v>
      </c>
      <c r="G517" s="9" t="n">
        <v>0</v>
      </c>
      <c r="H517" s="9" t="n">
        <v>0</v>
      </c>
      <c r="I517" s="9" t="n">
        <v>0</v>
      </c>
      <c r="J517" s="9" t="n">
        <v>0</v>
      </c>
      <c r="K517" s="9" t="n">
        <v>0</v>
      </c>
      <c r="L517" s="9" t="n">
        <v>0</v>
      </c>
      <c r="M517" s="9" t="n">
        <v>0</v>
      </c>
      <c r="N517" s="12" t="n">
        <f aca="true">IFERROR(ROUND(SUM(OFFSET(B517,0,0,1,POSTAVKE!$B$7))/POSTAVKE!$B$7,2),0)</f>
        <v>0.5</v>
      </c>
    </row>
    <row r="518" customFormat="false" ht="15" hidden="false" customHeight="false" outlineLevel="0" collapsed="false">
      <c r="A518" s="11" t="s">
        <v>1264</v>
      </c>
      <c r="B518" s="9" t="n">
        <v>0</v>
      </c>
      <c r="C518" s="9" t="n">
        <v>0</v>
      </c>
      <c r="D518" s="9" t="n">
        <v>14</v>
      </c>
      <c r="E518" s="9" t="n">
        <v>14</v>
      </c>
      <c r="F518" s="9" t="n">
        <v>0</v>
      </c>
      <c r="G518" s="9" t="n">
        <v>0</v>
      </c>
      <c r="H518" s="9" t="n">
        <v>0</v>
      </c>
      <c r="I518" s="9" t="n">
        <v>11</v>
      </c>
      <c r="J518" s="9" t="n">
        <v>0</v>
      </c>
      <c r="K518" s="9" t="n">
        <v>0</v>
      </c>
      <c r="L518" s="9" t="n">
        <v>0</v>
      </c>
      <c r="M518" s="9" t="n">
        <v>0</v>
      </c>
      <c r="N518" s="12" t="n">
        <f aca="true">IFERROR(ROUND(SUM(OFFSET(B518,0,0,1,POSTAVKE!$B$7))/POSTAVKE!$B$7,2),0)</f>
        <v>4.88</v>
      </c>
    </row>
    <row r="519" customFormat="false" ht="15" hidden="false" customHeight="false" outlineLevel="0" collapsed="false">
      <c r="A519" s="11" t="s">
        <v>1826</v>
      </c>
      <c r="B519" s="9" t="n">
        <v>0</v>
      </c>
      <c r="C519" s="9" t="n">
        <v>3</v>
      </c>
      <c r="D519" s="9" t="n">
        <v>0</v>
      </c>
      <c r="E519" s="9" t="n">
        <v>0</v>
      </c>
      <c r="F519" s="9" t="n">
        <v>3</v>
      </c>
      <c r="G519" s="9" t="n">
        <v>5</v>
      </c>
      <c r="H519" s="9" t="n">
        <v>0</v>
      </c>
      <c r="I519" s="9" t="n">
        <v>0</v>
      </c>
      <c r="J519" s="9" t="n">
        <v>0</v>
      </c>
      <c r="K519" s="9" t="n">
        <v>0</v>
      </c>
      <c r="L519" s="9" t="n">
        <v>0</v>
      </c>
      <c r="M519" s="9" t="n">
        <v>0</v>
      </c>
      <c r="N519" s="12" t="n">
        <f aca="true">IFERROR(ROUND(SUM(OFFSET(B519,0,0,1,POSTAVKE!$B$7))/POSTAVKE!$B$7,2),0)</f>
        <v>1.38</v>
      </c>
    </row>
    <row r="520" customFormat="false" ht="15" hidden="false" customHeight="false" outlineLevel="0" collapsed="false">
      <c r="A520" s="11" t="s">
        <v>1828</v>
      </c>
      <c r="B520" s="9" t="n">
        <v>0</v>
      </c>
      <c r="C520" s="9" t="n">
        <v>5</v>
      </c>
      <c r="D520" s="9" t="n">
        <v>0</v>
      </c>
      <c r="E520" s="9" t="n">
        <v>0</v>
      </c>
      <c r="F520" s="9" t="n">
        <v>0</v>
      </c>
      <c r="G520" s="9" t="n">
        <v>0</v>
      </c>
      <c r="H520" s="9" t="n">
        <v>8</v>
      </c>
      <c r="I520" s="9" t="n">
        <v>0</v>
      </c>
      <c r="J520" s="9" t="n">
        <v>0</v>
      </c>
      <c r="K520" s="9" t="n">
        <v>0</v>
      </c>
      <c r="L520" s="9" t="n">
        <v>0</v>
      </c>
      <c r="M520" s="9" t="n">
        <v>0</v>
      </c>
      <c r="N520" s="12" t="n">
        <f aca="true">IFERROR(ROUND(SUM(OFFSET(B520,0,0,1,POSTAVKE!$B$7))/POSTAVKE!$B$7,2),0)</f>
        <v>1.63</v>
      </c>
    </row>
    <row r="521" customFormat="false" ht="15" hidden="false" customHeight="false" outlineLevel="0" collapsed="false">
      <c r="A521" s="11" t="s">
        <v>403</v>
      </c>
      <c r="B521" s="9" t="n">
        <v>0</v>
      </c>
      <c r="C521" s="9" t="n">
        <v>0</v>
      </c>
      <c r="D521" s="9" t="n">
        <v>10</v>
      </c>
      <c r="E521" s="9" t="n">
        <v>0</v>
      </c>
      <c r="F521" s="9" t="n">
        <v>0</v>
      </c>
      <c r="G521" s="9" t="n">
        <v>2</v>
      </c>
      <c r="H521" s="9" t="n">
        <v>-1</v>
      </c>
      <c r="I521" s="9" t="n">
        <v>4</v>
      </c>
      <c r="J521" s="9" t="n">
        <v>0</v>
      </c>
      <c r="K521" s="9" t="n">
        <v>0</v>
      </c>
      <c r="L521" s="9" t="n">
        <v>0</v>
      </c>
      <c r="M521" s="9" t="n">
        <v>0</v>
      </c>
      <c r="N521" s="12" t="n">
        <f aca="true">IFERROR(ROUND(SUM(OFFSET(B521,0,0,1,POSTAVKE!$B$7))/POSTAVKE!$B$7,2),0)</f>
        <v>1.88</v>
      </c>
    </row>
    <row r="522" customFormat="false" ht="15" hidden="false" customHeight="false" outlineLevel="0" collapsed="false">
      <c r="A522" s="11" t="s">
        <v>1582</v>
      </c>
      <c r="B522" s="9" t="n">
        <v>0</v>
      </c>
      <c r="C522" s="9" t="n">
        <v>5</v>
      </c>
      <c r="D522" s="9" t="n">
        <v>5</v>
      </c>
      <c r="E522" s="9" t="n">
        <v>6</v>
      </c>
      <c r="F522" s="9" t="n">
        <v>0</v>
      </c>
      <c r="G522" s="9" t="n">
        <v>0</v>
      </c>
      <c r="H522" s="9" t="n">
        <v>0</v>
      </c>
      <c r="I522" s="9" t="n">
        <v>0</v>
      </c>
      <c r="J522" s="9" t="n">
        <v>0</v>
      </c>
      <c r="K522" s="9" t="n">
        <v>0</v>
      </c>
      <c r="L522" s="9" t="n">
        <v>0</v>
      </c>
      <c r="M522" s="9" t="n">
        <v>0</v>
      </c>
      <c r="N522" s="12" t="n">
        <f aca="true">IFERROR(ROUND(SUM(OFFSET(B522,0,0,1,POSTAVKE!$B$7))/POSTAVKE!$B$7,2),0)</f>
        <v>2</v>
      </c>
    </row>
    <row r="523" customFormat="false" ht="15" hidden="false" customHeight="false" outlineLevel="0" collapsed="false">
      <c r="A523" s="11" t="s">
        <v>1584</v>
      </c>
      <c r="B523" s="9" t="n">
        <v>0</v>
      </c>
      <c r="C523" s="9" t="n">
        <v>5</v>
      </c>
      <c r="D523" s="9" t="n">
        <v>4</v>
      </c>
      <c r="E523" s="9" t="n">
        <v>0</v>
      </c>
      <c r="F523" s="9" t="n">
        <v>9</v>
      </c>
      <c r="G523" s="9" t="n">
        <v>0</v>
      </c>
      <c r="H523" s="9" t="n">
        <v>0</v>
      </c>
      <c r="I523" s="9" t="n">
        <v>0</v>
      </c>
      <c r="J523" s="9" t="n">
        <v>0</v>
      </c>
      <c r="K523" s="9" t="n">
        <v>0</v>
      </c>
      <c r="L523" s="9" t="n">
        <v>0</v>
      </c>
      <c r="M523" s="9" t="n">
        <v>0</v>
      </c>
      <c r="N523" s="12" t="n">
        <f aca="true">IFERROR(ROUND(SUM(OFFSET(B523,0,0,1,POSTAVKE!$B$7))/POSTAVKE!$B$7,2),0)</f>
        <v>2.25</v>
      </c>
    </row>
    <row r="524" customFormat="false" ht="15" hidden="false" customHeight="false" outlineLevel="0" collapsed="false">
      <c r="A524" s="11" t="s">
        <v>1829</v>
      </c>
      <c r="B524" s="9" t="n">
        <v>0</v>
      </c>
      <c r="C524" s="9" t="n">
        <v>0</v>
      </c>
      <c r="D524" s="9" t="n">
        <v>4</v>
      </c>
      <c r="E524" s="9" t="n">
        <v>0</v>
      </c>
      <c r="F524" s="9" t="n">
        <v>0</v>
      </c>
      <c r="G524" s="9" t="n">
        <v>2</v>
      </c>
      <c r="H524" s="9" t="n">
        <v>0</v>
      </c>
      <c r="I524" s="9" t="n">
        <v>0</v>
      </c>
      <c r="J524" s="9" t="n">
        <v>0</v>
      </c>
      <c r="K524" s="9" t="n">
        <v>0</v>
      </c>
      <c r="L524" s="9" t="n">
        <v>0</v>
      </c>
      <c r="M524" s="9" t="n">
        <v>0</v>
      </c>
      <c r="N524" s="12" t="n">
        <f aca="true">IFERROR(ROUND(SUM(OFFSET(B524,0,0,1,POSTAVKE!$B$7))/POSTAVKE!$B$7,2),0)</f>
        <v>0.75</v>
      </c>
    </row>
    <row r="525" customFormat="false" ht="15" hidden="false" customHeight="false" outlineLevel="0" collapsed="false">
      <c r="A525" s="11" t="s">
        <v>1831</v>
      </c>
      <c r="B525" s="9" t="n">
        <v>0</v>
      </c>
      <c r="C525" s="9" t="n">
        <v>0</v>
      </c>
      <c r="D525" s="9" t="n">
        <v>3</v>
      </c>
      <c r="E525" s="9" t="n">
        <v>0</v>
      </c>
      <c r="F525" s="9" t="n">
        <v>5</v>
      </c>
      <c r="G525" s="9" t="n">
        <v>0</v>
      </c>
      <c r="H525" s="9" t="n">
        <v>0</v>
      </c>
      <c r="I525" s="9" t="n">
        <v>0</v>
      </c>
      <c r="J525" s="9" t="n">
        <v>0</v>
      </c>
      <c r="K525" s="9" t="n">
        <v>0</v>
      </c>
      <c r="L525" s="9" t="n">
        <v>0</v>
      </c>
      <c r="M525" s="9" t="n">
        <v>0</v>
      </c>
      <c r="N525" s="12" t="n">
        <f aca="true">IFERROR(ROUND(SUM(OFFSET(B525,0,0,1,POSTAVKE!$B$7))/POSTAVKE!$B$7,2),0)</f>
        <v>1</v>
      </c>
    </row>
    <row r="526" customFormat="false" ht="15" hidden="false" customHeight="false" outlineLevel="0" collapsed="false">
      <c r="A526" s="11" t="s">
        <v>1085</v>
      </c>
      <c r="B526" s="9" t="n">
        <v>0</v>
      </c>
      <c r="C526" s="9" t="n">
        <v>1</v>
      </c>
      <c r="D526" s="9" t="n">
        <v>2</v>
      </c>
      <c r="E526" s="9" t="n">
        <v>0</v>
      </c>
      <c r="F526" s="9" t="n">
        <v>1</v>
      </c>
      <c r="G526" s="9" t="n">
        <v>0</v>
      </c>
      <c r="H526" s="9" t="n">
        <v>1</v>
      </c>
      <c r="I526" s="9" t="n">
        <v>0</v>
      </c>
      <c r="J526" s="9" t="n">
        <v>0</v>
      </c>
      <c r="K526" s="9" t="n">
        <v>0</v>
      </c>
      <c r="L526" s="9" t="n">
        <v>0</v>
      </c>
      <c r="M526" s="9" t="n">
        <v>0</v>
      </c>
      <c r="N526" s="12" t="n">
        <f aca="true">IFERROR(ROUND(SUM(OFFSET(B526,0,0,1,POSTAVKE!$B$7))/POSTAVKE!$B$7,2),0)</f>
        <v>0.63</v>
      </c>
    </row>
    <row r="527" customFormat="false" ht="15" hidden="false" customHeight="false" outlineLevel="0" collapsed="false">
      <c r="A527" s="11" t="s">
        <v>1228</v>
      </c>
      <c r="B527" s="9" t="n">
        <v>0</v>
      </c>
      <c r="C527" s="9" t="n">
        <v>0</v>
      </c>
      <c r="D527" s="9" t="n">
        <v>0</v>
      </c>
      <c r="E527" s="9" t="n">
        <v>0</v>
      </c>
      <c r="F527" s="9" t="n">
        <v>0</v>
      </c>
      <c r="G527" s="9" t="n">
        <v>0</v>
      </c>
      <c r="H527" s="9" t="n">
        <v>0</v>
      </c>
      <c r="I527" s="9" t="n">
        <v>1</v>
      </c>
      <c r="J527" s="9" t="n">
        <v>1</v>
      </c>
      <c r="K527" s="9" t="n">
        <v>0</v>
      </c>
      <c r="L527" s="9" t="n">
        <v>0</v>
      </c>
      <c r="M527" s="9" t="n">
        <v>0</v>
      </c>
      <c r="N527" s="12" t="n">
        <f aca="true">IFERROR(ROUND(SUM(OFFSET(B527,0,0,1,POSTAVKE!$B$7))/POSTAVKE!$B$7,2),0)</f>
        <v>0.13</v>
      </c>
    </row>
    <row r="528" customFormat="false" ht="15" hidden="false" customHeight="false" outlineLevel="0" collapsed="false">
      <c r="A528" s="11" t="s">
        <v>1135</v>
      </c>
      <c r="B528" s="9" t="n">
        <v>0</v>
      </c>
      <c r="C528" s="9" t="n">
        <v>0</v>
      </c>
      <c r="D528" s="9" t="n">
        <v>1</v>
      </c>
      <c r="E528" s="9" t="n">
        <v>1</v>
      </c>
      <c r="F528" s="9" t="n">
        <v>0</v>
      </c>
      <c r="G528" s="9" t="n">
        <v>1</v>
      </c>
      <c r="H528" s="9" t="n">
        <v>0</v>
      </c>
      <c r="I528" s="9" t="n">
        <v>0</v>
      </c>
      <c r="J528" s="9" t="n">
        <v>0</v>
      </c>
      <c r="K528" s="9" t="n">
        <v>0</v>
      </c>
      <c r="L528" s="9" t="n">
        <v>0</v>
      </c>
      <c r="M528" s="9" t="n">
        <v>0</v>
      </c>
      <c r="N528" s="12" t="n">
        <f aca="true">IFERROR(ROUND(SUM(OFFSET(B528,0,0,1,POSTAVKE!$B$7))/POSTAVKE!$B$7,2),0)</f>
        <v>0.38</v>
      </c>
    </row>
    <row r="529" customFormat="false" ht="15" hidden="false" customHeight="false" outlineLevel="0" collapsed="false">
      <c r="A529" s="11" t="s">
        <v>1270</v>
      </c>
      <c r="B529" s="9" t="n">
        <v>0</v>
      </c>
      <c r="C529" s="9" t="n">
        <v>0</v>
      </c>
      <c r="D529" s="9" t="n">
        <v>0</v>
      </c>
      <c r="E529" s="9" t="n">
        <v>1</v>
      </c>
      <c r="F529" s="9" t="n">
        <v>0</v>
      </c>
      <c r="G529" s="9" t="n">
        <v>1</v>
      </c>
      <c r="H529" s="9" t="n">
        <v>4</v>
      </c>
      <c r="I529" s="9" t="n">
        <v>1</v>
      </c>
      <c r="J529" s="9" t="n">
        <v>0</v>
      </c>
      <c r="K529" s="9" t="n">
        <v>0</v>
      </c>
      <c r="L529" s="9" t="n">
        <v>0</v>
      </c>
      <c r="M529" s="9" t="n">
        <v>0</v>
      </c>
      <c r="N529" s="12" t="n">
        <f aca="true">IFERROR(ROUND(SUM(OFFSET(B529,0,0,1,POSTAVKE!$B$7))/POSTAVKE!$B$7,2),0)</f>
        <v>0.88</v>
      </c>
    </row>
    <row r="530" customFormat="false" ht="15" hidden="false" customHeight="false" outlineLevel="0" collapsed="false">
      <c r="A530" s="11" t="s">
        <v>1156</v>
      </c>
      <c r="B530" s="9" t="n">
        <v>0</v>
      </c>
      <c r="C530" s="9" t="n">
        <v>0</v>
      </c>
      <c r="D530" s="9" t="n">
        <v>0</v>
      </c>
      <c r="E530" s="9" t="n">
        <v>0</v>
      </c>
      <c r="F530" s="9" t="n">
        <v>0</v>
      </c>
      <c r="G530" s="9" t="n">
        <v>1</v>
      </c>
      <c r="H530" s="9" t="n">
        <v>0</v>
      </c>
      <c r="I530" s="9" t="n">
        <v>0</v>
      </c>
      <c r="J530" s="9" t="n">
        <v>0</v>
      </c>
      <c r="K530" s="9" t="n">
        <v>0</v>
      </c>
      <c r="L530" s="9" t="n">
        <v>0</v>
      </c>
      <c r="M530" s="9" t="n">
        <v>0</v>
      </c>
      <c r="N530" s="12" t="n">
        <f aca="true">IFERROR(ROUND(SUM(OFFSET(B530,0,0,1,POSTAVKE!$B$7))/POSTAVKE!$B$7,2),0)</f>
        <v>0.13</v>
      </c>
    </row>
    <row r="531" customFormat="false" ht="15" hidden="false" customHeight="false" outlineLevel="0" collapsed="false">
      <c r="A531" s="11" t="s">
        <v>1586</v>
      </c>
      <c r="B531" s="9" t="n">
        <v>0</v>
      </c>
      <c r="C531" s="9" t="n">
        <v>0</v>
      </c>
      <c r="D531" s="9" t="n">
        <v>0</v>
      </c>
      <c r="E531" s="9" t="n">
        <v>2</v>
      </c>
      <c r="F531" s="9" t="n">
        <v>0</v>
      </c>
      <c r="G531" s="9" t="n">
        <v>0</v>
      </c>
      <c r="H531" s="9" t="n">
        <v>0</v>
      </c>
      <c r="I531" s="9" t="n">
        <v>0</v>
      </c>
      <c r="J531" s="9" t="n">
        <v>0</v>
      </c>
      <c r="K531" s="9" t="n">
        <v>0</v>
      </c>
      <c r="L531" s="9" t="n">
        <v>0</v>
      </c>
      <c r="M531" s="9" t="n">
        <v>0</v>
      </c>
      <c r="N531" s="12" t="n">
        <f aca="true">IFERROR(ROUND(SUM(OFFSET(B531,0,0,1,POSTAVKE!$B$7))/POSTAVKE!$B$7,2),0)</f>
        <v>0.25</v>
      </c>
    </row>
    <row r="532" customFormat="false" ht="15" hidden="false" customHeight="false" outlineLevel="0" collapsed="false">
      <c r="A532" s="11" t="s">
        <v>1588</v>
      </c>
      <c r="B532" s="9" t="n">
        <v>0</v>
      </c>
      <c r="C532" s="9" t="n">
        <v>0</v>
      </c>
      <c r="D532" s="9" t="n">
        <v>0</v>
      </c>
      <c r="E532" s="9" t="n">
        <v>2</v>
      </c>
      <c r="F532" s="9" t="n">
        <v>0</v>
      </c>
      <c r="G532" s="9" t="n">
        <v>3</v>
      </c>
      <c r="H532" s="9" t="n">
        <v>0</v>
      </c>
      <c r="I532" s="9" t="n">
        <v>0</v>
      </c>
      <c r="J532" s="9" t="n">
        <v>0</v>
      </c>
      <c r="K532" s="9" t="n">
        <v>0</v>
      </c>
      <c r="L532" s="9" t="n">
        <v>0</v>
      </c>
      <c r="M532" s="9" t="n">
        <v>0</v>
      </c>
      <c r="N532" s="12" t="n">
        <f aca="true">IFERROR(ROUND(SUM(OFFSET(B532,0,0,1,POSTAVKE!$B$7))/POSTAVKE!$B$7,2),0)</f>
        <v>0.63</v>
      </c>
    </row>
    <row r="533" customFormat="false" ht="15" hidden="false" customHeight="false" outlineLevel="0" collapsed="false">
      <c r="A533" s="11" t="s">
        <v>1590</v>
      </c>
      <c r="B533" s="9" t="n">
        <v>0</v>
      </c>
      <c r="C533" s="9" t="n">
        <v>0</v>
      </c>
      <c r="D533" s="9" t="n">
        <v>5</v>
      </c>
      <c r="E533" s="9" t="n">
        <v>5</v>
      </c>
      <c r="F533" s="9" t="n">
        <v>0</v>
      </c>
      <c r="G533" s="9" t="n">
        <v>0</v>
      </c>
      <c r="H533" s="9" t="n">
        <v>0</v>
      </c>
      <c r="I533" s="9" t="n">
        <v>0</v>
      </c>
      <c r="J533" s="9" t="n">
        <v>0</v>
      </c>
      <c r="K533" s="9" t="n">
        <v>0</v>
      </c>
      <c r="L533" s="9" t="n">
        <v>0</v>
      </c>
      <c r="M533" s="9" t="n">
        <v>0</v>
      </c>
      <c r="N533" s="12" t="n">
        <f aca="true">IFERROR(ROUND(SUM(OFFSET(B533,0,0,1,POSTAVKE!$B$7))/POSTAVKE!$B$7,2),0)</f>
        <v>1.25</v>
      </c>
    </row>
    <row r="534" customFormat="false" ht="15" hidden="false" customHeight="false" outlineLevel="0" collapsed="false">
      <c r="A534" s="11" t="s">
        <v>1833</v>
      </c>
      <c r="B534" s="9" t="n">
        <v>0</v>
      </c>
      <c r="C534" s="9" t="n">
        <v>0</v>
      </c>
      <c r="D534" s="9" t="n">
        <v>2</v>
      </c>
      <c r="E534" s="9" t="n">
        <v>6</v>
      </c>
      <c r="F534" s="9" t="n">
        <v>0</v>
      </c>
      <c r="G534" s="9" t="n">
        <v>0</v>
      </c>
      <c r="H534" s="9" t="n">
        <v>0</v>
      </c>
      <c r="I534" s="9" t="n">
        <v>0</v>
      </c>
      <c r="J534" s="9" t="n">
        <v>0</v>
      </c>
      <c r="K534" s="9" t="n">
        <v>0</v>
      </c>
      <c r="L534" s="9" t="n">
        <v>0</v>
      </c>
      <c r="M534" s="9" t="n">
        <v>0</v>
      </c>
      <c r="N534" s="12" t="n">
        <f aca="true">IFERROR(ROUND(SUM(OFFSET(B534,0,0,1,POSTAVKE!$B$7))/POSTAVKE!$B$7,2),0)</f>
        <v>1</v>
      </c>
    </row>
    <row r="535" customFormat="false" ht="15" hidden="false" customHeight="false" outlineLevel="0" collapsed="false">
      <c r="A535" s="11" t="s">
        <v>1835</v>
      </c>
      <c r="B535" s="9" t="n">
        <v>0</v>
      </c>
      <c r="C535" s="9" t="n">
        <v>9</v>
      </c>
      <c r="D535" s="9" t="n">
        <v>9</v>
      </c>
      <c r="E535" s="9" t="n">
        <v>14</v>
      </c>
      <c r="F535" s="9" t="n">
        <v>0</v>
      </c>
      <c r="G535" s="9" t="n">
        <v>0</v>
      </c>
      <c r="H535" s="9" t="n">
        <v>0</v>
      </c>
      <c r="I535" s="9" t="n">
        <v>0</v>
      </c>
      <c r="J535" s="9" t="n">
        <v>0</v>
      </c>
      <c r="K535" s="9" t="n">
        <v>0</v>
      </c>
      <c r="L535" s="9" t="n">
        <v>0</v>
      </c>
      <c r="M535" s="9" t="n">
        <v>0</v>
      </c>
      <c r="N535" s="12" t="n">
        <f aca="true">IFERROR(ROUND(SUM(OFFSET(B535,0,0,1,POSTAVKE!$B$7))/POSTAVKE!$B$7,2),0)</f>
        <v>4</v>
      </c>
    </row>
    <row r="536" customFormat="false" ht="15" hidden="false" customHeight="false" outlineLevel="0" collapsed="false">
      <c r="A536" s="11" t="s">
        <v>1837</v>
      </c>
      <c r="B536" s="9" t="n">
        <v>0</v>
      </c>
      <c r="C536" s="9" t="n">
        <v>0</v>
      </c>
      <c r="D536" s="9" t="n">
        <v>2</v>
      </c>
      <c r="E536" s="9" t="n">
        <v>2</v>
      </c>
      <c r="F536" s="9" t="n">
        <v>0</v>
      </c>
      <c r="G536" s="9" t="n">
        <v>2</v>
      </c>
      <c r="H536" s="9" t="n">
        <v>0</v>
      </c>
      <c r="I536" s="9" t="n">
        <v>0</v>
      </c>
      <c r="J536" s="9" t="n">
        <v>0</v>
      </c>
      <c r="K536" s="9" t="n">
        <v>0</v>
      </c>
      <c r="L536" s="9" t="n">
        <v>0</v>
      </c>
      <c r="M536" s="9" t="n">
        <v>0</v>
      </c>
      <c r="N536" s="12" t="n">
        <f aca="true">IFERROR(ROUND(SUM(OFFSET(B536,0,0,1,POSTAVKE!$B$7))/POSTAVKE!$B$7,2),0)</f>
        <v>0.75</v>
      </c>
    </row>
    <row r="537" customFormat="false" ht="15" hidden="false" customHeight="false" outlineLevel="0" collapsed="false">
      <c r="A537" s="11" t="s">
        <v>1592</v>
      </c>
      <c r="B537" s="9" t="n">
        <v>0</v>
      </c>
      <c r="C537" s="9" t="n">
        <v>0</v>
      </c>
      <c r="D537" s="9" t="n">
        <v>8</v>
      </c>
      <c r="E537" s="9" t="n">
        <v>0</v>
      </c>
      <c r="F537" s="9" t="n">
        <v>0</v>
      </c>
      <c r="G537" s="9" t="n">
        <v>2</v>
      </c>
      <c r="H537" s="9" t="n">
        <v>0</v>
      </c>
      <c r="I537" s="9" t="n">
        <v>0</v>
      </c>
      <c r="J537" s="9" t="n">
        <v>0</v>
      </c>
      <c r="K537" s="9" t="n">
        <v>0</v>
      </c>
      <c r="L537" s="9" t="n">
        <v>0</v>
      </c>
      <c r="M537" s="9" t="n">
        <v>0</v>
      </c>
      <c r="N537" s="12" t="n">
        <f aca="true">IFERROR(ROUND(SUM(OFFSET(B537,0,0,1,POSTAVKE!$B$7))/POSTAVKE!$B$7,2),0)</f>
        <v>1.25</v>
      </c>
    </row>
    <row r="538" customFormat="false" ht="15" hidden="false" customHeight="false" outlineLevel="0" collapsed="false">
      <c r="A538" s="11" t="s">
        <v>1272</v>
      </c>
      <c r="B538" s="9" t="n">
        <v>0</v>
      </c>
      <c r="C538" s="9" t="n">
        <v>0</v>
      </c>
      <c r="D538" s="9" t="n">
        <v>2</v>
      </c>
      <c r="E538" s="9" t="n">
        <v>0</v>
      </c>
      <c r="F538" s="9" t="n">
        <v>0</v>
      </c>
      <c r="G538" s="9" t="n">
        <v>3</v>
      </c>
      <c r="H538" s="9" t="n">
        <v>0</v>
      </c>
      <c r="I538" s="9" t="n">
        <v>0</v>
      </c>
      <c r="J538" s="9" t="n">
        <v>0</v>
      </c>
      <c r="K538" s="9" t="n">
        <v>0</v>
      </c>
      <c r="L538" s="9" t="n">
        <v>0</v>
      </c>
      <c r="M538" s="9" t="n">
        <v>0</v>
      </c>
      <c r="N538" s="12" t="n">
        <f aca="true">IFERROR(ROUND(SUM(OFFSET(B538,0,0,1,POSTAVKE!$B$7))/POSTAVKE!$B$7,2),0)</f>
        <v>0.63</v>
      </c>
    </row>
    <row r="539" customFormat="false" ht="15" hidden="false" customHeight="false" outlineLevel="0" collapsed="false">
      <c r="A539" s="11" t="s">
        <v>1594</v>
      </c>
      <c r="B539" s="9" t="n">
        <v>0</v>
      </c>
      <c r="C539" s="9" t="n">
        <v>0</v>
      </c>
      <c r="D539" s="9" t="n">
        <v>4</v>
      </c>
      <c r="E539" s="9" t="n">
        <v>3</v>
      </c>
      <c r="F539" s="9" t="n">
        <v>0</v>
      </c>
      <c r="G539" s="9" t="n">
        <v>2</v>
      </c>
      <c r="H539" s="9" t="n">
        <v>0</v>
      </c>
      <c r="I539" s="9" t="n">
        <v>0</v>
      </c>
      <c r="J539" s="9" t="n">
        <v>0</v>
      </c>
      <c r="K539" s="9" t="n">
        <v>0</v>
      </c>
      <c r="L539" s="9" t="n">
        <v>0</v>
      </c>
      <c r="M539" s="9" t="n">
        <v>0</v>
      </c>
      <c r="N539" s="12" t="n">
        <f aca="true">IFERROR(ROUND(SUM(OFFSET(B539,0,0,1,POSTAVKE!$B$7))/POSTAVKE!$B$7,2),0)</f>
        <v>1.13</v>
      </c>
    </row>
    <row r="540" customFormat="false" ht="15" hidden="false" customHeight="false" outlineLevel="0" collapsed="false">
      <c r="A540" s="11" t="s">
        <v>1839</v>
      </c>
      <c r="B540" s="9" t="n">
        <v>0</v>
      </c>
      <c r="C540" s="9" t="n">
        <v>0</v>
      </c>
      <c r="D540" s="9" t="n">
        <v>9</v>
      </c>
      <c r="E540" s="9" t="n">
        <v>0</v>
      </c>
      <c r="F540" s="9" t="n">
        <v>0</v>
      </c>
      <c r="G540" s="9" t="n">
        <v>11</v>
      </c>
      <c r="H540" s="9" t="n">
        <v>0</v>
      </c>
      <c r="I540" s="9" t="n">
        <v>0</v>
      </c>
      <c r="J540" s="9" t="n">
        <v>0</v>
      </c>
      <c r="K540" s="9" t="n">
        <v>0</v>
      </c>
      <c r="L540" s="9" t="n">
        <v>0</v>
      </c>
      <c r="M540" s="9" t="n">
        <v>0</v>
      </c>
      <c r="N540" s="12" t="n">
        <f aca="true">IFERROR(ROUND(SUM(OFFSET(B540,0,0,1,POSTAVKE!$B$7))/POSTAVKE!$B$7,2),0)</f>
        <v>2.5</v>
      </c>
    </row>
    <row r="541" customFormat="false" ht="15" hidden="false" customHeight="false" outlineLevel="0" collapsed="false">
      <c r="A541" s="11" t="s">
        <v>1841</v>
      </c>
      <c r="B541" s="9" t="n">
        <v>0</v>
      </c>
      <c r="C541" s="9" t="n">
        <v>0</v>
      </c>
      <c r="D541" s="9" t="n">
        <v>3</v>
      </c>
      <c r="E541" s="9" t="n">
        <v>0</v>
      </c>
      <c r="F541" s="9" t="n">
        <v>0</v>
      </c>
      <c r="G541" s="9" t="n">
        <v>0</v>
      </c>
      <c r="H541" s="9" t="n">
        <v>0</v>
      </c>
      <c r="I541" s="9" t="n">
        <v>0</v>
      </c>
      <c r="J541" s="9" t="n">
        <v>0</v>
      </c>
      <c r="K541" s="9" t="n">
        <v>0</v>
      </c>
      <c r="L541" s="9" t="n">
        <v>0</v>
      </c>
      <c r="M541" s="9" t="n">
        <v>0</v>
      </c>
      <c r="N541" s="12" t="n">
        <f aca="true">IFERROR(ROUND(SUM(OFFSET(B541,0,0,1,POSTAVKE!$B$7))/POSTAVKE!$B$7,2),0)</f>
        <v>0.38</v>
      </c>
    </row>
    <row r="542" customFormat="false" ht="15" hidden="false" customHeight="false" outlineLevel="0" collapsed="false">
      <c r="A542" s="11" t="s">
        <v>373</v>
      </c>
      <c r="B542" s="9" t="n">
        <v>0</v>
      </c>
      <c r="C542" s="9" t="n">
        <v>0</v>
      </c>
      <c r="D542" s="9" t="n">
        <v>0</v>
      </c>
      <c r="E542" s="9" t="n">
        <v>0</v>
      </c>
      <c r="F542" s="9" t="n">
        <v>0</v>
      </c>
      <c r="G542" s="9" t="n">
        <v>0</v>
      </c>
      <c r="H542" s="9" t="n">
        <v>0</v>
      </c>
      <c r="I542" s="9" t="n">
        <v>0</v>
      </c>
      <c r="J542" s="9" t="n">
        <v>0</v>
      </c>
      <c r="K542" s="9" t="n">
        <v>0</v>
      </c>
      <c r="L542" s="9" t="n">
        <v>0</v>
      </c>
      <c r="M542" s="9" t="n">
        <v>0</v>
      </c>
      <c r="N542" s="12" t="n">
        <f aca="true">IFERROR(ROUND(SUM(OFFSET(B542,0,0,1,POSTAVKE!$B$7))/POSTAVKE!$B$7,2),0)</f>
        <v>0</v>
      </c>
    </row>
    <row r="543" customFormat="false" ht="15" hidden="false" customHeight="false" outlineLevel="0" collapsed="false">
      <c r="A543" s="11" t="s">
        <v>947</v>
      </c>
      <c r="B543" s="9" t="n">
        <v>0</v>
      </c>
      <c r="C543" s="9" t="n">
        <v>0</v>
      </c>
      <c r="D543" s="9" t="n">
        <v>0</v>
      </c>
      <c r="E543" s="9" t="n">
        <v>0</v>
      </c>
      <c r="F543" s="9" t="n">
        <v>0</v>
      </c>
      <c r="G543" s="9" t="n">
        <v>0</v>
      </c>
      <c r="H543" s="9" t="n">
        <v>0</v>
      </c>
      <c r="I543" s="9" t="n">
        <v>0</v>
      </c>
      <c r="J543" s="9" t="n">
        <v>0</v>
      </c>
      <c r="K543" s="9" t="n">
        <v>0</v>
      </c>
      <c r="L543" s="9" t="n">
        <v>0</v>
      </c>
      <c r="M543" s="9" t="n">
        <v>0</v>
      </c>
      <c r="N543" s="12" t="n">
        <f aca="true">IFERROR(ROUND(SUM(OFFSET(B543,0,0,1,POSTAVKE!$B$7))/POSTAVKE!$B$7,2),0)</f>
        <v>0</v>
      </c>
    </row>
    <row r="544" customFormat="false" ht="15" hidden="false" customHeight="false" outlineLevel="0" collapsed="false">
      <c r="A544" s="11" t="s">
        <v>773</v>
      </c>
      <c r="B544" s="9" t="n">
        <v>0</v>
      </c>
      <c r="C544" s="9" t="n">
        <v>0</v>
      </c>
      <c r="D544" s="9" t="n">
        <v>1</v>
      </c>
      <c r="E544" s="9" t="n">
        <v>0</v>
      </c>
      <c r="F544" s="9" t="n">
        <v>0</v>
      </c>
      <c r="G544" s="9" t="n">
        <v>4</v>
      </c>
      <c r="H544" s="9" t="n">
        <v>1</v>
      </c>
      <c r="I544" s="9" t="n">
        <v>0</v>
      </c>
      <c r="J544" s="9" t="n">
        <v>0</v>
      </c>
      <c r="K544" s="9" t="n">
        <v>0</v>
      </c>
      <c r="L544" s="9" t="n">
        <v>0</v>
      </c>
      <c r="M544" s="9" t="n">
        <v>0</v>
      </c>
      <c r="N544" s="12" t="n">
        <f aca="true">IFERROR(ROUND(SUM(OFFSET(B544,0,0,1,POSTAVKE!$B$7))/POSTAVKE!$B$7,2),0)</f>
        <v>0.75</v>
      </c>
    </row>
    <row r="545" customFormat="false" ht="15" hidden="false" customHeight="false" outlineLevel="0" collapsed="false">
      <c r="A545" s="11" t="s">
        <v>1053</v>
      </c>
      <c r="B545" s="9" t="n">
        <v>0</v>
      </c>
      <c r="C545" s="9" t="n">
        <v>0</v>
      </c>
      <c r="D545" s="9" t="n">
        <v>1</v>
      </c>
      <c r="E545" s="9" t="n">
        <v>2</v>
      </c>
      <c r="F545" s="9" t="n">
        <v>0</v>
      </c>
      <c r="G545" s="9" t="n">
        <v>2</v>
      </c>
      <c r="H545" s="9" t="n">
        <v>0</v>
      </c>
      <c r="I545" s="9" t="n">
        <v>1</v>
      </c>
      <c r="J545" s="9" t="n">
        <v>0</v>
      </c>
      <c r="K545" s="9" t="n">
        <v>0</v>
      </c>
      <c r="L545" s="9" t="n">
        <v>0</v>
      </c>
      <c r="M545" s="9" t="n">
        <v>0</v>
      </c>
      <c r="N545" s="12" t="n">
        <f aca="true">IFERROR(ROUND(SUM(OFFSET(B545,0,0,1,POSTAVKE!$B$7))/POSTAVKE!$B$7,2),0)</f>
        <v>0.75</v>
      </c>
    </row>
    <row r="546" customFormat="false" ht="15" hidden="false" customHeight="false" outlineLevel="0" collapsed="false">
      <c r="A546" s="11" t="s">
        <v>1843</v>
      </c>
      <c r="B546" s="9" t="n">
        <v>0</v>
      </c>
      <c r="C546" s="9" t="n">
        <v>0</v>
      </c>
      <c r="D546" s="9" t="n">
        <v>16</v>
      </c>
      <c r="E546" s="9" t="n">
        <v>0</v>
      </c>
      <c r="F546" s="9" t="n">
        <v>0</v>
      </c>
      <c r="G546" s="9" t="n">
        <v>0</v>
      </c>
      <c r="H546" s="9" t="n">
        <v>0</v>
      </c>
      <c r="I546" s="9" t="n">
        <v>0</v>
      </c>
      <c r="J546" s="9" t="n">
        <v>0</v>
      </c>
      <c r="K546" s="9" t="n">
        <v>0</v>
      </c>
      <c r="L546" s="9" t="n">
        <v>0</v>
      </c>
      <c r="M546" s="9" t="n">
        <v>0</v>
      </c>
      <c r="N546" s="12" t="n">
        <f aca="true">IFERROR(ROUND(SUM(OFFSET(B546,0,0,1,POSTAVKE!$B$7))/POSTAVKE!$B$7,2),0)</f>
        <v>2</v>
      </c>
    </row>
    <row r="547" customFormat="false" ht="15" hidden="false" customHeight="false" outlineLevel="0" collapsed="false">
      <c r="A547" s="11" t="s">
        <v>1845</v>
      </c>
      <c r="B547" s="9" t="n">
        <v>0</v>
      </c>
      <c r="C547" s="9" t="n">
        <v>0</v>
      </c>
      <c r="D547" s="9" t="n">
        <v>0</v>
      </c>
      <c r="E547" s="9" t="n">
        <v>0</v>
      </c>
      <c r="F547" s="9" t="n">
        <v>0</v>
      </c>
      <c r="G547" s="9" t="n">
        <v>0</v>
      </c>
      <c r="H547" s="9" t="n">
        <v>0</v>
      </c>
      <c r="I547" s="9" t="n">
        <v>0</v>
      </c>
      <c r="J547" s="9" t="n">
        <v>0</v>
      </c>
      <c r="K547" s="9" t="n">
        <v>0</v>
      </c>
      <c r="L547" s="9" t="n">
        <v>0</v>
      </c>
      <c r="M547" s="9" t="n">
        <v>0</v>
      </c>
      <c r="N547" s="12" t="n">
        <f aca="true">IFERROR(ROUND(SUM(OFFSET(B547,0,0,1,POSTAVKE!$B$7))/POSTAVKE!$B$7,2),0)</f>
        <v>0</v>
      </c>
    </row>
    <row r="548" customFormat="false" ht="15" hidden="false" customHeight="false" outlineLevel="0" collapsed="false">
      <c r="A548" s="11" t="s">
        <v>177</v>
      </c>
      <c r="B548" s="9" t="n">
        <v>0</v>
      </c>
      <c r="C548" s="9" t="n">
        <v>0</v>
      </c>
      <c r="D548" s="9" t="n">
        <v>0</v>
      </c>
      <c r="E548" s="9" t="n">
        <v>0</v>
      </c>
      <c r="F548" s="9" t="n">
        <v>0</v>
      </c>
      <c r="G548" s="9" t="n">
        <v>0</v>
      </c>
      <c r="H548" s="9" t="n">
        <v>0</v>
      </c>
      <c r="I548" s="9" t="n">
        <v>2</v>
      </c>
      <c r="J548" s="9" t="n">
        <v>0</v>
      </c>
      <c r="K548" s="9" t="n">
        <v>0</v>
      </c>
      <c r="L548" s="9" t="n">
        <v>0</v>
      </c>
      <c r="M548" s="9" t="n">
        <v>0</v>
      </c>
      <c r="N548" s="12" t="n">
        <f aca="true">IFERROR(ROUND(SUM(OFFSET(B548,0,0,1,POSTAVKE!$B$7))/POSTAVKE!$B$7,2),0)</f>
        <v>0.25</v>
      </c>
    </row>
    <row r="549" customFormat="false" ht="15" hidden="false" customHeight="false" outlineLevel="0" collapsed="false">
      <c r="A549" s="11" t="s">
        <v>201</v>
      </c>
      <c r="B549" s="9" t="n">
        <v>0</v>
      </c>
      <c r="C549" s="9" t="n">
        <v>1</v>
      </c>
      <c r="D549" s="9" t="n">
        <v>0</v>
      </c>
      <c r="E549" s="9" t="n">
        <v>0</v>
      </c>
      <c r="F549" s="9" t="n">
        <v>2</v>
      </c>
      <c r="G549" s="9" t="n">
        <v>0</v>
      </c>
      <c r="H549" s="9" t="n">
        <v>0</v>
      </c>
      <c r="I549" s="9" t="n">
        <v>1</v>
      </c>
      <c r="J549" s="9" t="n">
        <v>0</v>
      </c>
      <c r="K549" s="9" t="n">
        <v>0</v>
      </c>
      <c r="L549" s="9" t="n">
        <v>0</v>
      </c>
      <c r="M549" s="9" t="n">
        <v>0</v>
      </c>
      <c r="N549" s="12" t="n">
        <f aca="true">IFERROR(ROUND(SUM(OFFSET(B549,0,0,1,POSTAVKE!$B$7))/POSTAVKE!$B$7,2),0)</f>
        <v>0.5</v>
      </c>
    </row>
    <row r="550" customFormat="false" ht="15" hidden="false" customHeight="false" outlineLevel="0" collapsed="false">
      <c r="A550" s="11" t="s">
        <v>215</v>
      </c>
      <c r="B550" s="9" t="n">
        <v>0</v>
      </c>
      <c r="C550" s="9" t="n">
        <v>0</v>
      </c>
      <c r="D550" s="9" t="n">
        <v>1</v>
      </c>
      <c r="E550" s="9" t="n">
        <v>0</v>
      </c>
      <c r="F550" s="9" t="n">
        <v>1</v>
      </c>
      <c r="G550" s="9" t="n">
        <v>0</v>
      </c>
      <c r="H550" s="9" t="n">
        <v>0</v>
      </c>
      <c r="I550" s="9" t="n">
        <v>0</v>
      </c>
      <c r="J550" s="9" t="n">
        <v>0</v>
      </c>
      <c r="K550" s="9" t="n">
        <v>0</v>
      </c>
      <c r="L550" s="9" t="n">
        <v>0</v>
      </c>
      <c r="M550" s="9" t="n">
        <v>0</v>
      </c>
      <c r="N550" s="12" t="n">
        <f aca="true">IFERROR(ROUND(SUM(OFFSET(B550,0,0,1,POSTAVKE!$B$7))/POSTAVKE!$B$7,2),0)</f>
        <v>0.25</v>
      </c>
    </row>
    <row r="551" customFormat="false" ht="15" hidden="false" customHeight="false" outlineLevel="0" collapsed="false">
      <c r="A551" s="11" t="s">
        <v>1055</v>
      </c>
      <c r="B551" s="9" t="n">
        <v>0</v>
      </c>
      <c r="C551" s="9" t="n">
        <v>2</v>
      </c>
      <c r="D551" s="9" t="n">
        <v>0</v>
      </c>
      <c r="E551" s="9" t="n">
        <v>3</v>
      </c>
      <c r="F551" s="9" t="n">
        <v>0</v>
      </c>
      <c r="G551" s="9" t="n">
        <v>2</v>
      </c>
      <c r="H551" s="9" t="n">
        <v>2</v>
      </c>
      <c r="I551" s="9" t="n">
        <v>2</v>
      </c>
      <c r="J551" s="9" t="n">
        <v>0</v>
      </c>
      <c r="K551" s="9" t="n">
        <v>0</v>
      </c>
      <c r="L551" s="9" t="n">
        <v>0</v>
      </c>
      <c r="M551" s="9" t="n">
        <v>0</v>
      </c>
      <c r="N551" s="12" t="n">
        <f aca="true">IFERROR(ROUND(SUM(OFFSET(B551,0,0,1,POSTAVKE!$B$7))/POSTAVKE!$B$7,2),0)</f>
        <v>1.38</v>
      </c>
    </row>
    <row r="552" customFormat="false" ht="15" hidden="false" customHeight="false" outlineLevel="0" collapsed="false">
      <c r="A552" s="11" t="s">
        <v>1847</v>
      </c>
      <c r="B552" s="9" t="n">
        <v>0</v>
      </c>
      <c r="C552" s="9" t="n">
        <v>0</v>
      </c>
      <c r="D552" s="9" t="n">
        <v>0</v>
      </c>
      <c r="E552" s="9" t="n">
        <v>0</v>
      </c>
      <c r="F552" s="9" t="n">
        <v>0</v>
      </c>
      <c r="G552" s="9" t="n">
        <v>0</v>
      </c>
      <c r="H552" s="9" t="n">
        <v>0</v>
      </c>
      <c r="I552" s="9" t="n">
        <v>0</v>
      </c>
      <c r="J552" s="9" t="n">
        <v>0</v>
      </c>
      <c r="K552" s="9" t="n">
        <v>0</v>
      </c>
      <c r="L552" s="9" t="n">
        <v>0</v>
      </c>
      <c r="M552" s="9" t="n">
        <v>0</v>
      </c>
      <c r="N552" s="12" t="n">
        <f aca="true">IFERROR(ROUND(SUM(OFFSET(B552,0,0,1,POSTAVKE!$B$7))/POSTAVKE!$B$7,2),0)</f>
        <v>0</v>
      </c>
    </row>
    <row r="553" customFormat="false" ht="15" hidden="false" customHeight="false" outlineLevel="0" collapsed="false">
      <c r="A553" s="11" t="s">
        <v>435</v>
      </c>
      <c r="B553" s="9" t="n">
        <v>0</v>
      </c>
      <c r="C553" s="9" t="n">
        <v>1</v>
      </c>
      <c r="D553" s="9" t="n">
        <v>2</v>
      </c>
      <c r="E553" s="9" t="n">
        <v>0</v>
      </c>
      <c r="F553" s="9" t="n">
        <v>0</v>
      </c>
      <c r="G553" s="9" t="n">
        <v>0</v>
      </c>
      <c r="H553" s="9" t="n">
        <v>1</v>
      </c>
      <c r="I553" s="9" t="n">
        <v>0</v>
      </c>
      <c r="J553" s="9" t="n">
        <v>0</v>
      </c>
      <c r="K553" s="9" t="n">
        <v>0</v>
      </c>
      <c r="L553" s="9" t="n">
        <v>0</v>
      </c>
      <c r="M553" s="9" t="n">
        <v>0</v>
      </c>
      <c r="N553" s="12" t="n">
        <f aca="true">IFERROR(ROUND(SUM(OFFSET(B553,0,0,1,POSTAVKE!$B$7))/POSTAVKE!$B$7,2),0)</f>
        <v>0.5</v>
      </c>
    </row>
    <row r="554" customFormat="false" ht="15" hidden="false" customHeight="false" outlineLevel="0" collapsed="false">
      <c r="A554" s="11" t="s">
        <v>261</v>
      </c>
      <c r="B554" s="9" t="n">
        <v>0</v>
      </c>
      <c r="C554" s="9" t="n">
        <v>2</v>
      </c>
      <c r="D554" s="9" t="n">
        <v>5</v>
      </c>
      <c r="E554" s="9" t="n">
        <v>0</v>
      </c>
      <c r="F554" s="9" t="n">
        <v>2</v>
      </c>
      <c r="G554" s="9" t="n">
        <v>2</v>
      </c>
      <c r="H554" s="9" t="n">
        <v>1</v>
      </c>
      <c r="I554" s="9" t="n">
        <v>4</v>
      </c>
      <c r="J554" s="9" t="n">
        <v>0</v>
      </c>
      <c r="K554" s="9" t="n">
        <v>0</v>
      </c>
      <c r="L554" s="9" t="n">
        <v>0</v>
      </c>
      <c r="M554" s="9" t="n">
        <v>0</v>
      </c>
      <c r="N554" s="12" t="n">
        <f aca="true">IFERROR(ROUND(SUM(OFFSET(B554,0,0,1,POSTAVKE!$B$7))/POSTAVKE!$B$7,2),0)</f>
        <v>2</v>
      </c>
    </row>
    <row r="555" customFormat="false" ht="15" hidden="false" customHeight="false" outlineLevel="0" collapsed="false">
      <c r="A555" s="11" t="s">
        <v>391</v>
      </c>
      <c r="B555" s="9" t="n">
        <v>0</v>
      </c>
      <c r="C555" s="9" t="n">
        <v>1</v>
      </c>
      <c r="D555" s="9" t="n">
        <v>1</v>
      </c>
      <c r="E555" s="9" t="n">
        <v>0</v>
      </c>
      <c r="F555" s="9" t="n">
        <v>0</v>
      </c>
      <c r="G555" s="9" t="n">
        <v>1</v>
      </c>
      <c r="H555" s="9" t="n">
        <v>0</v>
      </c>
      <c r="I555" s="9" t="n">
        <v>1</v>
      </c>
      <c r="J555" s="9" t="n">
        <v>0</v>
      </c>
      <c r="K555" s="9" t="n">
        <v>0</v>
      </c>
      <c r="L555" s="9" t="n">
        <v>0</v>
      </c>
      <c r="M555" s="9" t="n">
        <v>0</v>
      </c>
      <c r="N555" s="12" t="n">
        <f aca="true">IFERROR(ROUND(SUM(OFFSET(B555,0,0,1,POSTAVKE!$B$7))/POSTAVKE!$B$7,2),0)</f>
        <v>0.5</v>
      </c>
    </row>
    <row r="556" customFormat="false" ht="15" hidden="false" customHeight="false" outlineLevel="0" collapsed="false">
      <c r="A556" s="11" t="s">
        <v>883</v>
      </c>
      <c r="B556" s="9" t="n">
        <v>0</v>
      </c>
      <c r="C556" s="9" t="n">
        <v>0</v>
      </c>
      <c r="D556" s="9" t="n">
        <v>0</v>
      </c>
      <c r="E556" s="9" t="n">
        <v>0</v>
      </c>
      <c r="F556" s="9" t="n">
        <v>0</v>
      </c>
      <c r="G556" s="9" t="n">
        <v>0</v>
      </c>
      <c r="H556" s="9" t="n">
        <v>0</v>
      </c>
      <c r="I556" s="9" t="n">
        <v>0</v>
      </c>
      <c r="J556" s="9" t="n">
        <v>0</v>
      </c>
      <c r="K556" s="9" t="n">
        <v>0</v>
      </c>
      <c r="L556" s="9" t="n">
        <v>0</v>
      </c>
      <c r="M556" s="9" t="n">
        <v>0</v>
      </c>
      <c r="N556" s="12" t="n">
        <f aca="true">IFERROR(ROUND(SUM(OFFSET(B556,0,0,1,POSTAVKE!$B$7))/POSTAVKE!$B$7,2),0)</f>
        <v>0</v>
      </c>
    </row>
    <row r="557" customFormat="false" ht="15" hidden="false" customHeight="false" outlineLevel="0" collapsed="false">
      <c r="A557" s="11" t="s">
        <v>1600</v>
      </c>
      <c r="B557" s="9" t="n">
        <v>0</v>
      </c>
      <c r="C557" s="9" t="n">
        <v>-1</v>
      </c>
      <c r="D557" s="9" t="n">
        <v>0</v>
      </c>
      <c r="E557" s="9" t="n">
        <v>0</v>
      </c>
      <c r="F557" s="9" t="n">
        <v>0</v>
      </c>
      <c r="G557" s="9" t="n">
        <v>0</v>
      </c>
      <c r="H557" s="9" t="n">
        <v>0</v>
      </c>
      <c r="I557" s="9" t="n">
        <v>0</v>
      </c>
      <c r="J557" s="9" t="n">
        <v>0</v>
      </c>
      <c r="K557" s="9" t="n">
        <v>0</v>
      </c>
      <c r="L557" s="9" t="n">
        <v>0</v>
      </c>
      <c r="M557" s="9" t="n">
        <v>0</v>
      </c>
      <c r="N557" s="12" t="n">
        <f aca="true">IFERROR(ROUND(SUM(OFFSET(B557,0,0,1,POSTAVKE!$B$7))/POSTAVKE!$B$7,2),0)</f>
        <v>-0.13</v>
      </c>
    </row>
    <row r="558" customFormat="false" ht="15" hidden="false" customHeight="false" outlineLevel="0" collapsed="false">
      <c r="A558" s="11" t="s">
        <v>1849</v>
      </c>
      <c r="B558" s="9" t="n">
        <v>0</v>
      </c>
      <c r="C558" s="9" t="n">
        <v>1</v>
      </c>
      <c r="D558" s="9" t="n">
        <v>0</v>
      </c>
      <c r="E558" s="9" t="n">
        <v>-1</v>
      </c>
      <c r="F558" s="9" t="n">
        <v>0</v>
      </c>
      <c r="G558" s="9" t="n">
        <v>0</v>
      </c>
      <c r="H558" s="9" t="n">
        <v>0</v>
      </c>
      <c r="I558" s="9" t="n">
        <v>0</v>
      </c>
      <c r="J558" s="9" t="n">
        <v>0</v>
      </c>
      <c r="K558" s="9" t="n">
        <v>0</v>
      </c>
      <c r="L558" s="9" t="n">
        <v>0</v>
      </c>
      <c r="M558" s="9" t="n">
        <v>0</v>
      </c>
      <c r="N558" s="12" t="n">
        <f aca="true">IFERROR(ROUND(SUM(OFFSET(B558,0,0,1,POSTAVKE!$B$7))/POSTAVKE!$B$7,2),0)</f>
        <v>0</v>
      </c>
    </row>
    <row r="559" customFormat="false" ht="15" hidden="false" customHeight="false" outlineLevel="0" collapsed="false">
      <c r="A559" s="11" t="s">
        <v>469</v>
      </c>
      <c r="B559" s="9" t="n">
        <v>0</v>
      </c>
      <c r="C559" s="9" t="n">
        <v>0</v>
      </c>
      <c r="D559" s="9" t="n">
        <v>3</v>
      </c>
      <c r="E559" s="9" t="n">
        <v>2</v>
      </c>
      <c r="F559" s="9" t="n">
        <v>0</v>
      </c>
      <c r="G559" s="9" t="n">
        <v>2</v>
      </c>
      <c r="H559" s="9" t="n">
        <v>4</v>
      </c>
      <c r="I559" s="9" t="n">
        <v>1</v>
      </c>
      <c r="J559" s="9" t="n">
        <v>0</v>
      </c>
      <c r="K559" s="9" t="n">
        <v>0</v>
      </c>
      <c r="L559" s="9" t="n">
        <v>0</v>
      </c>
      <c r="M559" s="9" t="n">
        <v>0</v>
      </c>
      <c r="N559" s="12" t="n">
        <f aca="true">IFERROR(ROUND(SUM(OFFSET(B559,0,0,1,POSTAVKE!$B$7))/POSTAVKE!$B$7,2),0)</f>
        <v>1.5</v>
      </c>
    </row>
    <row r="560" customFormat="false" ht="15" hidden="false" customHeight="false" outlineLevel="0" collapsed="false">
      <c r="A560" s="11" t="s">
        <v>755</v>
      </c>
      <c r="B560" s="9" t="n">
        <v>0</v>
      </c>
      <c r="C560" s="9" t="n">
        <v>4</v>
      </c>
      <c r="D560" s="9" t="n">
        <v>1</v>
      </c>
      <c r="E560" s="9" t="n">
        <v>4</v>
      </c>
      <c r="F560" s="9" t="n">
        <v>0</v>
      </c>
      <c r="G560" s="9" t="n">
        <v>1</v>
      </c>
      <c r="H560" s="9" t="n">
        <v>1</v>
      </c>
      <c r="I560" s="9" t="n">
        <v>0</v>
      </c>
      <c r="J560" s="9" t="n">
        <v>0</v>
      </c>
      <c r="K560" s="9" t="n">
        <v>0</v>
      </c>
      <c r="L560" s="9" t="n">
        <v>0</v>
      </c>
      <c r="M560" s="9" t="n">
        <v>0</v>
      </c>
      <c r="N560" s="12" t="n">
        <f aca="true">IFERROR(ROUND(SUM(OFFSET(B560,0,0,1,POSTAVKE!$B$7))/POSTAVKE!$B$7,2),0)</f>
        <v>1.38</v>
      </c>
    </row>
    <row r="561" customFormat="false" ht="15" hidden="false" customHeight="false" outlineLevel="0" collapsed="false">
      <c r="A561" s="11" t="s">
        <v>1057</v>
      </c>
      <c r="B561" s="9" t="n">
        <v>0</v>
      </c>
      <c r="C561" s="9" t="n">
        <v>0</v>
      </c>
      <c r="D561" s="9" t="n">
        <v>0</v>
      </c>
      <c r="E561" s="9" t="n">
        <v>0</v>
      </c>
      <c r="F561" s="9" t="n">
        <v>0</v>
      </c>
      <c r="G561" s="9" t="n">
        <v>0</v>
      </c>
      <c r="H561" s="9" t="n">
        <v>0</v>
      </c>
      <c r="I561" s="9" t="n">
        <v>2</v>
      </c>
      <c r="J561" s="9" t="n">
        <v>0</v>
      </c>
      <c r="K561" s="9" t="n">
        <v>0</v>
      </c>
      <c r="L561" s="9" t="n">
        <v>0</v>
      </c>
      <c r="M561" s="9" t="n">
        <v>0</v>
      </c>
      <c r="N561" s="12" t="n">
        <f aca="true">IFERROR(ROUND(SUM(OFFSET(B561,0,0,1,POSTAVKE!$B$7))/POSTAVKE!$B$7,2),0)</f>
        <v>0.25</v>
      </c>
    </row>
    <row r="562" customFormat="false" ht="15" hidden="false" customHeight="false" outlineLevel="0" collapsed="false">
      <c r="A562" s="11" t="s">
        <v>837</v>
      </c>
      <c r="B562" s="9" t="n">
        <v>0</v>
      </c>
      <c r="C562" s="9" t="n">
        <v>3</v>
      </c>
      <c r="D562" s="9" t="n">
        <v>4</v>
      </c>
      <c r="E562" s="9" t="n">
        <v>8</v>
      </c>
      <c r="F562" s="9" t="n">
        <v>1</v>
      </c>
      <c r="G562" s="9" t="n">
        <v>1</v>
      </c>
      <c r="H562" s="9" t="n">
        <v>2</v>
      </c>
      <c r="I562" s="9" t="n">
        <v>3</v>
      </c>
      <c r="J562" s="9" t="n">
        <v>0</v>
      </c>
      <c r="K562" s="9" t="n">
        <v>0</v>
      </c>
      <c r="L562" s="9" t="n">
        <v>0</v>
      </c>
      <c r="M562" s="9" t="n">
        <v>0</v>
      </c>
      <c r="N562" s="12" t="n">
        <f aca="true">IFERROR(ROUND(SUM(OFFSET(B562,0,0,1,POSTAVKE!$B$7))/POSTAVKE!$B$7,2),0)</f>
        <v>2.75</v>
      </c>
    </row>
    <row r="563" customFormat="false" ht="15" hidden="false" customHeight="false" outlineLevel="0" collapsed="false">
      <c r="A563" s="11" t="s">
        <v>1137</v>
      </c>
      <c r="B563" s="9" t="n">
        <v>0</v>
      </c>
      <c r="C563" s="9" t="n">
        <v>0</v>
      </c>
      <c r="D563" s="9" t="n">
        <v>0</v>
      </c>
      <c r="E563" s="9" t="n">
        <v>2</v>
      </c>
      <c r="F563" s="9" t="n">
        <v>1</v>
      </c>
      <c r="G563" s="9" t="n">
        <v>0</v>
      </c>
      <c r="H563" s="9" t="n">
        <v>0</v>
      </c>
      <c r="I563" s="9" t="n">
        <v>0</v>
      </c>
      <c r="J563" s="9" t="n">
        <v>0</v>
      </c>
      <c r="K563" s="9" t="n">
        <v>0</v>
      </c>
      <c r="L563" s="9" t="n">
        <v>0</v>
      </c>
      <c r="M563" s="9" t="n">
        <v>0</v>
      </c>
      <c r="N563" s="12" t="n">
        <f aca="true">IFERROR(ROUND(SUM(OFFSET(B563,0,0,1,POSTAVKE!$B$7))/POSTAVKE!$B$7,2),0)</f>
        <v>0.38</v>
      </c>
    </row>
    <row r="564" customFormat="false" ht="15" hidden="false" customHeight="false" outlineLevel="0" collapsed="false">
      <c r="A564" s="11" t="s">
        <v>1851</v>
      </c>
      <c r="B564" s="9" t="n">
        <v>0</v>
      </c>
      <c r="C564" s="9" t="n">
        <v>-1</v>
      </c>
      <c r="D564" s="9" t="n">
        <v>0</v>
      </c>
      <c r="E564" s="9" t="n">
        <v>0</v>
      </c>
      <c r="F564" s="9" t="n">
        <v>0</v>
      </c>
      <c r="G564" s="9" t="n">
        <v>0</v>
      </c>
      <c r="H564" s="9" t="n">
        <v>0</v>
      </c>
      <c r="I564" s="9" t="n">
        <v>0</v>
      </c>
      <c r="J564" s="9" t="n">
        <v>0</v>
      </c>
      <c r="K564" s="9" t="n">
        <v>0</v>
      </c>
      <c r="L564" s="9" t="n">
        <v>0</v>
      </c>
      <c r="M564" s="9" t="n">
        <v>0</v>
      </c>
      <c r="N564" s="12" t="n">
        <f aca="true">IFERROR(ROUND(SUM(OFFSET(B564,0,0,1,POSTAVKE!$B$7))/POSTAVKE!$B$7,2),0)</f>
        <v>-0.13</v>
      </c>
    </row>
    <row r="565" customFormat="false" ht="15" hidden="false" customHeight="false" outlineLevel="0" collapsed="false">
      <c r="A565" s="11" t="s">
        <v>1280</v>
      </c>
      <c r="B565" s="9" t="n">
        <v>0</v>
      </c>
      <c r="C565" s="9" t="n">
        <v>-1</v>
      </c>
      <c r="D565" s="9" t="n">
        <v>0</v>
      </c>
      <c r="E565" s="9" t="n">
        <v>0</v>
      </c>
      <c r="F565" s="9" t="n">
        <v>0</v>
      </c>
      <c r="G565" s="9" t="n">
        <v>0</v>
      </c>
      <c r="H565" s="9" t="n">
        <v>0</v>
      </c>
      <c r="I565" s="9" t="n">
        <v>0</v>
      </c>
      <c r="J565" s="9" t="n">
        <v>0</v>
      </c>
      <c r="K565" s="9" t="n">
        <v>0</v>
      </c>
      <c r="L565" s="9" t="n">
        <v>0</v>
      </c>
      <c r="M565" s="9" t="n">
        <v>0</v>
      </c>
      <c r="N565" s="12" t="n">
        <f aca="true">IFERROR(ROUND(SUM(OFFSET(B565,0,0,1,POSTAVKE!$B$7))/POSTAVKE!$B$7,2),0)</f>
        <v>-0.13</v>
      </c>
    </row>
    <row r="566" customFormat="false" ht="15" hidden="false" customHeight="false" outlineLevel="0" collapsed="false">
      <c r="A566" s="11" t="s">
        <v>1853</v>
      </c>
      <c r="B566" s="9" t="n">
        <v>0</v>
      </c>
      <c r="C566" s="9" t="n">
        <v>0</v>
      </c>
      <c r="D566" s="9" t="n">
        <v>0</v>
      </c>
      <c r="E566" s="9" t="n">
        <v>1</v>
      </c>
      <c r="F566" s="9" t="n">
        <v>0</v>
      </c>
      <c r="G566" s="9" t="n">
        <v>0</v>
      </c>
      <c r="H566" s="9" t="n">
        <v>0</v>
      </c>
      <c r="I566" s="9" t="n">
        <v>0</v>
      </c>
      <c r="J566" s="9" t="n">
        <v>0</v>
      </c>
      <c r="K566" s="9" t="n">
        <v>0</v>
      </c>
      <c r="L566" s="9" t="n">
        <v>0</v>
      </c>
      <c r="M566" s="9" t="n">
        <v>0</v>
      </c>
      <c r="N566" s="12" t="n">
        <f aca="true">IFERROR(ROUND(SUM(OFFSET(B566,0,0,1,POSTAVKE!$B$7))/POSTAVKE!$B$7,2),0)</f>
        <v>0.13</v>
      </c>
    </row>
    <row r="567" customFormat="false" ht="15" hidden="false" customHeight="false" outlineLevel="0" collapsed="false">
      <c r="A567" s="11" t="s">
        <v>1059</v>
      </c>
      <c r="B567" s="9" t="n">
        <v>0</v>
      </c>
      <c r="C567" s="9" t="n">
        <v>2</v>
      </c>
      <c r="D567" s="9" t="n">
        <v>0</v>
      </c>
      <c r="E567" s="9" t="n">
        <v>1</v>
      </c>
      <c r="F567" s="9" t="n">
        <v>0</v>
      </c>
      <c r="G567" s="9" t="n">
        <v>0</v>
      </c>
      <c r="H567" s="9" t="n">
        <v>3</v>
      </c>
      <c r="I567" s="9" t="n">
        <v>5</v>
      </c>
      <c r="J567" s="9" t="n">
        <v>0</v>
      </c>
      <c r="K567" s="9" t="n">
        <v>0</v>
      </c>
      <c r="L567" s="9" t="n">
        <v>0</v>
      </c>
      <c r="M567" s="9" t="n">
        <v>0</v>
      </c>
      <c r="N567" s="12" t="n">
        <f aca="true">IFERROR(ROUND(SUM(OFFSET(B567,0,0,1,POSTAVKE!$B$7))/POSTAVKE!$B$7,2),0)</f>
        <v>1.38</v>
      </c>
    </row>
    <row r="568" customFormat="false" ht="15" hidden="false" customHeight="false" outlineLevel="0" collapsed="false">
      <c r="A568" s="11" t="s">
        <v>423</v>
      </c>
      <c r="B568" s="9" t="n">
        <v>0</v>
      </c>
      <c r="C568" s="9" t="n">
        <v>0</v>
      </c>
      <c r="D568" s="9" t="n">
        <v>0</v>
      </c>
      <c r="E568" s="9" t="n">
        <v>1</v>
      </c>
      <c r="F568" s="9" t="n">
        <v>0</v>
      </c>
      <c r="G568" s="9" t="n">
        <v>0</v>
      </c>
      <c r="H568" s="9" t="n">
        <v>0</v>
      </c>
      <c r="I568" s="9" t="n">
        <v>0</v>
      </c>
      <c r="J568" s="9" t="n">
        <v>0</v>
      </c>
      <c r="K568" s="9" t="n">
        <v>0</v>
      </c>
      <c r="L568" s="9" t="n">
        <v>0</v>
      </c>
      <c r="M568" s="9" t="n">
        <v>0</v>
      </c>
      <c r="N568" s="12" t="n">
        <f aca="true">IFERROR(ROUND(SUM(OFFSET(B568,0,0,1,POSTAVKE!$B$7))/POSTAVKE!$B$7,2),0)</f>
        <v>0.13</v>
      </c>
    </row>
    <row r="569" customFormat="false" ht="15" hidden="false" customHeight="false" outlineLevel="0" collapsed="false">
      <c r="A569" s="11" t="s">
        <v>1855</v>
      </c>
      <c r="B569" s="9" t="n">
        <v>0</v>
      </c>
      <c r="C569" s="9" t="n">
        <v>0</v>
      </c>
      <c r="D569" s="9" t="n">
        <v>0</v>
      </c>
      <c r="E569" s="9" t="n">
        <v>1</v>
      </c>
      <c r="F569" s="9" t="n">
        <v>0</v>
      </c>
      <c r="G569" s="9" t="n">
        <v>0</v>
      </c>
      <c r="H569" s="9" t="n">
        <v>0</v>
      </c>
      <c r="I569" s="9" t="n">
        <v>0</v>
      </c>
      <c r="J569" s="9" t="n">
        <v>0</v>
      </c>
      <c r="K569" s="9" t="n">
        <v>0</v>
      </c>
      <c r="L569" s="9" t="n">
        <v>0</v>
      </c>
      <c r="M569" s="9" t="n">
        <v>0</v>
      </c>
      <c r="N569" s="12" t="n">
        <f aca="true">IFERROR(ROUND(SUM(OFFSET(B569,0,0,1,POSTAVKE!$B$7))/POSTAVKE!$B$7,2),0)</f>
        <v>0.13</v>
      </c>
    </row>
    <row r="570" customFormat="false" ht="15" hidden="false" customHeight="false" outlineLevel="0" collapsed="false">
      <c r="A570" s="11" t="s">
        <v>1857</v>
      </c>
      <c r="B570" s="9" t="n">
        <v>0</v>
      </c>
      <c r="C570" s="9" t="n">
        <v>0</v>
      </c>
      <c r="D570" s="9" t="n">
        <v>0</v>
      </c>
      <c r="E570" s="9" t="n">
        <v>-1</v>
      </c>
      <c r="F570" s="9" t="n">
        <v>0</v>
      </c>
      <c r="G570" s="9" t="n">
        <v>0</v>
      </c>
      <c r="H570" s="9" t="n">
        <v>0</v>
      </c>
      <c r="I570" s="9" t="n">
        <v>0</v>
      </c>
      <c r="J570" s="9" t="n">
        <v>0</v>
      </c>
      <c r="K570" s="9" t="n">
        <v>0</v>
      </c>
      <c r="L570" s="9" t="n">
        <v>0</v>
      </c>
      <c r="M570" s="9" t="n">
        <v>0</v>
      </c>
      <c r="N570" s="12" t="n">
        <f aca="true">IFERROR(ROUND(SUM(OFFSET(B570,0,0,1,POSTAVKE!$B$7))/POSTAVKE!$B$7,2),0)</f>
        <v>-0.13</v>
      </c>
    </row>
    <row r="571" customFormat="false" ht="15" hidden="false" customHeight="false" outlineLevel="0" collapsed="false">
      <c r="A571" s="11" t="s">
        <v>337</v>
      </c>
      <c r="B571" s="9" t="n">
        <v>0</v>
      </c>
      <c r="C571" s="9" t="n">
        <v>3</v>
      </c>
      <c r="D571" s="9" t="n">
        <v>4</v>
      </c>
      <c r="E571" s="9" t="n">
        <v>1</v>
      </c>
      <c r="F571" s="9" t="n">
        <v>0</v>
      </c>
      <c r="G571" s="9" t="n">
        <v>4</v>
      </c>
      <c r="H571" s="9" t="n">
        <v>5</v>
      </c>
      <c r="I571" s="9" t="n">
        <v>0</v>
      </c>
      <c r="J571" s="9" t="n">
        <v>0</v>
      </c>
      <c r="K571" s="9" t="n">
        <v>0</v>
      </c>
      <c r="L571" s="9" t="n">
        <v>0</v>
      </c>
      <c r="M571" s="9" t="n">
        <v>0</v>
      </c>
      <c r="N571" s="12" t="n">
        <f aca="true">IFERROR(ROUND(SUM(OFFSET(B571,0,0,1,POSTAVKE!$B$7))/POSTAVKE!$B$7,2),0)</f>
        <v>2.13</v>
      </c>
    </row>
    <row r="572" customFormat="false" ht="15" hidden="false" customHeight="false" outlineLevel="0" collapsed="false">
      <c r="A572" s="11" t="s">
        <v>775</v>
      </c>
      <c r="B572" s="9" t="n">
        <v>0</v>
      </c>
      <c r="C572" s="9" t="n">
        <v>1</v>
      </c>
      <c r="D572" s="9" t="n">
        <v>4</v>
      </c>
      <c r="E572" s="9" t="n">
        <v>1</v>
      </c>
      <c r="F572" s="9" t="n">
        <v>0</v>
      </c>
      <c r="G572" s="9" t="n">
        <v>3</v>
      </c>
      <c r="H572" s="9" t="n">
        <v>3</v>
      </c>
      <c r="I572" s="9" t="n">
        <v>2</v>
      </c>
      <c r="J572" s="9" t="n">
        <v>0</v>
      </c>
      <c r="K572" s="9" t="n">
        <v>0</v>
      </c>
      <c r="L572" s="9" t="n">
        <v>0</v>
      </c>
      <c r="M572" s="9" t="n">
        <v>0</v>
      </c>
      <c r="N572" s="12" t="n">
        <f aca="true">IFERROR(ROUND(SUM(OFFSET(B572,0,0,1,POSTAVKE!$B$7))/POSTAVKE!$B$7,2),0)</f>
        <v>1.75</v>
      </c>
    </row>
    <row r="573" customFormat="false" ht="15" hidden="false" customHeight="false" outlineLevel="0" collapsed="false">
      <c r="A573" s="11" t="s">
        <v>1859</v>
      </c>
      <c r="B573" s="9" t="n">
        <v>0</v>
      </c>
      <c r="C573" s="9" t="n">
        <v>0</v>
      </c>
      <c r="D573" s="9" t="n">
        <v>0</v>
      </c>
      <c r="E573" s="9" t="n">
        <v>0</v>
      </c>
      <c r="F573" s="9" t="n">
        <v>0</v>
      </c>
      <c r="G573" s="9" t="n">
        <v>0</v>
      </c>
      <c r="H573" s="9" t="n">
        <v>0</v>
      </c>
      <c r="I573" s="9" t="n">
        <v>1</v>
      </c>
      <c r="J573" s="9" t="n">
        <v>0</v>
      </c>
      <c r="K573" s="9" t="n">
        <v>0</v>
      </c>
      <c r="L573" s="9" t="n">
        <v>0</v>
      </c>
      <c r="M573" s="9" t="n">
        <v>0</v>
      </c>
      <c r="N573" s="12" t="n">
        <f aca="true">IFERROR(ROUND(SUM(OFFSET(B573,0,0,1,POSTAVKE!$B$7))/POSTAVKE!$B$7,2),0)</f>
        <v>0.13</v>
      </c>
    </row>
    <row r="574" customFormat="false" ht="15" hidden="false" customHeight="false" outlineLevel="0" collapsed="false">
      <c r="A574" s="11" t="s">
        <v>1861</v>
      </c>
      <c r="B574" s="9" t="n">
        <v>0</v>
      </c>
      <c r="C574" s="9" t="n">
        <v>0</v>
      </c>
      <c r="D574" s="9" t="n">
        <v>0</v>
      </c>
      <c r="E574" s="9" t="n">
        <v>0</v>
      </c>
      <c r="F574" s="9" t="n">
        <v>-1</v>
      </c>
      <c r="G574" s="9" t="n">
        <v>0</v>
      </c>
      <c r="H574" s="9" t="n">
        <v>0</v>
      </c>
      <c r="I574" s="9" t="n">
        <v>0</v>
      </c>
      <c r="J574" s="9" t="n">
        <v>0</v>
      </c>
      <c r="K574" s="9" t="n">
        <v>0</v>
      </c>
      <c r="L574" s="9" t="n">
        <v>0</v>
      </c>
      <c r="M574" s="9" t="n">
        <v>0</v>
      </c>
      <c r="N574" s="12" t="n">
        <f aca="true">IFERROR(ROUND(SUM(OFFSET(B574,0,0,1,POSTAVKE!$B$7))/POSTAVKE!$B$7,2),0)</f>
        <v>-0.13</v>
      </c>
    </row>
    <row r="575" customFormat="false" ht="15" hidden="false" customHeight="false" outlineLevel="0" collapsed="false">
      <c r="A575" s="11" t="s">
        <v>1863</v>
      </c>
      <c r="B575" s="9" t="n">
        <v>0</v>
      </c>
      <c r="C575" s="9" t="n">
        <v>0</v>
      </c>
      <c r="D575" s="9" t="n">
        <v>0</v>
      </c>
      <c r="E575" s="9" t="n">
        <v>0</v>
      </c>
      <c r="F575" s="9" t="n">
        <v>1</v>
      </c>
      <c r="G575" s="9" t="n">
        <v>0</v>
      </c>
      <c r="H575" s="9" t="n">
        <v>0</v>
      </c>
      <c r="I575" s="9" t="n">
        <v>0</v>
      </c>
      <c r="J575" s="9" t="n">
        <v>0</v>
      </c>
      <c r="K575" s="9" t="n">
        <v>0</v>
      </c>
      <c r="L575" s="9" t="n">
        <v>0</v>
      </c>
      <c r="M575" s="9" t="n">
        <v>0</v>
      </c>
      <c r="N575" s="12" t="n">
        <f aca="true">IFERROR(ROUND(SUM(OFFSET(B575,0,0,1,POSTAVKE!$B$7))/POSTAVKE!$B$7,2),0)</f>
        <v>0.13</v>
      </c>
    </row>
    <row r="576" customFormat="false" ht="15" hidden="false" customHeight="false" outlineLevel="0" collapsed="false">
      <c r="A576" s="11" t="s">
        <v>1606</v>
      </c>
      <c r="B576" s="9" t="n">
        <v>0</v>
      </c>
      <c r="C576" s="9" t="n">
        <v>1</v>
      </c>
      <c r="D576" s="9" t="n">
        <v>0</v>
      </c>
      <c r="E576" s="9" t="n">
        <v>1</v>
      </c>
      <c r="F576" s="9" t="n">
        <v>0</v>
      </c>
      <c r="G576" s="9" t="n">
        <v>0</v>
      </c>
      <c r="H576" s="9" t="n">
        <v>0</v>
      </c>
      <c r="I576" s="9" t="n">
        <v>0</v>
      </c>
      <c r="J576" s="9" t="n">
        <v>0</v>
      </c>
      <c r="K576" s="9" t="n">
        <v>0</v>
      </c>
      <c r="L576" s="9" t="n">
        <v>0</v>
      </c>
      <c r="M576" s="9" t="n">
        <v>0</v>
      </c>
      <c r="N576" s="12" t="n">
        <f aca="true">IFERROR(ROUND(SUM(OFFSET(B576,0,0,1,POSTAVKE!$B$7))/POSTAVKE!$B$7,2),0)</f>
        <v>0.25</v>
      </c>
    </row>
    <row r="577" customFormat="false" ht="15" hidden="false" customHeight="false" outlineLevel="0" collapsed="false">
      <c r="A577" s="11" t="s">
        <v>1865</v>
      </c>
      <c r="B577" s="9" t="n">
        <v>0</v>
      </c>
      <c r="C577" s="9" t="n">
        <v>0</v>
      </c>
      <c r="D577" s="9" t="n">
        <v>5</v>
      </c>
      <c r="E577" s="9" t="n">
        <v>0</v>
      </c>
      <c r="F577" s="9" t="n">
        <v>0</v>
      </c>
      <c r="G577" s="9" t="n">
        <v>0</v>
      </c>
      <c r="H577" s="9" t="n">
        <v>0</v>
      </c>
      <c r="I577" s="9" t="n">
        <v>0</v>
      </c>
      <c r="J577" s="9" t="n">
        <v>0</v>
      </c>
      <c r="K577" s="9" t="n">
        <v>0</v>
      </c>
      <c r="L577" s="9" t="n">
        <v>0</v>
      </c>
      <c r="M577" s="9" t="n">
        <v>0</v>
      </c>
      <c r="N577" s="12" t="n">
        <f aca="true">IFERROR(ROUND(SUM(OFFSET(B577,0,0,1,POSTAVKE!$B$7))/POSTAVKE!$B$7,2),0)</f>
        <v>0.63</v>
      </c>
    </row>
    <row r="578" customFormat="false" ht="15" hidden="false" customHeight="false" outlineLevel="0" collapsed="false">
      <c r="A578" s="11" t="s">
        <v>1867</v>
      </c>
      <c r="B578" s="9" t="n">
        <v>0</v>
      </c>
      <c r="C578" s="9" t="n">
        <v>0</v>
      </c>
      <c r="D578" s="9" t="n">
        <v>8</v>
      </c>
      <c r="E578" s="9" t="n">
        <v>0</v>
      </c>
      <c r="F578" s="9" t="n">
        <v>0</v>
      </c>
      <c r="G578" s="9" t="n">
        <v>0</v>
      </c>
      <c r="H578" s="9" t="n">
        <v>0</v>
      </c>
      <c r="I578" s="9" t="n">
        <v>0</v>
      </c>
      <c r="J578" s="9" t="n">
        <v>0</v>
      </c>
      <c r="K578" s="9" t="n">
        <v>0</v>
      </c>
      <c r="L578" s="9" t="n">
        <v>0</v>
      </c>
      <c r="M578" s="9" t="n">
        <v>0</v>
      </c>
      <c r="N578" s="12" t="n">
        <f aca="true">IFERROR(ROUND(SUM(OFFSET(B578,0,0,1,POSTAVKE!$B$7))/POSTAVKE!$B$7,2),0)</f>
        <v>1</v>
      </c>
    </row>
    <row r="579" customFormat="false" ht="15" hidden="false" customHeight="false" outlineLevel="0" collapsed="false">
      <c r="A579" s="11" t="s">
        <v>777</v>
      </c>
      <c r="B579" s="9" t="n">
        <v>0</v>
      </c>
      <c r="C579" s="9" t="n">
        <v>1</v>
      </c>
      <c r="D579" s="9" t="n">
        <v>3</v>
      </c>
      <c r="E579" s="9" t="n">
        <v>3</v>
      </c>
      <c r="F579" s="9" t="n">
        <v>0</v>
      </c>
      <c r="G579" s="9" t="n">
        <v>1</v>
      </c>
      <c r="H579" s="9" t="n">
        <v>1</v>
      </c>
      <c r="I579" s="9" t="n">
        <v>1</v>
      </c>
      <c r="J579" s="9" t="n">
        <v>0</v>
      </c>
      <c r="K579" s="9" t="n">
        <v>0</v>
      </c>
      <c r="L579" s="9" t="n">
        <v>0</v>
      </c>
      <c r="M579" s="9" t="n">
        <v>0</v>
      </c>
      <c r="N579" s="12" t="n">
        <f aca="true">IFERROR(ROUND(SUM(OFFSET(B579,0,0,1,POSTAVKE!$B$7))/POSTAVKE!$B$7,2),0)</f>
        <v>1.25</v>
      </c>
    </row>
    <row r="580" customFormat="false" ht="15" hidden="false" customHeight="false" outlineLevel="0" collapsed="false">
      <c r="A580" s="11" t="s">
        <v>717</v>
      </c>
      <c r="B580" s="9" t="n">
        <v>0</v>
      </c>
      <c r="C580" s="9" t="n">
        <v>2</v>
      </c>
      <c r="D580" s="9" t="n">
        <v>4</v>
      </c>
      <c r="E580" s="9" t="n">
        <v>3</v>
      </c>
      <c r="F580" s="9" t="n">
        <v>1</v>
      </c>
      <c r="G580" s="9" t="n">
        <v>0</v>
      </c>
      <c r="H580" s="9" t="n">
        <v>1</v>
      </c>
      <c r="I580" s="9" t="n">
        <v>0</v>
      </c>
      <c r="J580" s="9" t="n">
        <v>0</v>
      </c>
      <c r="K580" s="9" t="n">
        <v>0</v>
      </c>
      <c r="L580" s="9" t="n">
        <v>0</v>
      </c>
      <c r="M580" s="9" t="n">
        <v>0</v>
      </c>
      <c r="N580" s="12" t="n">
        <f aca="true">IFERROR(ROUND(SUM(OFFSET(B580,0,0,1,POSTAVKE!$B$7))/POSTAVKE!$B$7,2),0)</f>
        <v>1.38</v>
      </c>
    </row>
    <row r="581" customFormat="false" ht="15" hidden="false" customHeight="false" outlineLevel="0" collapsed="false">
      <c r="A581" s="11" t="s">
        <v>1618</v>
      </c>
      <c r="B581" s="9" t="n">
        <v>0</v>
      </c>
      <c r="C581" s="9" t="n">
        <v>2</v>
      </c>
      <c r="D581" s="9" t="n">
        <v>1</v>
      </c>
      <c r="E581" s="9" t="n">
        <v>0</v>
      </c>
      <c r="F581" s="9" t="n">
        <v>0</v>
      </c>
      <c r="G581" s="9" t="n">
        <v>0</v>
      </c>
      <c r="H581" s="9" t="n">
        <v>0</v>
      </c>
      <c r="I581" s="9" t="n">
        <v>0</v>
      </c>
      <c r="J581" s="9" t="n">
        <v>0</v>
      </c>
      <c r="K581" s="9" t="n">
        <v>0</v>
      </c>
      <c r="L581" s="9" t="n">
        <v>0</v>
      </c>
      <c r="M581" s="9" t="n">
        <v>0</v>
      </c>
      <c r="N581" s="12" t="n">
        <f aca="true">IFERROR(ROUND(SUM(OFFSET(B581,0,0,1,POSTAVKE!$B$7))/POSTAVKE!$B$7,2),0)</f>
        <v>0.38</v>
      </c>
    </row>
    <row r="582" customFormat="false" ht="15" hidden="false" customHeight="false" outlineLevel="0" collapsed="false">
      <c r="A582" s="11" t="s">
        <v>589</v>
      </c>
      <c r="B582" s="9" t="n">
        <v>0</v>
      </c>
      <c r="C582" s="9" t="n">
        <v>1</v>
      </c>
      <c r="D582" s="9" t="n">
        <v>0</v>
      </c>
      <c r="E582" s="9" t="n">
        <v>0</v>
      </c>
      <c r="F582" s="9" t="n">
        <v>1</v>
      </c>
      <c r="G582" s="9" t="n">
        <v>1</v>
      </c>
      <c r="H582" s="9" t="n">
        <v>0</v>
      </c>
      <c r="I582" s="9" t="n">
        <v>0</v>
      </c>
      <c r="J582" s="9" t="n">
        <v>0</v>
      </c>
      <c r="K582" s="9" t="n">
        <v>0</v>
      </c>
      <c r="L582" s="9" t="n">
        <v>0</v>
      </c>
      <c r="M582" s="9" t="n">
        <v>0</v>
      </c>
      <c r="N582" s="12" t="n">
        <f aca="true">IFERROR(ROUND(SUM(OFFSET(B582,0,0,1,POSTAVKE!$B$7))/POSTAVKE!$B$7,2),0)</f>
        <v>0.38</v>
      </c>
    </row>
    <row r="583" customFormat="false" ht="15" hidden="false" customHeight="false" outlineLevel="0" collapsed="false">
      <c r="A583" s="11" t="s">
        <v>703</v>
      </c>
      <c r="B583" s="9" t="n">
        <v>0</v>
      </c>
      <c r="C583" s="9" t="n">
        <v>1</v>
      </c>
      <c r="D583" s="9" t="n">
        <v>1</v>
      </c>
      <c r="E583" s="9" t="n">
        <v>0</v>
      </c>
      <c r="F583" s="9" t="n">
        <v>2</v>
      </c>
      <c r="G583" s="9" t="n">
        <v>4</v>
      </c>
      <c r="H583" s="9" t="n">
        <v>2</v>
      </c>
      <c r="I583" s="9" t="n">
        <v>2</v>
      </c>
      <c r="J583" s="9" t="n">
        <v>0</v>
      </c>
      <c r="K583" s="9" t="n">
        <v>0</v>
      </c>
      <c r="L583" s="9" t="n">
        <v>0</v>
      </c>
      <c r="M583" s="9" t="n">
        <v>0</v>
      </c>
      <c r="N583" s="12" t="n">
        <f aca="true">IFERROR(ROUND(SUM(OFFSET(B583,0,0,1,POSTAVKE!$B$7))/POSTAVKE!$B$7,2),0)</f>
        <v>1.5</v>
      </c>
    </row>
    <row r="584" customFormat="false" ht="15" hidden="false" customHeight="false" outlineLevel="0" collapsed="false">
      <c r="A584" s="11" t="s">
        <v>985</v>
      </c>
      <c r="B584" s="9" t="n">
        <v>0</v>
      </c>
      <c r="C584" s="9" t="n">
        <v>0</v>
      </c>
      <c r="D584" s="9" t="n">
        <v>0</v>
      </c>
      <c r="E584" s="9" t="n">
        <v>0</v>
      </c>
      <c r="F584" s="9" t="n">
        <v>1</v>
      </c>
      <c r="G584" s="9" t="n">
        <v>0</v>
      </c>
      <c r="H584" s="9" t="n">
        <v>0</v>
      </c>
      <c r="I584" s="9" t="n">
        <v>0</v>
      </c>
      <c r="J584" s="9" t="n">
        <v>0</v>
      </c>
      <c r="K584" s="9" t="n">
        <v>0</v>
      </c>
      <c r="L584" s="9" t="n">
        <v>0</v>
      </c>
      <c r="M584" s="9" t="n">
        <v>0</v>
      </c>
      <c r="N584" s="12" t="n">
        <f aca="true">IFERROR(ROUND(SUM(OFFSET(B584,0,0,1,POSTAVKE!$B$7))/POSTAVKE!$B$7,2),0)</f>
        <v>0.13</v>
      </c>
    </row>
    <row r="585" customFormat="false" ht="15" hidden="false" customHeight="false" outlineLevel="0" collapsed="false">
      <c r="A585" s="11" t="s">
        <v>1620</v>
      </c>
      <c r="B585" s="9" t="n">
        <v>0</v>
      </c>
      <c r="C585" s="9" t="n">
        <v>3</v>
      </c>
      <c r="D585" s="9" t="n">
        <v>4</v>
      </c>
      <c r="E585" s="9" t="n">
        <v>0</v>
      </c>
      <c r="F585" s="9" t="n">
        <v>0</v>
      </c>
      <c r="G585" s="9" t="n">
        <v>1</v>
      </c>
      <c r="H585" s="9" t="n">
        <v>1</v>
      </c>
      <c r="I585" s="9" t="n">
        <v>0</v>
      </c>
      <c r="J585" s="9" t="n">
        <v>0</v>
      </c>
      <c r="K585" s="9" t="n">
        <v>0</v>
      </c>
      <c r="L585" s="9" t="n">
        <v>0</v>
      </c>
      <c r="M585" s="9" t="n">
        <v>0</v>
      </c>
      <c r="N585" s="12" t="n">
        <f aca="true">IFERROR(ROUND(SUM(OFFSET(B585,0,0,1,POSTAVKE!$B$7))/POSTAVKE!$B$7,2),0)</f>
        <v>1.13</v>
      </c>
    </row>
    <row r="586" customFormat="false" ht="15" hidden="false" customHeight="false" outlineLevel="0" collapsed="false">
      <c r="A586" s="11" t="s">
        <v>819</v>
      </c>
      <c r="B586" s="9" t="n">
        <v>0</v>
      </c>
      <c r="C586" s="9" t="n">
        <v>0</v>
      </c>
      <c r="D586" s="9" t="n">
        <v>1</v>
      </c>
      <c r="E586" s="9" t="n">
        <v>2</v>
      </c>
      <c r="F586" s="9" t="n">
        <v>3</v>
      </c>
      <c r="G586" s="9" t="n">
        <v>0</v>
      </c>
      <c r="H586" s="9" t="n">
        <v>0</v>
      </c>
      <c r="I586" s="9" t="n">
        <v>0</v>
      </c>
      <c r="J586" s="9" t="n">
        <v>0</v>
      </c>
      <c r="K586" s="9" t="n">
        <v>0</v>
      </c>
      <c r="L586" s="9" t="n">
        <v>0</v>
      </c>
      <c r="M586" s="9" t="n">
        <v>0</v>
      </c>
      <c r="N586" s="12" t="n">
        <f aca="true">IFERROR(ROUND(SUM(OFFSET(B586,0,0,1,POSTAVKE!$B$7))/POSTAVKE!$B$7,2),0)</f>
        <v>0.75</v>
      </c>
    </row>
    <row r="587" customFormat="false" ht="15" hidden="false" customHeight="false" outlineLevel="0" collapsed="false">
      <c r="A587" s="11" t="s">
        <v>951</v>
      </c>
      <c r="B587" s="9" t="n">
        <v>0</v>
      </c>
      <c r="C587" s="9" t="n">
        <v>0</v>
      </c>
      <c r="D587" s="9" t="n">
        <v>0</v>
      </c>
      <c r="E587" s="9" t="n">
        <v>0</v>
      </c>
      <c r="F587" s="9" t="n">
        <v>0</v>
      </c>
      <c r="G587" s="9" t="n">
        <v>0</v>
      </c>
      <c r="H587" s="9" t="n">
        <v>0</v>
      </c>
      <c r="I587" s="9" t="n">
        <v>0</v>
      </c>
      <c r="J587" s="9" t="n">
        <v>0</v>
      </c>
      <c r="K587" s="9" t="n">
        <v>0</v>
      </c>
      <c r="L587" s="9" t="n">
        <v>0</v>
      </c>
      <c r="M587" s="9" t="n">
        <v>0</v>
      </c>
      <c r="N587" s="12" t="n">
        <f aca="true">IFERROR(ROUND(SUM(OFFSET(B587,0,0,1,POSTAVKE!$B$7))/POSTAVKE!$B$7,2),0)</f>
        <v>0</v>
      </c>
    </row>
    <row r="588" customFormat="false" ht="15" hidden="false" customHeight="false" outlineLevel="0" collapsed="false">
      <c r="A588" s="11" t="s">
        <v>921</v>
      </c>
      <c r="B588" s="9" t="n">
        <v>0</v>
      </c>
      <c r="C588" s="9" t="n">
        <v>1</v>
      </c>
      <c r="D588" s="9" t="n">
        <v>0</v>
      </c>
      <c r="E588" s="9" t="n">
        <v>0</v>
      </c>
      <c r="F588" s="9" t="n">
        <v>1</v>
      </c>
      <c r="G588" s="9" t="n">
        <v>2</v>
      </c>
      <c r="H588" s="9" t="n">
        <v>0</v>
      </c>
      <c r="I588" s="9" t="n">
        <v>0</v>
      </c>
      <c r="J588" s="9" t="n">
        <v>0</v>
      </c>
      <c r="K588" s="9" t="n">
        <v>0</v>
      </c>
      <c r="L588" s="9" t="n">
        <v>0</v>
      </c>
      <c r="M588" s="9" t="n">
        <v>0</v>
      </c>
      <c r="N588" s="12" t="n">
        <f aca="true">IFERROR(ROUND(SUM(OFFSET(B588,0,0,1,POSTAVKE!$B$7))/POSTAVKE!$B$7,2),0)</f>
        <v>0.5</v>
      </c>
    </row>
    <row r="589" customFormat="false" ht="15" hidden="false" customHeight="false" outlineLevel="0" collapsed="false">
      <c r="A589" s="11" t="s">
        <v>1143</v>
      </c>
      <c r="B589" s="9" t="n">
        <v>0</v>
      </c>
      <c r="C589" s="9" t="n">
        <v>1</v>
      </c>
      <c r="D589" s="9" t="n">
        <v>3</v>
      </c>
      <c r="E589" s="9" t="n">
        <v>2</v>
      </c>
      <c r="F589" s="9" t="n">
        <v>2</v>
      </c>
      <c r="G589" s="9" t="n">
        <v>0</v>
      </c>
      <c r="H589" s="9" t="n">
        <v>1</v>
      </c>
      <c r="I589" s="9" t="n">
        <v>1</v>
      </c>
      <c r="J589" s="9" t="n">
        <v>0</v>
      </c>
      <c r="K589" s="9" t="n">
        <v>0</v>
      </c>
      <c r="L589" s="9" t="n">
        <v>0</v>
      </c>
      <c r="M589" s="9" t="n">
        <v>0</v>
      </c>
      <c r="N589" s="12" t="n">
        <f aca="true">IFERROR(ROUND(SUM(OFFSET(B589,0,0,1,POSTAVKE!$B$7))/POSTAVKE!$B$7,2),0)</f>
        <v>1.25</v>
      </c>
    </row>
    <row r="590" customFormat="false" ht="15" hidden="false" customHeight="false" outlineLevel="0" collapsed="false">
      <c r="A590" s="11" t="s">
        <v>1869</v>
      </c>
      <c r="B590" s="9" t="n">
        <v>0</v>
      </c>
      <c r="C590" s="9" t="n">
        <v>0</v>
      </c>
      <c r="D590" s="9" t="n">
        <v>0</v>
      </c>
      <c r="E590" s="9" t="n">
        <v>0</v>
      </c>
      <c r="F590" s="9" t="n">
        <v>0</v>
      </c>
      <c r="G590" s="9" t="n">
        <v>1</v>
      </c>
      <c r="H590" s="9" t="n">
        <v>0</v>
      </c>
      <c r="I590" s="9" t="n">
        <v>1</v>
      </c>
      <c r="J590" s="9" t="n">
        <v>0</v>
      </c>
      <c r="K590" s="9" t="n">
        <v>0</v>
      </c>
      <c r="L590" s="9" t="n">
        <v>0</v>
      </c>
      <c r="M590" s="9" t="n">
        <v>0</v>
      </c>
      <c r="N590" s="12" t="n">
        <f aca="true">IFERROR(ROUND(SUM(OFFSET(B590,0,0,1,POSTAVKE!$B$7))/POSTAVKE!$B$7,2),0)</f>
        <v>0.25</v>
      </c>
    </row>
    <row r="591" customFormat="false" ht="15" hidden="false" customHeight="false" outlineLevel="0" collapsed="false">
      <c r="A591" s="11" t="s">
        <v>47</v>
      </c>
      <c r="B591" s="9" t="n">
        <v>0</v>
      </c>
      <c r="C591" s="9" t="n">
        <v>1</v>
      </c>
      <c r="D591" s="9" t="n">
        <v>0</v>
      </c>
      <c r="E591" s="9" t="n">
        <v>7</v>
      </c>
      <c r="F591" s="9" t="n">
        <v>12</v>
      </c>
      <c r="G591" s="9" t="n">
        <v>2</v>
      </c>
      <c r="H591" s="9" t="n">
        <v>10</v>
      </c>
      <c r="I591" s="9" t="n">
        <v>0</v>
      </c>
      <c r="J591" s="9" t="n">
        <v>0</v>
      </c>
      <c r="K591" s="9" t="n">
        <v>0</v>
      </c>
      <c r="L591" s="9" t="n">
        <v>0</v>
      </c>
      <c r="M591" s="9" t="n">
        <v>0</v>
      </c>
      <c r="N591" s="12" t="n">
        <f aca="true">IFERROR(ROUND(SUM(OFFSET(B591,0,0,1,POSTAVKE!$B$7))/POSTAVKE!$B$7,2),0)</f>
        <v>4</v>
      </c>
    </row>
    <row r="592" customFormat="false" ht="15" hidden="false" customHeight="false" outlineLevel="0" collapsed="false">
      <c r="A592" s="11" t="s">
        <v>65</v>
      </c>
      <c r="B592" s="9" t="n">
        <v>0</v>
      </c>
      <c r="C592" s="9" t="n">
        <v>1</v>
      </c>
      <c r="D592" s="9" t="n">
        <v>1</v>
      </c>
      <c r="E592" s="9" t="n">
        <v>5</v>
      </c>
      <c r="F592" s="9" t="n">
        <v>0</v>
      </c>
      <c r="G592" s="9" t="n">
        <v>0</v>
      </c>
      <c r="H592" s="9" t="n">
        <v>5</v>
      </c>
      <c r="I592" s="9" t="n">
        <v>0</v>
      </c>
      <c r="J592" s="9" t="n">
        <v>0</v>
      </c>
      <c r="K592" s="9" t="n">
        <v>0</v>
      </c>
      <c r="L592" s="9" t="n">
        <v>0</v>
      </c>
      <c r="M592" s="9" t="n">
        <v>0</v>
      </c>
      <c r="N592" s="12" t="n">
        <f aca="true">IFERROR(ROUND(SUM(OFFSET(B592,0,0,1,POSTAVKE!$B$7))/POSTAVKE!$B$7,2),0)</f>
        <v>1.5</v>
      </c>
    </row>
    <row r="593" customFormat="false" ht="15" hidden="false" customHeight="false" outlineLevel="0" collapsed="false">
      <c r="A593" s="11" t="s">
        <v>103</v>
      </c>
      <c r="B593" s="9" t="n">
        <v>0</v>
      </c>
      <c r="C593" s="9" t="n">
        <v>3</v>
      </c>
      <c r="D593" s="9" t="n">
        <v>0</v>
      </c>
      <c r="E593" s="9" t="n">
        <v>1</v>
      </c>
      <c r="F593" s="9" t="n">
        <v>0</v>
      </c>
      <c r="G593" s="9" t="n">
        <v>0</v>
      </c>
      <c r="H593" s="9" t="n">
        <v>5</v>
      </c>
      <c r="I593" s="9" t="n">
        <v>0</v>
      </c>
      <c r="J593" s="9" t="n">
        <v>0</v>
      </c>
      <c r="K593" s="9" t="n">
        <v>0</v>
      </c>
      <c r="L593" s="9" t="n">
        <v>0</v>
      </c>
      <c r="M593" s="9" t="n">
        <v>0</v>
      </c>
      <c r="N593" s="12" t="n">
        <f aca="true">IFERROR(ROUND(SUM(OFFSET(B593,0,0,1,POSTAVKE!$B$7))/POSTAVKE!$B$7,2),0)</f>
        <v>1.13</v>
      </c>
    </row>
    <row r="594" customFormat="false" ht="15" hidden="false" customHeight="false" outlineLevel="0" collapsed="false">
      <c r="A594" s="11" t="s">
        <v>123</v>
      </c>
      <c r="B594" s="9" t="n">
        <v>0</v>
      </c>
      <c r="C594" s="9" t="n">
        <v>0</v>
      </c>
      <c r="D594" s="9" t="n">
        <v>0</v>
      </c>
      <c r="E594" s="9" t="n">
        <v>3</v>
      </c>
      <c r="F594" s="9" t="n">
        <v>4</v>
      </c>
      <c r="G594" s="9" t="n">
        <v>0</v>
      </c>
      <c r="H594" s="9" t="n">
        <v>0</v>
      </c>
      <c r="I594" s="9" t="n">
        <v>0</v>
      </c>
      <c r="J594" s="9" t="n">
        <v>0</v>
      </c>
      <c r="K594" s="9" t="n">
        <v>0</v>
      </c>
      <c r="L594" s="9" t="n">
        <v>0</v>
      </c>
      <c r="M594" s="9" t="n">
        <v>0</v>
      </c>
      <c r="N594" s="12" t="n">
        <f aca="true">IFERROR(ROUND(SUM(OFFSET(B594,0,0,1,POSTAVKE!$B$7))/POSTAVKE!$B$7,2),0)</f>
        <v>0.88</v>
      </c>
    </row>
    <row r="595" customFormat="false" ht="15" hidden="false" customHeight="false" outlineLevel="0" collapsed="false">
      <c r="A595" s="11" t="s">
        <v>101</v>
      </c>
      <c r="B595" s="9" t="n">
        <v>0</v>
      </c>
      <c r="C595" s="9" t="n">
        <v>0</v>
      </c>
      <c r="D595" s="9" t="n">
        <v>8</v>
      </c>
      <c r="E595" s="9" t="n">
        <v>1</v>
      </c>
      <c r="F595" s="9" t="n">
        <v>1</v>
      </c>
      <c r="G595" s="9" t="n">
        <v>5</v>
      </c>
      <c r="H595" s="9" t="n">
        <v>0</v>
      </c>
      <c r="I595" s="9" t="n">
        <v>2</v>
      </c>
      <c r="J595" s="9" t="n">
        <v>0</v>
      </c>
      <c r="K595" s="9" t="n">
        <v>0</v>
      </c>
      <c r="L595" s="9" t="n">
        <v>0</v>
      </c>
      <c r="M595" s="9" t="n">
        <v>0</v>
      </c>
      <c r="N595" s="12" t="n">
        <f aca="true">IFERROR(ROUND(SUM(OFFSET(B595,0,0,1,POSTAVKE!$B$7))/POSTAVKE!$B$7,2),0)</f>
        <v>2.13</v>
      </c>
    </row>
    <row r="596" customFormat="false" ht="15" hidden="false" customHeight="false" outlineLevel="0" collapsed="false">
      <c r="A596" s="11" t="s">
        <v>305</v>
      </c>
      <c r="B596" s="9" t="n">
        <v>0</v>
      </c>
      <c r="C596" s="9" t="n">
        <v>1</v>
      </c>
      <c r="D596" s="9" t="n">
        <v>32</v>
      </c>
      <c r="E596" s="9" t="n">
        <v>1</v>
      </c>
      <c r="F596" s="9" t="n">
        <v>0</v>
      </c>
      <c r="G596" s="9" t="n">
        <v>16</v>
      </c>
      <c r="H596" s="9" t="n">
        <v>0</v>
      </c>
      <c r="I596" s="9" t="n">
        <v>0</v>
      </c>
      <c r="J596" s="9" t="n">
        <v>0</v>
      </c>
      <c r="K596" s="9" t="n">
        <v>0</v>
      </c>
      <c r="L596" s="9" t="n">
        <v>0</v>
      </c>
      <c r="M596" s="9" t="n">
        <v>0</v>
      </c>
      <c r="N596" s="12" t="n">
        <f aca="true">IFERROR(ROUND(SUM(OFFSET(B596,0,0,1,POSTAVKE!$B$7))/POSTAVKE!$B$7,2),0)</f>
        <v>6.25</v>
      </c>
    </row>
    <row r="597" customFormat="false" ht="15" hidden="false" customHeight="false" outlineLevel="0" collapsed="false">
      <c r="A597" s="11" t="s">
        <v>143</v>
      </c>
      <c r="B597" s="9" t="n">
        <v>0</v>
      </c>
      <c r="C597" s="9" t="n">
        <v>1</v>
      </c>
      <c r="D597" s="9" t="n">
        <v>21</v>
      </c>
      <c r="E597" s="9" t="n">
        <v>4</v>
      </c>
      <c r="F597" s="9" t="n">
        <v>5</v>
      </c>
      <c r="G597" s="9" t="n">
        <v>21</v>
      </c>
      <c r="H597" s="9" t="n">
        <v>5</v>
      </c>
      <c r="I597" s="9" t="n">
        <v>2</v>
      </c>
      <c r="J597" s="9" t="n">
        <v>0</v>
      </c>
      <c r="K597" s="9" t="n">
        <v>0</v>
      </c>
      <c r="L597" s="9" t="n">
        <v>0</v>
      </c>
      <c r="M597" s="9" t="n">
        <v>0</v>
      </c>
      <c r="N597" s="12" t="n">
        <f aca="true">IFERROR(ROUND(SUM(OFFSET(B597,0,0,1,POSTAVKE!$B$7))/POSTAVKE!$B$7,2),0)</f>
        <v>7.38</v>
      </c>
    </row>
    <row r="598" customFormat="false" ht="15" hidden="false" customHeight="false" outlineLevel="0" collapsed="false">
      <c r="A598" s="11" t="s">
        <v>295</v>
      </c>
      <c r="B598" s="9" t="n">
        <v>0</v>
      </c>
      <c r="C598" s="9" t="n">
        <v>0</v>
      </c>
      <c r="D598" s="9" t="n">
        <v>0</v>
      </c>
      <c r="E598" s="9" t="n">
        <v>0</v>
      </c>
      <c r="F598" s="9" t="n">
        <v>4</v>
      </c>
      <c r="G598" s="9" t="n">
        <v>0</v>
      </c>
      <c r="H598" s="9" t="n">
        <v>0</v>
      </c>
      <c r="I598" s="9" t="n">
        <v>0</v>
      </c>
      <c r="J598" s="9" t="n">
        <v>0</v>
      </c>
      <c r="K598" s="9" t="n">
        <v>0</v>
      </c>
      <c r="L598" s="9" t="n">
        <v>0</v>
      </c>
      <c r="M598" s="9" t="n">
        <v>0</v>
      </c>
      <c r="N598" s="12" t="n">
        <f aca="true">IFERROR(ROUND(SUM(OFFSET(B598,0,0,1,POSTAVKE!$B$7))/POSTAVKE!$B$7,2),0)</f>
        <v>0.5</v>
      </c>
    </row>
    <row r="599" customFormat="false" ht="15" hidden="false" customHeight="false" outlineLevel="0" collapsed="false">
      <c r="A599" s="11" t="s">
        <v>1007</v>
      </c>
      <c r="B599" s="9" t="n">
        <v>0</v>
      </c>
      <c r="C599" s="9" t="n">
        <v>0</v>
      </c>
      <c r="D599" s="9" t="n">
        <v>1</v>
      </c>
      <c r="E599" s="9" t="n">
        <v>0</v>
      </c>
      <c r="F599" s="9" t="n">
        <v>0</v>
      </c>
      <c r="G599" s="9" t="n">
        <v>0</v>
      </c>
      <c r="H599" s="9" t="n">
        <v>0</v>
      </c>
      <c r="I599" s="9" t="n">
        <v>0</v>
      </c>
      <c r="J599" s="9" t="n">
        <v>0</v>
      </c>
      <c r="K599" s="9" t="n">
        <v>0</v>
      </c>
      <c r="L599" s="9" t="n">
        <v>0</v>
      </c>
      <c r="M599" s="9" t="n">
        <v>0</v>
      </c>
      <c r="N599" s="12" t="n">
        <f aca="true">IFERROR(ROUND(SUM(OFFSET(B599,0,0,1,POSTAVKE!$B$7))/POSTAVKE!$B$7,2),0)</f>
        <v>0.13</v>
      </c>
    </row>
    <row r="600" customFormat="false" ht="15" hidden="false" customHeight="false" outlineLevel="0" collapsed="false">
      <c r="A600" s="11" t="s">
        <v>901</v>
      </c>
      <c r="B600" s="9" t="n">
        <v>0</v>
      </c>
      <c r="C600" s="9" t="n">
        <v>0</v>
      </c>
      <c r="D600" s="9" t="n">
        <v>0</v>
      </c>
      <c r="E600" s="9" t="n">
        <v>0</v>
      </c>
      <c r="F600" s="9" t="n">
        <v>0</v>
      </c>
      <c r="G600" s="9" t="n">
        <v>0</v>
      </c>
      <c r="H600" s="9" t="n">
        <v>0</v>
      </c>
      <c r="I600" s="9" t="n">
        <v>0</v>
      </c>
      <c r="J600" s="9" t="n">
        <v>0</v>
      </c>
      <c r="K600" s="9" t="n">
        <v>0</v>
      </c>
      <c r="L600" s="9" t="n">
        <v>0</v>
      </c>
      <c r="M600" s="9" t="n">
        <v>0</v>
      </c>
      <c r="N600" s="12" t="n">
        <f aca="true">IFERROR(ROUND(SUM(OFFSET(B600,0,0,1,POSTAVKE!$B$7))/POSTAVKE!$B$7,2),0)</f>
        <v>0</v>
      </c>
    </row>
    <row r="601" customFormat="false" ht="15" hidden="false" customHeight="false" outlineLevel="0" collapsed="false">
      <c r="A601" s="11" t="s">
        <v>1871</v>
      </c>
      <c r="B601" s="9" t="n">
        <v>0</v>
      </c>
      <c r="C601" s="9" t="n">
        <v>0</v>
      </c>
      <c r="D601" s="9" t="n">
        <v>-1</v>
      </c>
      <c r="E601" s="9" t="n">
        <v>0</v>
      </c>
      <c r="F601" s="9" t="n">
        <v>0</v>
      </c>
      <c r="G601" s="9" t="n">
        <v>0</v>
      </c>
      <c r="H601" s="9" t="n">
        <v>0</v>
      </c>
      <c r="I601" s="9" t="n">
        <v>0</v>
      </c>
      <c r="J601" s="9" t="n">
        <v>0</v>
      </c>
      <c r="K601" s="9" t="n">
        <v>0</v>
      </c>
      <c r="L601" s="9" t="n">
        <v>0</v>
      </c>
      <c r="M601" s="9" t="n">
        <v>0</v>
      </c>
      <c r="N601" s="12" t="n">
        <f aca="true">IFERROR(ROUND(SUM(OFFSET(B601,0,0,1,POSTAVKE!$B$7))/POSTAVKE!$B$7,2),0)</f>
        <v>-0.13</v>
      </c>
    </row>
    <row r="602" customFormat="false" ht="15" hidden="false" customHeight="false" outlineLevel="0" collapsed="false">
      <c r="A602" s="11" t="s">
        <v>253</v>
      </c>
      <c r="B602" s="9" t="n">
        <v>0</v>
      </c>
      <c r="C602" s="9" t="n">
        <v>0</v>
      </c>
      <c r="D602" s="9" t="n">
        <v>1</v>
      </c>
      <c r="E602" s="9" t="n">
        <v>0</v>
      </c>
      <c r="F602" s="9" t="n">
        <v>0</v>
      </c>
      <c r="G602" s="9" t="n">
        <v>0</v>
      </c>
      <c r="H602" s="9" t="n">
        <v>0</v>
      </c>
      <c r="I602" s="9" t="n">
        <v>0</v>
      </c>
      <c r="J602" s="9" t="n">
        <v>0</v>
      </c>
      <c r="K602" s="9" t="n">
        <v>0</v>
      </c>
      <c r="L602" s="9" t="n">
        <v>0</v>
      </c>
      <c r="M602" s="9" t="n">
        <v>0</v>
      </c>
      <c r="N602" s="12" t="n">
        <f aca="true">IFERROR(ROUND(SUM(OFFSET(B602,0,0,1,POSTAVKE!$B$7))/POSTAVKE!$B$7,2),0)</f>
        <v>0.13</v>
      </c>
    </row>
    <row r="603" customFormat="false" ht="15" hidden="false" customHeight="false" outlineLevel="0" collapsed="false">
      <c r="A603" s="11" t="s">
        <v>1626</v>
      </c>
      <c r="B603" s="9" t="n">
        <v>0</v>
      </c>
      <c r="C603" s="9" t="n">
        <v>10</v>
      </c>
      <c r="D603" s="9" t="n">
        <v>0</v>
      </c>
      <c r="E603" s="9" t="n">
        <v>0</v>
      </c>
      <c r="F603" s="9" t="n">
        <v>0</v>
      </c>
      <c r="G603" s="9" t="n">
        <v>0</v>
      </c>
      <c r="H603" s="9" t="n">
        <v>0</v>
      </c>
      <c r="I603" s="9" t="n">
        <v>0</v>
      </c>
      <c r="J603" s="9" t="n">
        <v>0</v>
      </c>
      <c r="K603" s="9" t="n">
        <v>0</v>
      </c>
      <c r="L603" s="9" t="n">
        <v>0</v>
      </c>
      <c r="M603" s="9" t="n">
        <v>0</v>
      </c>
      <c r="N603" s="12" t="n">
        <f aca="true">IFERROR(ROUND(SUM(OFFSET(B603,0,0,1,POSTAVKE!$B$7))/POSTAVKE!$B$7,2),0)</f>
        <v>1.25</v>
      </c>
    </row>
    <row r="604" customFormat="false" ht="15" hidden="false" customHeight="false" outlineLevel="0" collapsed="false">
      <c r="A604" s="11" t="s">
        <v>271</v>
      </c>
      <c r="B604" s="9" t="n">
        <v>0</v>
      </c>
      <c r="C604" s="9" t="n">
        <v>0</v>
      </c>
      <c r="D604" s="9" t="n">
        <v>1</v>
      </c>
      <c r="E604" s="9" t="n">
        <v>1</v>
      </c>
      <c r="F604" s="9" t="n">
        <v>1</v>
      </c>
      <c r="G604" s="9" t="n">
        <v>2</v>
      </c>
      <c r="H604" s="9" t="n">
        <v>0</v>
      </c>
      <c r="I604" s="9" t="n">
        <v>0</v>
      </c>
      <c r="J604" s="9" t="n">
        <v>0</v>
      </c>
      <c r="K604" s="9" t="n">
        <v>0</v>
      </c>
      <c r="L604" s="9" t="n">
        <v>0</v>
      </c>
      <c r="M604" s="9" t="n">
        <v>0</v>
      </c>
      <c r="N604" s="12" t="n">
        <f aca="true">IFERROR(ROUND(SUM(OFFSET(B604,0,0,1,POSTAVKE!$B$7))/POSTAVKE!$B$7,2),0)</f>
        <v>0.63</v>
      </c>
    </row>
    <row r="605" customFormat="false" ht="15" hidden="false" customHeight="false" outlineLevel="0" collapsed="false">
      <c r="A605" s="11" t="s">
        <v>255</v>
      </c>
      <c r="B605" s="9" t="n">
        <v>0</v>
      </c>
      <c r="C605" s="9" t="n">
        <v>0</v>
      </c>
      <c r="D605" s="9" t="n">
        <v>0</v>
      </c>
      <c r="E605" s="9" t="n">
        <v>0</v>
      </c>
      <c r="F605" s="9" t="n">
        <v>1</v>
      </c>
      <c r="G605" s="9" t="n">
        <v>0</v>
      </c>
      <c r="H605" s="9" t="n">
        <v>1</v>
      </c>
      <c r="I605" s="9" t="n">
        <v>0</v>
      </c>
      <c r="J605" s="9" t="n">
        <v>0</v>
      </c>
      <c r="K605" s="9" t="n">
        <v>0</v>
      </c>
      <c r="L605" s="9" t="n">
        <v>0</v>
      </c>
      <c r="M605" s="9" t="n">
        <v>0</v>
      </c>
      <c r="N605" s="12" t="n">
        <f aca="true">IFERROR(ROUND(SUM(OFFSET(B605,0,0,1,POSTAVKE!$B$7))/POSTAVKE!$B$7,2),0)</f>
        <v>0.25</v>
      </c>
    </row>
    <row r="606" customFormat="false" ht="15" hidden="false" customHeight="false" outlineLevel="0" collapsed="false">
      <c r="A606" s="11" t="s">
        <v>163</v>
      </c>
      <c r="B606" s="9" t="n">
        <v>0</v>
      </c>
      <c r="C606" s="9" t="n">
        <v>1</v>
      </c>
      <c r="D606" s="9" t="n">
        <v>0</v>
      </c>
      <c r="E606" s="9" t="n">
        <v>3</v>
      </c>
      <c r="F606" s="9" t="n">
        <v>9</v>
      </c>
      <c r="G606" s="9" t="n">
        <v>-1</v>
      </c>
      <c r="H606" s="9" t="n">
        <v>2</v>
      </c>
      <c r="I606" s="9" t="n">
        <v>2</v>
      </c>
      <c r="J606" s="9" t="n">
        <v>0</v>
      </c>
      <c r="K606" s="9" t="n">
        <v>0</v>
      </c>
      <c r="L606" s="9" t="n">
        <v>0</v>
      </c>
      <c r="M606" s="9" t="n">
        <v>0</v>
      </c>
      <c r="N606" s="12" t="n">
        <f aca="true">IFERROR(ROUND(SUM(OFFSET(B606,0,0,1,POSTAVKE!$B$7))/POSTAVKE!$B$7,2),0)</f>
        <v>2</v>
      </c>
    </row>
    <row r="607" customFormat="false" ht="15" hidden="false" customHeight="false" outlineLevel="0" collapsed="false">
      <c r="A607" s="11" t="s">
        <v>225</v>
      </c>
      <c r="B607" s="9" t="n">
        <v>0</v>
      </c>
      <c r="C607" s="9" t="n">
        <v>0</v>
      </c>
      <c r="D607" s="9" t="n">
        <v>0</v>
      </c>
      <c r="E607" s="9" t="n">
        <v>0</v>
      </c>
      <c r="F607" s="9" t="n">
        <v>0</v>
      </c>
      <c r="G607" s="9" t="n">
        <v>1</v>
      </c>
      <c r="H607" s="9" t="n">
        <v>0</v>
      </c>
      <c r="I607" s="9" t="n">
        <v>0</v>
      </c>
      <c r="J607" s="9" t="n">
        <v>0</v>
      </c>
      <c r="K607" s="9" t="n">
        <v>0</v>
      </c>
      <c r="L607" s="9" t="n">
        <v>0</v>
      </c>
      <c r="M607" s="9" t="n">
        <v>0</v>
      </c>
      <c r="N607" s="12" t="n">
        <f aca="true">IFERROR(ROUND(SUM(OFFSET(B607,0,0,1,POSTAVKE!$B$7))/POSTAVKE!$B$7,2),0)</f>
        <v>0.13</v>
      </c>
    </row>
    <row r="608" customFormat="false" ht="15" hidden="false" customHeight="false" outlineLevel="0" collapsed="false">
      <c r="A608" s="11" t="s">
        <v>781</v>
      </c>
      <c r="B608" s="9" t="n">
        <v>0</v>
      </c>
      <c r="C608" s="9" t="n">
        <v>0</v>
      </c>
      <c r="D608" s="9" t="n">
        <v>1</v>
      </c>
      <c r="E608" s="9" t="n">
        <v>2</v>
      </c>
      <c r="F608" s="9" t="n">
        <v>2</v>
      </c>
      <c r="G608" s="9" t="n">
        <v>1</v>
      </c>
      <c r="H608" s="9" t="n">
        <v>0</v>
      </c>
      <c r="I608" s="9" t="n">
        <v>0</v>
      </c>
      <c r="J608" s="9" t="n">
        <v>0</v>
      </c>
      <c r="K608" s="9" t="n">
        <v>0</v>
      </c>
      <c r="L608" s="9" t="n">
        <v>0</v>
      </c>
      <c r="M608" s="9" t="n">
        <v>0</v>
      </c>
      <c r="N608" s="12" t="n">
        <f aca="true">IFERROR(ROUND(SUM(OFFSET(B608,0,0,1,POSTAVKE!$B$7))/POSTAVKE!$B$7,2),0)</f>
        <v>0.75</v>
      </c>
    </row>
    <row r="609" customFormat="false" ht="15" hidden="false" customHeight="false" outlineLevel="0" collapsed="false">
      <c r="A609" s="11" t="s">
        <v>689</v>
      </c>
      <c r="B609" s="9" t="n">
        <v>0</v>
      </c>
      <c r="C609" s="9" t="n">
        <v>3</v>
      </c>
      <c r="D609" s="9" t="n">
        <v>4</v>
      </c>
      <c r="E609" s="9" t="n">
        <v>1</v>
      </c>
      <c r="F609" s="9" t="n">
        <v>6</v>
      </c>
      <c r="G609" s="9" t="n">
        <v>1</v>
      </c>
      <c r="H609" s="9" t="n">
        <v>2</v>
      </c>
      <c r="I609" s="9" t="n">
        <v>0</v>
      </c>
      <c r="J609" s="9" t="n">
        <v>0</v>
      </c>
      <c r="K609" s="9" t="n">
        <v>0</v>
      </c>
      <c r="L609" s="9" t="n">
        <v>0</v>
      </c>
      <c r="M609" s="9" t="n">
        <v>0</v>
      </c>
      <c r="N609" s="12" t="n">
        <f aca="true">IFERROR(ROUND(SUM(OFFSET(B609,0,0,1,POSTAVKE!$B$7))/POSTAVKE!$B$7,2),0)</f>
        <v>2.13</v>
      </c>
    </row>
    <row r="610" customFormat="false" ht="15" hidden="false" customHeight="false" outlineLevel="0" collapsed="false">
      <c r="A610" s="11" t="s">
        <v>627</v>
      </c>
      <c r="B610" s="9" t="n">
        <v>0</v>
      </c>
      <c r="C610" s="9" t="n">
        <v>0</v>
      </c>
      <c r="D610" s="9" t="n">
        <v>0</v>
      </c>
      <c r="E610" s="9" t="n">
        <v>1</v>
      </c>
      <c r="F610" s="9" t="n">
        <v>0</v>
      </c>
      <c r="G610" s="9" t="n">
        <v>0</v>
      </c>
      <c r="H610" s="9" t="n">
        <v>1</v>
      </c>
      <c r="I610" s="9" t="n">
        <v>0</v>
      </c>
      <c r="J610" s="9" t="n">
        <v>0</v>
      </c>
      <c r="K610" s="9" t="n">
        <v>0</v>
      </c>
      <c r="L610" s="9" t="n">
        <v>0</v>
      </c>
      <c r="M610" s="9" t="n">
        <v>0</v>
      </c>
      <c r="N610" s="12" t="n">
        <f aca="true">IFERROR(ROUND(SUM(OFFSET(B610,0,0,1,POSTAVKE!$B$7))/POSTAVKE!$B$7,2),0)</f>
        <v>0.25</v>
      </c>
    </row>
    <row r="611" customFormat="false" ht="15" hidden="false" customHeight="false" outlineLevel="0" collapsed="false">
      <c r="A611" s="11" t="s">
        <v>651</v>
      </c>
      <c r="B611" s="9" t="n">
        <v>0</v>
      </c>
      <c r="C611" s="9" t="n">
        <v>1</v>
      </c>
      <c r="D611" s="9" t="n">
        <v>3</v>
      </c>
      <c r="E611" s="9" t="n">
        <v>2</v>
      </c>
      <c r="F611" s="9" t="n">
        <v>1</v>
      </c>
      <c r="G611" s="9" t="n">
        <v>1</v>
      </c>
      <c r="H611" s="9" t="n">
        <v>1</v>
      </c>
      <c r="I611" s="9" t="n">
        <v>0</v>
      </c>
      <c r="J611" s="9" t="n">
        <v>0</v>
      </c>
      <c r="K611" s="9" t="n">
        <v>0</v>
      </c>
      <c r="L611" s="9" t="n">
        <v>0</v>
      </c>
      <c r="M611" s="9" t="n">
        <v>0</v>
      </c>
      <c r="N611" s="12" t="n">
        <f aca="true">IFERROR(ROUND(SUM(OFFSET(B611,0,0,1,POSTAVKE!$B$7))/POSTAVKE!$B$7,2),0)</f>
        <v>1.13</v>
      </c>
    </row>
    <row r="612" customFormat="false" ht="15" hidden="false" customHeight="false" outlineLevel="0" collapsed="false">
      <c r="A612" s="11" t="s">
        <v>887</v>
      </c>
      <c r="B612" s="9" t="n">
        <v>0</v>
      </c>
      <c r="C612" s="9" t="n">
        <v>0</v>
      </c>
      <c r="D612" s="9" t="n">
        <v>0</v>
      </c>
      <c r="E612" s="9" t="n">
        <v>3</v>
      </c>
      <c r="F612" s="9" t="n">
        <v>0</v>
      </c>
      <c r="G612" s="9" t="n">
        <v>1</v>
      </c>
      <c r="H612" s="9" t="n">
        <v>2</v>
      </c>
      <c r="I612" s="9" t="n">
        <v>3</v>
      </c>
      <c r="J612" s="9" t="n">
        <v>0</v>
      </c>
      <c r="K612" s="9" t="n">
        <v>0</v>
      </c>
      <c r="L612" s="9" t="n">
        <v>0</v>
      </c>
      <c r="M612" s="9" t="n">
        <v>0</v>
      </c>
      <c r="N612" s="12" t="n">
        <f aca="true">IFERROR(ROUND(SUM(OFFSET(B612,0,0,1,POSTAVKE!$B$7))/POSTAVKE!$B$7,2),0)</f>
        <v>1.13</v>
      </c>
    </row>
    <row r="613" customFormat="false" ht="15" hidden="false" customHeight="false" outlineLevel="0" collapsed="false">
      <c r="A613" s="11" t="s">
        <v>739</v>
      </c>
      <c r="B613" s="9" t="n">
        <v>0</v>
      </c>
      <c r="C613" s="9" t="n">
        <v>0</v>
      </c>
      <c r="D613" s="9" t="n">
        <v>1</v>
      </c>
      <c r="E613" s="9" t="n">
        <v>0</v>
      </c>
      <c r="F613" s="9" t="n">
        <v>0</v>
      </c>
      <c r="G613" s="9" t="n">
        <v>0</v>
      </c>
      <c r="H613" s="9" t="n">
        <v>0</v>
      </c>
      <c r="I613" s="9" t="n">
        <v>1</v>
      </c>
      <c r="J613" s="9" t="n">
        <v>0</v>
      </c>
      <c r="K613" s="9" t="n">
        <v>0</v>
      </c>
      <c r="L613" s="9" t="n">
        <v>0</v>
      </c>
      <c r="M613" s="9" t="n">
        <v>0</v>
      </c>
      <c r="N613" s="12" t="n">
        <f aca="true">IFERROR(ROUND(SUM(OFFSET(B613,0,0,1,POSTAVKE!$B$7))/POSTAVKE!$B$7,2),0)</f>
        <v>0.25</v>
      </c>
    </row>
    <row r="614" customFormat="false" ht="15" hidden="false" customHeight="false" outlineLevel="0" collapsed="false">
      <c r="A614" s="11" t="s">
        <v>783</v>
      </c>
      <c r="B614" s="9" t="n">
        <v>0</v>
      </c>
      <c r="C614" s="9" t="n">
        <v>1</v>
      </c>
      <c r="D614" s="9" t="n">
        <v>1</v>
      </c>
      <c r="E614" s="9" t="n">
        <v>2</v>
      </c>
      <c r="F614" s="9" t="n">
        <v>0</v>
      </c>
      <c r="G614" s="9" t="n">
        <v>0</v>
      </c>
      <c r="H614" s="9" t="n">
        <v>1</v>
      </c>
      <c r="I614" s="9" t="n">
        <v>1</v>
      </c>
      <c r="J614" s="9" t="n">
        <v>0</v>
      </c>
      <c r="K614" s="9" t="n">
        <v>0</v>
      </c>
      <c r="L614" s="9" t="n">
        <v>0</v>
      </c>
      <c r="M614" s="9" t="n">
        <v>0</v>
      </c>
      <c r="N614" s="12" t="n">
        <f aca="true">IFERROR(ROUND(SUM(OFFSET(B614,0,0,1,POSTAVKE!$B$7))/POSTAVKE!$B$7,2),0)</f>
        <v>0.75</v>
      </c>
    </row>
    <row r="615" customFormat="false" ht="15" hidden="false" customHeight="false" outlineLevel="0" collapsed="false">
      <c r="A615" s="11" t="s">
        <v>599</v>
      </c>
      <c r="B615" s="9" t="n">
        <v>0</v>
      </c>
      <c r="C615" s="9" t="n">
        <v>0</v>
      </c>
      <c r="D615" s="9" t="n">
        <v>0</v>
      </c>
      <c r="E615" s="9" t="n">
        <v>0</v>
      </c>
      <c r="F615" s="9" t="n">
        <v>0</v>
      </c>
      <c r="G615" s="9" t="n">
        <v>0</v>
      </c>
      <c r="H615" s="9" t="n">
        <v>1</v>
      </c>
      <c r="I615" s="9" t="n">
        <v>0</v>
      </c>
      <c r="J615" s="9" t="n">
        <v>0</v>
      </c>
      <c r="K615" s="9" t="n">
        <v>0</v>
      </c>
      <c r="L615" s="9" t="n">
        <v>0</v>
      </c>
      <c r="M615" s="9" t="n">
        <v>0</v>
      </c>
      <c r="N615" s="12" t="n">
        <f aca="true">IFERROR(ROUND(SUM(OFFSET(B615,0,0,1,POSTAVKE!$B$7))/POSTAVKE!$B$7,2),0)</f>
        <v>0.13</v>
      </c>
    </row>
    <row r="616" customFormat="false" ht="15" hidden="false" customHeight="false" outlineLevel="0" collapsed="false">
      <c r="A616" s="11" t="s">
        <v>653</v>
      </c>
      <c r="B616" s="9" t="n">
        <v>0</v>
      </c>
      <c r="C616" s="9" t="n">
        <v>0</v>
      </c>
      <c r="D616" s="9" t="n">
        <v>1</v>
      </c>
      <c r="E616" s="9" t="n">
        <v>0</v>
      </c>
      <c r="F616" s="9" t="n">
        <v>0</v>
      </c>
      <c r="G616" s="9" t="n">
        <v>0</v>
      </c>
      <c r="H616" s="9" t="n">
        <v>0</v>
      </c>
      <c r="I616" s="9" t="n">
        <v>0</v>
      </c>
      <c r="J616" s="9" t="n">
        <v>0</v>
      </c>
      <c r="K616" s="9" t="n">
        <v>0</v>
      </c>
      <c r="L616" s="9" t="n">
        <v>0</v>
      </c>
      <c r="M616" s="9" t="n">
        <v>0</v>
      </c>
      <c r="N616" s="12" t="n">
        <f aca="true">IFERROR(ROUND(SUM(OFFSET(B616,0,0,1,POSTAVKE!$B$7))/POSTAVKE!$B$7,2),0)</f>
        <v>0.13</v>
      </c>
    </row>
    <row r="617" customFormat="false" ht="15" hidden="false" customHeight="false" outlineLevel="0" collapsed="false">
      <c r="A617" s="11" t="s">
        <v>707</v>
      </c>
      <c r="B617" s="9" t="n">
        <v>0</v>
      </c>
      <c r="C617" s="9" t="n">
        <v>0</v>
      </c>
      <c r="D617" s="9" t="n">
        <v>0</v>
      </c>
      <c r="E617" s="9" t="n">
        <v>0</v>
      </c>
      <c r="F617" s="9" t="n">
        <v>1</v>
      </c>
      <c r="G617" s="9" t="n">
        <v>1</v>
      </c>
      <c r="H617" s="9" t="n">
        <v>0</v>
      </c>
      <c r="I617" s="9" t="n">
        <v>0</v>
      </c>
      <c r="J617" s="9" t="n">
        <v>0</v>
      </c>
      <c r="K617" s="9" t="n">
        <v>0</v>
      </c>
      <c r="L617" s="9" t="n">
        <v>0</v>
      </c>
      <c r="M617" s="9" t="n">
        <v>0</v>
      </c>
      <c r="N617" s="12" t="n">
        <f aca="true">IFERROR(ROUND(SUM(OFFSET(B617,0,0,1,POSTAVKE!$B$7))/POSTAVKE!$B$7,2),0)</f>
        <v>0.25</v>
      </c>
    </row>
    <row r="618" customFormat="false" ht="15" hidden="false" customHeight="false" outlineLevel="0" collapsed="false">
      <c r="A618" s="11" t="s">
        <v>1628</v>
      </c>
      <c r="B618" s="9" t="n">
        <v>0</v>
      </c>
      <c r="C618" s="9" t="n">
        <v>1</v>
      </c>
      <c r="D618" s="9" t="n">
        <v>2</v>
      </c>
      <c r="E618" s="9" t="n">
        <v>1</v>
      </c>
      <c r="F618" s="9" t="n">
        <v>3</v>
      </c>
      <c r="G618" s="9" t="n">
        <v>0</v>
      </c>
      <c r="H618" s="9" t="n">
        <v>0</v>
      </c>
      <c r="I618" s="9" t="n">
        <v>5</v>
      </c>
      <c r="J618" s="9" t="n">
        <v>5</v>
      </c>
      <c r="K618" s="9" t="n">
        <v>0</v>
      </c>
      <c r="L618" s="9" t="n">
        <v>0</v>
      </c>
      <c r="M618" s="9" t="n">
        <v>0</v>
      </c>
      <c r="N618" s="12" t="n">
        <f aca="true">IFERROR(ROUND(SUM(OFFSET(B618,0,0,1,POSTAVKE!$B$7))/POSTAVKE!$B$7,2),0)</f>
        <v>1.5</v>
      </c>
    </row>
    <row r="619" customFormat="false" ht="15" hidden="false" customHeight="false" outlineLevel="0" collapsed="false">
      <c r="A619" s="11" t="s">
        <v>497</v>
      </c>
      <c r="B619" s="9" t="n">
        <v>0</v>
      </c>
      <c r="C619" s="9" t="n">
        <v>1</v>
      </c>
      <c r="D619" s="9" t="n">
        <v>0</v>
      </c>
      <c r="E619" s="9" t="n">
        <v>1</v>
      </c>
      <c r="F619" s="9" t="n">
        <v>0</v>
      </c>
      <c r="G619" s="9" t="n">
        <v>1</v>
      </c>
      <c r="H619" s="9" t="n">
        <v>2</v>
      </c>
      <c r="I619" s="9" t="n">
        <v>1</v>
      </c>
      <c r="J619" s="9" t="n">
        <v>0</v>
      </c>
      <c r="K619" s="9" t="n">
        <v>0</v>
      </c>
      <c r="L619" s="9" t="n">
        <v>0</v>
      </c>
      <c r="M619" s="9" t="n">
        <v>0</v>
      </c>
      <c r="N619" s="12" t="n">
        <f aca="true">IFERROR(ROUND(SUM(OFFSET(B619,0,0,1,POSTAVKE!$B$7))/POSTAVKE!$B$7,2),0)</f>
        <v>0.75</v>
      </c>
    </row>
    <row r="620" customFormat="false" ht="15" hidden="false" customHeight="false" outlineLevel="0" collapsed="false">
      <c r="A620" s="11" t="s">
        <v>451</v>
      </c>
      <c r="B620" s="9" t="n">
        <v>0</v>
      </c>
      <c r="C620" s="9" t="n">
        <v>0</v>
      </c>
      <c r="D620" s="9" t="n">
        <v>0</v>
      </c>
      <c r="E620" s="9" t="n">
        <v>2</v>
      </c>
      <c r="F620" s="9" t="n">
        <v>1</v>
      </c>
      <c r="G620" s="9" t="n">
        <v>1</v>
      </c>
      <c r="H620" s="9" t="n">
        <v>0</v>
      </c>
      <c r="I620" s="9" t="n">
        <v>0</v>
      </c>
      <c r="J620" s="9" t="n">
        <v>0</v>
      </c>
      <c r="K620" s="9" t="n">
        <v>0</v>
      </c>
      <c r="L620" s="9" t="n">
        <v>0</v>
      </c>
      <c r="M620" s="9" t="n">
        <v>0</v>
      </c>
      <c r="N620" s="12" t="n">
        <f aca="true">IFERROR(ROUND(SUM(OFFSET(B620,0,0,1,POSTAVKE!$B$7))/POSTAVKE!$B$7,2),0)</f>
        <v>0.5</v>
      </c>
    </row>
    <row r="621" customFormat="false" ht="15" hidden="false" customHeight="false" outlineLevel="0" collapsed="false">
      <c r="A621" s="11" t="s">
        <v>741</v>
      </c>
      <c r="B621" s="9" t="n">
        <v>0</v>
      </c>
      <c r="C621" s="9" t="n">
        <v>6</v>
      </c>
      <c r="D621" s="9" t="n">
        <v>2</v>
      </c>
      <c r="E621" s="9" t="n">
        <v>4</v>
      </c>
      <c r="F621" s="9" t="n">
        <v>2</v>
      </c>
      <c r="G621" s="9" t="n">
        <v>0</v>
      </c>
      <c r="H621" s="9" t="n">
        <v>-1</v>
      </c>
      <c r="I621" s="9" t="n">
        <v>1</v>
      </c>
      <c r="J621" s="9" t="n">
        <v>0</v>
      </c>
      <c r="K621" s="9" t="n">
        <v>0</v>
      </c>
      <c r="L621" s="9" t="n">
        <v>0</v>
      </c>
      <c r="M621" s="9" t="n">
        <v>0</v>
      </c>
      <c r="N621" s="12" t="n">
        <f aca="true">IFERROR(ROUND(SUM(OFFSET(B621,0,0,1,POSTAVKE!$B$7))/POSTAVKE!$B$7,2),0)</f>
        <v>1.75</v>
      </c>
    </row>
    <row r="622" customFormat="false" ht="15" hidden="false" customHeight="false" outlineLevel="0" collapsed="false">
      <c r="A622" s="11" t="s">
        <v>889</v>
      </c>
      <c r="B622" s="9" t="n">
        <v>0</v>
      </c>
      <c r="C622" s="9" t="n">
        <v>0</v>
      </c>
      <c r="D622" s="9" t="n">
        <v>0</v>
      </c>
      <c r="E622" s="9" t="n">
        <v>0</v>
      </c>
      <c r="F622" s="9" t="n">
        <v>0</v>
      </c>
      <c r="G622" s="9" t="n">
        <v>1</v>
      </c>
      <c r="H622" s="9" t="n">
        <v>0</v>
      </c>
      <c r="I622" s="9" t="n">
        <v>0</v>
      </c>
      <c r="J622" s="9" t="n">
        <v>0</v>
      </c>
      <c r="K622" s="9" t="n">
        <v>0</v>
      </c>
      <c r="L622" s="9" t="n">
        <v>0</v>
      </c>
      <c r="M622" s="9" t="n">
        <v>0</v>
      </c>
      <c r="N622" s="12" t="n">
        <f aca="true">IFERROR(ROUND(SUM(OFFSET(B622,0,0,1,POSTAVKE!$B$7))/POSTAVKE!$B$7,2),0)</f>
        <v>0.13</v>
      </c>
    </row>
    <row r="623" customFormat="false" ht="15" hidden="false" customHeight="false" outlineLevel="0" collapsed="false">
      <c r="A623" s="11" t="s">
        <v>1087</v>
      </c>
      <c r="B623" s="9" t="n">
        <v>0</v>
      </c>
      <c r="C623" s="9" t="n">
        <v>3</v>
      </c>
      <c r="D623" s="9" t="n">
        <v>2</v>
      </c>
      <c r="E623" s="9" t="n">
        <v>3</v>
      </c>
      <c r="F623" s="9" t="n">
        <v>2</v>
      </c>
      <c r="G623" s="9" t="n">
        <v>2</v>
      </c>
      <c r="H623" s="9" t="n">
        <v>0</v>
      </c>
      <c r="I623" s="9" t="n">
        <v>1</v>
      </c>
      <c r="J623" s="9" t="n">
        <v>0</v>
      </c>
      <c r="K623" s="9" t="n">
        <v>0</v>
      </c>
      <c r="L623" s="9" t="n">
        <v>0</v>
      </c>
      <c r="M623" s="9" t="n">
        <v>0</v>
      </c>
      <c r="N623" s="12" t="n">
        <f aca="true">IFERROR(ROUND(SUM(OFFSET(B623,0,0,1,POSTAVKE!$B$7))/POSTAVKE!$B$7,2),0)</f>
        <v>1.63</v>
      </c>
    </row>
    <row r="624" customFormat="false" ht="15" hidden="false" customHeight="false" outlineLevel="0" collapsed="false">
      <c r="A624" s="11" t="s">
        <v>955</v>
      </c>
      <c r="B624" s="9" t="n">
        <v>0</v>
      </c>
      <c r="C624" s="9" t="n">
        <v>0</v>
      </c>
      <c r="D624" s="9" t="n">
        <v>0</v>
      </c>
      <c r="E624" s="9" t="n">
        <v>2</v>
      </c>
      <c r="F624" s="9" t="n">
        <v>0</v>
      </c>
      <c r="G624" s="9" t="n">
        <v>0</v>
      </c>
      <c r="H624" s="9" t="n">
        <v>1</v>
      </c>
      <c r="I624" s="9" t="n">
        <v>0</v>
      </c>
      <c r="J624" s="9" t="n">
        <v>0</v>
      </c>
      <c r="K624" s="9" t="n">
        <v>0</v>
      </c>
      <c r="L624" s="9" t="n">
        <v>0</v>
      </c>
      <c r="M624" s="9" t="n">
        <v>0</v>
      </c>
      <c r="N624" s="12" t="n">
        <f aca="true">IFERROR(ROUND(SUM(OFFSET(B624,0,0,1,POSTAVKE!$B$7))/POSTAVKE!$B$7,2),0)</f>
        <v>0.38</v>
      </c>
    </row>
    <row r="625" customFormat="false" ht="15" hidden="false" customHeight="false" outlineLevel="0" collapsed="false">
      <c r="A625" s="11" t="s">
        <v>719</v>
      </c>
      <c r="B625" s="9" t="n">
        <v>0</v>
      </c>
      <c r="C625" s="9" t="n">
        <v>0</v>
      </c>
      <c r="D625" s="9" t="n">
        <v>0</v>
      </c>
      <c r="E625" s="9" t="n">
        <v>0</v>
      </c>
      <c r="F625" s="9" t="n">
        <v>1</v>
      </c>
      <c r="G625" s="9" t="n">
        <v>2</v>
      </c>
      <c r="H625" s="9" t="n">
        <v>10</v>
      </c>
      <c r="I625" s="9" t="n">
        <v>3</v>
      </c>
      <c r="J625" s="9" t="n">
        <v>0</v>
      </c>
      <c r="K625" s="9" t="n">
        <v>0</v>
      </c>
      <c r="L625" s="9" t="n">
        <v>0</v>
      </c>
      <c r="M625" s="9" t="n">
        <v>0</v>
      </c>
      <c r="N625" s="12" t="n">
        <f aca="true">IFERROR(ROUND(SUM(OFFSET(B625,0,0,1,POSTAVKE!$B$7))/POSTAVKE!$B$7,2),0)</f>
        <v>2</v>
      </c>
    </row>
    <row r="626" customFormat="false" ht="15" hidden="false" customHeight="false" outlineLevel="0" collapsed="false">
      <c r="A626" s="11" t="s">
        <v>399</v>
      </c>
      <c r="B626" s="9" t="n">
        <v>0</v>
      </c>
      <c r="C626" s="9" t="n">
        <v>3</v>
      </c>
      <c r="D626" s="9" t="n">
        <v>1</v>
      </c>
      <c r="E626" s="9" t="n">
        <v>-1</v>
      </c>
      <c r="F626" s="9" t="n">
        <v>0</v>
      </c>
      <c r="G626" s="9" t="n">
        <v>1</v>
      </c>
      <c r="H626" s="9" t="n">
        <v>4</v>
      </c>
      <c r="I626" s="9" t="n">
        <v>1</v>
      </c>
      <c r="J626" s="9" t="n">
        <v>0</v>
      </c>
      <c r="K626" s="9" t="n">
        <v>0</v>
      </c>
      <c r="L626" s="9" t="n">
        <v>0</v>
      </c>
      <c r="M626" s="9" t="n">
        <v>0</v>
      </c>
      <c r="N626" s="12" t="n">
        <f aca="true">IFERROR(ROUND(SUM(OFFSET(B626,0,0,1,POSTAVKE!$B$7))/POSTAVKE!$B$7,2),0)</f>
        <v>1.13</v>
      </c>
    </row>
    <row r="627" customFormat="false" ht="15" hidden="false" customHeight="false" outlineLevel="0" collapsed="false">
      <c r="A627" s="11" t="s">
        <v>1063</v>
      </c>
      <c r="B627" s="9" t="n">
        <v>0</v>
      </c>
      <c r="C627" s="9" t="n">
        <v>0</v>
      </c>
      <c r="D627" s="9" t="n">
        <v>3</v>
      </c>
      <c r="E627" s="9" t="n">
        <v>1</v>
      </c>
      <c r="F627" s="9" t="n">
        <v>0</v>
      </c>
      <c r="G627" s="9" t="n">
        <v>0</v>
      </c>
      <c r="H627" s="9" t="n">
        <v>1</v>
      </c>
      <c r="I627" s="9" t="n">
        <v>2</v>
      </c>
      <c r="J627" s="9" t="n">
        <v>0</v>
      </c>
      <c r="K627" s="9" t="n">
        <v>0</v>
      </c>
      <c r="L627" s="9" t="n">
        <v>0</v>
      </c>
      <c r="M627" s="9" t="n">
        <v>0</v>
      </c>
      <c r="N627" s="12" t="n">
        <f aca="true">IFERROR(ROUND(SUM(OFFSET(B627,0,0,1,POSTAVKE!$B$7))/POSTAVKE!$B$7,2),0)</f>
        <v>0.88</v>
      </c>
    </row>
    <row r="628" customFormat="false" ht="15" hidden="false" customHeight="false" outlineLevel="0" collapsed="false">
      <c r="A628" s="11" t="s">
        <v>581</v>
      </c>
      <c r="B628" s="9" t="n">
        <v>0</v>
      </c>
      <c r="C628" s="9" t="n">
        <v>0</v>
      </c>
      <c r="D628" s="9" t="n">
        <v>0</v>
      </c>
      <c r="E628" s="9" t="n">
        <v>1</v>
      </c>
      <c r="F628" s="9" t="n">
        <v>0</v>
      </c>
      <c r="G628" s="9" t="n">
        <v>2</v>
      </c>
      <c r="H628" s="9" t="n">
        <v>0</v>
      </c>
      <c r="I628" s="9" t="n">
        <v>0</v>
      </c>
      <c r="J628" s="9" t="n">
        <v>0</v>
      </c>
      <c r="K628" s="9" t="n">
        <v>0</v>
      </c>
      <c r="L628" s="9" t="n">
        <v>0</v>
      </c>
      <c r="M628" s="9" t="n">
        <v>0</v>
      </c>
      <c r="N628" s="12" t="n">
        <f aca="true">IFERROR(ROUND(SUM(OFFSET(B628,0,0,1,POSTAVKE!$B$7))/POSTAVKE!$B$7,2),0)</f>
        <v>0.38</v>
      </c>
    </row>
    <row r="629" customFormat="false" ht="15" hidden="false" customHeight="false" outlineLevel="0" collapsed="false">
      <c r="A629" s="11" t="s">
        <v>759</v>
      </c>
      <c r="B629" s="9" t="n">
        <v>0</v>
      </c>
      <c r="C629" s="9" t="n">
        <v>1</v>
      </c>
      <c r="D629" s="9" t="n">
        <v>0</v>
      </c>
      <c r="E629" s="9" t="n">
        <v>0</v>
      </c>
      <c r="F629" s="9" t="n">
        <v>0</v>
      </c>
      <c r="G629" s="9" t="n">
        <v>0</v>
      </c>
      <c r="H629" s="9" t="n">
        <v>1</v>
      </c>
      <c r="I629" s="9" t="n">
        <v>0</v>
      </c>
      <c r="J629" s="9" t="n">
        <v>0</v>
      </c>
      <c r="K629" s="9" t="n">
        <v>0</v>
      </c>
      <c r="L629" s="9" t="n">
        <v>0</v>
      </c>
      <c r="M629" s="9" t="n">
        <v>0</v>
      </c>
      <c r="N629" s="12" t="n">
        <f aca="true">IFERROR(ROUND(SUM(OFFSET(B629,0,0,1,POSTAVKE!$B$7))/POSTAVKE!$B$7,2),0)</f>
        <v>0.25</v>
      </c>
    </row>
    <row r="630" customFormat="false" ht="15" hidden="false" customHeight="false" outlineLevel="0" collapsed="false">
      <c r="A630" s="11" t="s">
        <v>289</v>
      </c>
      <c r="B630" s="9" t="n">
        <v>0</v>
      </c>
      <c r="C630" s="9" t="n">
        <v>0</v>
      </c>
      <c r="D630" s="9" t="n">
        <v>2</v>
      </c>
      <c r="E630" s="9" t="n">
        <v>1</v>
      </c>
      <c r="F630" s="9" t="n">
        <v>0</v>
      </c>
      <c r="G630" s="9" t="n">
        <v>1</v>
      </c>
      <c r="H630" s="9" t="n">
        <v>2</v>
      </c>
      <c r="I630" s="9" t="n">
        <v>0</v>
      </c>
      <c r="J630" s="9" t="n">
        <v>0</v>
      </c>
      <c r="K630" s="9" t="n">
        <v>0</v>
      </c>
      <c r="L630" s="9" t="n">
        <v>0</v>
      </c>
      <c r="M630" s="9" t="n">
        <v>0</v>
      </c>
      <c r="N630" s="12" t="n">
        <f aca="true">IFERROR(ROUND(SUM(OFFSET(B630,0,0,1,POSTAVKE!$B$7))/POSTAVKE!$B$7,2),0)</f>
        <v>0.75</v>
      </c>
    </row>
    <row r="631" customFormat="false" ht="15" hidden="false" customHeight="false" outlineLevel="0" collapsed="false">
      <c r="A631" s="11" t="s">
        <v>641</v>
      </c>
      <c r="B631" s="9" t="n">
        <v>0</v>
      </c>
      <c r="C631" s="9" t="n">
        <v>1</v>
      </c>
      <c r="D631" s="9" t="n">
        <v>0</v>
      </c>
      <c r="E631" s="9" t="n">
        <v>0</v>
      </c>
      <c r="F631" s="9" t="n">
        <v>0</v>
      </c>
      <c r="G631" s="9" t="n">
        <v>1</v>
      </c>
      <c r="H631" s="9" t="n">
        <v>0</v>
      </c>
      <c r="I631" s="9" t="n">
        <v>0</v>
      </c>
      <c r="J631" s="9" t="n">
        <v>0</v>
      </c>
      <c r="K631" s="9" t="n">
        <v>0</v>
      </c>
      <c r="L631" s="9" t="n">
        <v>0</v>
      </c>
      <c r="M631" s="9" t="n">
        <v>0</v>
      </c>
      <c r="N631" s="12" t="n">
        <f aca="true">IFERROR(ROUND(SUM(OFFSET(B631,0,0,1,POSTAVKE!$B$7))/POSTAVKE!$B$7,2),0)</f>
        <v>0.25</v>
      </c>
    </row>
    <row r="632" customFormat="false" ht="15" hidden="false" customHeight="false" outlineLevel="0" collapsed="false">
      <c r="A632" s="11" t="s">
        <v>245</v>
      </c>
      <c r="B632" s="9" t="n">
        <v>0</v>
      </c>
      <c r="C632" s="9" t="n">
        <v>0</v>
      </c>
      <c r="D632" s="9" t="n">
        <v>0</v>
      </c>
      <c r="E632" s="9" t="n">
        <v>0</v>
      </c>
      <c r="F632" s="9" t="n">
        <v>0</v>
      </c>
      <c r="G632" s="9" t="n">
        <v>0</v>
      </c>
      <c r="H632" s="9" t="n">
        <v>0</v>
      </c>
      <c r="I632" s="9" t="n">
        <v>2</v>
      </c>
      <c r="J632" s="9" t="n">
        <v>13</v>
      </c>
      <c r="K632" s="9" t="n">
        <v>0</v>
      </c>
      <c r="L632" s="9" t="n">
        <v>0</v>
      </c>
      <c r="M632" s="9" t="n">
        <v>0</v>
      </c>
      <c r="N632" s="12" t="n">
        <f aca="true">IFERROR(ROUND(SUM(OFFSET(B632,0,0,1,POSTAVKE!$B$7))/POSTAVKE!$B$7,2),0)</f>
        <v>0.25</v>
      </c>
    </row>
    <row r="633" customFormat="false" ht="15" hidden="false" customHeight="false" outlineLevel="0" collapsed="false">
      <c r="A633" s="11" t="s">
        <v>1145</v>
      </c>
      <c r="B633" s="9" t="n">
        <v>0</v>
      </c>
      <c r="C633" s="9" t="n">
        <v>0</v>
      </c>
      <c r="D633" s="9" t="n">
        <v>0</v>
      </c>
      <c r="E633" s="9" t="n">
        <v>0</v>
      </c>
      <c r="F633" s="9" t="n">
        <v>0</v>
      </c>
      <c r="G633" s="9" t="n">
        <v>0</v>
      </c>
      <c r="H633" s="9" t="n">
        <v>0</v>
      </c>
      <c r="I633" s="9" t="n">
        <v>1</v>
      </c>
      <c r="J633" s="9" t="n">
        <v>0</v>
      </c>
      <c r="K633" s="9" t="n">
        <v>0</v>
      </c>
      <c r="L633" s="9" t="n">
        <v>0</v>
      </c>
      <c r="M633" s="9" t="n">
        <v>0</v>
      </c>
      <c r="N633" s="12" t="n">
        <f aca="true">IFERROR(ROUND(SUM(OFFSET(B633,0,0,1,POSTAVKE!$B$7))/POSTAVKE!$B$7,2),0)</f>
        <v>0.13</v>
      </c>
    </row>
    <row r="634" customFormat="false" ht="15" hidden="false" customHeight="false" outlineLevel="0" collapsed="false">
      <c r="A634" s="11" t="s">
        <v>1158</v>
      </c>
      <c r="B634" s="9" t="n">
        <v>0</v>
      </c>
      <c r="C634" s="9" t="n">
        <v>0</v>
      </c>
      <c r="D634" s="9" t="n">
        <v>0</v>
      </c>
      <c r="E634" s="9" t="n">
        <v>0</v>
      </c>
      <c r="F634" s="9" t="n">
        <v>0</v>
      </c>
      <c r="G634" s="9" t="n">
        <v>0</v>
      </c>
      <c r="H634" s="9" t="n">
        <v>0</v>
      </c>
      <c r="I634" s="9" t="n">
        <v>1</v>
      </c>
      <c r="J634" s="9" t="n">
        <v>0</v>
      </c>
      <c r="K634" s="9" t="n">
        <v>0</v>
      </c>
      <c r="L634" s="9" t="n">
        <v>0</v>
      </c>
      <c r="M634" s="9" t="n">
        <v>0</v>
      </c>
      <c r="N634" s="12" t="n">
        <f aca="true">IFERROR(ROUND(SUM(OFFSET(B634,0,0,1,POSTAVKE!$B$7))/POSTAVKE!$B$7,2),0)</f>
        <v>0.13</v>
      </c>
    </row>
    <row r="635" customFormat="false" ht="15" hidden="false" customHeight="false" outlineLevel="0" collapsed="false">
      <c r="A635" s="11" t="s">
        <v>841</v>
      </c>
      <c r="B635" s="9" t="n">
        <v>0</v>
      </c>
      <c r="C635" s="9" t="n">
        <v>1</v>
      </c>
      <c r="D635" s="9" t="n">
        <v>1</v>
      </c>
      <c r="E635" s="9" t="n">
        <v>5</v>
      </c>
      <c r="F635" s="9" t="n">
        <v>1</v>
      </c>
      <c r="G635" s="9" t="n">
        <v>3</v>
      </c>
      <c r="H635" s="9" t="n">
        <v>0</v>
      </c>
      <c r="I635" s="9" t="n">
        <v>6</v>
      </c>
      <c r="J635" s="9" t="n">
        <v>0</v>
      </c>
      <c r="K635" s="9" t="n">
        <v>0</v>
      </c>
      <c r="L635" s="9" t="n">
        <v>0</v>
      </c>
      <c r="M635" s="9" t="n">
        <v>0</v>
      </c>
      <c r="N635" s="12" t="n">
        <f aca="true">IFERROR(ROUND(SUM(OFFSET(B635,0,0,1,POSTAVKE!$B$7))/POSTAVKE!$B$7,2),0)</f>
        <v>2.13</v>
      </c>
    </row>
    <row r="636" customFormat="false" ht="15" hidden="false" customHeight="false" outlineLevel="0" collapsed="false">
      <c r="A636" s="11" t="s">
        <v>297</v>
      </c>
      <c r="B636" s="9" t="n">
        <v>0</v>
      </c>
      <c r="C636" s="9" t="n">
        <v>1</v>
      </c>
      <c r="D636" s="9" t="n">
        <v>2</v>
      </c>
      <c r="E636" s="9" t="n">
        <v>1</v>
      </c>
      <c r="F636" s="9" t="n">
        <v>2</v>
      </c>
      <c r="G636" s="9" t="n">
        <v>1</v>
      </c>
      <c r="H636" s="9" t="n">
        <v>0</v>
      </c>
      <c r="I636" s="9" t="n">
        <v>1</v>
      </c>
      <c r="J636" s="9" t="n">
        <v>0</v>
      </c>
      <c r="K636" s="9" t="n">
        <v>0</v>
      </c>
      <c r="L636" s="9" t="n">
        <v>0</v>
      </c>
      <c r="M636" s="9" t="n">
        <v>0</v>
      </c>
      <c r="N636" s="12" t="n">
        <f aca="true">IFERROR(ROUND(SUM(OFFSET(B636,0,0,1,POSTAVKE!$B$7))/POSTAVKE!$B$7,2),0)</f>
        <v>1</v>
      </c>
    </row>
    <row r="637" customFormat="false" ht="15" hidden="false" customHeight="false" outlineLevel="0" collapsed="false">
      <c r="A637" s="11" t="s">
        <v>1640</v>
      </c>
      <c r="B637" s="9" t="n">
        <v>0</v>
      </c>
      <c r="C637" s="9" t="n">
        <v>1</v>
      </c>
      <c r="D637" s="9" t="n">
        <v>0</v>
      </c>
      <c r="E637" s="9" t="n">
        <v>0</v>
      </c>
      <c r="F637" s="9" t="n">
        <v>0</v>
      </c>
      <c r="G637" s="9" t="n">
        <v>0</v>
      </c>
      <c r="H637" s="9" t="n">
        <v>0</v>
      </c>
      <c r="I637" s="9" t="n">
        <v>0</v>
      </c>
      <c r="J637" s="9" t="n">
        <v>0</v>
      </c>
      <c r="K637" s="9" t="n">
        <v>0</v>
      </c>
      <c r="L637" s="9" t="n">
        <v>0</v>
      </c>
      <c r="M637" s="9" t="n">
        <v>0</v>
      </c>
      <c r="N637" s="12" t="n">
        <f aca="true">IFERROR(ROUND(SUM(OFFSET(B637,0,0,1,POSTAVKE!$B$7))/POSTAVKE!$B$7,2),0)</f>
        <v>0.13</v>
      </c>
    </row>
    <row r="638" customFormat="false" ht="15" hidden="false" customHeight="false" outlineLevel="0" collapsed="false">
      <c r="A638" s="11" t="s">
        <v>1642</v>
      </c>
      <c r="B638" s="9" t="n">
        <v>0</v>
      </c>
      <c r="C638" s="9" t="n">
        <v>1</v>
      </c>
      <c r="D638" s="9" t="n">
        <v>1</v>
      </c>
      <c r="E638" s="9" t="n">
        <v>2</v>
      </c>
      <c r="F638" s="9" t="n">
        <v>0</v>
      </c>
      <c r="G638" s="9" t="n">
        <v>0</v>
      </c>
      <c r="H638" s="9" t="n">
        <v>0</v>
      </c>
      <c r="I638" s="9" t="n">
        <v>0</v>
      </c>
      <c r="J638" s="9" t="n">
        <v>0</v>
      </c>
      <c r="K638" s="9" t="n">
        <v>0</v>
      </c>
      <c r="L638" s="9" t="n">
        <v>0</v>
      </c>
      <c r="M638" s="9" t="n">
        <v>0</v>
      </c>
      <c r="N638" s="12" t="n">
        <f aca="true">IFERROR(ROUND(SUM(OFFSET(B638,0,0,1,POSTAVKE!$B$7))/POSTAVKE!$B$7,2),0)</f>
        <v>0.5</v>
      </c>
    </row>
    <row r="639" customFormat="false" ht="15" hidden="false" customHeight="false" outlineLevel="0" collapsed="false">
      <c r="A639" s="11" t="s">
        <v>957</v>
      </c>
      <c r="B639" s="9" t="n">
        <v>0</v>
      </c>
      <c r="C639" s="9" t="n">
        <v>1</v>
      </c>
      <c r="D639" s="9" t="n">
        <v>0</v>
      </c>
      <c r="E639" s="9" t="n">
        <v>0</v>
      </c>
      <c r="F639" s="9" t="n">
        <v>1</v>
      </c>
      <c r="G639" s="9" t="n">
        <v>0</v>
      </c>
      <c r="H639" s="9" t="n">
        <v>0</v>
      </c>
      <c r="I639" s="9" t="n">
        <v>0</v>
      </c>
      <c r="J639" s="9" t="n">
        <v>0</v>
      </c>
      <c r="K639" s="9" t="n">
        <v>0</v>
      </c>
      <c r="L639" s="9" t="n">
        <v>0</v>
      </c>
      <c r="M639" s="9" t="n">
        <v>0</v>
      </c>
      <c r="N639" s="12" t="n">
        <f aca="true">IFERROR(ROUND(SUM(OFFSET(B639,0,0,1,POSTAVKE!$B$7))/POSTAVKE!$B$7,2),0)</f>
        <v>0.25</v>
      </c>
    </row>
    <row r="640" customFormat="false" ht="15" hidden="false" customHeight="false" outlineLevel="0" collapsed="false">
      <c r="A640" s="11" t="s">
        <v>1873</v>
      </c>
      <c r="B640" s="9" t="n">
        <v>0</v>
      </c>
      <c r="C640" s="9" t="n">
        <v>0</v>
      </c>
      <c r="D640" s="9" t="n">
        <v>0</v>
      </c>
      <c r="E640" s="9" t="n">
        <v>0</v>
      </c>
      <c r="F640" s="9" t="n">
        <v>0</v>
      </c>
      <c r="G640" s="9" t="n">
        <v>0</v>
      </c>
      <c r="H640" s="9" t="n">
        <v>0</v>
      </c>
      <c r="I640" s="9" t="n">
        <v>0</v>
      </c>
      <c r="J640" s="9" t="n">
        <v>0</v>
      </c>
      <c r="K640" s="9" t="n">
        <v>0</v>
      </c>
      <c r="L640" s="9" t="n">
        <v>0</v>
      </c>
      <c r="M640" s="9" t="n">
        <v>0</v>
      </c>
      <c r="N640" s="12" t="n">
        <f aca="true">IFERROR(ROUND(SUM(OFFSET(B640,0,0,1,POSTAVKE!$B$7))/POSTAVKE!$B$7,2),0)</f>
        <v>0</v>
      </c>
    </row>
    <row r="641" customFormat="false" ht="15" hidden="false" customHeight="false" outlineLevel="0" collapsed="false">
      <c r="A641" s="11" t="s">
        <v>959</v>
      </c>
      <c r="B641" s="9" t="n">
        <v>0</v>
      </c>
      <c r="C641" s="9" t="n">
        <v>8</v>
      </c>
      <c r="D641" s="9" t="n">
        <v>25</v>
      </c>
      <c r="E641" s="9" t="n">
        <v>0</v>
      </c>
      <c r="F641" s="9" t="n">
        <v>10</v>
      </c>
      <c r="G641" s="9" t="n">
        <v>0</v>
      </c>
      <c r="H641" s="9" t="n">
        <v>0</v>
      </c>
      <c r="I641" s="9" t="n">
        <v>20</v>
      </c>
      <c r="J641" s="9" t="n">
        <v>0</v>
      </c>
      <c r="K641" s="9" t="n">
        <v>0</v>
      </c>
      <c r="L641" s="9" t="n">
        <v>0</v>
      </c>
      <c r="M641" s="9" t="n">
        <v>0</v>
      </c>
      <c r="N641" s="12" t="n">
        <f aca="true">IFERROR(ROUND(SUM(OFFSET(B641,0,0,1,POSTAVKE!$B$7))/POSTAVKE!$B$7,2),0)</f>
        <v>7.88</v>
      </c>
    </row>
    <row r="642" customFormat="false" ht="15" hidden="false" customHeight="false" outlineLevel="0" collapsed="false">
      <c r="A642" s="11" t="s">
        <v>367</v>
      </c>
      <c r="B642" s="9" t="n">
        <v>0</v>
      </c>
      <c r="C642" s="9" t="n">
        <v>0</v>
      </c>
      <c r="D642" s="9" t="n">
        <v>42</v>
      </c>
      <c r="E642" s="9" t="n">
        <v>0</v>
      </c>
      <c r="F642" s="9" t="n">
        <v>0</v>
      </c>
      <c r="G642" s="9" t="n">
        <v>2</v>
      </c>
      <c r="H642" s="9" t="n">
        <v>0</v>
      </c>
      <c r="I642" s="9" t="n">
        <v>0</v>
      </c>
      <c r="J642" s="9" t="n">
        <v>0</v>
      </c>
      <c r="K642" s="9" t="n">
        <v>0</v>
      </c>
      <c r="L642" s="9" t="n">
        <v>0</v>
      </c>
      <c r="M642" s="9" t="n">
        <v>0</v>
      </c>
      <c r="N642" s="12" t="n">
        <f aca="true">IFERROR(ROUND(SUM(OFFSET(B642,0,0,1,POSTAVKE!$B$7))/POSTAVKE!$B$7,2),0)</f>
        <v>5.5</v>
      </c>
    </row>
    <row r="643" customFormat="false" ht="15" hidden="false" customHeight="false" outlineLevel="0" collapsed="false">
      <c r="A643" s="11" t="s">
        <v>711</v>
      </c>
      <c r="B643" s="9" t="n">
        <v>0</v>
      </c>
      <c r="C643" s="9" t="n">
        <v>0</v>
      </c>
      <c r="D643" s="9" t="n">
        <v>50</v>
      </c>
      <c r="E643" s="9" t="n">
        <v>0</v>
      </c>
      <c r="F643" s="9" t="n">
        <v>34</v>
      </c>
      <c r="G643" s="9" t="n">
        <v>10</v>
      </c>
      <c r="H643" s="9" t="n">
        <v>0</v>
      </c>
      <c r="I643" s="9" t="n">
        <v>0</v>
      </c>
      <c r="J643" s="9" t="n">
        <v>0</v>
      </c>
      <c r="K643" s="9" t="n">
        <v>0</v>
      </c>
      <c r="L643" s="9" t="n">
        <v>0</v>
      </c>
      <c r="M643" s="9" t="n">
        <v>0</v>
      </c>
      <c r="N643" s="12" t="n">
        <f aca="true">IFERROR(ROUND(SUM(OFFSET(B643,0,0,1,POSTAVKE!$B$7))/POSTAVKE!$B$7,2),0)</f>
        <v>11.75</v>
      </c>
    </row>
    <row r="644" customFormat="false" ht="15" hidden="false" customHeight="false" outlineLevel="0" collapsed="false">
      <c r="A644" s="11" t="s">
        <v>865</v>
      </c>
      <c r="B644" s="9" t="n">
        <v>0</v>
      </c>
      <c r="C644" s="9" t="n">
        <v>0</v>
      </c>
      <c r="D644" s="9" t="n">
        <v>29</v>
      </c>
      <c r="E644" s="9" t="n">
        <v>0</v>
      </c>
      <c r="F644" s="9" t="n">
        <v>22</v>
      </c>
      <c r="G644" s="9" t="n">
        <v>2</v>
      </c>
      <c r="H644" s="9" t="n">
        <v>0</v>
      </c>
      <c r="I644" s="9" t="n">
        <v>0</v>
      </c>
      <c r="J644" s="9" t="n">
        <v>0</v>
      </c>
      <c r="K644" s="9" t="n">
        <v>0</v>
      </c>
      <c r="L644" s="9" t="n">
        <v>0</v>
      </c>
      <c r="M644" s="9" t="n">
        <v>0</v>
      </c>
      <c r="N644" s="12" t="n">
        <f aca="true">IFERROR(ROUND(SUM(OFFSET(B644,0,0,1,POSTAVKE!$B$7))/POSTAVKE!$B$7,2),0)</f>
        <v>6.63</v>
      </c>
    </row>
    <row r="645" customFormat="false" ht="15" hidden="false" customHeight="false" outlineLevel="0" collapsed="false">
      <c r="A645" s="11" t="s">
        <v>479</v>
      </c>
      <c r="B645" s="9" t="n">
        <v>0</v>
      </c>
      <c r="C645" s="9" t="n">
        <v>2</v>
      </c>
      <c r="D645" s="9" t="n">
        <v>105</v>
      </c>
      <c r="E645" s="9" t="n">
        <v>0</v>
      </c>
      <c r="F645" s="9" t="n">
        <v>72</v>
      </c>
      <c r="G645" s="9" t="n">
        <v>0</v>
      </c>
      <c r="H645" s="9" t="n">
        <v>0</v>
      </c>
      <c r="I645" s="9" t="n">
        <v>111</v>
      </c>
      <c r="J645" s="9" t="n">
        <v>0</v>
      </c>
      <c r="K645" s="9" t="n">
        <v>0</v>
      </c>
      <c r="L645" s="9" t="n">
        <v>0</v>
      </c>
      <c r="M645" s="9" t="n">
        <v>0</v>
      </c>
      <c r="N645" s="12" t="n">
        <f aca="true">IFERROR(ROUND(SUM(OFFSET(B645,0,0,1,POSTAVKE!$B$7))/POSTAVKE!$B$7,2),0)</f>
        <v>36.25</v>
      </c>
    </row>
    <row r="646" customFormat="false" ht="15" hidden="false" customHeight="false" outlineLevel="0" collapsed="false">
      <c r="A646" s="11" t="s">
        <v>471</v>
      </c>
      <c r="B646" s="9" t="n">
        <v>0</v>
      </c>
      <c r="C646" s="9" t="n">
        <v>0</v>
      </c>
      <c r="D646" s="9" t="n">
        <v>0</v>
      </c>
      <c r="E646" s="9" t="n">
        <v>0</v>
      </c>
      <c r="F646" s="9" t="n">
        <v>19</v>
      </c>
      <c r="G646" s="9" t="n">
        <v>6</v>
      </c>
      <c r="H646" s="9" t="n">
        <v>0</v>
      </c>
      <c r="I646" s="9" t="n">
        <v>15</v>
      </c>
      <c r="J646" s="9" t="n">
        <v>0</v>
      </c>
      <c r="K646" s="9" t="n">
        <v>0</v>
      </c>
      <c r="L646" s="9" t="n">
        <v>0</v>
      </c>
      <c r="M646" s="9" t="n">
        <v>0</v>
      </c>
      <c r="N646" s="12" t="n">
        <f aca="true">IFERROR(ROUND(SUM(OFFSET(B646,0,0,1,POSTAVKE!$B$7))/POSTAVKE!$B$7,2),0)</f>
        <v>5</v>
      </c>
    </row>
    <row r="647" customFormat="false" ht="15" hidden="false" customHeight="false" outlineLevel="0" collapsed="false">
      <c r="A647" s="11" t="s">
        <v>169</v>
      </c>
      <c r="B647" s="9" t="n">
        <v>0</v>
      </c>
      <c r="C647" s="9" t="n">
        <v>0</v>
      </c>
      <c r="D647" s="9" t="n">
        <v>35</v>
      </c>
      <c r="E647" s="9" t="n">
        <v>0</v>
      </c>
      <c r="F647" s="9" t="n">
        <v>30</v>
      </c>
      <c r="G647" s="9" t="n">
        <v>15</v>
      </c>
      <c r="H647" s="9" t="n">
        <v>0</v>
      </c>
      <c r="I647" s="9" t="n">
        <v>53</v>
      </c>
      <c r="J647" s="9" t="n">
        <v>0</v>
      </c>
      <c r="K647" s="9" t="n">
        <v>0</v>
      </c>
      <c r="L647" s="9" t="n">
        <v>0</v>
      </c>
      <c r="M647" s="9" t="n">
        <v>0</v>
      </c>
      <c r="N647" s="12" t="n">
        <f aca="true">IFERROR(ROUND(SUM(OFFSET(B647,0,0,1,POSTAVKE!$B$7))/POSTAVKE!$B$7,2),0)</f>
        <v>16.63</v>
      </c>
    </row>
    <row r="648" customFormat="false" ht="15" hidden="false" customHeight="false" outlineLevel="0" collapsed="false">
      <c r="A648" s="11" t="s">
        <v>787</v>
      </c>
      <c r="B648" s="9" t="n">
        <v>0</v>
      </c>
      <c r="C648" s="9" t="n">
        <v>0</v>
      </c>
      <c r="D648" s="9" t="n">
        <v>7</v>
      </c>
      <c r="E648" s="9" t="n">
        <v>0</v>
      </c>
      <c r="F648" s="9" t="n">
        <v>4</v>
      </c>
      <c r="G648" s="9" t="n">
        <v>-3</v>
      </c>
      <c r="H648" s="9" t="n">
        <v>0</v>
      </c>
      <c r="I648" s="9" t="n">
        <v>14</v>
      </c>
      <c r="J648" s="9" t="n">
        <v>0</v>
      </c>
      <c r="K648" s="9" t="n">
        <v>0</v>
      </c>
      <c r="L648" s="9" t="n">
        <v>0</v>
      </c>
      <c r="M648" s="9" t="n">
        <v>0</v>
      </c>
      <c r="N648" s="12" t="n">
        <f aca="true">IFERROR(ROUND(SUM(OFFSET(B648,0,0,1,POSTAVKE!$B$7))/POSTAVKE!$B$7,2),0)</f>
        <v>2.75</v>
      </c>
    </row>
    <row r="649" customFormat="false" ht="15" hidden="false" customHeight="false" outlineLevel="0" collapsed="false">
      <c r="A649" s="11" t="s">
        <v>369</v>
      </c>
      <c r="B649" s="9" t="n">
        <v>0</v>
      </c>
      <c r="C649" s="9" t="n">
        <v>0</v>
      </c>
      <c r="D649" s="9" t="n">
        <v>23</v>
      </c>
      <c r="E649" s="9" t="n">
        <v>0</v>
      </c>
      <c r="F649" s="9" t="n">
        <v>8</v>
      </c>
      <c r="G649" s="9" t="n">
        <v>8</v>
      </c>
      <c r="H649" s="9" t="n">
        <v>0</v>
      </c>
      <c r="I649" s="9" t="n">
        <v>0</v>
      </c>
      <c r="J649" s="9" t="n">
        <v>0</v>
      </c>
      <c r="K649" s="9" t="n">
        <v>0</v>
      </c>
      <c r="L649" s="9" t="n">
        <v>0</v>
      </c>
      <c r="M649" s="9" t="n">
        <v>0</v>
      </c>
      <c r="N649" s="12" t="n">
        <f aca="true">IFERROR(ROUND(SUM(OFFSET(B649,0,0,1,POSTAVKE!$B$7))/POSTAVKE!$B$7,2),0)</f>
        <v>4.88</v>
      </c>
    </row>
    <row r="650" customFormat="false" ht="15" hidden="false" customHeight="false" outlineLevel="0" collapsed="false">
      <c r="A650" s="11" t="s">
        <v>307</v>
      </c>
      <c r="B650" s="9" t="n">
        <v>0</v>
      </c>
      <c r="C650" s="9" t="n">
        <v>0</v>
      </c>
      <c r="D650" s="9" t="n">
        <v>0</v>
      </c>
      <c r="E650" s="9" t="n">
        <v>0</v>
      </c>
      <c r="F650" s="9" t="n">
        <v>0</v>
      </c>
      <c r="G650" s="9" t="n">
        <v>0</v>
      </c>
      <c r="H650" s="9" t="n">
        <v>0</v>
      </c>
      <c r="I650" s="9" t="n">
        <v>0</v>
      </c>
      <c r="J650" s="9" t="n">
        <v>0</v>
      </c>
      <c r="K650" s="9" t="n">
        <v>0</v>
      </c>
      <c r="L650" s="9" t="n">
        <v>0</v>
      </c>
      <c r="M650" s="9" t="n">
        <v>0</v>
      </c>
      <c r="N650" s="12" t="n">
        <f aca="true">IFERROR(ROUND(SUM(OFFSET(B650,0,0,1,POSTAVKE!$B$7))/POSTAVKE!$B$7,2),0)</f>
        <v>0</v>
      </c>
    </row>
    <row r="651" customFormat="false" ht="15" hidden="false" customHeight="false" outlineLevel="0" collapsed="false">
      <c r="A651" s="11" t="s">
        <v>583</v>
      </c>
      <c r="B651" s="9" t="n">
        <v>0</v>
      </c>
      <c r="C651" s="9" t="n">
        <v>0</v>
      </c>
      <c r="D651" s="9" t="n">
        <v>16</v>
      </c>
      <c r="E651" s="9" t="n">
        <v>0</v>
      </c>
      <c r="F651" s="9" t="n">
        <v>13</v>
      </c>
      <c r="G651" s="9" t="n">
        <v>0</v>
      </c>
      <c r="H651" s="9" t="n">
        <v>0</v>
      </c>
      <c r="I651" s="9" t="n">
        <v>0</v>
      </c>
      <c r="J651" s="9" t="n">
        <v>0</v>
      </c>
      <c r="K651" s="9" t="n">
        <v>0</v>
      </c>
      <c r="L651" s="9" t="n">
        <v>0</v>
      </c>
      <c r="M651" s="9" t="n">
        <v>0</v>
      </c>
      <c r="N651" s="12" t="n">
        <f aca="true">IFERROR(ROUND(SUM(OFFSET(B651,0,0,1,POSTAVKE!$B$7))/POSTAVKE!$B$7,2),0)</f>
        <v>3.63</v>
      </c>
    </row>
    <row r="652" customFormat="false" ht="15" hidden="false" customHeight="false" outlineLevel="0" collapsed="false">
      <c r="A652" s="11" t="s">
        <v>761</v>
      </c>
      <c r="B652" s="9" t="n">
        <v>0</v>
      </c>
      <c r="C652" s="9" t="n">
        <v>0</v>
      </c>
      <c r="D652" s="9" t="n">
        <v>29</v>
      </c>
      <c r="E652" s="9" t="n">
        <v>0</v>
      </c>
      <c r="F652" s="9" t="n">
        <v>8</v>
      </c>
      <c r="G652" s="9" t="n">
        <v>4</v>
      </c>
      <c r="H652" s="9" t="n">
        <v>0</v>
      </c>
      <c r="I652" s="9" t="n">
        <v>0</v>
      </c>
      <c r="J652" s="9" t="n">
        <v>0</v>
      </c>
      <c r="K652" s="9" t="n">
        <v>0</v>
      </c>
      <c r="L652" s="9" t="n">
        <v>0</v>
      </c>
      <c r="M652" s="9" t="n">
        <v>0</v>
      </c>
      <c r="N652" s="12" t="n">
        <f aca="true">IFERROR(ROUND(SUM(OFFSET(B652,0,0,1,POSTAVKE!$B$7))/POSTAVKE!$B$7,2),0)</f>
        <v>5.13</v>
      </c>
    </row>
    <row r="653" customFormat="false" ht="15" hidden="false" customHeight="false" outlineLevel="0" collapsed="false">
      <c r="A653" s="11" t="s">
        <v>533</v>
      </c>
      <c r="B653" s="9" t="n">
        <v>0</v>
      </c>
      <c r="C653" s="9" t="n">
        <v>0</v>
      </c>
      <c r="D653" s="9" t="n">
        <v>19</v>
      </c>
      <c r="E653" s="9" t="n">
        <v>0</v>
      </c>
      <c r="F653" s="9" t="n">
        <v>4</v>
      </c>
      <c r="G653" s="9" t="n">
        <v>3</v>
      </c>
      <c r="H653" s="9" t="n">
        <v>0</v>
      </c>
      <c r="I653" s="9" t="n">
        <v>0</v>
      </c>
      <c r="J653" s="9" t="n">
        <v>0</v>
      </c>
      <c r="K653" s="9" t="n">
        <v>0</v>
      </c>
      <c r="L653" s="9" t="n">
        <v>0</v>
      </c>
      <c r="M653" s="9" t="n">
        <v>0</v>
      </c>
      <c r="N653" s="12" t="n">
        <f aca="true">IFERROR(ROUND(SUM(OFFSET(B653,0,0,1,POSTAVKE!$B$7))/POSTAVKE!$B$7,2),0)</f>
        <v>3.25</v>
      </c>
    </row>
    <row r="654" customFormat="false" ht="15" hidden="false" customHeight="false" outlineLevel="0" collapsed="false">
      <c r="A654" s="11" t="s">
        <v>417</v>
      </c>
      <c r="B654" s="9" t="n">
        <v>0</v>
      </c>
      <c r="C654" s="9" t="n">
        <v>0</v>
      </c>
      <c r="D654" s="9" t="n">
        <v>83</v>
      </c>
      <c r="E654" s="9" t="n">
        <v>0</v>
      </c>
      <c r="F654" s="9" t="n">
        <v>15</v>
      </c>
      <c r="G654" s="9" t="n">
        <v>20</v>
      </c>
      <c r="H654" s="9" t="n">
        <v>0</v>
      </c>
      <c r="I654" s="9" t="n">
        <v>55</v>
      </c>
      <c r="J654" s="9" t="n">
        <v>0</v>
      </c>
      <c r="K654" s="9" t="n">
        <v>0</v>
      </c>
      <c r="L654" s="9" t="n">
        <v>0</v>
      </c>
      <c r="M654" s="9" t="n">
        <v>0</v>
      </c>
      <c r="N654" s="12" t="n">
        <f aca="true">IFERROR(ROUND(SUM(OFFSET(B654,0,0,1,POSTAVKE!$B$7))/POSTAVKE!$B$7,2),0)</f>
        <v>21.63</v>
      </c>
    </row>
    <row r="655" customFormat="false" ht="15" hidden="false" customHeight="false" outlineLevel="0" collapsed="false">
      <c r="A655" s="11" t="s">
        <v>691</v>
      </c>
      <c r="B655" s="9" t="n">
        <v>0</v>
      </c>
      <c r="C655" s="9" t="n">
        <v>0</v>
      </c>
      <c r="D655" s="9" t="n">
        <v>1</v>
      </c>
      <c r="E655" s="9" t="n">
        <v>0</v>
      </c>
      <c r="F655" s="9" t="n">
        <v>7</v>
      </c>
      <c r="G655" s="9" t="n">
        <v>14</v>
      </c>
      <c r="H655" s="9" t="n">
        <v>0</v>
      </c>
      <c r="I655" s="9" t="n">
        <v>5</v>
      </c>
      <c r="J655" s="9" t="n">
        <v>0</v>
      </c>
      <c r="K655" s="9" t="n">
        <v>0</v>
      </c>
      <c r="L655" s="9" t="n">
        <v>0</v>
      </c>
      <c r="M655" s="9" t="n">
        <v>0</v>
      </c>
      <c r="N655" s="12" t="n">
        <f aca="true">IFERROR(ROUND(SUM(OFFSET(B655,0,0,1,POSTAVKE!$B$7))/POSTAVKE!$B$7,2),0)</f>
        <v>3.38</v>
      </c>
    </row>
    <row r="656" customFormat="false" ht="15" hidden="false" customHeight="false" outlineLevel="0" collapsed="false">
      <c r="A656" s="11" t="s">
        <v>213</v>
      </c>
      <c r="B656" s="9" t="n">
        <v>0</v>
      </c>
      <c r="C656" s="9" t="n">
        <v>0</v>
      </c>
      <c r="D656" s="9" t="n">
        <v>65</v>
      </c>
      <c r="E656" s="9" t="n">
        <v>0</v>
      </c>
      <c r="F656" s="9" t="n">
        <v>5</v>
      </c>
      <c r="G656" s="9" t="n">
        <v>3</v>
      </c>
      <c r="H656" s="9" t="n">
        <v>0</v>
      </c>
      <c r="I656" s="9" t="n">
        <v>35</v>
      </c>
      <c r="J656" s="9" t="n">
        <v>0</v>
      </c>
      <c r="K656" s="9" t="n">
        <v>0</v>
      </c>
      <c r="L656" s="9" t="n">
        <v>0</v>
      </c>
      <c r="M656" s="9" t="n">
        <v>0</v>
      </c>
      <c r="N656" s="12" t="n">
        <f aca="true">IFERROR(ROUND(SUM(OFFSET(B656,0,0,1,POSTAVKE!$B$7))/POSTAVKE!$B$7,2),0)</f>
        <v>13.5</v>
      </c>
    </row>
    <row r="657" customFormat="false" ht="15" hidden="false" customHeight="false" outlineLevel="0" collapsed="false">
      <c r="A657" s="11" t="s">
        <v>673</v>
      </c>
      <c r="B657" s="9" t="n">
        <v>0</v>
      </c>
      <c r="C657" s="9" t="n">
        <v>0</v>
      </c>
      <c r="D657" s="9" t="n">
        <v>0</v>
      </c>
      <c r="E657" s="9" t="n">
        <v>0</v>
      </c>
      <c r="F657" s="9" t="n">
        <v>1</v>
      </c>
      <c r="G657" s="9" t="n">
        <v>5</v>
      </c>
      <c r="H657" s="9" t="n">
        <v>0</v>
      </c>
      <c r="I657" s="9" t="n">
        <v>0</v>
      </c>
      <c r="J657" s="9" t="n">
        <v>0</v>
      </c>
      <c r="K657" s="9" t="n">
        <v>0</v>
      </c>
      <c r="L657" s="9" t="n">
        <v>0</v>
      </c>
      <c r="M657" s="9" t="n">
        <v>0</v>
      </c>
      <c r="N657" s="12" t="n">
        <f aca="true">IFERROR(ROUND(SUM(OFFSET(B657,0,0,1,POSTAVKE!$B$7))/POSTAVKE!$B$7,2),0)</f>
        <v>0.75</v>
      </c>
    </row>
    <row r="658" customFormat="false" ht="15" hidden="false" customHeight="false" outlineLevel="0" collapsed="false">
      <c r="A658" s="11" t="s">
        <v>329</v>
      </c>
      <c r="B658" s="9" t="n">
        <v>0</v>
      </c>
      <c r="C658" s="9" t="n">
        <v>0</v>
      </c>
      <c r="D658" s="9" t="n">
        <v>0</v>
      </c>
      <c r="E658" s="9" t="n">
        <v>0</v>
      </c>
      <c r="F658" s="9" t="n">
        <v>0</v>
      </c>
      <c r="G658" s="9" t="n">
        <v>0</v>
      </c>
      <c r="H658" s="9" t="n">
        <v>0</v>
      </c>
      <c r="I658" s="9" t="n">
        <v>0</v>
      </c>
      <c r="J658" s="9" t="n">
        <v>0</v>
      </c>
      <c r="K658" s="9" t="n">
        <v>0</v>
      </c>
      <c r="L658" s="9" t="n">
        <v>0</v>
      </c>
      <c r="M658" s="9" t="n">
        <v>0</v>
      </c>
      <c r="N658" s="12" t="n">
        <f aca="true">IFERROR(ROUND(SUM(OFFSET(B658,0,0,1,POSTAVKE!$B$7))/POSTAVKE!$B$7,2),0)</f>
        <v>0</v>
      </c>
    </row>
    <row r="659" customFormat="false" ht="15" hidden="false" customHeight="false" outlineLevel="0" collapsed="false">
      <c r="A659" s="11" t="s">
        <v>387</v>
      </c>
      <c r="B659" s="9" t="n">
        <v>0</v>
      </c>
      <c r="C659" s="9" t="n">
        <v>0</v>
      </c>
      <c r="D659" s="9" t="n">
        <v>1</v>
      </c>
      <c r="E659" s="9" t="n">
        <v>0</v>
      </c>
      <c r="F659" s="9" t="n">
        <v>2</v>
      </c>
      <c r="G659" s="9" t="n">
        <v>2</v>
      </c>
      <c r="H659" s="9" t="n">
        <v>3</v>
      </c>
      <c r="I659" s="9" t="n">
        <v>1</v>
      </c>
      <c r="J659" s="9" t="n">
        <v>0</v>
      </c>
      <c r="K659" s="9" t="n">
        <v>0</v>
      </c>
      <c r="L659" s="9" t="n">
        <v>0</v>
      </c>
      <c r="M659" s="9" t="n">
        <v>0</v>
      </c>
      <c r="N659" s="12" t="n">
        <f aca="true">IFERROR(ROUND(SUM(OFFSET(B659,0,0,1,POSTAVKE!$B$7))/POSTAVKE!$B$7,2),0)</f>
        <v>1.13</v>
      </c>
    </row>
    <row r="660" customFormat="false" ht="15" hidden="false" customHeight="false" outlineLevel="0" collapsed="false">
      <c r="A660" s="11" t="s">
        <v>291</v>
      </c>
      <c r="B660" s="9" t="n">
        <v>0</v>
      </c>
      <c r="C660" s="9" t="n">
        <v>0</v>
      </c>
      <c r="D660" s="9" t="n">
        <v>2</v>
      </c>
      <c r="E660" s="9" t="n">
        <v>2</v>
      </c>
      <c r="F660" s="9" t="n">
        <v>3</v>
      </c>
      <c r="G660" s="9" t="n">
        <v>3</v>
      </c>
      <c r="H660" s="9" t="n">
        <v>6</v>
      </c>
      <c r="I660" s="9" t="n">
        <v>4</v>
      </c>
      <c r="J660" s="9" t="n">
        <v>2</v>
      </c>
      <c r="K660" s="9" t="n">
        <v>0</v>
      </c>
      <c r="L660" s="9" t="n">
        <v>0</v>
      </c>
      <c r="M660" s="9" t="n">
        <v>0</v>
      </c>
      <c r="N660" s="12" t="n">
        <f aca="true">IFERROR(ROUND(SUM(OFFSET(B660,0,0,1,POSTAVKE!$B$7))/POSTAVKE!$B$7,2),0)</f>
        <v>2.5</v>
      </c>
    </row>
    <row r="661" customFormat="false" ht="15" hidden="false" customHeight="false" outlineLevel="0" collapsed="false">
      <c r="A661" s="11" t="s">
        <v>419</v>
      </c>
      <c r="B661" s="9" t="n">
        <v>0</v>
      </c>
      <c r="C661" s="9" t="n">
        <v>0</v>
      </c>
      <c r="D661" s="9" t="n">
        <v>0</v>
      </c>
      <c r="E661" s="9" t="n">
        <v>0</v>
      </c>
      <c r="F661" s="9" t="n">
        <v>1</v>
      </c>
      <c r="G661" s="9" t="n">
        <v>1</v>
      </c>
      <c r="H661" s="9" t="n">
        <v>0</v>
      </c>
      <c r="I661" s="9" t="n">
        <v>0</v>
      </c>
      <c r="J661" s="9" t="n">
        <v>0</v>
      </c>
      <c r="K661" s="9" t="n">
        <v>0</v>
      </c>
      <c r="L661" s="9" t="n">
        <v>0</v>
      </c>
      <c r="M661" s="9" t="n">
        <v>0</v>
      </c>
      <c r="N661" s="12" t="n">
        <f aca="true">IFERROR(ROUND(SUM(OFFSET(B661,0,0,1,POSTAVKE!$B$7))/POSTAVKE!$B$7,2),0)</f>
        <v>0.25</v>
      </c>
    </row>
    <row r="662" customFormat="false" ht="15" hidden="false" customHeight="false" outlineLevel="0" collapsed="false">
      <c r="A662" s="11" t="s">
        <v>347</v>
      </c>
      <c r="B662" s="9" t="n">
        <v>0</v>
      </c>
      <c r="C662" s="9" t="n">
        <v>0</v>
      </c>
      <c r="D662" s="9" t="n">
        <v>3</v>
      </c>
      <c r="E662" s="9" t="n">
        <v>4</v>
      </c>
      <c r="F662" s="9" t="n">
        <v>2</v>
      </c>
      <c r="G662" s="9" t="n">
        <v>1</v>
      </c>
      <c r="H662" s="9" t="n">
        <v>7</v>
      </c>
      <c r="I662" s="9" t="n">
        <v>1</v>
      </c>
      <c r="J662" s="9" t="n">
        <v>0</v>
      </c>
      <c r="K662" s="9" t="n">
        <v>0</v>
      </c>
      <c r="L662" s="9" t="n">
        <v>0</v>
      </c>
      <c r="M662" s="9" t="n">
        <v>0</v>
      </c>
      <c r="N662" s="12" t="n">
        <f aca="true">IFERROR(ROUND(SUM(OFFSET(B662,0,0,1,POSTAVKE!$B$7))/POSTAVKE!$B$7,2),0)</f>
        <v>2.25</v>
      </c>
    </row>
    <row r="663" customFormat="false" ht="15" hidden="false" customHeight="false" outlineLevel="0" collapsed="false">
      <c r="A663" s="11" t="s">
        <v>535</v>
      </c>
      <c r="B663" s="9" t="n">
        <v>0</v>
      </c>
      <c r="C663" s="9" t="n">
        <v>0</v>
      </c>
      <c r="D663" s="9" t="n">
        <v>2</v>
      </c>
      <c r="E663" s="9" t="n">
        <v>0</v>
      </c>
      <c r="F663" s="9" t="n">
        <v>0</v>
      </c>
      <c r="G663" s="9" t="n">
        <v>0</v>
      </c>
      <c r="H663" s="9" t="n">
        <v>1</v>
      </c>
      <c r="I663" s="9" t="n">
        <v>3</v>
      </c>
      <c r="J663" s="9" t="n">
        <v>0</v>
      </c>
      <c r="K663" s="9" t="n">
        <v>0</v>
      </c>
      <c r="L663" s="9" t="n">
        <v>0</v>
      </c>
      <c r="M663" s="9" t="n">
        <v>0</v>
      </c>
      <c r="N663" s="12" t="n">
        <f aca="true">IFERROR(ROUND(SUM(OFFSET(B663,0,0,1,POSTAVKE!$B$7))/POSTAVKE!$B$7,2),0)</f>
        <v>0.75</v>
      </c>
    </row>
    <row r="664" customFormat="false" ht="15" hidden="false" customHeight="false" outlineLevel="0" collapsed="false">
      <c r="A664" s="11" t="s">
        <v>961</v>
      </c>
      <c r="B664" s="9" t="n">
        <v>0</v>
      </c>
      <c r="C664" s="9" t="n">
        <v>2</v>
      </c>
      <c r="D664" s="9" t="n">
        <v>0</v>
      </c>
      <c r="E664" s="9" t="n">
        <v>2</v>
      </c>
      <c r="F664" s="9" t="n">
        <v>1</v>
      </c>
      <c r="G664" s="9" t="n">
        <v>4</v>
      </c>
      <c r="H664" s="9" t="n">
        <v>0</v>
      </c>
      <c r="I664" s="9" t="n">
        <v>2</v>
      </c>
      <c r="J664" s="9" t="n">
        <v>0</v>
      </c>
      <c r="K664" s="9" t="n">
        <v>0</v>
      </c>
      <c r="L664" s="9" t="n">
        <v>0</v>
      </c>
      <c r="M664" s="9" t="n">
        <v>0</v>
      </c>
      <c r="N664" s="12" t="n">
        <f aca="true">IFERROR(ROUND(SUM(OFFSET(B664,0,0,1,POSTAVKE!$B$7))/POSTAVKE!$B$7,2),0)</f>
        <v>1.38</v>
      </c>
    </row>
    <row r="665" customFormat="false" ht="15" hidden="false" customHeight="false" outlineLevel="0" collapsed="false">
      <c r="A665" s="11" t="s">
        <v>481</v>
      </c>
      <c r="B665" s="9" t="n">
        <v>0</v>
      </c>
      <c r="C665" s="9" t="n">
        <v>3</v>
      </c>
      <c r="D665" s="9" t="n">
        <v>3</v>
      </c>
      <c r="E665" s="9" t="n">
        <v>0</v>
      </c>
      <c r="F665" s="9" t="n">
        <v>7</v>
      </c>
      <c r="G665" s="9" t="n">
        <v>0</v>
      </c>
      <c r="H665" s="9" t="n">
        <v>0</v>
      </c>
      <c r="I665" s="9" t="n">
        <v>4</v>
      </c>
      <c r="J665" s="9" t="n">
        <v>7</v>
      </c>
      <c r="K665" s="9" t="n">
        <v>0</v>
      </c>
      <c r="L665" s="9" t="n">
        <v>0</v>
      </c>
      <c r="M665" s="9" t="n">
        <v>0</v>
      </c>
      <c r="N665" s="12" t="n">
        <f aca="true">IFERROR(ROUND(SUM(OFFSET(B665,0,0,1,POSTAVKE!$B$7))/POSTAVKE!$B$7,2),0)</f>
        <v>2.13</v>
      </c>
    </row>
    <row r="666" customFormat="false" ht="15" hidden="false" customHeight="false" outlineLevel="0" collapsed="false">
      <c r="A666" s="11" t="s">
        <v>789</v>
      </c>
      <c r="B666" s="9" t="n">
        <v>0</v>
      </c>
      <c r="C666" s="9" t="n">
        <v>0</v>
      </c>
      <c r="D666" s="9" t="n">
        <v>0</v>
      </c>
      <c r="E666" s="9" t="n">
        <v>0</v>
      </c>
      <c r="F666" s="9" t="n">
        <v>0</v>
      </c>
      <c r="G666" s="9" t="n">
        <v>2</v>
      </c>
      <c r="H666" s="9" t="n">
        <v>0</v>
      </c>
      <c r="I666" s="9" t="n">
        <v>0</v>
      </c>
      <c r="J666" s="9" t="n">
        <v>0</v>
      </c>
      <c r="K666" s="9" t="n">
        <v>0</v>
      </c>
      <c r="L666" s="9" t="n">
        <v>0</v>
      </c>
      <c r="M666" s="9" t="n">
        <v>0</v>
      </c>
      <c r="N666" s="12" t="n">
        <f aca="true">IFERROR(ROUND(SUM(OFFSET(B666,0,0,1,POSTAVKE!$B$7))/POSTAVKE!$B$7,2),0)</f>
        <v>0.25</v>
      </c>
    </row>
    <row r="667" customFormat="false" ht="15" hidden="false" customHeight="false" outlineLevel="0" collapsed="false">
      <c r="A667" s="11" t="s">
        <v>763</v>
      </c>
      <c r="B667" s="9" t="n">
        <v>0</v>
      </c>
      <c r="C667" s="9" t="n">
        <v>0</v>
      </c>
      <c r="D667" s="9" t="n">
        <v>0</v>
      </c>
      <c r="E667" s="9" t="n">
        <v>0</v>
      </c>
      <c r="F667" s="9" t="n">
        <v>0</v>
      </c>
      <c r="G667" s="9" t="n">
        <v>0</v>
      </c>
      <c r="H667" s="9" t="n">
        <v>0</v>
      </c>
      <c r="I667" s="9" t="n">
        <v>1</v>
      </c>
      <c r="J667" s="9" t="n">
        <v>0</v>
      </c>
      <c r="K667" s="9" t="n">
        <v>0</v>
      </c>
      <c r="L667" s="9" t="n">
        <v>0</v>
      </c>
      <c r="M667" s="9" t="n">
        <v>0</v>
      </c>
      <c r="N667" s="12" t="n">
        <f aca="true">IFERROR(ROUND(SUM(OFFSET(B667,0,0,1,POSTAVKE!$B$7))/POSTAVKE!$B$7,2),0)</f>
        <v>0.13</v>
      </c>
    </row>
    <row r="668" customFormat="false" ht="15" hidden="false" customHeight="false" outlineLevel="0" collapsed="false">
      <c r="A668" s="11" t="s">
        <v>483</v>
      </c>
      <c r="B668" s="9" t="n">
        <v>0</v>
      </c>
      <c r="C668" s="9" t="n">
        <v>0</v>
      </c>
      <c r="D668" s="9" t="n">
        <v>0</v>
      </c>
      <c r="E668" s="9" t="n">
        <v>0</v>
      </c>
      <c r="F668" s="9" t="n">
        <v>0</v>
      </c>
      <c r="G668" s="9" t="n">
        <v>2</v>
      </c>
      <c r="H668" s="9" t="n">
        <v>0</v>
      </c>
      <c r="I668" s="9" t="n">
        <v>0</v>
      </c>
      <c r="J668" s="9" t="n">
        <v>0</v>
      </c>
      <c r="K668" s="9" t="n">
        <v>0</v>
      </c>
      <c r="L668" s="9" t="n">
        <v>0</v>
      </c>
      <c r="M668" s="9" t="n">
        <v>0</v>
      </c>
      <c r="N668" s="12" t="n">
        <f aca="true">IFERROR(ROUND(SUM(OFFSET(B668,0,0,1,POSTAVKE!$B$7))/POSTAVKE!$B$7,2),0)</f>
        <v>0.25</v>
      </c>
    </row>
    <row r="669" customFormat="false" ht="15" hidden="false" customHeight="false" outlineLevel="0" collapsed="false">
      <c r="A669" s="11" t="s">
        <v>519</v>
      </c>
      <c r="B669" s="9" t="n">
        <v>0</v>
      </c>
      <c r="C669" s="9" t="n">
        <v>2</v>
      </c>
      <c r="D669" s="9" t="n">
        <v>0</v>
      </c>
      <c r="E669" s="9" t="n">
        <v>0</v>
      </c>
      <c r="F669" s="9" t="n">
        <v>0</v>
      </c>
      <c r="G669" s="9" t="n">
        <v>0</v>
      </c>
      <c r="H669" s="9" t="n">
        <v>0</v>
      </c>
      <c r="I669" s="9" t="n">
        <v>0</v>
      </c>
      <c r="J669" s="9" t="n">
        <v>0</v>
      </c>
      <c r="K669" s="9" t="n">
        <v>0</v>
      </c>
      <c r="L669" s="9" t="n">
        <v>0</v>
      </c>
      <c r="M669" s="9" t="n">
        <v>0</v>
      </c>
      <c r="N669" s="12" t="n">
        <f aca="true">IFERROR(ROUND(SUM(OFFSET(B669,0,0,1,POSTAVKE!$B$7))/POSTAVKE!$B$7,2),0)</f>
        <v>0.25</v>
      </c>
    </row>
    <row r="670" customFormat="false" ht="15" hidden="false" customHeight="false" outlineLevel="0" collapsed="false">
      <c r="A670" s="11" t="s">
        <v>907</v>
      </c>
      <c r="B670" s="9" t="n">
        <v>0</v>
      </c>
      <c r="C670" s="9" t="n">
        <v>44</v>
      </c>
      <c r="D670" s="9" t="n">
        <v>24</v>
      </c>
      <c r="E670" s="9" t="n">
        <v>16</v>
      </c>
      <c r="F670" s="9" t="n">
        <v>-1</v>
      </c>
      <c r="G670" s="9" t="n">
        <v>0</v>
      </c>
      <c r="H670" s="9" t="n">
        <v>0</v>
      </c>
      <c r="I670" s="9" t="n">
        <v>45</v>
      </c>
      <c r="J670" s="9" t="n">
        <v>1</v>
      </c>
      <c r="K670" s="9" t="n">
        <v>0</v>
      </c>
      <c r="L670" s="9" t="n">
        <v>0</v>
      </c>
      <c r="M670" s="9" t="n">
        <v>0</v>
      </c>
      <c r="N670" s="12" t="n">
        <f aca="true">IFERROR(ROUND(SUM(OFFSET(B670,0,0,1,POSTAVKE!$B$7))/POSTAVKE!$B$7,2),0)</f>
        <v>16</v>
      </c>
    </row>
    <row r="671" customFormat="false" ht="15" hidden="false" customHeight="false" outlineLevel="0" collapsed="false">
      <c r="A671" s="11" t="s">
        <v>825</v>
      </c>
      <c r="B671" s="9" t="n">
        <v>0</v>
      </c>
      <c r="C671" s="9" t="n">
        <v>1</v>
      </c>
      <c r="D671" s="9" t="n">
        <v>11</v>
      </c>
      <c r="E671" s="9" t="n">
        <v>3</v>
      </c>
      <c r="F671" s="9" t="n">
        <v>4</v>
      </c>
      <c r="G671" s="9" t="n">
        <v>6</v>
      </c>
      <c r="H671" s="9" t="n">
        <v>4</v>
      </c>
      <c r="I671" s="9" t="n">
        <v>5</v>
      </c>
      <c r="J671" s="9" t="n">
        <v>0</v>
      </c>
      <c r="K671" s="9" t="n">
        <v>0</v>
      </c>
      <c r="L671" s="9" t="n">
        <v>0</v>
      </c>
      <c r="M671" s="9" t="n">
        <v>0</v>
      </c>
      <c r="N671" s="12" t="n">
        <f aca="true">IFERROR(ROUND(SUM(OFFSET(B671,0,0,1,POSTAVKE!$B$7))/POSTAVKE!$B$7,2),0)</f>
        <v>4.25</v>
      </c>
    </row>
    <row r="672" customFormat="false" ht="15" hidden="false" customHeight="false" outlineLevel="0" collapsed="false">
      <c r="A672" s="11" t="s">
        <v>603</v>
      </c>
      <c r="B672" s="9" t="n">
        <v>0</v>
      </c>
      <c r="C672" s="9" t="n">
        <v>1</v>
      </c>
      <c r="D672" s="9" t="n">
        <v>1</v>
      </c>
      <c r="E672" s="9" t="n">
        <v>0</v>
      </c>
      <c r="F672" s="9" t="n">
        <v>1</v>
      </c>
      <c r="G672" s="9" t="n">
        <v>7</v>
      </c>
      <c r="H672" s="9" t="n">
        <v>3</v>
      </c>
      <c r="I672" s="9" t="n">
        <v>7</v>
      </c>
      <c r="J672" s="9" t="n">
        <v>0</v>
      </c>
      <c r="K672" s="9" t="n">
        <v>0</v>
      </c>
      <c r="L672" s="9" t="n">
        <v>0</v>
      </c>
      <c r="M672" s="9" t="n">
        <v>0</v>
      </c>
      <c r="N672" s="12" t="n">
        <f aca="true">IFERROR(ROUND(SUM(OFFSET(B672,0,0,1,POSTAVKE!$B$7))/POSTAVKE!$B$7,2),0)</f>
        <v>2.5</v>
      </c>
    </row>
    <row r="673" customFormat="false" ht="15" hidden="false" customHeight="false" outlineLevel="0" collapsed="false">
      <c r="A673" s="11" t="s">
        <v>629</v>
      </c>
      <c r="B673" s="9" t="n">
        <v>0</v>
      </c>
      <c r="C673" s="9" t="n">
        <v>0</v>
      </c>
      <c r="D673" s="9" t="n">
        <v>2</v>
      </c>
      <c r="E673" s="9" t="n">
        <v>5</v>
      </c>
      <c r="F673" s="9" t="n">
        <v>1</v>
      </c>
      <c r="G673" s="9" t="n">
        <v>2</v>
      </c>
      <c r="H673" s="9" t="n">
        <v>0</v>
      </c>
      <c r="I673" s="9" t="n">
        <v>0</v>
      </c>
      <c r="J673" s="9" t="n">
        <v>0</v>
      </c>
      <c r="K673" s="9" t="n">
        <v>0</v>
      </c>
      <c r="L673" s="9" t="n">
        <v>0</v>
      </c>
      <c r="M673" s="9" t="n">
        <v>0</v>
      </c>
      <c r="N673" s="12" t="n">
        <f aca="true">IFERROR(ROUND(SUM(OFFSET(B673,0,0,1,POSTAVKE!$B$7))/POSTAVKE!$B$7,2),0)</f>
        <v>1.25</v>
      </c>
    </row>
    <row r="674" customFormat="false" ht="15" hidden="false" customHeight="false" outlineLevel="0" collapsed="false">
      <c r="A674" s="11" t="s">
        <v>631</v>
      </c>
      <c r="B674" s="9" t="n">
        <v>0</v>
      </c>
      <c r="C674" s="9" t="n">
        <v>1</v>
      </c>
      <c r="D674" s="9" t="n">
        <v>1</v>
      </c>
      <c r="E674" s="9" t="n">
        <v>1</v>
      </c>
      <c r="F674" s="9" t="n">
        <v>3</v>
      </c>
      <c r="G674" s="9" t="n">
        <v>2</v>
      </c>
      <c r="H674" s="9" t="n">
        <v>3</v>
      </c>
      <c r="I674" s="9" t="n">
        <v>1</v>
      </c>
      <c r="J674" s="9" t="n">
        <v>0</v>
      </c>
      <c r="K674" s="9" t="n">
        <v>0</v>
      </c>
      <c r="L674" s="9" t="n">
        <v>0</v>
      </c>
      <c r="M674" s="9" t="n">
        <v>0</v>
      </c>
      <c r="N674" s="12" t="n">
        <f aca="true">IFERROR(ROUND(SUM(OFFSET(B674,0,0,1,POSTAVKE!$B$7))/POSTAVKE!$B$7,2),0)</f>
        <v>1.5</v>
      </c>
    </row>
    <row r="675" customFormat="false" ht="15" hidden="false" customHeight="false" outlineLevel="0" collapsed="false">
      <c r="A675" s="11" t="s">
        <v>573</v>
      </c>
      <c r="B675" s="9" t="n">
        <v>0</v>
      </c>
      <c r="C675" s="9" t="n">
        <v>0</v>
      </c>
      <c r="D675" s="9" t="n">
        <v>0</v>
      </c>
      <c r="E675" s="9" t="n">
        <v>1</v>
      </c>
      <c r="F675" s="9" t="n">
        <v>1</v>
      </c>
      <c r="G675" s="9" t="n">
        <v>1</v>
      </c>
      <c r="H675" s="9" t="n">
        <v>2</v>
      </c>
      <c r="I675" s="9" t="n">
        <v>1</v>
      </c>
      <c r="J675" s="9" t="n">
        <v>0</v>
      </c>
      <c r="K675" s="9" t="n">
        <v>0</v>
      </c>
      <c r="L675" s="9" t="n">
        <v>0</v>
      </c>
      <c r="M675" s="9" t="n">
        <v>0</v>
      </c>
      <c r="N675" s="12" t="n">
        <f aca="true">IFERROR(ROUND(SUM(OFFSET(B675,0,0,1,POSTAVKE!$B$7))/POSTAVKE!$B$7,2),0)</f>
        <v>0.75</v>
      </c>
    </row>
    <row r="676" customFormat="false" ht="15" hidden="false" customHeight="false" outlineLevel="0" collapsed="false">
      <c r="A676" s="11" t="s">
        <v>891</v>
      </c>
      <c r="B676" s="9" t="n">
        <v>0</v>
      </c>
      <c r="C676" s="9" t="n">
        <v>1</v>
      </c>
      <c r="D676" s="9" t="n">
        <v>2</v>
      </c>
      <c r="E676" s="9" t="n">
        <v>7</v>
      </c>
      <c r="F676" s="9" t="n">
        <v>2</v>
      </c>
      <c r="G676" s="9" t="n">
        <v>5</v>
      </c>
      <c r="H676" s="9" t="n">
        <v>1</v>
      </c>
      <c r="I676" s="9" t="n">
        <v>1</v>
      </c>
      <c r="J676" s="9" t="n">
        <v>0</v>
      </c>
      <c r="K676" s="9" t="n">
        <v>0</v>
      </c>
      <c r="L676" s="9" t="n">
        <v>0</v>
      </c>
      <c r="M676" s="9" t="n">
        <v>0</v>
      </c>
      <c r="N676" s="12" t="n">
        <f aca="true">IFERROR(ROUND(SUM(OFFSET(B676,0,0,1,POSTAVKE!$B$7))/POSTAVKE!$B$7,2),0)</f>
        <v>2.38</v>
      </c>
    </row>
    <row r="677" customFormat="false" ht="15" hidden="false" customHeight="false" outlineLevel="0" collapsed="false">
      <c r="A677" s="11" t="s">
        <v>575</v>
      </c>
      <c r="B677" s="9" t="n">
        <v>0</v>
      </c>
      <c r="C677" s="9" t="n">
        <v>2</v>
      </c>
      <c r="D677" s="9" t="n">
        <v>1</v>
      </c>
      <c r="E677" s="9" t="n">
        <v>1</v>
      </c>
      <c r="F677" s="9" t="n">
        <v>2</v>
      </c>
      <c r="G677" s="9" t="n">
        <v>1</v>
      </c>
      <c r="H677" s="9" t="n">
        <v>0</v>
      </c>
      <c r="I677" s="9" t="n">
        <v>0</v>
      </c>
      <c r="J677" s="9" t="n">
        <v>0</v>
      </c>
      <c r="K677" s="9" t="n">
        <v>0</v>
      </c>
      <c r="L677" s="9" t="n">
        <v>0</v>
      </c>
      <c r="M677" s="9" t="n">
        <v>0</v>
      </c>
      <c r="N677" s="12" t="n">
        <f aca="true">IFERROR(ROUND(SUM(OFFSET(B677,0,0,1,POSTAVKE!$B$7))/POSTAVKE!$B$7,2),0)</f>
        <v>0.88</v>
      </c>
    </row>
    <row r="678" customFormat="false" ht="15" hidden="false" customHeight="false" outlineLevel="0" collapsed="false">
      <c r="A678" s="11" t="s">
        <v>765</v>
      </c>
      <c r="B678" s="9" t="n">
        <v>0</v>
      </c>
      <c r="C678" s="9" t="n">
        <v>2</v>
      </c>
      <c r="D678" s="9" t="n">
        <v>10</v>
      </c>
      <c r="E678" s="9" t="n">
        <v>2</v>
      </c>
      <c r="F678" s="9" t="n">
        <v>1</v>
      </c>
      <c r="G678" s="9" t="n">
        <v>0</v>
      </c>
      <c r="H678" s="9" t="n">
        <v>2</v>
      </c>
      <c r="I678" s="9" t="n">
        <v>4</v>
      </c>
      <c r="J678" s="9" t="n">
        <v>0</v>
      </c>
      <c r="K678" s="9" t="n">
        <v>0</v>
      </c>
      <c r="L678" s="9" t="n">
        <v>0</v>
      </c>
      <c r="M678" s="9" t="n">
        <v>0</v>
      </c>
      <c r="N678" s="12" t="n">
        <f aca="true">IFERROR(ROUND(SUM(OFFSET(B678,0,0,1,POSTAVKE!$B$7))/POSTAVKE!$B$7,2),0)</f>
        <v>2.63</v>
      </c>
    </row>
    <row r="679" customFormat="false" ht="15" hidden="false" customHeight="false" outlineLevel="0" collapsed="false">
      <c r="A679" s="11" t="s">
        <v>867</v>
      </c>
      <c r="B679" s="9" t="n">
        <v>0</v>
      </c>
      <c r="C679" s="9" t="n">
        <v>2</v>
      </c>
      <c r="D679" s="9" t="n">
        <v>0</v>
      </c>
      <c r="E679" s="9" t="n">
        <v>1</v>
      </c>
      <c r="F679" s="9" t="n">
        <v>6</v>
      </c>
      <c r="G679" s="9" t="n">
        <v>0</v>
      </c>
      <c r="H679" s="9" t="n">
        <v>12</v>
      </c>
      <c r="I679" s="9" t="n">
        <v>4</v>
      </c>
      <c r="J679" s="9" t="n">
        <v>0</v>
      </c>
      <c r="K679" s="9" t="n">
        <v>0</v>
      </c>
      <c r="L679" s="9" t="n">
        <v>0</v>
      </c>
      <c r="M679" s="9" t="n">
        <v>0</v>
      </c>
      <c r="N679" s="12" t="n">
        <f aca="true">IFERROR(ROUND(SUM(OFFSET(B679,0,0,1,POSTAVKE!$B$7))/POSTAVKE!$B$7,2),0)</f>
        <v>3.13</v>
      </c>
    </row>
    <row r="680" customFormat="false" ht="15" hidden="false" customHeight="false" outlineLevel="0" collapsed="false">
      <c r="A680" s="11" t="s">
        <v>869</v>
      </c>
      <c r="B680" s="9" t="n">
        <v>0</v>
      </c>
      <c r="C680" s="9" t="n">
        <v>0</v>
      </c>
      <c r="D680" s="9" t="n">
        <v>0</v>
      </c>
      <c r="E680" s="9" t="n">
        <v>0</v>
      </c>
      <c r="F680" s="9" t="n">
        <v>0</v>
      </c>
      <c r="G680" s="9" t="n">
        <v>0</v>
      </c>
      <c r="H680" s="9" t="n">
        <v>0</v>
      </c>
      <c r="I680" s="9" t="n">
        <v>0</v>
      </c>
      <c r="J680" s="9" t="n">
        <v>0</v>
      </c>
      <c r="K680" s="9" t="n">
        <v>0</v>
      </c>
      <c r="L680" s="9" t="n">
        <v>0</v>
      </c>
      <c r="M680" s="9" t="n">
        <v>0</v>
      </c>
      <c r="N680" s="12" t="n">
        <f aca="true">IFERROR(ROUND(SUM(OFFSET(B680,0,0,1,POSTAVKE!$B$7))/POSTAVKE!$B$7,2),0)</f>
        <v>0</v>
      </c>
    </row>
    <row r="681" customFormat="false" ht="15" hidden="false" customHeight="false" outlineLevel="0" collapsed="false">
      <c r="A681" s="11" t="s">
        <v>847</v>
      </c>
      <c r="B681" s="9" t="n">
        <v>0</v>
      </c>
      <c r="C681" s="9" t="n">
        <v>0</v>
      </c>
      <c r="D681" s="9" t="n">
        <v>0</v>
      </c>
      <c r="E681" s="9" t="n">
        <v>0</v>
      </c>
      <c r="F681" s="9" t="n">
        <v>0</v>
      </c>
      <c r="G681" s="9" t="n">
        <v>0</v>
      </c>
      <c r="H681" s="9" t="n">
        <v>0</v>
      </c>
      <c r="I681" s="9" t="n">
        <v>0</v>
      </c>
      <c r="J681" s="9" t="n">
        <v>0</v>
      </c>
      <c r="K681" s="9" t="n">
        <v>0</v>
      </c>
      <c r="L681" s="9" t="n">
        <v>0</v>
      </c>
      <c r="M681" s="9" t="n">
        <v>0</v>
      </c>
      <c r="N681" s="12" t="n">
        <f aca="true">IFERROR(ROUND(SUM(OFFSET(B681,0,0,1,POSTAVKE!$B$7))/POSTAVKE!$B$7,2),0)</f>
        <v>0</v>
      </c>
    </row>
    <row r="682" customFormat="false" ht="15" hidden="false" customHeight="false" outlineLevel="0" collapsed="false">
      <c r="A682" s="11" t="s">
        <v>849</v>
      </c>
      <c r="B682" s="9" t="n">
        <v>0</v>
      </c>
      <c r="C682" s="9" t="n">
        <v>0</v>
      </c>
      <c r="D682" s="9" t="n">
        <v>0</v>
      </c>
      <c r="E682" s="9" t="n">
        <v>0</v>
      </c>
      <c r="F682" s="9" t="n">
        <v>0</v>
      </c>
      <c r="G682" s="9" t="n">
        <v>0</v>
      </c>
      <c r="H682" s="9" t="n">
        <v>0</v>
      </c>
      <c r="I682" s="9" t="n">
        <v>0</v>
      </c>
      <c r="J682" s="9" t="n">
        <v>0</v>
      </c>
      <c r="K682" s="9" t="n">
        <v>0</v>
      </c>
      <c r="L682" s="9" t="n">
        <v>0</v>
      </c>
      <c r="M682" s="9" t="n">
        <v>0</v>
      </c>
      <c r="N682" s="12" t="n">
        <f aca="true">IFERROR(ROUND(SUM(OFFSET(B682,0,0,1,POSTAVKE!$B$7))/POSTAVKE!$B$7,2),0)</f>
        <v>0</v>
      </c>
    </row>
    <row r="683" customFormat="false" ht="15" hidden="false" customHeight="false" outlineLevel="0" collapsed="false">
      <c r="A683" s="11" t="s">
        <v>851</v>
      </c>
      <c r="B683" s="9" t="n">
        <v>0</v>
      </c>
      <c r="C683" s="9" t="n">
        <v>0</v>
      </c>
      <c r="D683" s="9" t="n">
        <v>0</v>
      </c>
      <c r="E683" s="9" t="n">
        <v>0</v>
      </c>
      <c r="F683" s="9" t="n">
        <v>0</v>
      </c>
      <c r="G683" s="9" t="n">
        <v>0</v>
      </c>
      <c r="H683" s="9" t="n">
        <v>0</v>
      </c>
      <c r="I683" s="9" t="n">
        <v>0</v>
      </c>
      <c r="J683" s="9" t="n">
        <v>0</v>
      </c>
      <c r="K683" s="9" t="n">
        <v>0</v>
      </c>
      <c r="L683" s="9" t="n">
        <v>0</v>
      </c>
      <c r="M683" s="9" t="n">
        <v>0</v>
      </c>
      <c r="N683" s="12" t="n">
        <f aca="true">IFERROR(ROUND(SUM(OFFSET(B683,0,0,1,POSTAVKE!$B$7))/POSTAVKE!$B$7,2),0)</f>
        <v>0</v>
      </c>
    </row>
    <row r="684" customFormat="false" ht="15" hidden="false" customHeight="false" outlineLevel="0" collapsed="false">
      <c r="A684" s="11" t="s">
        <v>893</v>
      </c>
      <c r="B684" s="9" t="n">
        <v>0</v>
      </c>
      <c r="C684" s="9" t="n">
        <v>0</v>
      </c>
      <c r="D684" s="9" t="n">
        <v>0</v>
      </c>
      <c r="E684" s="9" t="n">
        <v>0</v>
      </c>
      <c r="F684" s="9" t="n">
        <v>0</v>
      </c>
      <c r="G684" s="9" t="n">
        <v>1</v>
      </c>
      <c r="H684" s="9" t="n">
        <v>0</v>
      </c>
      <c r="I684" s="9" t="n">
        <v>1</v>
      </c>
      <c r="J684" s="9" t="n">
        <v>0</v>
      </c>
      <c r="K684" s="9" t="n">
        <v>0</v>
      </c>
      <c r="L684" s="9" t="n">
        <v>0</v>
      </c>
      <c r="M684" s="9" t="n">
        <v>0</v>
      </c>
      <c r="N684" s="12" t="n">
        <f aca="true">IFERROR(ROUND(SUM(OFFSET(B684,0,0,1,POSTAVKE!$B$7))/POSTAVKE!$B$7,2),0)</f>
        <v>0.25</v>
      </c>
    </row>
    <row r="685" customFormat="false" ht="15" hidden="false" customHeight="false" outlineLevel="0" collapsed="false">
      <c r="A685" s="11" t="s">
        <v>923</v>
      </c>
      <c r="B685" s="9" t="n">
        <v>0</v>
      </c>
      <c r="C685" s="9" t="n">
        <v>0</v>
      </c>
      <c r="D685" s="9" t="n">
        <v>0</v>
      </c>
      <c r="E685" s="9" t="n">
        <v>0</v>
      </c>
      <c r="F685" s="9" t="n">
        <v>0</v>
      </c>
      <c r="G685" s="9" t="n">
        <v>2</v>
      </c>
      <c r="H685" s="9" t="n">
        <v>1</v>
      </c>
      <c r="I685" s="9" t="n">
        <v>1</v>
      </c>
      <c r="J685" s="9" t="n">
        <v>0</v>
      </c>
      <c r="K685" s="9" t="n">
        <v>0</v>
      </c>
      <c r="L685" s="9" t="n">
        <v>0</v>
      </c>
      <c r="M685" s="9" t="n">
        <v>0</v>
      </c>
      <c r="N685" s="12" t="n">
        <f aca="true">IFERROR(ROUND(SUM(OFFSET(B685,0,0,1,POSTAVKE!$B$7))/POSTAVKE!$B$7,2),0)</f>
        <v>0.5</v>
      </c>
    </row>
    <row r="686" customFormat="false" ht="15" hidden="false" customHeight="false" outlineLevel="0" collapsed="false">
      <c r="A686" s="11" t="s">
        <v>895</v>
      </c>
      <c r="B686" s="9" t="n">
        <v>0</v>
      </c>
      <c r="C686" s="9" t="n">
        <v>0</v>
      </c>
      <c r="D686" s="9" t="n">
        <v>0</v>
      </c>
      <c r="E686" s="9" t="n">
        <v>0</v>
      </c>
      <c r="F686" s="9" t="n">
        <v>0</v>
      </c>
      <c r="G686" s="9" t="n">
        <v>1</v>
      </c>
      <c r="H686" s="9" t="n">
        <v>0</v>
      </c>
      <c r="I686" s="9" t="n">
        <v>0</v>
      </c>
      <c r="J686" s="9" t="n">
        <v>0</v>
      </c>
      <c r="K686" s="9" t="n">
        <v>0</v>
      </c>
      <c r="L686" s="9" t="n">
        <v>0</v>
      </c>
      <c r="M686" s="9" t="n">
        <v>0</v>
      </c>
      <c r="N686" s="12" t="n">
        <f aca="true">IFERROR(ROUND(SUM(OFFSET(B686,0,0,1,POSTAVKE!$B$7))/POSTAVKE!$B$7,2),0)</f>
        <v>0.13</v>
      </c>
    </row>
    <row r="687" customFormat="false" ht="15" hidden="false" customHeight="false" outlineLevel="0" collapsed="false">
      <c r="A687" s="11" t="s">
        <v>963</v>
      </c>
      <c r="B687" s="9" t="n">
        <v>0</v>
      </c>
      <c r="C687" s="9" t="n">
        <v>0</v>
      </c>
      <c r="D687" s="9" t="n">
        <v>0</v>
      </c>
      <c r="E687" s="9" t="n">
        <v>0</v>
      </c>
      <c r="F687" s="9" t="n">
        <v>0</v>
      </c>
      <c r="G687" s="9" t="n">
        <v>1</v>
      </c>
      <c r="H687" s="9" t="n">
        <v>3</v>
      </c>
      <c r="I687" s="9" t="n">
        <v>1</v>
      </c>
      <c r="J687" s="9" t="n">
        <v>0</v>
      </c>
      <c r="K687" s="9" t="n">
        <v>0</v>
      </c>
      <c r="L687" s="9" t="n">
        <v>0</v>
      </c>
      <c r="M687" s="9" t="n">
        <v>0</v>
      </c>
      <c r="N687" s="12" t="n">
        <f aca="true">IFERROR(ROUND(SUM(OFFSET(B687,0,0,1,POSTAVKE!$B$7))/POSTAVKE!$B$7,2),0)</f>
        <v>0.63</v>
      </c>
    </row>
    <row r="688" customFormat="false" ht="15" hidden="false" customHeight="false" outlineLevel="0" collapsed="false">
      <c r="A688" s="11" t="s">
        <v>853</v>
      </c>
      <c r="B688" s="9" t="n">
        <v>0</v>
      </c>
      <c r="C688" s="9" t="n">
        <v>0</v>
      </c>
      <c r="D688" s="9" t="n">
        <v>0</v>
      </c>
      <c r="E688" s="9" t="n">
        <v>0</v>
      </c>
      <c r="F688" s="9" t="n">
        <v>0</v>
      </c>
      <c r="G688" s="9" t="n">
        <v>0</v>
      </c>
      <c r="H688" s="9" t="n">
        <v>0</v>
      </c>
      <c r="I688" s="9" t="n">
        <v>0</v>
      </c>
      <c r="J688" s="9" t="n">
        <v>0</v>
      </c>
      <c r="K688" s="9" t="n">
        <v>0</v>
      </c>
      <c r="L688" s="9" t="n">
        <v>0</v>
      </c>
      <c r="M688" s="9" t="n">
        <v>0</v>
      </c>
      <c r="N688" s="12" t="n">
        <f aca="true">IFERROR(ROUND(SUM(OFFSET(B688,0,0,1,POSTAVKE!$B$7))/POSTAVKE!$B$7,2),0)</f>
        <v>0</v>
      </c>
    </row>
    <row r="689" customFormat="false" ht="15" hidden="false" customHeight="false" outlineLevel="0" collapsed="false">
      <c r="A689" s="11" t="s">
        <v>871</v>
      </c>
      <c r="B689" s="9" t="n">
        <v>0</v>
      </c>
      <c r="C689" s="9" t="n">
        <v>0</v>
      </c>
      <c r="D689" s="9" t="n">
        <v>0</v>
      </c>
      <c r="E689" s="9" t="n">
        <v>0</v>
      </c>
      <c r="F689" s="9" t="n">
        <v>0</v>
      </c>
      <c r="G689" s="9" t="n">
        <v>0</v>
      </c>
      <c r="H689" s="9" t="n">
        <v>0</v>
      </c>
      <c r="I689" s="9" t="n">
        <v>0</v>
      </c>
      <c r="J689" s="9" t="n">
        <v>0</v>
      </c>
      <c r="K689" s="9" t="n">
        <v>0</v>
      </c>
      <c r="L689" s="9" t="n">
        <v>0</v>
      </c>
      <c r="M689" s="9" t="n">
        <v>0</v>
      </c>
      <c r="N689" s="12" t="n">
        <f aca="true">IFERROR(ROUND(SUM(OFFSET(B689,0,0,1,POSTAVKE!$B$7))/POSTAVKE!$B$7,2),0)</f>
        <v>0</v>
      </c>
    </row>
    <row r="690" customFormat="false" ht="15" hidden="false" customHeight="false" outlineLevel="0" collapsed="false">
      <c r="A690" s="11" t="s">
        <v>855</v>
      </c>
      <c r="B690" s="9" t="n">
        <v>0</v>
      </c>
      <c r="C690" s="9" t="n">
        <v>0</v>
      </c>
      <c r="D690" s="9" t="n">
        <v>0</v>
      </c>
      <c r="E690" s="9" t="n">
        <v>0</v>
      </c>
      <c r="F690" s="9" t="n">
        <v>0</v>
      </c>
      <c r="G690" s="9" t="n">
        <v>0</v>
      </c>
      <c r="H690" s="9" t="n">
        <v>0</v>
      </c>
      <c r="I690" s="9" t="n">
        <v>0</v>
      </c>
      <c r="J690" s="9" t="n">
        <v>0</v>
      </c>
      <c r="K690" s="9" t="n">
        <v>0</v>
      </c>
      <c r="L690" s="9" t="n">
        <v>0</v>
      </c>
      <c r="M690" s="9" t="n">
        <v>0</v>
      </c>
      <c r="N690" s="12" t="n">
        <f aca="true">IFERROR(ROUND(SUM(OFFSET(B690,0,0,1,POSTAVKE!$B$7))/POSTAVKE!$B$7,2),0)</f>
        <v>0</v>
      </c>
    </row>
    <row r="691" customFormat="false" ht="15" hidden="false" customHeight="false" outlineLevel="0" collapsed="false">
      <c r="A691" s="11" t="s">
        <v>857</v>
      </c>
      <c r="B691" s="9" t="n">
        <v>0</v>
      </c>
      <c r="C691" s="9" t="n">
        <v>0</v>
      </c>
      <c r="D691" s="9" t="n">
        <v>0</v>
      </c>
      <c r="E691" s="9" t="n">
        <v>0</v>
      </c>
      <c r="F691" s="9" t="n">
        <v>0</v>
      </c>
      <c r="G691" s="9" t="n">
        <v>0</v>
      </c>
      <c r="H691" s="9" t="n">
        <v>0</v>
      </c>
      <c r="I691" s="9" t="n">
        <v>0</v>
      </c>
      <c r="J691" s="9" t="n">
        <v>0</v>
      </c>
      <c r="K691" s="9" t="n">
        <v>0</v>
      </c>
      <c r="L691" s="9" t="n">
        <v>0</v>
      </c>
      <c r="M691" s="9" t="n">
        <v>0</v>
      </c>
      <c r="N691" s="12" t="n">
        <f aca="true">IFERROR(ROUND(SUM(OFFSET(B691,0,0,1,POSTAVKE!$B$7))/POSTAVKE!$B$7,2),0)</f>
        <v>0</v>
      </c>
    </row>
    <row r="692" customFormat="false" ht="15" hidden="false" customHeight="false" outlineLevel="0" collapsed="false">
      <c r="A692" s="11" t="s">
        <v>965</v>
      </c>
      <c r="B692" s="9" t="n">
        <v>0</v>
      </c>
      <c r="C692" s="9" t="n">
        <v>0</v>
      </c>
      <c r="D692" s="9" t="n">
        <v>0</v>
      </c>
      <c r="E692" s="9" t="n">
        <v>0</v>
      </c>
      <c r="F692" s="9" t="n">
        <v>0</v>
      </c>
      <c r="G692" s="9" t="n">
        <v>0</v>
      </c>
      <c r="H692" s="9" t="n">
        <v>0</v>
      </c>
      <c r="I692" s="9" t="n">
        <v>0</v>
      </c>
      <c r="J692" s="9" t="n">
        <v>0</v>
      </c>
      <c r="K692" s="9" t="n">
        <v>0</v>
      </c>
      <c r="L692" s="9" t="n">
        <v>0</v>
      </c>
      <c r="M692" s="9" t="n">
        <v>0</v>
      </c>
      <c r="N692" s="12" t="n">
        <f aca="true">IFERROR(ROUND(SUM(OFFSET(B692,0,0,1,POSTAVKE!$B$7))/POSTAVKE!$B$7,2),0)</f>
        <v>0</v>
      </c>
    </row>
    <row r="693" customFormat="false" ht="15" hidden="false" customHeight="false" outlineLevel="0" collapsed="false">
      <c r="A693" s="11" t="s">
        <v>473</v>
      </c>
      <c r="B693" s="9" t="n">
        <v>0</v>
      </c>
      <c r="C693" s="9" t="n">
        <v>0</v>
      </c>
      <c r="D693" s="9" t="n">
        <v>0</v>
      </c>
      <c r="E693" s="9" t="n">
        <v>0</v>
      </c>
      <c r="F693" s="9" t="n">
        <v>0</v>
      </c>
      <c r="G693" s="9" t="n">
        <v>0</v>
      </c>
      <c r="H693" s="9" t="n">
        <v>0</v>
      </c>
      <c r="I693" s="9" t="n">
        <v>0</v>
      </c>
      <c r="J693" s="9" t="n">
        <v>0</v>
      </c>
      <c r="K693" s="9" t="n">
        <v>0</v>
      </c>
      <c r="L693" s="9" t="n">
        <v>0</v>
      </c>
      <c r="M693" s="9" t="n">
        <v>0</v>
      </c>
      <c r="N693" s="12" t="n">
        <f aca="true">IFERROR(ROUND(SUM(OFFSET(B693,0,0,1,POSTAVKE!$B$7))/POSTAVKE!$B$7,2),0)</f>
        <v>0</v>
      </c>
    </row>
    <row r="694" customFormat="false" ht="15" hidden="false" customHeight="false" outlineLevel="0" collapsed="false">
      <c r="A694" s="11" t="s">
        <v>991</v>
      </c>
      <c r="B694" s="9" t="n">
        <v>0</v>
      </c>
      <c r="C694" s="9" t="n">
        <v>0</v>
      </c>
      <c r="D694" s="9" t="n">
        <v>0</v>
      </c>
      <c r="E694" s="9" t="n">
        <v>1</v>
      </c>
      <c r="F694" s="9" t="n">
        <v>0</v>
      </c>
      <c r="G694" s="9" t="n">
        <v>0</v>
      </c>
      <c r="H694" s="9" t="n">
        <v>0</v>
      </c>
      <c r="I694" s="9" t="n">
        <v>0</v>
      </c>
      <c r="J694" s="9" t="n">
        <v>0</v>
      </c>
      <c r="K694" s="9" t="n">
        <v>0</v>
      </c>
      <c r="L694" s="9" t="n">
        <v>0</v>
      </c>
      <c r="M694" s="9" t="n">
        <v>0</v>
      </c>
      <c r="N694" s="12" t="n">
        <f aca="true">IFERROR(ROUND(SUM(OFFSET(B694,0,0,1,POSTAVKE!$B$7))/POSTAVKE!$B$7,2),0)</f>
        <v>0.13</v>
      </c>
    </row>
    <row r="695" customFormat="false" ht="15" hidden="false" customHeight="false" outlineLevel="0" collapsed="false">
      <c r="A695" s="11" t="s">
        <v>379</v>
      </c>
      <c r="B695" s="9" t="n">
        <v>0</v>
      </c>
      <c r="C695" s="9" t="n">
        <v>0</v>
      </c>
      <c r="D695" s="9" t="n">
        <v>0</v>
      </c>
      <c r="E695" s="9" t="n">
        <v>0</v>
      </c>
      <c r="F695" s="9" t="n">
        <v>0</v>
      </c>
      <c r="G695" s="9" t="n">
        <v>0</v>
      </c>
      <c r="H695" s="9" t="n">
        <v>0</v>
      </c>
      <c r="I695" s="9" t="n">
        <v>0</v>
      </c>
      <c r="J695" s="9" t="n">
        <v>0</v>
      </c>
      <c r="K695" s="9" t="n">
        <v>0</v>
      </c>
      <c r="L695" s="9" t="n">
        <v>0</v>
      </c>
      <c r="M695" s="9" t="n">
        <v>0</v>
      </c>
      <c r="N695" s="12" t="n">
        <f aca="true">IFERROR(ROUND(SUM(OFFSET(B695,0,0,1,POSTAVKE!$B$7))/POSTAVKE!$B$7,2),0)</f>
        <v>0</v>
      </c>
    </row>
    <row r="696" customFormat="false" ht="15" hidden="false" customHeight="false" outlineLevel="0" collapsed="false">
      <c r="A696" s="11" t="s">
        <v>967</v>
      </c>
      <c r="B696" s="9" t="n">
        <v>0</v>
      </c>
      <c r="C696" s="9" t="n">
        <v>0</v>
      </c>
      <c r="D696" s="9" t="n">
        <v>0</v>
      </c>
      <c r="E696" s="9" t="n">
        <v>0</v>
      </c>
      <c r="F696" s="9" t="n">
        <v>0</v>
      </c>
      <c r="G696" s="9" t="n">
        <v>0</v>
      </c>
      <c r="H696" s="9" t="n">
        <v>0</v>
      </c>
      <c r="I696" s="9" t="n">
        <v>0</v>
      </c>
      <c r="J696" s="9" t="n">
        <v>0</v>
      </c>
      <c r="K696" s="9" t="n">
        <v>0</v>
      </c>
      <c r="L696" s="9" t="n">
        <v>0</v>
      </c>
      <c r="M696" s="9" t="n">
        <v>0</v>
      </c>
      <c r="N696" s="12" t="n">
        <f aca="true">IFERROR(ROUND(SUM(OFFSET(B696,0,0,1,POSTAVKE!$B$7))/POSTAVKE!$B$7,2),0)</f>
        <v>0</v>
      </c>
    </row>
    <row r="697" customFormat="false" ht="15" hidden="false" customHeight="false" outlineLevel="0" collapsed="false">
      <c r="A697" s="11" t="s">
        <v>381</v>
      </c>
      <c r="B697" s="9" t="n">
        <v>0</v>
      </c>
      <c r="C697" s="9" t="n">
        <v>0</v>
      </c>
      <c r="D697" s="9" t="n">
        <v>0</v>
      </c>
      <c r="E697" s="9" t="n">
        <v>0</v>
      </c>
      <c r="F697" s="9" t="n">
        <v>0</v>
      </c>
      <c r="G697" s="9" t="n">
        <v>0</v>
      </c>
      <c r="H697" s="9" t="n">
        <v>0</v>
      </c>
      <c r="I697" s="9" t="n">
        <v>0</v>
      </c>
      <c r="J697" s="9" t="n">
        <v>0</v>
      </c>
      <c r="K697" s="9" t="n">
        <v>0</v>
      </c>
      <c r="L697" s="9" t="n">
        <v>0</v>
      </c>
      <c r="M697" s="9" t="n">
        <v>0</v>
      </c>
      <c r="N697" s="12" t="n">
        <f aca="true">IFERROR(ROUND(SUM(OFFSET(B697,0,0,1,POSTAVKE!$B$7))/POSTAVKE!$B$7,2),0)</f>
        <v>0</v>
      </c>
    </row>
    <row r="698" customFormat="false" ht="15" hidden="false" customHeight="false" outlineLevel="0" collapsed="false">
      <c r="A698" s="11" t="s">
        <v>1011</v>
      </c>
      <c r="B698" s="9" t="n">
        <v>0</v>
      </c>
      <c r="C698" s="9" t="n">
        <v>0</v>
      </c>
      <c r="D698" s="9" t="n">
        <v>0</v>
      </c>
      <c r="E698" s="9" t="n">
        <v>0</v>
      </c>
      <c r="F698" s="9" t="n">
        <v>1</v>
      </c>
      <c r="G698" s="9" t="n">
        <v>0</v>
      </c>
      <c r="H698" s="9" t="n">
        <v>1</v>
      </c>
      <c r="I698" s="9" t="n">
        <v>0</v>
      </c>
      <c r="J698" s="9" t="n">
        <v>0</v>
      </c>
      <c r="K698" s="9" t="n">
        <v>0</v>
      </c>
      <c r="L698" s="9" t="n">
        <v>0</v>
      </c>
      <c r="M698" s="9" t="n">
        <v>0</v>
      </c>
      <c r="N698" s="12" t="n">
        <f aca="true">IFERROR(ROUND(SUM(OFFSET(B698,0,0,1,POSTAVKE!$B$7))/POSTAVKE!$B$7,2),0)</f>
        <v>0.25</v>
      </c>
    </row>
    <row r="699" customFormat="false" ht="15" hidden="false" customHeight="false" outlineLevel="0" collapsed="false">
      <c r="A699" s="11" t="s">
        <v>383</v>
      </c>
      <c r="B699" s="9" t="n">
        <v>0</v>
      </c>
      <c r="C699" s="9" t="n">
        <v>0</v>
      </c>
      <c r="D699" s="9" t="n">
        <v>0</v>
      </c>
      <c r="E699" s="9" t="n">
        <v>0</v>
      </c>
      <c r="F699" s="9" t="n">
        <v>0</v>
      </c>
      <c r="G699" s="9" t="n">
        <v>0</v>
      </c>
      <c r="H699" s="9" t="n">
        <v>0</v>
      </c>
      <c r="I699" s="9" t="n">
        <v>0</v>
      </c>
      <c r="J699" s="9" t="n">
        <v>0</v>
      </c>
      <c r="K699" s="9" t="n">
        <v>0</v>
      </c>
      <c r="L699" s="9" t="n">
        <v>0</v>
      </c>
      <c r="M699" s="9" t="n">
        <v>0</v>
      </c>
      <c r="N699" s="12" t="n">
        <f aca="true">IFERROR(ROUND(SUM(OFFSET(B699,0,0,1,POSTAVKE!$B$7))/POSTAVKE!$B$7,2),0)</f>
        <v>0</v>
      </c>
    </row>
    <row r="700" customFormat="false" ht="15" hidden="false" customHeight="false" outlineLevel="0" collapsed="false">
      <c r="A700" s="11" t="s">
        <v>153</v>
      </c>
      <c r="B700" s="9" t="n">
        <v>0</v>
      </c>
      <c r="C700" s="9" t="n">
        <v>0</v>
      </c>
      <c r="D700" s="9" t="n">
        <v>0</v>
      </c>
      <c r="E700" s="9" t="n">
        <v>13</v>
      </c>
      <c r="F700" s="9" t="n">
        <v>24</v>
      </c>
      <c r="G700" s="9" t="n">
        <v>21</v>
      </c>
      <c r="H700" s="9" t="n">
        <v>125</v>
      </c>
      <c r="I700" s="9" t="n">
        <v>189</v>
      </c>
      <c r="J700" s="9" t="n">
        <v>0</v>
      </c>
      <c r="K700" s="9" t="n">
        <v>0</v>
      </c>
      <c r="L700" s="9" t="n">
        <v>0</v>
      </c>
      <c r="M700" s="9" t="n">
        <v>0</v>
      </c>
      <c r="N700" s="12" t="n">
        <f aca="true">IFERROR(ROUND(SUM(OFFSET(B700,0,0,1,POSTAVKE!$B$7))/POSTAVKE!$B$7,2),0)</f>
        <v>46.5</v>
      </c>
    </row>
    <row r="701" customFormat="false" ht="15" hidden="false" customHeight="false" outlineLevel="0" collapsed="false">
      <c r="A701" s="11" t="s">
        <v>1306</v>
      </c>
      <c r="B701" s="9" t="n">
        <v>0</v>
      </c>
      <c r="C701" s="9" t="n">
        <v>0</v>
      </c>
      <c r="D701" s="9" t="n">
        <v>0</v>
      </c>
      <c r="E701" s="9" t="n">
        <v>0</v>
      </c>
      <c r="F701" s="9" t="n">
        <v>0</v>
      </c>
      <c r="G701" s="9" t="n">
        <v>0</v>
      </c>
      <c r="H701" s="9" t="n">
        <v>0</v>
      </c>
      <c r="I701" s="9" t="n">
        <v>0</v>
      </c>
      <c r="J701" s="9" t="n">
        <v>0</v>
      </c>
      <c r="K701" s="9" t="n">
        <v>0</v>
      </c>
      <c r="L701" s="9" t="n">
        <v>0</v>
      </c>
      <c r="M701" s="9" t="n">
        <v>0</v>
      </c>
      <c r="N701" s="12" t="n">
        <f aca="true">IFERROR(ROUND(SUM(OFFSET(B701,0,0,1,POSTAVKE!$B$7))/POSTAVKE!$B$7,2),0)</f>
        <v>0</v>
      </c>
    </row>
    <row r="702" customFormat="false" ht="15" hidden="false" customHeight="false" outlineLevel="0" collapsed="false">
      <c r="A702" s="11" t="s">
        <v>1875</v>
      </c>
      <c r="B702" s="9" t="n">
        <v>0</v>
      </c>
      <c r="C702" s="9" t="n">
        <v>0</v>
      </c>
      <c r="D702" s="9" t="n">
        <v>2</v>
      </c>
      <c r="E702" s="9" t="n">
        <v>0</v>
      </c>
      <c r="F702" s="9" t="n">
        <v>0</v>
      </c>
      <c r="G702" s="9" t="n">
        <v>0</v>
      </c>
      <c r="H702" s="9" t="n">
        <v>0</v>
      </c>
      <c r="I702" s="9" t="n">
        <v>0</v>
      </c>
      <c r="J702" s="9" t="n">
        <v>0</v>
      </c>
      <c r="K702" s="9" t="n">
        <v>0</v>
      </c>
      <c r="L702" s="9" t="n">
        <v>0</v>
      </c>
      <c r="M702" s="9" t="n">
        <v>0</v>
      </c>
      <c r="N702" s="12" t="n">
        <f aca="true">IFERROR(ROUND(SUM(OFFSET(B702,0,0,1,POSTAVKE!$B$7))/POSTAVKE!$B$7,2),0)</f>
        <v>0.25</v>
      </c>
    </row>
    <row r="703" customFormat="false" ht="15" hidden="false" customHeight="false" outlineLevel="0" collapsed="false">
      <c r="A703" s="11" t="s">
        <v>1877</v>
      </c>
      <c r="B703" s="9" t="n">
        <v>0</v>
      </c>
      <c r="C703" s="9" t="n">
        <v>0</v>
      </c>
      <c r="D703" s="9" t="n">
        <v>0</v>
      </c>
      <c r="E703" s="9" t="n">
        <v>0</v>
      </c>
      <c r="F703" s="9" t="n">
        <v>0</v>
      </c>
      <c r="G703" s="9" t="n">
        <v>0</v>
      </c>
      <c r="H703" s="9" t="n">
        <v>0</v>
      </c>
      <c r="I703" s="9" t="n">
        <v>0</v>
      </c>
      <c r="J703" s="9" t="n">
        <v>0</v>
      </c>
      <c r="K703" s="9" t="n">
        <v>0</v>
      </c>
      <c r="L703" s="9" t="n">
        <v>0</v>
      </c>
      <c r="M703" s="9" t="n">
        <v>0</v>
      </c>
      <c r="N703" s="12" t="n">
        <f aca="true">IFERROR(ROUND(SUM(OFFSET(B703,0,0,1,POSTAVKE!$B$7))/POSTAVKE!$B$7,2),0)</f>
        <v>0</v>
      </c>
    </row>
    <row r="704" customFormat="false" ht="15" hidden="false" customHeight="false" outlineLevel="0" collapsed="false">
      <c r="A704" s="11" t="s">
        <v>27</v>
      </c>
      <c r="B704" s="9" t="n">
        <v>0</v>
      </c>
      <c r="C704" s="9" t="n">
        <v>0</v>
      </c>
      <c r="D704" s="9" t="n">
        <v>0</v>
      </c>
      <c r="E704" s="9" t="n">
        <v>0</v>
      </c>
      <c r="F704" s="9" t="n">
        <v>0</v>
      </c>
      <c r="G704" s="9" t="n">
        <v>0</v>
      </c>
      <c r="H704" s="9" t="n">
        <v>0</v>
      </c>
      <c r="I704" s="9" t="n">
        <v>0</v>
      </c>
      <c r="J704" s="9" t="n">
        <v>0</v>
      </c>
      <c r="K704" s="9" t="n">
        <v>0</v>
      </c>
      <c r="L704" s="9" t="n">
        <v>0</v>
      </c>
      <c r="M704" s="9" t="n">
        <v>0</v>
      </c>
      <c r="N704" s="12" t="n">
        <f aca="true">IFERROR(ROUND(SUM(OFFSET(B704,0,0,1,POSTAVKE!$B$7))/POSTAVKE!$B$7,2),0)</f>
        <v>0</v>
      </c>
    </row>
    <row r="705" customFormat="false" ht="15" hidden="false" customHeight="false" outlineLevel="0" collapsed="false">
      <c r="A705" s="11" t="s">
        <v>79</v>
      </c>
      <c r="B705" s="9" t="n">
        <v>0</v>
      </c>
      <c r="C705" s="9" t="n">
        <v>0</v>
      </c>
      <c r="D705" s="9" t="n">
        <v>0</v>
      </c>
      <c r="E705" s="9" t="n">
        <v>0</v>
      </c>
      <c r="F705" s="9" t="n">
        <v>0</v>
      </c>
      <c r="G705" s="9" t="n">
        <v>0</v>
      </c>
      <c r="H705" s="9" t="n">
        <v>0</v>
      </c>
      <c r="I705" s="9" t="n">
        <v>0</v>
      </c>
      <c r="J705" s="9" t="n">
        <v>0</v>
      </c>
      <c r="K705" s="9" t="n">
        <v>0</v>
      </c>
      <c r="L705" s="9" t="n">
        <v>0</v>
      </c>
      <c r="M705" s="9" t="n">
        <v>0</v>
      </c>
      <c r="N705" s="12" t="n">
        <f aca="true">IFERROR(ROUND(SUM(OFFSET(B705,0,0,1,POSTAVKE!$B$7))/POSTAVKE!$B$7,2),0)</f>
        <v>0</v>
      </c>
    </row>
    <row r="706" customFormat="false" ht="15" hidden="false" customHeight="false" outlineLevel="0" collapsed="false">
      <c r="A706" s="11" t="s">
        <v>81</v>
      </c>
      <c r="B706" s="9" t="n">
        <v>0</v>
      </c>
      <c r="C706" s="9" t="n">
        <v>0</v>
      </c>
      <c r="D706" s="9" t="n">
        <v>0</v>
      </c>
      <c r="E706" s="9" t="n">
        <v>0</v>
      </c>
      <c r="F706" s="9" t="n">
        <v>0</v>
      </c>
      <c r="G706" s="9" t="n">
        <v>0</v>
      </c>
      <c r="H706" s="9" t="n">
        <v>0</v>
      </c>
      <c r="I706" s="9" t="n">
        <v>0</v>
      </c>
      <c r="J706" s="9" t="n">
        <v>0</v>
      </c>
      <c r="K706" s="9" t="n">
        <v>0</v>
      </c>
      <c r="L706" s="9" t="n">
        <v>0</v>
      </c>
      <c r="M706" s="9" t="n">
        <v>0</v>
      </c>
      <c r="N706" s="12" t="n">
        <f aca="true">IFERROR(ROUND(SUM(OFFSET(B706,0,0,1,POSTAVKE!$B$7))/POSTAVKE!$B$7,2),0)</f>
        <v>0</v>
      </c>
    </row>
    <row r="707" customFormat="false" ht="15" hidden="false" customHeight="false" outlineLevel="0" collapsed="false">
      <c r="A707" s="11" t="s">
        <v>83</v>
      </c>
      <c r="B707" s="9" t="n">
        <v>0</v>
      </c>
      <c r="C707" s="9" t="n">
        <v>0</v>
      </c>
      <c r="D707" s="9" t="n">
        <v>0</v>
      </c>
      <c r="E707" s="9" t="n">
        <v>0</v>
      </c>
      <c r="F707" s="9" t="n">
        <v>0</v>
      </c>
      <c r="G707" s="9" t="n">
        <v>0</v>
      </c>
      <c r="H707" s="9" t="n">
        <v>0</v>
      </c>
      <c r="I707" s="9" t="n">
        <v>0</v>
      </c>
      <c r="J707" s="9" t="n">
        <v>0</v>
      </c>
      <c r="K707" s="9" t="n">
        <v>0</v>
      </c>
      <c r="L707" s="9" t="n">
        <v>0</v>
      </c>
      <c r="M707" s="9" t="n">
        <v>0</v>
      </c>
      <c r="N707" s="12" t="n">
        <f aca="true">IFERROR(ROUND(SUM(OFFSET(B707,0,0,1,POSTAVKE!$B$7))/POSTAVKE!$B$7,2),0)</f>
        <v>0</v>
      </c>
    </row>
    <row r="708" customFormat="false" ht="15" hidden="false" customHeight="false" outlineLevel="0" collapsed="false">
      <c r="A708" s="11" t="s">
        <v>429</v>
      </c>
      <c r="B708" s="9" t="n">
        <v>0</v>
      </c>
      <c r="C708" s="9" t="n">
        <v>0</v>
      </c>
      <c r="D708" s="9" t="n">
        <v>0</v>
      </c>
      <c r="E708" s="9" t="n">
        <v>0</v>
      </c>
      <c r="F708" s="9" t="n">
        <v>0</v>
      </c>
      <c r="G708" s="9" t="n">
        <v>0</v>
      </c>
      <c r="H708" s="9" t="n">
        <v>6</v>
      </c>
      <c r="I708" s="9" t="n">
        <v>0</v>
      </c>
      <c r="J708" s="9" t="n">
        <v>0</v>
      </c>
      <c r="K708" s="9" t="n">
        <v>0</v>
      </c>
      <c r="L708" s="9" t="n">
        <v>0</v>
      </c>
      <c r="M708" s="9" t="n">
        <v>0</v>
      </c>
      <c r="N708" s="12" t="n">
        <f aca="true">IFERROR(ROUND(SUM(OFFSET(B708,0,0,1,POSTAVKE!$B$7))/POSTAVKE!$B$7,2),0)</f>
        <v>0.75</v>
      </c>
    </row>
    <row r="709" customFormat="false" ht="15" hidden="false" customHeight="false" outlineLevel="0" collapsed="false">
      <c r="A709" s="11" t="s">
        <v>509</v>
      </c>
      <c r="B709" s="9" t="n">
        <v>0</v>
      </c>
      <c r="C709" s="9" t="n">
        <v>0</v>
      </c>
      <c r="D709" s="9" t="n">
        <v>0</v>
      </c>
      <c r="E709" s="9" t="n">
        <v>0</v>
      </c>
      <c r="F709" s="9" t="n">
        <v>0</v>
      </c>
      <c r="G709" s="9" t="n">
        <v>0</v>
      </c>
      <c r="H709" s="9" t="n">
        <v>6</v>
      </c>
      <c r="I709" s="9" t="n">
        <v>0</v>
      </c>
      <c r="J709" s="9" t="n">
        <v>0</v>
      </c>
      <c r="K709" s="9" t="n">
        <v>0</v>
      </c>
      <c r="L709" s="9" t="n">
        <v>0</v>
      </c>
      <c r="M709" s="9" t="n">
        <v>0</v>
      </c>
      <c r="N709" s="12" t="n">
        <f aca="true">IFERROR(ROUND(SUM(OFFSET(B709,0,0,1,POSTAVKE!$B$7))/POSTAVKE!$B$7,2),0)</f>
        <v>0.75</v>
      </c>
    </row>
    <row r="710" customFormat="false" ht="15" hidden="false" customHeight="false" outlineLevel="0" collapsed="false">
      <c r="A710" s="11" t="s">
        <v>457</v>
      </c>
      <c r="B710" s="9" t="n">
        <v>0</v>
      </c>
      <c r="C710" s="9" t="n">
        <v>0</v>
      </c>
      <c r="D710" s="9" t="n">
        <v>0</v>
      </c>
      <c r="E710" s="9" t="n">
        <v>0</v>
      </c>
      <c r="F710" s="9" t="n">
        <v>0</v>
      </c>
      <c r="G710" s="9" t="n">
        <v>0</v>
      </c>
      <c r="H710" s="9" t="n">
        <v>6</v>
      </c>
      <c r="I710" s="9" t="n">
        <v>0</v>
      </c>
      <c r="J710" s="9" t="n">
        <v>0</v>
      </c>
      <c r="K710" s="9" t="n">
        <v>0</v>
      </c>
      <c r="L710" s="9" t="n">
        <v>0</v>
      </c>
      <c r="M710" s="9" t="n">
        <v>0</v>
      </c>
      <c r="N710" s="12" t="n">
        <f aca="true">IFERROR(ROUND(SUM(OFFSET(B710,0,0,1,POSTAVKE!$B$7))/POSTAVKE!$B$7,2),0)</f>
        <v>0.75</v>
      </c>
    </row>
    <row r="711" customFormat="false" ht="15" hidden="false" customHeight="false" outlineLevel="0" collapsed="false">
      <c r="A711" s="11" t="s">
        <v>511</v>
      </c>
      <c r="B711" s="9" t="n">
        <v>0</v>
      </c>
      <c r="C711" s="9" t="n">
        <v>0</v>
      </c>
      <c r="D711" s="9" t="n">
        <v>0</v>
      </c>
      <c r="E711" s="9" t="n">
        <v>0</v>
      </c>
      <c r="F711" s="9" t="n">
        <v>0</v>
      </c>
      <c r="G711" s="9" t="n">
        <v>0</v>
      </c>
      <c r="H711" s="9" t="n">
        <v>6</v>
      </c>
      <c r="I711" s="9" t="n">
        <v>6</v>
      </c>
      <c r="J711" s="9" t="n">
        <v>0</v>
      </c>
      <c r="K711" s="9" t="n">
        <v>0</v>
      </c>
      <c r="L711" s="9" t="n">
        <v>0</v>
      </c>
      <c r="M711" s="9" t="n">
        <v>0</v>
      </c>
      <c r="N711" s="12" t="n">
        <f aca="true">IFERROR(ROUND(SUM(OFFSET(B711,0,0,1,POSTAVKE!$B$7))/POSTAVKE!$B$7,2),0)</f>
        <v>1.5</v>
      </c>
    </row>
    <row r="712" customFormat="false" ht="15" hidden="false" customHeight="false" outlineLevel="0" collapsed="false">
      <c r="A712" s="11" t="s">
        <v>1879</v>
      </c>
      <c r="B712" s="9" t="n">
        <v>0</v>
      </c>
      <c r="C712" s="9" t="n">
        <v>0</v>
      </c>
      <c r="D712" s="9" t="n">
        <v>0</v>
      </c>
      <c r="E712" s="9" t="n">
        <v>0</v>
      </c>
      <c r="F712" s="9" t="n">
        <v>0</v>
      </c>
      <c r="G712" s="9" t="n">
        <v>1</v>
      </c>
      <c r="H712" s="9" t="n">
        <v>0</v>
      </c>
      <c r="I712" s="9" t="n">
        <v>0</v>
      </c>
      <c r="J712" s="9" t="n">
        <v>0</v>
      </c>
      <c r="K712" s="9" t="n">
        <v>0</v>
      </c>
      <c r="L712" s="9" t="n">
        <v>0</v>
      </c>
      <c r="M712" s="9" t="n">
        <v>0</v>
      </c>
      <c r="N712" s="12" t="n">
        <f aca="true">IFERROR(ROUND(SUM(OFFSET(B712,0,0,1,POSTAVKE!$B$7))/POSTAVKE!$B$7,2),0)</f>
        <v>0.13</v>
      </c>
    </row>
    <row r="713" customFormat="false" ht="15" hidden="false" customHeight="false" outlineLevel="0" collapsed="false">
      <c r="A713" s="11" t="s">
        <v>1881</v>
      </c>
      <c r="B713" s="9" t="n">
        <v>0</v>
      </c>
      <c r="C713" s="9" t="n">
        <v>0</v>
      </c>
      <c r="D713" s="9" t="n">
        <v>0</v>
      </c>
      <c r="E713" s="9" t="n">
        <v>0</v>
      </c>
      <c r="F713" s="9" t="n">
        <v>0</v>
      </c>
      <c r="G713" s="9" t="n">
        <v>2</v>
      </c>
      <c r="H713" s="9" t="n">
        <v>0</v>
      </c>
      <c r="I713" s="9" t="n">
        <v>0</v>
      </c>
      <c r="J713" s="9" t="n">
        <v>0</v>
      </c>
      <c r="K713" s="9" t="n">
        <v>0</v>
      </c>
      <c r="L713" s="9" t="n">
        <v>0</v>
      </c>
      <c r="M713" s="9" t="n">
        <v>0</v>
      </c>
      <c r="N713" s="12" t="n">
        <f aca="true">IFERROR(ROUND(SUM(OFFSET(B713,0,0,1,POSTAVKE!$B$7))/POSTAVKE!$B$7,2),0)</f>
        <v>0.25</v>
      </c>
    </row>
    <row r="714" customFormat="false" ht="15" hidden="false" customHeight="false" outlineLevel="0" collapsed="false">
      <c r="A714" s="11" t="s">
        <v>1883</v>
      </c>
      <c r="B714" s="9" t="n">
        <v>0</v>
      </c>
      <c r="C714" s="9" t="n">
        <v>0</v>
      </c>
      <c r="D714" s="9" t="n">
        <v>0</v>
      </c>
      <c r="E714" s="9" t="n">
        <v>0</v>
      </c>
      <c r="F714" s="9" t="n">
        <v>0</v>
      </c>
      <c r="G714" s="9" t="n">
        <v>0</v>
      </c>
      <c r="H714" s="9" t="n">
        <v>1</v>
      </c>
      <c r="I714" s="9" t="n">
        <v>0</v>
      </c>
      <c r="J714" s="9" t="n">
        <v>0</v>
      </c>
      <c r="K714" s="9" t="n">
        <v>0</v>
      </c>
      <c r="L714" s="9" t="n">
        <v>0</v>
      </c>
      <c r="M714" s="9" t="n">
        <v>0</v>
      </c>
      <c r="N714" s="12" t="n">
        <f aca="true">IFERROR(ROUND(SUM(OFFSET(B714,0,0,1,POSTAVKE!$B$7))/POSTAVKE!$B$7,2),0)</f>
        <v>0.13</v>
      </c>
    </row>
    <row r="715" customFormat="false" ht="15" hidden="false" customHeight="false" outlineLevel="0" collapsed="false">
      <c r="A715" s="11" t="s">
        <v>1885</v>
      </c>
      <c r="B715" s="9" t="n">
        <v>0</v>
      </c>
      <c r="C715" s="9" t="n">
        <v>0</v>
      </c>
      <c r="D715" s="9" t="n">
        <v>0</v>
      </c>
      <c r="E715" s="9" t="n">
        <v>2</v>
      </c>
      <c r="F715" s="9" t="n">
        <v>0</v>
      </c>
      <c r="G715" s="9" t="n">
        <v>0</v>
      </c>
      <c r="H715" s="9" t="n">
        <v>0</v>
      </c>
      <c r="I715" s="9" t="n">
        <v>0</v>
      </c>
      <c r="J715" s="9" t="n">
        <v>0</v>
      </c>
      <c r="K715" s="9" t="n">
        <v>0</v>
      </c>
      <c r="L715" s="9" t="n">
        <v>0</v>
      </c>
      <c r="M715" s="9" t="n">
        <v>0</v>
      </c>
      <c r="N715" s="12" t="n">
        <f aca="true">IFERROR(ROUND(SUM(OFFSET(B715,0,0,1,POSTAVKE!$B$7))/POSTAVKE!$B$7,2),0)</f>
        <v>0.25</v>
      </c>
    </row>
    <row r="716" customFormat="false" ht="15" hidden="false" customHeight="false" outlineLevel="0" collapsed="false">
      <c r="A716" s="11" t="s">
        <v>1310</v>
      </c>
      <c r="B716" s="9" t="n">
        <v>0</v>
      </c>
      <c r="C716" s="9" t="n">
        <v>0</v>
      </c>
      <c r="D716" s="9" t="n">
        <v>0</v>
      </c>
      <c r="E716" s="9" t="n">
        <v>0</v>
      </c>
      <c r="F716" s="9" t="n">
        <v>0</v>
      </c>
      <c r="G716" s="9" t="n">
        <v>0</v>
      </c>
      <c r="H716" s="9" t="n">
        <v>0</v>
      </c>
      <c r="I716" s="9" t="n">
        <v>0</v>
      </c>
      <c r="J716" s="9" t="n">
        <v>0</v>
      </c>
      <c r="K716" s="9" t="n">
        <v>0</v>
      </c>
      <c r="L716" s="9" t="n">
        <v>0</v>
      </c>
      <c r="M716" s="9" t="n">
        <v>0</v>
      </c>
      <c r="N716" s="12" t="n">
        <f aca="true">IFERROR(ROUND(SUM(OFFSET(B716,0,0,1,POSTAVKE!$B$7))/POSTAVKE!$B$7,2),0)</f>
        <v>0</v>
      </c>
    </row>
    <row r="717" customFormat="false" ht="15" hidden="false" customHeight="false" outlineLevel="0" collapsed="false">
      <c r="A717" s="11" t="s">
        <v>1312</v>
      </c>
      <c r="B717" s="9" t="n">
        <v>0</v>
      </c>
      <c r="C717" s="9" t="n">
        <v>0</v>
      </c>
      <c r="D717" s="9" t="n">
        <v>0</v>
      </c>
      <c r="E717" s="9" t="n">
        <v>0</v>
      </c>
      <c r="F717" s="9" t="n">
        <v>0</v>
      </c>
      <c r="G717" s="9" t="n">
        <v>0</v>
      </c>
      <c r="H717" s="9" t="n">
        <v>0</v>
      </c>
      <c r="I717" s="9" t="n">
        <v>0</v>
      </c>
      <c r="J717" s="9" t="n">
        <v>0</v>
      </c>
      <c r="K717" s="9" t="n">
        <v>0</v>
      </c>
      <c r="L717" s="9" t="n">
        <v>0</v>
      </c>
      <c r="M717" s="9" t="n">
        <v>0</v>
      </c>
      <c r="N717" s="12" t="n">
        <f aca="true">IFERROR(ROUND(SUM(OFFSET(B717,0,0,1,POSTAVKE!$B$7))/POSTAVKE!$B$7,2),0)</f>
        <v>0</v>
      </c>
    </row>
    <row r="718" customFormat="false" ht="15" hidden="false" customHeight="false" outlineLevel="0" collapsed="false">
      <c r="A718" s="11" t="s">
        <v>1314</v>
      </c>
      <c r="B718" s="9" t="n">
        <v>0</v>
      </c>
      <c r="C718" s="9" t="n">
        <v>0</v>
      </c>
      <c r="D718" s="9" t="n">
        <v>0</v>
      </c>
      <c r="E718" s="9" t="n">
        <v>0</v>
      </c>
      <c r="F718" s="9" t="n">
        <v>0</v>
      </c>
      <c r="G718" s="9" t="n">
        <v>0</v>
      </c>
      <c r="H718" s="9" t="n">
        <v>0</v>
      </c>
      <c r="I718" s="9" t="n">
        <v>0</v>
      </c>
      <c r="J718" s="9" t="n">
        <v>0</v>
      </c>
      <c r="K718" s="9" t="n">
        <v>0</v>
      </c>
      <c r="L718" s="9" t="n">
        <v>0</v>
      </c>
      <c r="M718" s="9" t="n">
        <v>0</v>
      </c>
      <c r="N718" s="12" t="n">
        <f aca="true">IFERROR(ROUND(SUM(OFFSET(B718,0,0,1,POSTAVKE!$B$7))/POSTAVKE!$B$7,2),0)</f>
        <v>0</v>
      </c>
    </row>
    <row r="719" customFormat="false" ht="15" hidden="false" customHeight="false" outlineLevel="0" collapsed="false">
      <c r="A719" s="11" t="s">
        <v>1316</v>
      </c>
      <c r="B719" s="9" t="n">
        <v>0</v>
      </c>
      <c r="C719" s="9" t="n">
        <v>0</v>
      </c>
      <c r="D719" s="9" t="n">
        <v>0</v>
      </c>
      <c r="E719" s="9" t="n">
        <v>0</v>
      </c>
      <c r="F719" s="9" t="n">
        <v>0</v>
      </c>
      <c r="G719" s="9" t="n">
        <v>0</v>
      </c>
      <c r="H719" s="9" t="n">
        <v>0</v>
      </c>
      <c r="I719" s="9" t="n">
        <v>0</v>
      </c>
      <c r="J719" s="9" t="n">
        <v>0</v>
      </c>
      <c r="K719" s="9" t="n">
        <v>0</v>
      </c>
      <c r="L719" s="9" t="n">
        <v>0</v>
      </c>
      <c r="M719" s="9" t="n">
        <v>0</v>
      </c>
      <c r="N719" s="12" t="n">
        <f aca="true">IFERROR(ROUND(SUM(OFFSET(B719,0,0,1,POSTAVKE!$B$7))/POSTAVKE!$B$7,2),0)</f>
        <v>0</v>
      </c>
    </row>
    <row r="720" customFormat="false" ht="15" hidden="false" customHeight="false" outlineLevel="0" collapsed="false">
      <c r="A720" s="11" t="s">
        <v>1318</v>
      </c>
      <c r="B720" s="9" t="n">
        <v>0</v>
      </c>
      <c r="C720" s="9" t="n">
        <v>0</v>
      </c>
      <c r="D720" s="9" t="n">
        <v>0</v>
      </c>
      <c r="E720" s="9" t="n">
        <v>0</v>
      </c>
      <c r="F720" s="9" t="n">
        <v>0</v>
      </c>
      <c r="G720" s="9" t="n">
        <v>0</v>
      </c>
      <c r="H720" s="9" t="n">
        <v>0</v>
      </c>
      <c r="I720" s="9" t="n">
        <v>0</v>
      </c>
      <c r="J720" s="9" t="n">
        <v>0</v>
      </c>
      <c r="K720" s="9" t="n">
        <v>0</v>
      </c>
      <c r="L720" s="9" t="n">
        <v>0</v>
      </c>
      <c r="M720" s="9" t="n">
        <v>0</v>
      </c>
      <c r="N720" s="12" t="n">
        <f aca="true">IFERROR(ROUND(SUM(OFFSET(B720,0,0,1,POSTAVKE!$B$7))/POSTAVKE!$B$7,2),0)</f>
        <v>0</v>
      </c>
    </row>
    <row r="721" customFormat="false" ht="15" hidden="false" customHeight="false" outlineLevel="0" collapsed="false">
      <c r="A721" s="11" t="s">
        <v>1320</v>
      </c>
      <c r="B721" s="9" t="n">
        <v>0</v>
      </c>
      <c r="C721" s="9" t="n">
        <v>0</v>
      </c>
      <c r="D721" s="9" t="n">
        <v>0</v>
      </c>
      <c r="E721" s="9" t="n">
        <v>0</v>
      </c>
      <c r="F721" s="9" t="n">
        <v>0</v>
      </c>
      <c r="G721" s="9" t="n">
        <v>0</v>
      </c>
      <c r="H721" s="9" t="n">
        <v>0</v>
      </c>
      <c r="I721" s="9" t="n">
        <v>0</v>
      </c>
      <c r="J721" s="9" t="n">
        <v>0</v>
      </c>
      <c r="K721" s="9" t="n">
        <v>0</v>
      </c>
      <c r="L721" s="9" t="n">
        <v>0</v>
      </c>
      <c r="M721" s="9" t="n">
        <v>0</v>
      </c>
      <c r="N721" s="12" t="n">
        <f aca="true">IFERROR(ROUND(SUM(OFFSET(B721,0,0,1,POSTAVKE!$B$7))/POSTAVKE!$B$7,2),0)</f>
        <v>0</v>
      </c>
    </row>
    <row r="722" customFormat="false" ht="15" hidden="false" customHeight="false" outlineLevel="0" collapsed="false">
      <c r="A722" s="11" t="s">
        <v>1322</v>
      </c>
      <c r="B722" s="9" t="n">
        <v>0</v>
      </c>
      <c r="C722" s="9" t="n">
        <v>0</v>
      </c>
      <c r="D722" s="9" t="n">
        <v>0</v>
      </c>
      <c r="E722" s="9" t="n">
        <v>0</v>
      </c>
      <c r="F722" s="9" t="n">
        <v>0</v>
      </c>
      <c r="G722" s="9" t="n">
        <v>0</v>
      </c>
      <c r="H722" s="9" t="n">
        <v>0</v>
      </c>
      <c r="I722" s="9" t="n">
        <v>0</v>
      </c>
      <c r="J722" s="9" t="n">
        <v>0</v>
      </c>
      <c r="K722" s="9" t="n">
        <v>0</v>
      </c>
      <c r="L722" s="9" t="n">
        <v>0</v>
      </c>
      <c r="M722" s="9" t="n">
        <v>0</v>
      </c>
      <c r="N722" s="12" t="n">
        <f aca="true">IFERROR(ROUND(SUM(OFFSET(B722,0,0,1,POSTAVKE!$B$7))/POSTAVKE!$B$7,2),0)</f>
        <v>0</v>
      </c>
    </row>
    <row r="723" customFormat="false" ht="15" hidden="false" customHeight="false" outlineLevel="0" collapsed="false">
      <c r="A723" s="11" t="s">
        <v>1887</v>
      </c>
      <c r="B723" s="9" t="n">
        <v>0</v>
      </c>
      <c r="C723" s="9" t="n">
        <v>0</v>
      </c>
      <c r="D723" s="9" t="n">
        <v>0</v>
      </c>
      <c r="E723" s="9" t="n">
        <v>1</v>
      </c>
      <c r="F723" s="9" t="n">
        <v>0</v>
      </c>
      <c r="G723" s="9" t="n">
        <v>0</v>
      </c>
      <c r="H723" s="9" t="n">
        <v>0</v>
      </c>
      <c r="I723" s="9" t="n">
        <v>0</v>
      </c>
      <c r="J723" s="9" t="n">
        <v>0</v>
      </c>
      <c r="K723" s="9" t="n">
        <v>0</v>
      </c>
      <c r="L723" s="9" t="n">
        <v>0</v>
      </c>
      <c r="M723" s="9" t="n">
        <v>0</v>
      </c>
      <c r="N723" s="12" t="n">
        <f aca="true">IFERROR(ROUND(SUM(OFFSET(B723,0,0,1,POSTAVKE!$B$7))/POSTAVKE!$B$7,2),0)</f>
        <v>0.13</v>
      </c>
    </row>
    <row r="724" customFormat="false" ht="15" hidden="false" customHeight="false" outlineLevel="0" collapsed="false">
      <c r="A724" s="11" t="s">
        <v>1889</v>
      </c>
      <c r="B724" s="9" t="n">
        <v>0</v>
      </c>
      <c r="C724" s="9" t="n">
        <v>0</v>
      </c>
      <c r="D724" s="9" t="n">
        <v>0</v>
      </c>
      <c r="E724" s="9" t="n">
        <v>1</v>
      </c>
      <c r="F724" s="9" t="n">
        <v>0</v>
      </c>
      <c r="G724" s="9" t="n">
        <v>0</v>
      </c>
      <c r="H724" s="9" t="n">
        <v>0</v>
      </c>
      <c r="I724" s="9" t="n">
        <v>0</v>
      </c>
      <c r="J724" s="9" t="n">
        <v>0</v>
      </c>
      <c r="K724" s="9" t="n">
        <v>0</v>
      </c>
      <c r="L724" s="9" t="n">
        <v>0</v>
      </c>
      <c r="M724" s="9" t="n">
        <v>0</v>
      </c>
      <c r="N724" s="12" t="n">
        <f aca="true">IFERROR(ROUND(SUM(OFFSET(B724,0,0,1,POSTAVKE!$B$7))/POSTAVKE!$B$7,2),0)</f>
        <v>0.13</v>
      </c>
    </row>
    <row r="725" customFormat="false" ht="15" hidden="false" customHeight="false" outlineLevel="0" collapsed="false">
      <c r="A725" s="11" t="s">
        <v>1891</v>
      </c>
      <c r="B725" s="9" t="n">
        <v>0</v>
      </c>
      <c r="C725" s="9" t="n">
        <v>0</v>
      </c>
      <c r="D725" s="9" t="n">
        <v>0</v>
      </c>
      <c r="E725" s="9" t="n">
        <v>1</v>
      </c>
      <c r="F725" s="9" t="n">
        <v>0</v>
      </c>
      <c r="G725" s="9" t="n">
        <v>0</v>
      </c>
      <c r="H725" s="9" t="n">
        <v>0</v>
      </c>
      <c r="I725" s="9" t="n">
        <v>0</v>
      </c>
      <c r="J725" s="9" t="n">
        <v>0</v>
      </c>
      <c r="K725" s="9" t="n">
        <v>0</v>
      </c>
      <c r="L725" s="9" t="n">
        <v>0</v>
      </c>
      <c r="M725" s="9" t="n">
        <v>0</v>
      </c>
      <c r="N725" s="12" t="n">
        <f aca="true">IFERROR(ROUND(SUM(OFFSET(B725,0,0,1,POSTAVKE!$B$7))/POSTAVKE!$B$7,2),0)</f>
        <v>0.13</v>
      </c>
    </row>
    <row r="726" customFormat="false" ht="15" hidden="false" customHeight="false" outlineLevel="0" collapsed="false">
      <c r="A726" s="11" t="s">
        <v>1893</v>
      </c>
      <c r="B726" s="9" t="n">
        <v>0</v>
      </c>
      <c r="C726" s="9" t="n">
        <v>0</v>
      </c>
      <c r="D726" s="9" t="n">
        <v>0</v>
      </c>
      <c r="E726" s="9" t="n">
        <v>0</v>
      </c>
      <c r="F726" s="9" t="n">
        <v>0</v>
      </c>
      <c r="G726" s="9" t="n">
        <v>0</v>
      </c>
      <c r="H726" s="9" t="n">
        <v>0</v>
      </c>
      <c r="I726" s="9" t="n">
        <v>2</v>
      </c>
      <c r="J726" s="9" t="n">
        <v>0</v>
      </c>
      <c r="K726" s="9" t="n">
        <v>0</v>
      </c>
      <c r="L726" s="9" t="n">
        <v>0</v>
      </c>
      <c r="M726" s="9" t="n">
        <v>0</v>
      </c>
      <c r="N726" s="12" t="n">
        <f aca="true">IFERROR(ROUND(SUM(OFFSET(B726,0,0,1,POSTAVKE!$B$7))/POSTAVKE!$B$7,2),0)</f>
        <v>0.25</v>
      </c>
    </row>
    <row r="727" customFormat="false" ht="15" hidden="false" customHeight="false" outlineLevel="0" collapsed="false">
      <c r="A727" s="11" t="s">
        <v>925</v>
      </c>
      <c r="B727" s="9" t="n">
        <v>0</v>
      </c>
      <c r="C727" s="9" t="n">
        <v>0</v>
      </c>
      <c r="D727" s="9" t="n">
        <v>0</v>
      </c>
      <c r="E727" s="9" t="n">
        <v>0</v>
      </c>
      <c r="F727" s="9" t="n">
        <v>0</v>
      </c>
      <c r="G727" s="9" t="n">
        <v>0</v>
      </c>
      <c r="H727" s="9" t="n">
        <v>0</v>
      </c>
      <c r="I727" s="9" t="n">
        <v>0</v>
      </c>
      <c r="J727" s="9" t="n">
        <v>0</v>
      </c>
      <c r="K727" s="9" t="n">
        <v>0</v>
      </c>
      <c r="L727" s="9" t="n">
        <v>0</v>
      </c>
      <c r="M727" s="9" t="n">
        <v>0</v>
      </c>
      <c r="N727" s="12" t="n">
        <f aca="true">IFERROR(ROUND(SUM(OFFSET(B727,0,0,1,POSTAVKE!$B$7))/POSTAVKE!$B$7,2),0)</f>
        <v>0</v>
      </c>
    </row>
    <row r="728" customFormat="false" ht="15" hidden="false" customHeight="false" outlineLevel="0" collapsed="false">
      <c r="A728" s="11" t="s">
        <v>927</v>
      </c>
      <c r="B728" s="9" t="n">
        <v>0</v>
      </c>
      <c r="C728" s="9" t="n">
        <v>0</v>
      </c>
      <c r="D728" s="9" t="n">
        <v>0</v>
      </c>
      <c r="E728" s="9" t="n">
        <v>0</v>
      </c>
      <c r="F728" s="9" t="n">
        <v>0</v>
      </c>
      <c r="G728" s="9" t="n">
        <v>0</v>
      </c>
      <c r="H728" s="9" t="n">
        <v>0</v>
      </c>
      <c r="I728" s="9" t="n">
        <v>0</v>
      </c>
      <c r="J728" s="9" t="n">
        <v>0</v>
      </c>
      <c r="K728" s="9" t="n">
        <v>0</v>
      </c>
      <c r="L728" s="9" t="n">
        <v>0</v>
      </c>
      <c r="M728" s="9" t="n">
        <v>0</v>
      </c>
      <c r="N728" s="12" t="n">
        <f aca="true">IFERROR(ROUND(SUM(OFFSET(B728,0,0,1,POSTAVKE!$B$7))/POSTAVKE!$B$7,2),0)</f>
        <v>0</v>
      </c>
    </row>
    <row r="729" customFormat="false" ht="15" hidden="false" customHeight="false" outlineLevel="0" collapsed="false">
      <c r="A729" s="11" t="s">
        <v>1089</v>
      </c>
      <c r="B729" s="9" t="n">
        <v>0</v>
      </c>
      <c r="C729" s="9" t="n">
        <v>0</v>
      </c>
      <c r="D729" s="9" t="n">
        <v>0</v>
      </c>
      <c r="E729" s="9" t="n">
        <v>0</v>
      </c>
      <c r="F729" s="9" t="n">
        <v>0</v>
      </c>
      <c r="G729" s="9" t="n">
        <v>0</v>
      </c>
      <c r="H729" s="9" t="n">
        <v>0</v>
      </c>
      <c r="I729" s="9" t="n">
        <v>0</v>
      </c>
      <c r="J729" s="9" t="n">
        <v>0</v>
      </c>
      <c r="K729" s="9" t="n">
        <v>0</v>
      </c>
      <c r="L729" s="9" t="n">
        <v>0</v>
      </c>
      <c r="M729" s="9" t="n">
        <v>0</v>
      </c>
      <c r="N729" s="12" t="n">
        <f aca="true">IFERROR(ROUND(SUM(OFFSET(B729,0,0,1,POSTAVKE!$B$7))/POSTAVKE!$B$7,2),0)</f>
        <v>0</v>
      </c>
    </row>
    <row r="730" customFormat="false" ht="15" hidden="false" customHeight="false" outlineLevel="0" collapsed="false">
      <c r="A730" s="11" t="s">
        <v>929</v>
      </c>
      <c r="B730" s="9" t="n">
        <v>0</v>
      </c>
      <c r="C730" s="9" t="n">
        <v>0</v>
      </c>
      <c r="D730" s="9" t="n">
        <v>0</v>
      </c>
      <c r="E730" s="9" t="n">
        <v>0</v>
      </c>
      <c r="F730" s="9" t="n">
        <v>0</v>
      </c>
      <c r="G730" s="9" t="n">
        <v>0</v>
      </c>
      <c r="H730" s="9" t="n">
        <v>0</v>
      </c>
      <c r="I730" s="9" t="n">
        <v>0</v>
      </c>
      <c r="J730" s="9" t="n">
        <v>0</v>
      </c>
      <c r="K730" s="9" t="n">
        <v>0</v>
      </c>
      <c r="L730" s="9" t="n">
        <v>0</v>
      </c>
      <c r="M730" s="9" t="n">
        <v>0</v>
      </c>
      <c r="N730" s="12" t="n">
        <f aca="true">IFERROR(ROUND(SUM(OFFSET(B730,0,0,1,POSTAVKE!$B$7))/POSTAVKE!$B$7,2),0)</f>
        <v>0</v>
      </c>
    </row>
    <row r="731" customFormat="false" ht="15" hidden="false" customHeight="false" outlineLevel="0" collapsed="false">
      <c r="A731" s="11" t="s">
        <v>931</v>
      </c>
      <c r="B731" s="9" t="n">
        <v>0</v>
      </c>
      <c r="C731" s="9" t="n">
        <v>0</v>
      </c>
      <c r="D731" s="9" t="n">
        <v>0</v>
      </c>
      <c r="E731" s="9" t="n">
        <v>0</v>
      </c>
      <c r="F731" s="9" t="n">
        <v>0</v>
      </c>
      <c r="G731" s="9" t="n">
        <v>0</v>
      </c>
      <c r="H731" s="9" t="n">
        <v>0</v>
      </c>
      <c r="I731" s="9" t="n">
        <v>0</v>
      </c>
      <c r="J731" s="9" t="n">
        <v>0</v>
      </c>
      <c r="K731" s="9" t="n">
        <v>0</v>
      </c>
      <c r="L731" s="9" t="n">
        <v>0</v>
      </c>
      <c r="M731" s="9" t="n">
        <v>0</v>
      </c>
      <c r="N731" s="12" t="n">
        <f aca="true">IFERROR(ROUND(SUM(OFFSET(B731,0,0,1,POSTAVKE!$B$7))/POSTAVKE!$B$7,2),0)</f>
        <v>0</v>
      </c>
    </row>
    <row r="732" customFormat="false" ht="15" hidden="false" customHeight="false" outlineLevel="0" collapsed="false">
      <c r="A732" s="11" t="s">
        <v>1037</v>
      </c>
      <c r="B732" s="9" t="n">
        <v>0</v>
      </c>
      <c r="C732" s="9" t="n">
        <v>0</v>
      </c>
      <c r="D732" s="9" t="n">
        <v>0</v>
      </c>
      <c r="E732" s="9" t="n">
        <v>0</v>
      </c>
      <c r="F732" s="9" t="n">
        <v>0</v>
      </c>
      <c r="G732" s="9" t="n">
        <v>0</v>
      </c>
      <c r="H732" s="9" t="n">
        <v>0</v>
      </c>
      <c r="I732" s="9" t="n">
        <v>0</v>
      </c>
      <c r="J732" s="9" t="n">
        <v>0</v>
      </c>
      <c r="K732" s="9" t="n">
        <v>0</v>
      </c>
      <c r="L732" s="9" t="n">
        <v>0</v>
      </c>
      <c r="M732" s="9" t="n">
        <v>0</v>
      </c>
      <c r="N732" s="12" t="n">
        <f aca="true">IFERROR(ROUND(SUM(OFFSET(B732,0,0,1,POSTAVKE!$B$7))/POSTAVKE!$B$7,2),0)</f>
        <v>0</v>
      </c>
    </row>
    <row r="733" customFormat="false" ht="15" hidden="false" customHeight="false" outlineLevel="0" collapsed="false">
      <c r="A733" s="11" t="s">
        <v>1091</v>
      </c>
      <c r="B733" s="9" t="n">
        <v>0</v>
      </c>
      <c r="C733" s="9" t="n">
        <v>0</v>
      </c>
      <c r="D733" s="9" t="n">
        <v>0</v>
      </c>
      <c r="E733" s="9" t="n">
        <v>0</v>
      </c>
      <c r="F733" s="9" t="n">
        <v>0</v>
      </c>
      <c r="G733" s="9" t="n">
        <v>0</v>
      </c>
      <c r="H733" s="9" t="n">
        <v>0</v>
      </c>
      <c r="I733" s="9" t="n">
        <v>0</v>
      </c>
      <c r="J733" s="9" t="n">
        <v>0</v>
      </c>
      <c r="K733" s="9" t="n">
        <v>0</v>
      </c>
      <c r="L733" s="9" t="n">
        <v>0</v>
      </c>
      <c r="M733" s="9" t="n">
        <v>0</v>
      </c>
      <c r="N733" s="12" t="n">
        <f aca="true">IFERROR(ROUND(SUM(OFFSET(B733,0,0,1,POSTAVKE!$B$7))/POSTAVKE!$B$7,2),0)</f>
        <v>0</v>
      </c>
    </row>
    <row r="734" customFormat="false" ht="15" hidden="false" customHeight="false" outlineLevel="0" collapsed="false">
      <c r="A734" s="11" t="s">
        <v>1895</v>
      </c>
      <c r="B734" s="9" t="n">
        <v>0</v>
      </c>
      <c r="C734" s="9" t="n">
        <v>0</v>
      </c>
      <c r="D734" s="9" t="n">
        <v>0</v>
      </c>
      <c r="E734" s="9" t="n">
        <v>0</v>
      </c>
      <c r="F734" s="9" t="n">
        <v>0</v>
      </c>
      <c r="G734" s="9" t="n">
        <v>10</v>
      </c>
      <c r="H734" s="9" t="n">
        <v>0</v>
      </c>
      <c r="I734" s="9" t="n">
        <v>0</v>
      </c>
      <c r="J734" s="9" t="n">
        <v>0</v>
      </c>
      <c r="K734" s="9" t="n">
        <v>0</v>
      </c>
      <c r="L734" s="9" t="n">
        <v>0</v>
      </c>
      <c r="M734" s="9" t="n">
        <v>0</v>
      </c>
      <c r="N734" s="12" t="n">
        <f aca="true">IFERROR(ROUND(SUM(OFFSET(B734,0,0,1,POSTAVKE!$B$7))/POSTAVKE!$B$7,2),0)</f>
        <v>1.25</v>
      </c>
    </row>
    <row r="735" customFormat="false" ht="15" hidden="false" customHeight="false" outlineLevel="0" collapsed="false">
      <c r="A735" s="11" t="s">
        <v>1234</v>
      </c>
      <c r="B735" s="9" t="n">
        <v>0</v>
      </c>
      <c r="C735" s="9" t="n">
        <v>0</v>
      </c>
      <c r="D735" s="9" t="n">
        <v>0</v>
      </c>
      <c r="E735" s="9" t="n">
        <v>0</v>
      </c>
      <c r="F735" s="9" t="n">
        <v>0</v>
      </c>
      <c r="G735" s="9" t="n">
        <v>0</v>
      </c>
      <c r="H735" s="9" t="n">
        <v>0</v>
      </c>
      <c r="I735" s="9" t="n">
        <v>0</v>
      </c>
      <c r="J735" s="9" t="n">
        <v>0</v>
      </c>
      <c r="K735" s="9" t="n">
        <v>0</v>
      </c>
      <c r="L735" s="9" t="n">
        <v>0</v>
      </c>
      <c r="M735" s="9" t="n">
        <v>0</v>
      </c>
      <c r="N735" s="12" t="n">
        <f aca="true">IFERROR(ROUND(SUM(OFFSET(B735,0,0,1,POSTAVKE!$B$7))/POSTAVKE!$B$7,2),0)</f>
        <v>0</v>
      </c>
    </row>
    <row r="736" customFormat="false" ht="15" hidden="false" customHeight="false" outlineLevel="0" collapsed="false">
      <c r="A736" s="11" t="s">
        <v>1160</v>
      </c>
      <c r="B736" s="9" t="n">
        <v>0</v>
      </c>
      <c r="C736" s="9" t="n">
        <v>0</v>
      </c>
      <c r="D736" s="9" t="n">
        <v>0</v>
      </c>
      <c r="E736" s="9" t="n">
        <v>0</v>
      </c>
      <c r="F736" s="9" t="n">
        <v>0</v>
      </c>
      <c r="G736" s="9" t="n">
        <v>0</v>
      </c>
      <c r="H736" s="9" t="n">
        <v>0</v>
      </c>
      <c r="I736" s="9" t="n">
        <v>0</v>
      </c>
      <c r="J736" s="9" t="n">
        <v>0</v>
      </c>
      <c r="K736" s="9" t="n">
        <v>0</v>
      </c>
      <c r="L736" s="9" t="n">
        <v>0</v>
      </c>
      <c r="M736" s="9" t="n">
        <v>0</v>
      </c>
      <c r="N736" s="12" t="n">
        <f aca="true">IFERROR(ROUND(SUM(OFFSET(B736,0,0,1,POSTAVKE!$B$7))/POSTAVKE!$B$7,2),0)</f>
        <v>0</v>
      </c>
    </row>
    <row r="737" customFormat="false" ht="15" hidden="false" customHeight="false" outlineLevel="0" collapsed="false">
      <c r="A737" s="11" t="s">
        <v>1093</v>
      </c>
      <c r="B737" s="9" t="n">
        <v>0</v>
      </c>
      <c r="C737" s="9" t="n">
        <v>0</v>
      </c>
      <c r="D737" s="9" t="n">
        <v>0</v>
      </c>
      <c r="E737" s="9" t="n">
        <v>0</v>
      </c>
      <c r="F737" s="9" t="n">
        <v>0</v>
      </c>
      <c r="G737" s="9" t="n">
        <v>0</v>
      </c>
      <c r="H737" s="9" t="n">
        <v>0</v>
      </c>
      <c r="I737" s="9" t="n">
        <v>0</v>
      </c>
      <c r="J737" s="9" t="n">
        <v>0</v>
      </c>
      <c r="K737" s="9" t="n">
        <v>0</v>
      </c>
      <c r="L737" s="9" t="n">
        <v>0</v>
      </c>
      <c r="M737" s="9" t="n">
        <v>0</v>
      </c>
      <c r="N737" s="12" t="n">
        <f aca="true">IFERROR(ROUND(SUM(OFFSET(B737,0,0,1,POSTAVKE!$B$7))/POSTAVKE!$B$7,2),0)</f>
        <v>0</v>
      </c>
    </row>
    <row r="738" customFormat="false" ht="15" hidden="false" customHeight="false" outlineLevel="0" collapsed="false">
      <c r="A738" s="11" t="s">
        <v>1162</v>
      </c>
      <c r="B738" s="9" t="n">
        <v>0</v>
      </c>
      <c r="C738" s="9" t="n">
        <v>0</v>
      </c>
      <c r="D738" s="9" t="n">
        <v>0</v>
      </c>
      <c r="E738" s="9" t="n">
        <v>0</v>
      </c>
      <c r="F738" s="9" t="n">
        <v>0</v>
      </c>
      <c r="G738" s="9" t="n">
        <v>0</v>
      </c>
      <c r="H738" s="9" t="n">
        <v>0</v>
      </c>
      <c r="I738" s="9" t="n">
        <v>0</v>
      </c>
      <c r="J738" s="9" t="n">
        <v>0</v>
      </c>
      <c r="K738" s="9" t="n">
        <v>0</v>
      </c>
      <c r="L738" s="9" t="n">
        <v>0</v>
      </c>
      <c r="M738" s="9" t="n">
        <v>0</v>
      </c>
      <c r="N738" s="12" t="n">
        <f aca="true">IFERROR(ROUND(SUM(OFFSET(B738,0,0,1,POSTAVKE!$B$7))/POSTAVKE!$B$7,2),0)</f>
        <v>0</v>
      </c>
    </row>
    <row r="739" customFormat="false" ht="15" hidden="false" customHeight="false" outlineLevel="0" collapsed="false">
      <c r="A739" s="11" t="s">
        <v>1095</v>
      </c>
      <c r="B739" s="9" t="n">
        <v>0</v>
      </c>
      <c r="C739" s="9" t="n">
        <v>0</v>
      </c>
      <c r="D739" s="9" t="n">
        <v>0</v>
      </c>
      <c r="E739" s="9" t="n">
        <v>0</v>
      </c>
      <c r="F739" s="9" t="n">
        <v>0</v>
      </c>
      <c r="G739" s="9" t="n">
        <v>0</v>
      </c>
      <c r="H739" s="9" t="n">
        <v>0</v>
      </c>
      <c r="I739" s="9" t="n">
        <v>0</v>
      </c>
      <c r="J739" s="9" t="n">
        <v>0</v>
      </c>
      <c r="K739" s="9" t="n">
        <v>0</v>
      </c>
      <c r="L739" s="9" t="n">
        <v>0</v>
      </c>
      <c r="M739" s="9" t="n">
        <v>0</v>
      </c>
      <c r="N739" s="12" t="n">
        <f aca="true">IFERROR(ROUND(SUM(OFFSET(B739,0,0,1,POSTAVKE!$B$7))/POSTAVKE!$B$7,2),0)</f>
        <v>0</v>
      </c>
    </row>
    <row r="740" customFormat="false" ht="15" hidden="false" customHeight="false" outlineLevel="0" collapsed="false">
      <c r="A740" s="11" t="s">
        <v>993</v>
      </c>
      <c r="B740" s="9" t="n">
        <v>0</v>
      </c>
      <c r="C740" s="9" t="n">
        <v>0</v>
      </c>
      <c r="D740" s="9" t="n">
        <v>0</v>
      </c>
      <c r="E740" s="9" t="n">
        <v>0</v>
      </c>
      <c r="F740" s="9" t="n">
        <v>0</v>
      </c>
      <c r="G740" s="9" t="n">
        <v>0</v>
      </c>
      <c r="H740" s="9" t="n">
        <v>0</v>
      </c>
      <c r="I740" s="9" t="n">
        <v>0</v>
      </c>
      <c r="J740" s="9" t="n">
        <v>0</v>
      </c>
      <c r="K740" s="9" t="n">
        <v>0</v>
      </c>
      <c r="L740" s="9" t="n">
        <v>0</v>
      </c>
      <c r="M740" s="9" t="n">
        <v>0</v>
      </c>
      <c r="N740" s="12" t="n">
        <f aca="true">IFERROR(ROUND(SUM(OFFSET(B740,0,0,1,POSTAVKE!$B$7))/POSTAVKE!$B$7,2),0)</f>
        <v>0</v>
      </c>
    </row>
    <row r="741" customFormat="false" ht="15" hidden="false" customHeight="false" outlineLevel="0" collapsed="false">
      <c r="A741" s="11" t="s">
        <v>1097</v>
      </c>
      <c r="B741" s="9" t="n">
        <v>0</v>
      </c>
      <c r="C741" s="9" t="n">
        <v>0</v>
      </c>
      <c r="D741" s="9" t="n">
        <v>0</v>
      </c>
      <c r="E741" s="9" t="n">
        <v>0</v>
      </c>
      <c r="F741" s="9" t="n">
        <v>0</v>
      </c>
      <c r="G741" s="9" t="n">
        <v>0</v>
      </c>
      <c r="H741" s="9" t="n">
        <v>0</v>
      </c>
      <c r="I741" s="9" t="n">
        <v>0</v>
      </c>
      <c r="J741" s="9" t="n">
        <v>0</v>
      </c>
      <c r="K741" s="9" t="n">
        <v>0</v>
      </c>
      <c r="L741" s="9" t="n">
        <v>0</v>
      </c>
      <c r="M741" s="9" t="n">
        <v>0</v>
      </c>
      <c r="N741" s="12" t="n">
        <f aca="true">IFERROR(ROUND(SUM(OFFSET(B741,0,0,1,POSTAVKE!$B$7))/POSTAVKE!$B$7,2),0)</f>
        <v>0</v>
      </c>
    </row>
    <row r="742" customFormat="false" ht="15" hidden="false" customHeight="false" outlineLevel="0" collapsed="false">
      <c r="A742" s="11" t="s">
        <v>1099</v>
      </c>
      <c r="B742" s="9" t="n">
        <v>0</v>
      </c>
      <c r="C742" s="9" t="n">
        <v>0</v>
      </c>
      <c r="D742" s="9" t="n">
        <v>0</v>
      </c>
      <c r="E742" s="9" t="n">
        <v>0</v>
      </c>
      <c r="F742" s="9" t="n">
        <v>0</v>
      </c>
      <c r="G742" s="9" t="n">
        <v>0</v>
      </c>
      <c r="H742" s="9" t="n">
        <v>0</v>
      </c>
      <c r="I742" s="9" t="n">
        <v>0</v>
      </c>
      <c r="J742" s="9" t="n">
        <v>0</v>
      </c>
      <c r="K742" s="9" t="n">
        <v>0</v>
      </c>
      <c r="L742" s="9" t="n">
        <v>0</v>
      </c>
      <c r="M742" s="9" t="n">
        <v>0</v>
      </c>
      <c r="N742" s="12" t="n">
        <f aca="true">IFERROR(ROUND(SUM(OFFSET(B742,0,0,1,POSTAVKE!$B$7))/POSTAVKE!$B$7,2),0)</f>
        <v>0</v>
      </c>
    </row>
    <row r="743" customFormat="false" ht="15" hidden="false" customHeight="false" outlineLevel="0" collapsed="false">
      <c r="A743" s="11" t="s">
        <v>1149</v>
      </c>
      <c r="B743" s="9" t="n">
        <v>0</v>
      </c>
      <c r="C743" s="9" t="n">
        <v>0</v>
      </c>
      <c r="D743" s="9" t="n">
        <v>0</v>
      </c>
      <c r="E743" s="9" t="n">
        <v>0</v>
      </c>
      <c r="F743" s="9" t="n">
        <v>0</v>
      </c>
      <c r="G743" s="9" t="n">
        <v>0</v>
      </c>
      <c r="H743" s="9" t="n">
        <v>0</v>
      </c>
      <c r="I743" s="9" t="n">
        <v>0</v>
      </c>
      <c r="J743" s="9" t="n">
        <v>0</v>
      </c>
      <c r="K743" s="9" t="n">
        <v>0</v>
      </c>
      <c r="L743" s="9" t="n">
        <v>0</v>
      </c>
      <c r="M743" s="9" t="n">
        <v>0</v>
      </c>
      <c r="N743" s="12" t="n">
        <f aca="true">IFERROR(ROUND(SUM(OFFSET(B743,0,0,1,POSTAVKE!$B$7))/POSTAVKE!$B$7,2),0)</f>
        <v>0</v>
      </c>
    </row>
    <row r="744" customFormat="false" ht="15" hidden="false" customHeight="false" outlineLevel="0" collapsed="false">
      <c r="A744" s="11" t="s">
        <v>1164</v>
      </c>
      <c r="B744" s="9" t="n">
        <v>0</v>
      </c>
      <c r="C744" s="9" t="n">
        <v>0</v>
      </c>
      <c r="D744" s="9" t="n">
        <v>0</v>
      </c>
      <c r="E744" s="9" t="n">
        <v>0</v>
      </c>
      <c r="F744" s="9" t="n">
        <v>0</v>
      </c>
      <c r="G744" s="9" t="n">
        <v>0</v>
      </c>
      <c r="H744" s="9" t="n">
        <v>0</v>
      </c>
      <c r="I744" s="9" t="n">
        <v>0</v>
      </c>
      <c r="J744" s="9" t="n">
        <v>0</v>
      </c>
      <c r="K744" s="9" t="n">
        <v>0</v>
      </c>
      <c r="L744" s="9" t="n">
        <v>0</v>
      </c>
      <c r="M744" s="9" t="n">
        <v>0</v>
      </c>
      <c r="N744" s="12" t="n">
        <f aca="true">IFERROR(ROUND(SUM(OFFSET(B744,0,0,1,POSTAVKE!$B$7))/POSTAVKE!$B$7,2),0)</f>
        <v>0</v>
      </c>
    </row>
    <row r="745" customFormat="false" ht="15" hidden="false" customHeight="false" outlineLevel="0" collapsed="false">
      <c r="A745" s="11" t="s">
        <v>1101</v>
      </c>
      <c r="B745" s="9" t="n">
        <v>0</v>
      </c>
      <c r="C745" s="9" t="n">
        <v>0</v>
      </c>
      <c r="D745" s="9" t="n">
        <v>0</v>
      </c>
      <c r="E745" s="9" t="n">
        <v>0</v>
      </c>
      <c r="F745" s="9" t="n">
        <v>0</v>
      </c>
      <c r="G745" s="9" t="n">
        <v>0</v>
      </c>
      <c r="H745" s="9" t="n">
        <v>0</v>
      </c>
      <c r="I745" s="9" t="n">
        <v>0</v>
      </c>
      <c r="J745" s="9" t="n">
        <v>0</v>
      </c>
      <c r="K745" s="9" t="n">
        <v>0</v>
      </c>
      <c r="L745" s="9" t="n">
        <v>0</v>
      </c>
      <c r="M745" s="9" t="n">
        <v>0</v>
      </c>
      <c r="N745" s="12" t="n">
        <f aca="true">IFERROR(ROUND(SUM(OFFSET(B745,0,0,1,POSTAVKE!$B$7))/POSTAVKE!$B$7,2),0)</f>
        <v>0</v>
      </c>
    </row>
    <row r="746" customFormat="false" ht="15" hidden="false" customHeight="false" outlineLevel="0" collapsed="false">
      <c r="A746" s="11" t="s">
        <v>1103</v>
      </c>
      <c r="B746" s="9" t="n">
        <v>0</v>
      </c>
      <c r="C746" s="9" t="n">
        <v>0</v>
      </c>
      <c r="D746" s="9" t="n">
        <v>0</v>
      </c>
      <c r="E746" s="9" t="n">
        <v>0</v>
      </c>
      <c r="F746" s="9" t="n">
        <v>0</v>
      </c>
      <c r="G746" s="9" t="n">
        <v>0</v>
      </c>
      <c r="H746" s="9" t="n">
        <v>0</v>
      </c>
      <c r="I746" s="9" t="n">
        <v>0</v>
      </c>
      <c r="J746" s="9" t="n">
        <v>0</v>
      </c>
      <c r="K746" s="9" t="n">
        <v>0</v>
      </c>
      <c r="L746" s="9" t="n">
        <v>0</v>
      </c>
      <c r="M746" s="9" t="n">
        <v>0</v>
      </c>
      <c r="N746" s="12" t="n">
        <f aca="true">IFERROR(ROUND(SUM(OFFSET(B746,0,0,1,POSTAVKE!$B$7))/POSTAVKE!$B$7,2),0)</f>
        <v>0</v>
      </c>
    </row>
    <row r="747" customFormat="false" ht="15" hidden="false" customHeight="false" outlineLevel="0" collapsed="false">
      <c r="A747" s="11" t="s">
        <v>1166</v>
      </c>
      <c r="B747" s="9" t="n">
        <v>0</v>
      </c>
      <c r="C747" s="9" t="n">
        <v>0</v>
      </c>
      <c r="D747" s="9" t="n">
        <v>0</v>
      </c>
      <c r="E747" s="9" t="n">
        <v>0</v>
      </c>
      <c r="F747" s="9" t="n">
        <v>0</v>
      </c>
      <c r="G747" s="9" t="n">
        <v>0</v>
      </c>
      <c r="H747" s="9" t="n">
        <v>0</v>
      </c>
      <c r="I747" s="9" t="n">
        <v>0</v>
      </c>
      <c r="J747" s="9" t="n">
        <v>0</v>
      </c>
      <c r="K747" s="9" t="n">
        <v>0</v>
      </c>
      <c r="L747" s="9" t="n">
        <v>0</v>
      </c>
      <c r="M747" s="9" t="n">
        <v>0</v>
      </c>
      <c r="N747" s="12" t="n">
        <f aca="true">IFERROR(ROUND(SUM(OFFSET(B747,0,0,1,POSTAVKE!$B$7))/POSTAVKE!$B$7,2),0)</f>
        <v>0</v>
      </c>
    </row>
    <row r="748" customFormat="false" ht="15" hidden="false" customHeight="false" outlineLevel="0" collapsed="false">
      <c r="A748" s="11" t="s">
        <v>1168</v>
      </c>
      <c r="B748" s="9" t="n">
        <v>0</v>
      </c>
      <c r="C748" s="9" t="n">
        <v>0</v>
      </c>
      <c r="D748" s="9" t="n">
        <v>0</v>
      </c>
      <c r="E748" s="9" t="n">
        <v>0</v>
      </c>
      <c r="F748" s="9" t="n">
        <v>0</v>
      </c>
      <c r="G748" s="9" t="n">
        <v>0</v>
      </c>
      <c r="H748" s="9" t="n">
        <v>0</v>
      </c>
      <c r="I748" s="9" t="n">
        <v>0</v>
      </c>
      <c r="J748" s="9" t="n">
        <v>0</v>
      </c>
      <c r="K748" s="9" t="n">
        <v>0</v>
      </c>
      <c r="L748" s="9" t="n">
        <v>0</v>
      </c>
      <c r="M748" s="9" t="n">
        <v>0</v>
      </c>
      <c r="N748" s="12" t="n">
        <f aca="true">IFERROR(ROUND(SUM(OFFSET(B748,0,0,1,POSTAVKE!$B$7))/POSTAVKE!$B$7,2),0)</f>
        <v>0</v>
      </c>
    </row>
    <row r="749" customFormat="false" ht="15" hidden="false" customHeight="false" outlineLevel="0" collapsed="false">
      <c r="A749" s="11" t="s">
        <v>1105</v>
      </c>
      <c r="B749" s="9" t="n">
        <v>0</v>
      </c>
      <c r="C749" s="9" t="n">
        <v>0</v>
      </c>
      <c r="D749" s="9" t="n">
        <v>0</v>
      </c>
      <c r="E749" s="9" t="n">
        <v>0</v>
      </c>
      <c r="F749" s="9" t="n">
        <v>0</v>
      </c>
      <c r="G749" s="9" t="n">
        <v>0</v>
      </c>
      <c r="H749" s="9" t="n">
        <v>0</v>
      </c>
      <c r="I749" s="9" t="n">
        <v>0</v>
      </c>
      <c r="J749" s="9" t="n">
        <v>0</v>
      </c>
      <c r="K749" s="9" t="n">
        <v>0</v>
      </c>
      <c r="L749" s="9" t="n">
        <v>0</v>
      </c>
      <c r="M749" s="9" t="n">
        <v>0</v>
      </c>
      <c r="N749" s="12" t="n">
        <f aca="true">IFERROR(ROUND(SUM(OFFSET(B749,0,0,1,POSTAVKE!$B$7))/POSTAVKE!$B$7,2),0)</f>
        <v>0</v>
      </c>
    </row>
    <row r="750" customFormat="false" ht="15" hidden="false" customHeight="false" outlineLevel="0" collapsed="false">
      <c r="A750" s="11" t="s">
        <v>1324</v>
      </c>
      <c r="B750" s="9" t="n">
        <v>0</v>
      </c>
      <c r="C750" s="9" t="n">
        <v>0</v>
      </c>
      <c r="D750" s="9" t="n">
        <v>0</v>
      </c>
      <c r="E750" s="9" t="n">
        <v>0</v>
      </c>
      <c r="F750" s="9" t="n">
        <v>0</v>
      </c>
      <c r="G750" s="9" t="n">
        <v>0</v>
      </c>
      <c r="H750" s="9" t="n">
        <v>0</v>
      </c>
      <c r="I750" s="9" t="n">
        <v>0</v>
      </c>
      <c r="J750" s="9" t="n">
        <v>0</v>
      </c>
      <c r="K750" s="9" t="n">
        <v>0</v>
      </c>
      <c r="L750" s="9" t="n">
        <v>0</v>
      </c>
      <c r="M750" s="9" t="n">
        <v>0</v>
      </c>
      <c r="N750" s="12" t="n">
        <f aca="true">IFERROR(ROUND(SUM(OFFSET(B750,0,0,1,POSTAVKE!$B$7))/POSTAVKE!$B$7,2),0)</f>
        <v>0</v>
      </c>
    </row>
    <row r="751" customFormat="false" ht="15" hidden="false" customHeight="false" outlineLevel="0" collapsed="false">
      <c r="A751" s="11" t="s">
        <v>969</v>
      </c>
      <c r="B751" s="9" t="n">
        <v>0</v>
      </c>
      <c r="C751" s="9" t="n">
        <v>0</v>
      </c>
      <c r="D751" s="9" t="n">
        <v>0</v>
      </c>
      <c r="E751" s="9" t="n">
        <v>0</v>
      </c>
      <c r="F751" s="9" t="n">
        <v>0</v>
      </c>
      <c r="G751" s="9" t="n">
        <v>0</v>
      </c>
      <c r="H751" s="9" t="n">
        <v>0</v>
      </c>
      <c r="I751" s="9" t="n">
        <v>0</v>
      </c>
      <c r="J751" s="9" t="n">
        <v>0</v>
      </c>
      <c r="K751" s="9" t="n">
        <v>0</v>
      </c>
      <c r="L751" s="9" t="n">
        <v>0</v>
      </c>
      <c r="M751" s="9" t="n">
        <v>0</v>
      </c>
      <c r="N751" s="12" t="n">
        <f aca="true">IFERROR(ROUND(SUM(OFFSET(B751,0,0,1,POSTAVKE!$B$7))/POSTAVKE!$B$7,2),0)</f>
        <v>0</v>
      </c>
    </row>
    <row r="752" customFormat="false" ht="15" hidden="false" customHeight="false" outlineLevel="0" collapsed="false">
      <c r="A752" s="11" t="s">
        <v>1107</v>
      </c>
      <c r="B752" s="9" t="n">
        <v>0</v>
      </c>
      <c r="C752" s="9" t="n">
        <v>0</v>
      </c>
      <c r="D752" s="9" t="n">
        <v>0</v>
      </c>
      <c r="E752" s="9" t="n">
        <v>0</v>
      </c>
      <c r="F752" s="9" t="n">
        <v>0</v>
      </c>
      <c r="G752" s="9" t="n">
        <v>0</v>
      </c>
      <c r="H752" s="9" t="n">
        <v>0</v>
      </c>
      <c r="I752" s="9" t="n">
        <v>0</v>
      </c>
      <c r="J752" s="9" t="n">
        <v>0</v>
      </c>
      <c r="K752" s="9" t="n">
        <v>0</v>
      </c>
      <c r="L752" s="9" t="n">
        <v>0</v>
      </c>
      <c r="M752" s="9" t="n">
        <v>0</v>
      </c>
      <c r="N752" s="12" t="n">
        <f aca="true">IFERROR(ROUND(SUM(OFFSET(B752,0,0,1,POSTAVKE!$B$7))/POSTAVKE!$B$7,2),0)</f>
        <v>0</v>
      </c>
    </row>
    <row r="753" customFormat="false" ht="15" hidden="false" customHeight="false" outlineLevel="0" collapsed="false">
      <c r="A753" s="11" t="s">
        <v>1326</v>
      </c>
      <c r="B753" s="9" t="n">
        <v>0</v>
      </c>
      <c r="C753" s="9" t="n">
        <v>0</v>
      </c>
      <c r="D753" s="9" t="n">
        <v>0</v>
      </c>
      <c r="E753" s="9" t="n">
        <v>0</v>
      </c>
      <c r="F753" s="9" t="n">
        <v>0</v>
      </c>
      <c r="G753" s="9" t="n">
        <v>0</v>
      </c>
      <c r="H753" s="9" t="n">
        <v>0</v>
      </c>
      <c r="I753" s="9" t="n">
        <v>0</v>
      </c>
      <c r="J753" s="9" t="n">
        <v>0</v>
      </c>
      <c r="K753" s="9" t="n">
        <v>0</v>
      </c>
      <c r="L753" s="9" t="n">
        <v>0</v>
      </c>
      <c r="M753" s="9" t="n">
        <v>0</v>
      </c>
      <c r="N753" s="12" t="n">
        <f aca="true">IFERROR(ROUND(SUM(OFFSET(B753,0,0,1,POSTAVKE!$B$7))/POSTAVKE!$B$7,2),0)</f>
        <v>0</v>
      </c>
    </row>
    <row r="754" customFormat="false" ht="15" hidden="false" customHeight="false" outlineLevel="0" collapsed="false">
      <c r="A754" s="11" t="s">
        <v>995</v>
      </c>
      <c r="B754" s="9" t="n">
        <v>0</v>
      </c>
      <c r="C754" s="9" t="n">
        <v>0</v>
      </c>
      <c r="D754" s="9" t="n">
        <v>0</v>
      </c>
      <c r="E754" s="9" t="n">
        <v>0</v>
      </c>
      <c r="F754" s="9" t="n">
        <v>0</v>
      </c>
      <c r="G754" s="9" t="n">
        <v>0</v>
      </c>
      <c r="H754" s="9" t="n">
        <v>0</v>
      </c>
      <c r="I754" s="9" t="n">
        <v>0</v>
      </c>
      <c r="J754" s="9" t="n">
        <v>0</v>
      </c>
      <c r="K754" s="9" t="n">
        <v>0</v>
      </c>
      <c r="L754" s="9" t="n">
        <v>0</v>
      </c>
      <c r="M754" s="9" t="n">
        <v>0</v>
      </c>
      <c r="N754" s="12" t="n">
        <f aca="true">IFERROR(ROUND(SUM(OFFSET(B754,0,0,1,POSTAVKE!$B$7))/POSTAVKE!$B$7,2),0)</f>
        <v>0</v>
      </c>
    </row>
    <row r="755" customFormat="false" ht="15" hidden="false" customHeight="false" outlineLevel="0" collapsed="false">
      <c r="A755" s="11" t="s">
        <v>1013</v>
      </c>
      <c r="B755" s="9" t="n">
        <v>0</v>
      </c>
      <c r="C755" s="9" t="n">
        <v>0</v>
      </c>
      <c r="D755" s="9" t="n">
        <v>0</v>
      </c>
      <c r="E755" s="9" t="n">
        <v>0</v>
      </c>
      <c r="F755" s="9" t="n">
        <v>0</v>
      </c>
      <c r="G755" s="9" t="n">
        <v>0</v>
      </c>
      <c r="H755" s="9" t="n">
        <v>0</v>
      </c>
      <c r="I755" s="9" t="n">
        <v>0</v>
      </c>
      <c r="J755" s="9" t="n">
        <v>0</v>
      </c>
      <c r="K755" s="9" t="n">
        <v>0</v>
      </c>
      <c r="L755" s="9" t="n">
        <v>0</v>
      </c>
      <c r="M755" s="9" t="n">
        <v>0</v>
      </c>
      <c r="N755" s="12" t="n">
        <f aca="true">IFERROR(ROUND(SUM(OFFSET(B755,0,0,1,POSTAVKE!$B$7))/POSTAVKE!$B$7,2),0)</f>
        <v>0</v>
      </c>
    </row>
    <row r="756" customFormat="false" ht="15" hidden="false" customHeight="false" outlineLevel="0" collapsed="false">
      <c r="A756" s="11" t="s">
        <v>1015</v>
      </c>
      <c r="B756" s="9" t="n">
        <v>0</v>
      </c>
      <c r="C756" s="9" t="n">
        <v>0</v>
      </c>
      <c r="D756" s="9" t="n">
        <v>0</v>
      </c>
      <c r="E756" s="9" t="n">
        <v>0</v>
      </c>
      <c r="F756" s="9" t="n">
        <v>0</v>
      </c>
      <c r="G756" s="9" t="n">
        <v>0</v>
      </c>
      <c r="H756" s="9" t="n">
        <v>0</v>
      </c>
      <c r="I756" s="9" t="n">
        <v>0</v>
      </c>
      <c r="J756" s="9" t="n">
        <v>0</v>
      </c>
      <c r="K756" s="9" t="n">
        <v>0</v>
      </c>
      <c r="L756" s="9" t="n">
        <v>0</v>
      </c>
      <c r="M756" s="9" t="n">
        <v>0</v>
      </c>
      <c r="N756" s="12" t="n">
        <f aca="true">IFERROR(ROUND(SUM(OFFSET(B756,0,0,1,POSTAVKE!$B$7))/POSTAVKE!$B$7,2),0)</f>
        <v>0</v>
      </c>
    </row>
    <row r="757" customFormat="false" ht="15" hidden="false" customHeight="false" outlineLevel="0" collapsed="false">
      <c r="A757" s="11" t="s">
        <v>1039</v>
      </c>
      <c r="B757" s="9" t="n">
        <v>0</v>
      </c>
      <c r="C757" s="9" t="n">
        <v>0</v>
      </c>
      <c r="D757" s="9" t="n">
        <v>0</v>
      </c>
      <c r="E757" s="9" t="n">
        <v>0</v>
      </c>
      <c r="F757" s="9" t="n">
        <v>0</v>
      </c>
      <c r="G757" s="9" t="n">
        <v>0</v>
      </c>
      <c r="H757" s="9" t="n">
        <v>0</v>
      </c>
      <c r="I757" s="9" t="n">
        <v>0</v>
      </c>
      <c r="J757" s="9" t="n">
        <v>0</v>
      </c>
      <c r="K757" s="9" t="n">
        <v>0</v>
      </c>
      <c r="L757" s="9" t="n">
        <v>0</v>
      </c>
      <c r="M757" s="9" t="n">
        <v>0</v>
      </c>
      <c r="N757" s="12" t="n">
        <f aca="true">IFERROR(ROUND(SUM(OFFSET(B757,0,0,1,POSTAVKE!$B$7))/POSTAVKE!$B$7,2),0)</f>
        <v>0</v>
      </c>
    </row>
    <row r="758" customFormat="false" ht="15" hidden="false" customHeight="false" outlineLevel="0" collapsed="false">
      <c r="A758" s="11" t="s">
        <v>1041</v>
      </c>
      <c r="B758" s="9" t="n">
        <v>0</v>
      </c>
      <c r="C758" s="9" t="n">
        <v>0</v>
      </c>
      <c r="D758" s="9" t="n">
        <v>0</v>
      </c>
      <c r="E758" s="9" t="n">
        <v>0</v>
      </c>
      <c r="F758" s="9" t="n">
        <v>0</v>
      </c>
      <c r="G758" s="9" t="n">
        <v>0</v>
      </c>
      <c r="H758" s="9" t="n">
        <v>0</v>
      </c>
      <c r="I758" s="9" t="n">
        <v>0</v>
      </c>
      <c r="J758" s="9" t="n">
        <v>0</v>
      </c>
      <c r="K758" s="9" t="n">
        <v>0</v>
      </c>
      <c r="L758" s="9" t="n">
        <v>0</v>
      </c>
      <c r="M758" s="9" t="n">
        <v>0</v>
      </c>
      <c r="N758" s="12" t="n">
        <f aca="true">IFERROR(ROUND(SUM(OFFSET(B758,0,0,1,POSTAVKE!$B$7))/POSTAVKE!$B$7,2),0)</f>
        <v>0</v>
      </c>
    </row>
    <row r="759" customFormat="false" ht="15" hidden="false" customHeight="false" outlineLevel="0" collapsed="false">
      <c r="A759" s="11" t="s">
        <v>1043</v>
      </c>
      <c r="B759" s="9" t="n">
        <v>0</v>
      </c>
      <c r="C759" s="9" t="n">
        <v>0</v>
      </c>
      <c r="D759" s="9" t="n">
        <v>0</v>
      </c>
      <c r="E759" s="9" t="n">
        <v>0</v>
      </c>
      <c r="F759" s="9" t="n">
        <v>0</v>
      </c>
      <c r="G759" s="9" t="n">
        <v>0</v>
      </c>
      <c r="H759" s="9" t="n">
        <v>0</v>
      </c>
      <c r="I759" s="9" t="n">
        <v>0</v>
      </c>
      <c r="J759" s="9" t="n">
        <v>0</v>
      </c>
      <c r="K759" s="9" t="n">
        <v>0</v>
      </c>
      <c r="L759" s="9" t="n">
        <v>0</v>
      </c>
      <c r="M759" s="9" t="n">
        <v>0</v>
      </c>
      <c r="N759" s="12" t="n">
        <f aca="true">IFERROR(ROUND(SUM(OFFSET(B759,0,0,1,POSTAVKE!$B$7))/POSTAVKE!$B$7,2),0)</f>
        <v>0</v>
      </c>
    </row>
    <row r="760" customFormat="false" ht="15" hidden="false" customHeight="false" outlineLevel="0" collapsed="false">
      <c r="A760" s="11" t="s">
        <v>1897</v>
      </c>
      <c r="B760" s="9" t="n">
        <v>0</v>
      </c>
      <c r="C760" s="9" t="n">
        <v>0</v>
      </c>
      <c r="D760" s="9" t="n">
        <v>0</v>
      </c>
      <c r="E760" s="9" t="n">
        <v>0</v>
      </c>
      <c r="F760" s="9" t="n">
        <v>0</v>
      </c>
      <c r="G760" s="9" t="n">
        <v>0</v>
      </c>
      <c r="H760" s="9" t="n">
        <v>0</v>
      </c>
      <c r="I760" s="9" t="n">
        <v>1</v>
      </c>
      <c r="J760" s="9" t="n">
        <v>0</v>
      </c>
      <c r="K760" s="9" t="n">
        <v>0</v>
      </c>
      <c r="L760" s="9" t="n">
        <v>0</v>
      </c>
      <c r="M760" s="9" t="n">
        <v>0</v>
      </c>
      <c r="N760" s="12" t="n">
        <f aca="true">IFERROR(ROUND(SUM(OFFSET(B760,0,0,1,POSTAVKE!$B$7))/POSTAVKE!$B$7,2),0)</f>
        <v>0.13</v>
      </c>
    </row>
    <row r="761" customFormat="false" ht="15" hidden="false" customHeight="false" outlineLevel="0" collapsed="false">
      <c r="A761" s="11" t="s">
        <v>1899</v>
      </c>
      <c r="B761" s="9" t="n">
        <v>0</v>
      </c>
      <c r="C761" s="9" t="n">
        <v>0</v>
      </c>
      <c r="D761" s="9" t="n">
        <v>0</v>
      </c>
      <c r="E761" s="9" t="n">
        <v>0</v>
      </c>
      <c r="F761" s="9" t="n">
        <v>0</v>
      </c>
      <c r="G761" s="9" t="n">
        <v>0</v>
      </c>
      <c r="H761" s="9" t="n">
        <v>0</v>
      </c>
      <c r="I761" s="9" t="n">
        <v>1</v>
      </c>
      <c r="J761" s="9" t="n">
        <v>0</v>
      </c>
      <c r="K761" s="9" t="n">
        <v>0</v>
      </c>
      <c r="L761" s="9" t="n">
        <v>0</v>
      </c>
      <c r="M761" s="9" t="n">
        <v>0</v>
      </c>
      <c r="N761" s="12" t="n">
        <f aca="true">IFERROR(ROUND(SUM(OFFSET(B761,0,0,1,POSTAVKE!$B$7))/POSTAVKE!$B$7,2),0)</f>
        <v>0.13</v>
      </c>
    </row>
    <row r="762" customFormat="false" ht="15" hidden="false" customHeight="false" outlineLevel="0" collapsed="false">
      <c r="A762" s="11" t="s">
        <v>997</v>
      </c>
      <c r="B762" s="9" t="n">
        <v>0</v>
      </c>
      <c r="C762" s="9" t="n">
        <v>0</v>
      </c>
      <c r="D762" s="9" t="n">
        <v>0</v>
      </c>
      <c r="E762" s="9" t="n">
        <v>0</v>
      </c>
      <c r="F762" s="9" t="n">
        <v>0</v>
      </c>
      <c r="G762" s="9" t="n">
        <v>0</v>
      </c>
      <c r="H762" s="9" t="n">
        <v>0</v>
      </c>
      <c r="I762" s="9" t="n">
        <v>0</v>
      </c>
      <c r="J762" s="9" t="n">
        <v>0</v>
      </c>
      <c r="K762" s="9" t="n">
        <v>0</v>
      </c>
      <c r="L762" s="9" t="n">
        <v>0</v>
      </c>
      <c r="M762" s="9" t="n">
        <v>0</v>
      </c>
      <c r="N762" s="12" t="n">
        <f aca="true">IFERROR(ROUND(SUM(OFFSET(B762,0,0,1,POSTAVKE!$B$7))/POSTAVKE!$B$7,2),0)</f>
        <v>0</v>
      </c>
    </row>
    <row r="763" customFormat="false" ht="15" hidden="false" customHeight="false" outlineLevel="0" collapsed="false">
      <c r="A763" s="11" t="s">
        <v>1170</v>
      </c>
      <c r="B763" s="9" t="n">
        <v>0</v>
      </c>
      <c r="C763" s="9" t="n">
        <v>0</v>
      </c>
      <c r="D763" s="9" t="n">
        <v>0</v>
      </c>
      <c r="E763" s="9" t="n">
        <v>0</v>
      </c>
      <c r="F763" s="9" t="n">
        <v>0</v>
      </c>
      <c r="G763" s="9" t="n">
        <v>0</v>
      </c>
      <c r="H763" s="9" t="n">
        <v>0</v>
      </c>
      <c r="I763" s="9" t="n">
        <v>0</v>
      </c>
      <c r="J763" s="9" t="n">
        <v>0</v>
      </c>
      <c r="K763" s="9" t="n">
        <v>0</v>
      </c>
      <c r="L763" s="9" t="n">
        <v>0</v>
      </c>
      <c r="M763" s="9" t="n">
        <v>0</v>
      </c>
      <c r="N763" s="12" t="n">
        <f aca="true">IFERROR(ROUND(SUM(OFFSET(B763,0,0,1,POSTAVKE!$B$7))/POSTAVKE!$B$7,2),0)</f>
        <v>0</v>
      </c>
    </row>
    <row r="764" customFormat="false" ht="15" hidden="false" customHeight="false" outlineLevel="0" collapsed="false">
      <c r="A764" s="11" t="s">
        <v>1172</v>
      </c>
      <c r="B764" s="9" t="n">
        <v>0</v>
      </c>
      <c r="C764" s="9" t="n">
        <v>0</v>
      </c>
      <c r="D764" s="9" t="n">
        <v>0</v>
      </c>
      <c r="E764" s="9" t="n">
        <v>0</v>
      </c>
      <c r="F764" s="9" t="n">
        <v>0</v>
      </c>
      <c r="G764" s="9" t="n">
        <v>0</v>
      </c>
      <c r="H764" s="9" t="n">
        <v>0</v>
      </c>
      <c r="I764" s="9" t="n">
        <v>0</v>
      </c>
      <c r="J764" s="9" t="n">
        <v>0</v>
      </c>
      <c r="K764" s="9" t="n">
        <v>0</v>
      </c>
      <c r="L764" s="9" t="n">
        <v>0</v>
      </c>
      <c r="M764" s="9" t="n">
        <v>0</v>
      </c>
      <c r="N764" s="12" t="n">
        <f aca="true">IFERROR(ROUND(SUM(OFFSET(B764,0,0,1,POSTAVKE!$B$7))/POSTAVKE!$B$7,2),0)</f>
        <v>0</v>
      </c>
    </row>
    <row r="765" customFormat="false" ht="15" hidden="false" customHeight="false" outlineLevel="0" collapsed="false">
      <c r="A765" s="11" t="s">
        <v>1109</v>
      </c>
      <c r="B765" s="9" t="n">
        <v>0</v>
      </c>
      <c r="C765" s="9" t="n">
        <v>0</v>
      </c>
      <c r="D765" s="9" t="n">
        <v>0</v>
      </c>
      <c r="E765" s="9" t="n">
        <v>0</v>
      </c>
      <c r="F765" s="9" t="n">
        <v>0</v>
      </c>
      <c r="G765" s="9" t="n">
        <v>0</v>
      </c>
      <c r="H765" s="9" t="n">
        <v>0</v>
      </c>
      <c r="I765" s="9" t="n">
        <v>0</v>
      </c>
      <c r="J765" s="9" t="n">
        <v>0</v>
      </c>
      <c r="K765" s="9" t="n">
        <v>0</v>
      </c>
      <c r="L765" s="9" t="n">
        <v>0</v>
      </c>
      <c r="M765" s="9" t="n">
        <v>0</v>
      </c>
      <c r="N765" s="12" t="n">
        <f aca="true">IFERROR(ROUND(SUM(OFFSET(B765,0,0,1,POSTAVKE!$B$7))/POSTAVKE!$B$7,2),0)</f>
        <v>0</v>
      </c>
    </row>
    <row r="766" customFormat="false" ht="15" hidden="false" customHeight="false" outlineLevel="0" collapsed="false">
      <c r="A766" s="11" t="s">
        <v>1111</v>
      </c>
      <c r="B766" s="9" t="n">
        <v>0</v>
      </c>
      <c r="C766" s="9" t="n">
        <v>0</v>
      </c>
      <c r="D766" s="9" t="n">
        <v>0</v>
      </c>
      <c r="E766" s="9" t="n">
        <v>0</v>
      </c>
      <c r="F766" s="9" t="n">
        <v>0</v>
      </c>
      <c r="G766" s="9" t="n">
        <v>0</v>
      </c>
      <c r="H766" s="9" t="n">
        <v>0</v>
      </c>
      <c r="I766" s="9" t="n">
        <v>0</v>
      </c>
      <c r="J766" s="9" t="n">
        <v>0</v>
      </c>
      <c r="K766" s="9" t="n">
        <v>0</v>
      </c>
      <c r="L766" s="9" t="n">
        <v>0</v>
      </c>
      <c r="M766" s="9" t="n">
        <v>0</v>
      </c>
      <c r="N766" s="12" t="n">
        <f aca="true">IFERROR(ROUND(SUM(OFFSET(B766,0,0,1,POSTAVKE!$B$7))/POSTAVKE!$B$7,2),0)</f>
        <v>0</v>
      </c>
    </row>
    <row r="767" customFormat="false" ht="15" hidden="false" customHeight="false" outlineLevel="0" collapsed="false">
      <c r="A767" s="11" t="s">
        <v>1174</v>
      </c>
      <c r="B767" s="9" t="n">
        <v>0</v>
      </c>
      <c r="C767" s="9" t="n">
        <v>0</v>
      </c>
      <c r="D767" s="9" t="n">
        <v>0</v>
      </c>
      <c r="E767" s="9" t="n">
        <v>0</v>
      </c>
      <c r="F767" s="9" t="n">
        <v>0</v>
      </c>
      <c r="G767" s="9" t="n">
        <v>0</v>
      </c>
      <c r="H767" s="9" t="n">
        <v>0</v>
      </c>
      <c r="I767" s="9" t="n">
        <v>0</v>
      </c>
      <c r="J767" s="9" t="n">
        <v>0</v>
      </c>
      <c r="K767" s="9" t="n">
        <v>0</v>
      </c>
      <c r="L767" s="9" t="n">
        <v>0</v>
      </c>
      <c r="M767" s="9" t="n">
        <v>0</v>
      </c>
      <c r="N767" s="12" t="n">
        <f aca="true">IFERROR(ROUND(SUM(OFFSET(B767,0,0,1,POSTAVKE!$B$7))/POSTAVKE!$B$7,2),0)</f>
        <v>0</v>
      </c>
    </row>
    <row r="768" customFormat="false" ht="15" hidden="false" customHeight="false" outlineLevel="0" collapsed="false">
      <c r="A768" s="11" t="s">
        <v>1176</v>
      </c>
      <c r="B768" s="9" t="n">
        <v>0</v>
      </c>
      <c r="C768" s="9" t="n">
        <v>0</v>
      </c>
      <c r="D768" s="9" t="n">
        <v>0</v>
      </c>
      <c r="E768" s="9" t="n">
        <v>0</v>
      </c>
      <c r="F768" s="9" t="n">
        <v>0</v>
      </c>
      <c r="G768" s="9" t="n">
        <v>0</v>
      </c>
      <c r="H768" s="9" t="n">
        <v>0</v>
      </c>
      <c r="I768" s="9" t="n">
        <v>0</v>
      </c>
      <c r="J768" s="9" t="n">
        <v>0</v>
      </c>
      <c r="K768" s="9" t="n">
        <v>0</v>
      </c>
      <c r="L768" s="9" t="n">
        <v>0</v>
      </c>
      <c r="M768" s="9" t="n">
        <v>0</v>
      </c>
      <c r="N768" s="12" t="n">
        <f aca="true">IFERROR(ROUND(SUM(OFFSET(B768,0,0,1,POSTAVKE!$B$7))/POSTAVKE!$B$7,2),0)</f>
        <v>0</v>
      </c>
    </row>
    <row r="769" customFormat="false" ht="15" hidden="false" customHeight="false" outlineLevel="0" collapsed="false">
      <c r="A769" s="11" t="s">
        <v>1178</v>
      </c>
      <c r="B769" s="9" t="n">
        <v>0</v>
      </c>
      <c r="C769" s="9" t="n">
        <v>0</v>
      </c>
      <c r="D769" s="9" t="n">
        <v>0</v>
      </c>
      <c r="E769" s="9" t="n">
        <v>0</v>
      </c>
      <c r="F769" s="9" t="n">
        <v>0</v>
      </c>
      <c r="G769" s="9" t="n">
        <v>0</v>
      </c>
      <c r="H769" s="9" t="n">
        <v>0</v>
      </c>
      <c r="I769" s="9" t="n">
        <v>0</v>
      </c>
      <c r="J769" s="9" t="n">
        <v>0</v>
      </c>
      <c r="K769" s="9" t="n">
        <v>0</v>
      </c>
      <c r="L769" s="9" t="n">
        <v>0</v>
      </c>
      <c r="M769" s="9" t="n">
        <v>0</v>
      </c>
      <c r="N769" s="12" t="n">
        <f aca="true">IFERROR(ROUND(SUM(OFFSET(B769,0,0,1,POSTAVKE!$B$7))/POSTAVKE!$B$7,2),0)</f>
        <v>0</v>
      </c>
    </row>
    <row r="770" customFormat="false" ht="15" hidden="false" customHeight="false" outlineLevel="0" collapsed="false">
      <c r="A770" s="11" t="s">
        <v>1328</v>
      </c>
      <c r="B770" s="9" t="n">
        <v>0</v>
      </c>
      <c r="C770" s="9" t="n">
        <v>0</v>
      </c>
      <c r="D770" s="9" t="n">
        <v>0</v>
      </c>
      <c r="E770" s="9" t="n">
        <v>0</v>
      </c>
      <c r="F770" s="9" t="n">
        <v>0</v>
      </c>
      <c r="G770" s="9" t="n">
        <v>0</v>
      </c>
      <c r="H770" s="9" t="n">
        <v>0</v>
      </c>
      <c r="I770" s="9" t="n">
        <v>0</v>
      </c>
      <c r="J770" s="9" t="n">
        <v>0</v>
      </c>
      <c r="K770" s="9" t="n">
        <v>0</v>
      </c>
      <c r="L770" s="9" t="n">
        <v>0</v>
      </c>
      <c r="M770" s="9" t="n">
        <v>0</v>
      </c>
      <c r="N770" s="12" t="n">
        <f aca="true">IFERROR(ROUND(SUM(OFFSET(B770,0,0,1,POSTAVKE!$B$7))/POSTAVKE!$B$7,2),0)</f>
        <v>0</v>
      </c>
    </row>
    <row r="771" customFormat="false" ht="15" hidden="false" customHeight="false" outlineLevel="0" collapsed="false">
      <c r="A771" s="11" t="s">
        <v>1330</v>
      </c>
      <c r="B771" s="9" t="n">
        <v>0</v>
      </c>
      <c r="C771" s="9" t="n">
        <v>0</v>
      </c>
      <c r="D771" s="9" t="n">
        <v>0</v>
      </c>
      <c r="E771" s="9" t="n">
        <v>0</v>
      </c>
      <c r="F771" s="9" t="n">
        <v>0</v>
      </c>
      <c r="G771" s="9" t="n">
        <v>0</v>
      </c>
      <c r="H771" s="9" t="n">
        <v>0</v>
      </c>
      <c r="I771" s="9" t="n">
        <v>0</v>
      </c>
      <c r="J771" s="9" t="n">
        <v>0</v>
      </c>
      <c r="K771" s="9" t="n">
        <v>0</v>
      </c>
      <c r="L771" s="9" t="n">
        <v>0</v>
      </c>
      <c r="M771" s="9" t="n">
        <v>0</v>
      </c>
      <c r="N771" s="12" t="n">
        <f aca="true">IFERROR(ROUND(SUM(OFFSET(B771,0,0,1,POSTAVKE!$B$7))/POSTAVKE!$B$7,2),0)</f>
        <v>0</v>
      </c>
    </row>
    <row r="772" customFormat="false" ht="15" hidden="false" customHeight="false" outlineLevel="0" collapsed="false">
      <c r="A772" s="11" t="s">
        <v>1332</v>
      </c>
      <c r="B772" s="9" t="n">
        <v>0</v>
      </c>
      <c r="C772" s="9" t="n">
        <v>0</v>
      </c>
      <c r="D772" s="9" t="n">
        <v>0</v>
      </c>
      <c r="E772" s="9" t="n">
        <v>0</v>
      </c>
      <c r="F772" s="9" t="n">
        <v>0</v>
      </c>
      <c r="G772" s="9" t="n">
        <v>0</v>
      </c>
      <c r="H772" s="9" t="n">
        <v>0</v>
      </c>
      <c r="I772" s="9" t="n">
        <v>0</v>
      </c>
      <c r="J772" s="9" t="n">
        <v>0</v>
      </c>
      <c r="K772" s="9" t="n">
        <v>0</v>
      </c>
      <c r="L772" s="9" t="n">
        <v>0</v>
      </c>
      <c r="M772" s="9" t="n">
        <v>0</v>
      </c>
      <c r="N772" s="12" t="n">
        <f aca="true">IFERROR(ROUND(SUM(OFFSET(B772,0,0,1,POSTAVKE!$B$7))/POSTAVKE!$B$7,2),0)</f>
        <v>0</v>
      </c>
    </row>
    <row r="773" customFormat="false" ht="15" hidden="false" customHeight="false" outlineLevel="0" collapsed="false">
      <c r="A773" s="11" t="s">
        <v>1334</v>
      </c>
      <c r="B773" s="9" t="n">
        <v>0</v>
      </c>
      <c r="C773" s="9" t="n">
        <v>0</v>
      </c>
      <c r="D773" s="9" t="n">
        <v>0</v>
      </c>
      <c r="E773" s="9" t="n">
        <v>0</v>
      </c>
      <c r="F773" s="9" t="n">
        <v>0</v>
      </c>
      <c r="G773" s="9" t="n">
        <v>0</v>
      </c>
      <c r="H773" s="9" t="n">
        <v>0</v>
      </c>
      <c r="I773" s="9" t="n">
        <v>0</v>
      </c>
      <c r="J773" s="9" t="n">
        <v>0</v>
      </c>
      <c r="K773" s="9" t="n">
        <v>0</v>
      </c>
      <c r="L773" s="9" t="n">
        <v>0</v>
      </c>
      <c r="M773" s="9" t="n">
        <v>0</v>
      </c>
      <c r="N773" s="12" t="n">
        <f aca="true">IFERROR(ROUND(SUM(OFFSET(B773,0,0,1,POSTAVKE!$B$7))/POSTAVKE!$B$7,2),0)</f>
        <v>0</v>
      </c>
    </row>
    <row r="774" customFormat="false" ht="15" hidden="false" customHeight="false" outlineLevel="0" collapsed="false">
      <c r="A774" s="11" t="s">
        <v>1113</v>
      </c>
      <c r="B774" s="9" t="n">
        <v>0</v>
      </c>
      <c r="C774" s="9" t="n">
        <v>0</v>
      </c>
      <c r="D774" s="9" t="n">
        <v>0</v>
      </c>
      <c r="E774" s="9" t="n">
        <v>0</v>
      </c>
      <c r="F774" s="9" t="n">
        <v>0</v>
      </c>
      <c r="G774" s="9" t="n">
        <v>0</v>
      </c>
      <c r="H774" s="9" t="n">
        <v>0</v>
      </c>
      <c r="I774" s="9" t="n">
        <v>0</v>
      </c>
      <c r="J774" s="9" t="n">
        <v>0</v>
      </c>
      <c r="K774" s="9" t="n">
        <v>0</v>
      </c>
      <c r="L774" s="9" t="n">
        <v>0</v>
      </c>
      <c r="M774" s="9" t="n">
        <v>0</v>
      </c>
      <c r="N774" s="12" t="n">
        <f aca="true">IFERROR(ROUND(SUM(OFFSET(B774,0,0,1,POSTAVKE!$B$7))/POSTAVKE!$B$7,2),0)</f>
        <v>0</v>
      </c>
    </row>
    <row r="775" customFormat="false" ht="15" hidden="false" customHeight="false" outlineLevel="0" collapsed="false">
      <c r="A775" s="11" t="s">
        <v>721</v>
      </c>
      <c r="B775" s="9" t="n">
        <v>0</v>
      </c>
      <c r="C775" s="9" t="n">
        <v>0</v>
      </c>
      <c r="D775" s="9" t="n">
        <v>0</v>
      </c>
      <c r="E775" s="9" t="n">
        <v>0</v>
      </c>
      <c r="F775" s="9" t="n">
        <v>0</v>
      </c>
      <c r="G775" s="9" t="n">
        <v>0</v>
      </c>
      <c r="H775" s="9" t="n">
        <v>0</v>
      </c>
      <c r="I775" s="9" t="n">
        <v>0</v>
      </c>
      <c r="J775" s="9" t="n">
        <v>0</v>
      </c>
      <c r="K775" s="9" t="n">
        <v>0</v>
      </c>
      <c r="L775" s="9" t="n">
        <v>0</v>
      </c>
      <c r="M775" s="9" t="n">
        <v>0</v>
      </c>
      <c r="N775" s="12" t="n">
        <f aca="true">IFERROR(ROUND(SUM(OFFSET(B775,0,0,1,POSTAVKE!$B$7))/POSTAVKE!$B$7,2),0)</f>
        <v>0</v>
      </c>
    </row>
    <row r="776" customFormat="false" ht="15" hidden="false" customHeight="false" outlineLevel="0" collapsed="false">
      <c r="A776" s="11" t="s">
        <v>1180</v>
      </c>
      <c r="B776" s="9" t="n">
        <v>0</v>
      </c>
      <c r="C776" s="9" t="n">
        <v>0</v>
      </c>
      <c r="D776" s="9" t="n">
        <v>0</v>
      </c>
      <c r="E776" s="9" t="n">
        <v>0</v>
      </c>
      <c r="F776" s="9" t="n">
        <v>0</v>
      </c>
      <c r="G776" s="9" t="n">
        <v>0</v>
      </c>
      <c r="H776" s="9" t="n">
        <v>0</v>
      </c>
      <c r="I776" s="9" t="n">
        <v>0</v>
      </c>
      <c r="J776" s="9" t="n">
        <v>0</v>
      </c>
      <c r="K776" s="9" t="n">
        <v>0</v>
      </c>
      <c r="L776" s="9" t="n">
        <v>0</v>
      </c>
      <c r="M776" s="9" t="n">
        <v>0</v>
      </c>
      <c r="N776" s="12" t="n">
        <f aca="true">IFERROR(ROUND(SUM(OFFSET(B776,0,0,1,POSTAVKE!$B$7))/POSTAVKE!$B$7,2),0)</f>
        <v>0</v>
      </c>
    </row>
    <row r="777" customFormat="false" ht="15" hidden="false" customHeight="false" outlineLevel="0" collapsed="false">
      <c r="A777" s="11" t="s">
        <v>1182</v>
      </c>
      <c r="B777" s="9" t="n">
        <v>0</v>
      </c>
      <c r="C777" s="9" t="n">
        <v>0</v>
      </c>
      <c r="D777" s="9" t="n">
        <v>0</v>
      </c>
      <c r="E777" s="9" t="n">
        <v>0</v>
      </c>
      <c r="F777" s="9" t="n">
        <v>0</v>
      </c>
      <c r="G777" s="9" t="n">
        <v>0</v>
      </c>
      <c r="H777" s="9" t="n">
        <v>0</v>
      </c>
      <c r="I777" s="9" t="n">
        <v>0</v>
      </c>
      <c r="J777" s="9" t="n">
        <v>0</v>
      </c>
      <c r="K777" s="9" t="n">
        <v>0</v>
      </c>
      <c r="L777" s="9" t="n">
        <v>0</v>
      </c>
      <c r="M777" s="9" t="n">
        <v>0</v>
      </c>
      <c r="N777" s="12" t="n">
        <f aca="true">IFERROR(ROUND(SUM(OFFSET(B777,0,0,1,POSTAVKE!$B$7))/POSTAVKE!$B$7,2),0)</f>
        <v>0</v>
      </c>
    </row>
    <row r="778" customFormat="false" ht="15" hidden="false" customHeight="false" outlineLevel="0" collapsed="false">
      <c r="A778" s="11" t="s">
        <v>1336</v>
      </c>
      <c r="B778" s="9" t="n">
        <v>0</v>
      </c>
      <c r="C778" s="9" t="n">
        <v>0</v>
      </c>
      <c r="D778" s="9" t="n">
        <v>0</v>
      </c>
      <c r="E778" s="9" t="n">
        <v>0</v>
      </c>
      <c r="F778" s="9" t="n">
        <v>0</v>
      </c>
      <c r="G778" s="9" t="n">
        <v>0</v>
      </c>
      <c r="H778" s="9" t="n">
        <v>0</v>
      </c>
      <c r="I778" s="9" t="n">
        <v>0</v>
      </c>
      <c r="J778" s="9" t="n">
        <v>0</v>
      </c>
      <c r="K778" s="9" t="n">
        <v>0</v>
      </c>
      <c r="L778" s="9" t="n">
        <v>0</v>
      </c>
      <c r="M778" s="9" t="n">
        <v>0</v>
      </c>
      <c r="N778" s="12" t="n">
        <f aca="true">IFERROR(ROUND(SUM(OFFSET(B778,0,0,1,POSTAVKE!$B$7))/POSTAVKE!$B$7,2),0)</f>
        <v>0</v>
      </c>
    </row>
    <row r="779" customFormat="false" ht="15" hidden="false" customHeight="false" outlineLevel="0" collapsed="false">
      <c r="A779" s="11" t="s">
        <v>1115</v>
      </c>
      <c r="B779" s="9" t="n">
        <v>0</v>
      </c>
      <c r="C779" s="9" t="n">
        <v>0</v>
      </c>
      <c r="D779" s="9" t="n">
        <v>0</v>
      </c>
      <c r="E779" s="9" t="n">
        <v>0</v>
      </c>
      <c r="F779" s="9" t="n">
        <v>0</v>
      </c>
      <c r="G779" s="9" t="n">
        <v>0</v>
      </c>
      <c r="H779" s="9" t="n">
        <v>0</v>
      </c>
      <c r="I779" s="9" t="n">
        <v>0</v>
      </c>
      <c r="J779" s="9" t="n">
        <v>0</v>
      </c>
      <c r="K779" s="9" t="n">
        <v>0</v>
      </c>
      <c r="L779" s="9" t="n">
        <v>0</v>
      </c>
      <c r="M779" s="9" t="n">
        <v>0</v>
      </c>
      <c r="N779" s="12" t="n">
        <f aca="true">IFERROR(ROUND(SUM(OFFSET(B779,0,0,1,POSTAVKE!$B$7))/POSTAVKE!$B$7,2),0)</f>
        <v>0</v>
      </c>
    </row>
    <row r="780" customFormat="false" ht="15" hidden="false" customHeight="false" outlineLevel="0" collapsed="false">
      <c r="A780" s="11" t="s">
        <v>1338</v>
      </c>
      <c r="B780" s="9" t="n">
        <v>0</v>
      </c>
      <c r="C780" s="9" t="n">
        <v>0</v>
      </c>
      <c r="D780" s="9" t="n">
        <v>0</v>
      </c>
      <c r="E780" s="9" t="n">
        <v>0</v>
      </c>
      <c r="F780" s="9" t="n">
        <v>0</v>
      </c>
      <c r="G780" s="9" t="n">
        <v>0</v>
      </c>
      <c r="H780" s="9" t="n">
        <v>0</v>
      </c>
      <c r="I780" s="9" t="n">
        <v>0</v>
      </c>
      <c r="J780" s="9" t="n">
        <v>0</v>
      </c>
      <c r="K780" s="9" t="n">
        <v>0</v>
      </c>
      <c r="L780" s="9" t="n">
        <v>0</v>
      </c>
      <c r="M780" s="9" t="n">
        <v>0</v>
      </c>
      <c r="N780" s="12" t="n">
        <f aca="true">IFERROR(ROUND(SUM(OFFSET(B780,0,0,1,POSTAVKE!$B$7))/POSTAVKE!$B$7,2),0)</f>
        <v>0</v>
      </c>
    </row>
    <row r="781" customFormat="false" ht="15" hidden="false" customHeight="false" outlineLevel="0" collapsed="false">
      <c r="A781" s="11" t="s">
        <v>1184</v>
      </c>
      <c r="B781" s="9" t="n">
        <v>0</v>
      </c>
      <c r="C781" s="9" t="n">
        <v>0</v>
      </c>
      <c r="D781" s="9" t="n">
        <v>0</v>
      </c>
      <c r="E781" s="9" t="n">
        <v>0</v>
      </c>
      <c r="F781" s="9" t="n">
        <v>0</v>
      </c>
      <c r="G781" s="9" t="n">
        <v>0</v>
      </c>
      <c r="H781" s="9" t="n">
        <v>0</v>
      </c>
      <c r="I781" s="9" t="n">
        <v>0</v>
      </c>
      <c r="J781" s="9" t="n">
        <v>0</v>
      </c>
      <c r="K781" s="9" t="n">
        <v>0</v>
      </c>
      <c r="L781" s="9" t="n">
        <v>0</v>
      </c>
      <c r="M781" s="9" t="n">
        <v>0</v>
      </c>
      <c r="N781" s="12" t="n">
        <f aca="true">IFERROR(ROUND(SUM(OFFSET(B781,0,0,1,POSTAVKE!$B$7))/POSTAVKE!$B$7,2),0)</f>
        <v>0</v>
      </c>
    </row>
    <row r="782" customFormat="false" ht="15" hidden="false" customHeight="false" outlineLevel="0" collapsed="false">
      <c r="A782" s="11" t="s">
        <v>1186</v>
      </c>
      <c r="B782" s="9" t="n">
        <v>0</v>
      </c>
      <c r="C782" s="9" t="n">
        <v>0</v>
      </c>
      <c r="D782" s="9" t="n">
        <v>0</v>
      </c>
      <c r="E782" s="9" t="n">
        <v>0</v>
      </c>
      <c r="F782" s="9" t="n">
        <v>0</v>
      </c>
      <c r="G782" s="9" t="n">
        <v>0</v>
      </c>
      <c r="H782" s="9" t="n">
        <v>0</v>
      </c>
      <c r="I782" s="9" t="n">
        <v>0</v>
      </c>
      <c r="J782" s="9" t="n">
        <v>0</v>
      </c>
      <c r="K782" s="9" t="n">
        <v>0</v>
      </c>
      <c r="L782" s="9" t="n">
        <v>0</v>
      </c>
      <c r="M782" s="9" t="n">
        <v>0</v>
      </c>
      <c r="N782" s="12" t="n">
        <f aca="true">IFERROR(ROUND(SUM(OFFSET(B782,0,0,1,POSTAVKE!$B$7))/POSTAVKE!$B$7,2),0)</f>
        <v>0</v>
      </c>
    </row>
    <row r="783" customFormat="false" ht="15" hidden="false" customHeight="false" outlineLevel="0" collapsed="false">
      <c r="A783" s="11" t="s">
        <v>1188</v>
      </c>
      <c r="B783" s="9" t="n">
        <v>0</v>
      </c>
      <c r="C783" s="9" t="n">
        <v>0</v>
      </c>
      <c r="D783" s="9" t="n">
        <v>0</v>
      </c>
      <c r="E783" s="9" t="n">
        <v>0</v>
      </c>
      <c r="F783" s="9" t="n">
        <v>0</v>
      </c>
      <c r="G783" s="9" t="n">
        <v>0</v>
      </c>
      <c r="H783" s="9" t="n">
        <v>0</v>
      </c>
      <c r="I783" s="9" t="n">
        <v>0</v>
      </c>
      <c r="J783" s="9" t="n">
        <v>0</v>
      </c>
      <c r="K783" s="9" t="n">
        <v>0</v>
      </c>
      <c r="L783" s="9" t="n">
        <v>0</v>
      </c>
      <c r="M783" s="9" t="n">
        <v>0</v>
      </c>
      <c r="N783" s="12" t="n">
        <f aca="true">IFERROR(ROUND(SUM(OFFSET(B783,0,0,1,POSTAVKE!$B$7))/POSTAVKE!$B$7,2),0)</f>
        <v>0</v>
      </c>
    </row>
    <row r="784" customFormat="false" ht="15" hidden="false" customHeight="false" outlineLevel="0" collapsed="false">
      <c r="A784" s="11" t="s">
        <v>1340</v>
      </c>
      <c r="B784" s="9" t="n">
        <v>0</v>
      </c>
      <c r="C784" s="9" t="n">
        <v>0</v>
      </c>
      <c r="D784" s="9" t="n">
        <v>0</v>
      </c>
      <c r="E784" s="9" t="n">
        <v>0</v>
      </c>
      <c r="F784" s="9" t="n">
        <v>0</v>
      </c>
      <c r="G784" s="9" t="n">
        <v>0</v>
      </c>
      <c r="H784" s="9" t="n">
        <v>0</v>
      </c>
      <c r="I784" s="9" t="n">
        <v>0</v>
      </c>
      <c r="J784" s="9" t="n">
        <v>0</v>
      </c>
      <c r="K784" s="9" t="n">
        <v>0</v>
      </c>
      <c r="L784" s="9" t="n">
        <v>0</v>
      </c>
      <c r="M784" s="9" t="n">
        <v>0</v>
      </c>
      <c r="N784" s="12" t="n">
        <f aca="true">IFERROR(ROUND(SUM(OFFSET(B784,0,0,1,POSTAVKE!$B$7))/POSTAVKE!$B$7,2),0)</f>
        <v>0</v>
      </c>
    </row>
    <row r="785" customFormat="false" ht="15" hidden="false" customHeight="false" outlineLevel="0" collapsed="false">
      <c r="A785" s="11" t="s">
        <v>1342</v>
      </c>
      <c r="B785" s="9" t="n">
        <v>0</v>
      </c>
      <c r="C785" s="9" t="n">
        <v>0</v>
      </c>
      <c r="D785" s="9" t="n">
        <v>0</v>
      </c>
      <c r="E785" s="9" t="n">
        <v>0</v>
      </c>
      <c r="F785" s="9" t="n">
        <v>0</v>
      </c>
      <c r="G785" s="9" t="n">
        <v>0</v>
      </c>
      <c r="H785" s="9" t="n">
        <v>0</v>
      </c>
      <c r="I785" s="9" t="n">
        <v>0</v>
      </c>
      <c r="J785" s="9" t="n">
        <v>0</v>
      </c>
      <c r="K785" s="9" t="n">
        <v>0</v>
      </c>
      <c r="L785" s="9" t="n">
        <v>0</v>
      </c>
      <c r="M785" s="9" t="n">
        <v>0</v>
      </c>
      <c r="N785" s="12" t="n">
        <f aca="true">IFERROR(ROUND(SUM(OFFSET(B785,0,0,1,POSTAVKE!$B$7))/POSTAVKE!$B$7,2),0)</f>
        <v>0</v>
      </c>
    </row>
    <row r="786" customFormat="false" ht="15" hidden="false" customHeight="false" outlineLevel="0" collapsed="false">
      <c r="A786" s="11" t="s">
        <v>1344</v>
      </c>
      <c r="B786" s="9" t="n">
        <v>0</v>
      </c>
      <c r="C786" s="9" t="n">
        <v>0</v>
      </c>
      <c r="D786" s="9" t="n">
        <v>0</v>
      </c>
      <c r="E786" s="9" t="n">
        <v>0</v>
      </c>
      <c r="F786" s="9" t="n">
        <v>0</v>
      </c>
      <c r="G786" s="9" t="n">
        <v>0</v>
      </c>
      <c r="H786" s="9" t="n">
        <v>0</v>
      </c>
      <c r="I786" s="9" t="n">
        <v>0</v>
      </c>
      <c r="J786" s="9" t="n">
        <v>0</v>
      </c>
      <c r="K786" s="9" t="n">
        <v>0</v>
      </c>
      <c r="L786" s="9" t="n">
        <v>0</v>
      </c>
      <c r="M786" s="9" t="n">
        <v>0</v>
      </c>
      <c r="N786" s="12" t="n">
        <f aca="true">IFERROR(ROUND(SUM(OFFSET(B786,0,0,1,POSTAVKE!$B$7))/POSTAVKE!$B$7,2),0)</f>
        <v>0</v>
      </c>
    </row>
    <row r="787" customFormat="false" ht="15" hidden="false" customHeight="false" outlineLevel="0" collapsed="false">
      <c r="A787" s="11" t="s">
        <v>1117</v>
      </c>
      <c r="B787" s="9" t="n">
        <v>0</v>
      </c>
      <c r="C787" s="9" t="n">
        <v>0</v>
      </c>
      <c r="D787" s="9" t="n">
        <v>0</v>
      </c>
      <c r="E787" s="9" t="n">
        <v>0</v>
      </c>
      <c r="F787" s="9" t="n">
        <v>0</v>
      </c>
      <c r="G787" s="9" t="n">
        <v>0</v>
      </c>
      <c r="H787" s="9" t="n">
        <v>0</v>
      </c>
      <c r="I787" s="9" t="n">
        <v>0</v>
      </c>
      <c r="J787" s="9" t="n">
        <v>0</v>
      </c>
      <c r="K787" s="9" t="n">
        <v>0</v>
      </c>
      <c r="L787" s="9" t="n">
        <v>0</v>
      </c>
      <c r="M787" s="9" t="n">
        <v>0</v>
      </c>
      <c r="N787" s="12" t="n">
        <f aca="true">IFERROR(ROUND(SUM(OFFSET(B787,0,0,1,POSTAVKE!$B$7))/POSTAVKE!$B$7,2),0)</f>
        <v>0</v>
      </c>
    </row>
    <row r="788" customFormat="false" ht="15" hidden="false" customHeight="false" outlineLevel="0" collapsed="false">
      <c r="A788" s="11" t="s">
        <v>1346</v>
      </c>
      <c r="B788" s="9" t="n">
        <v>0</v>
      </c>
      <c r="C788" s="9" t="n">
        <v>0</v>
      </c>
      <c r="D788" s="9" t="n">
        <v>0</v>
      </c>
      <c r="E788" s="9" t="n">
        <v>0</v>
      </c>
      <c r="F788" s="9" t="n">
        <v>0</v>
      </c>
      <c r="G788" s="9" t="n">
        <v>0</v>
      </c>
      <c r="H788" s="9" t="n">
        <v>0</v>
      </c>
      <c r="I788" s="9" t="n">
        <v>0</v>
      </c>
      <c r="J788" s="9" t="n">
        <v>0</v>
      </c>
      <c r="K788" s="9" t="n">
        <v>0</v>
      </c>
      <c r="L788" s="9" t="n">
        <v>0</v>
      </c>
      <c r="M788" s="9" t="n">
        <v>0</v>
      </c>
      <c r="N788" s="12" t="n">
        <f aca="true">IFERROR(ROUND(SUM(OFFSET(B788,0,0,1,POSTAVKE!$B$7))/POSTAVKE!$B$7,2),0)</f>
        <v>0</v>
      </c>
    </row>
    <row r="789" customFormat="false" ht="15" hidden="false" customHeight="false" outlineLevel="0" collapsed="false">
      <c r="A789" s="11" t="s">
        <v>1348</v>
      </c>
      <c r="B789" s="9" t="n">
        <v>0</v>
      </c>
      <c r="C789" s="9" t="n">
        <v>0</v>
      </c>
      <c r="D789" s="9" t="n">
        <v>0</v>
      </c>
      <c r="E789" s="9" t="n">
        <v>0</v>
      </c>
      <c r="F789" s="9" t="n">
        <v>0</v>
      </c>
      <c r="G789" s="9" t="n">
        <v>0</v>
      </c>
      <c r="H789" s="9" t="n">
        <v>0</v>
      </c>
      <c r="I789" s="9" t="n">
        <v>0</v>
      </c>
      <c r="J789" s="9" t="n">
        <v>0</v>
      </c>
      <c r="K789" s="9" t="n">
        <v>0</v>
      </c>
      <c r="L789" s="9" t="n">
        <v>0</v>
      </c>
      <c r="M789" s="9" t="n">
        <v>0</v>
      </c>
      <c r="N789" s="12" t="n">
        <f aca="true">IFERROR(ROUND(SUM(OFFSET(B789,0,0,1,POSTAVKE!$B$7))/POSTAVKE!$B$7,2),0)</f>
        <v>0</v>
      </c>
    </row>
    <row r="790" customFormat="false" ht="15" hidden="false" customHeight="false" outlineLevel="0" collapsed="false">
      <c r="A790" s="11" t="s">
        <v>1350</v>
      </c>
      <c r="B790" s="9" t="n">
        <v>0</v>
      </c>
      <c r="C790" s="9" t="n">
        <v>0</v>
      </c>
      <c r="D790" s="9" t="n">
        <v>0</v>
      </c>
      <c r="E790" s="9" t="n">
        <v>0</v>
      </c>
      <c r="F790" s="9" t="n">
        <v>0</v>
      </c>
      <c r="G790" s="9" t="n">
        <v>0</v>
      </c>
      <c r="H790" s="9" t="n">
        <v>0</v>
      </c>
      <c r="I790" s="9" t="n">
        <v>0</v>
      </c>
      <c r="J790" s="9" t="n">
        <v>0</v>
      </c>
      <c r="K790" s="9" t="n">
        <v>0</v>
      </c>
      <c r="L790" s="9" t="n">
        <v>0</v>
      </c>
      <c r="M790" s="9" t="n">
        <v>0</v>
      </c>
      <c r="N790" s="12" t="n">
        <f aca="true">IFERROR(ROUND(SUM(OFFSET(B790,0,0,1,POSTAVKE!$B$7))/POSTAVKE!$B$7,2),0)</f>
        <v>0</v>
      </c>
    </row>
    <row r="791" customFormat="false" ht="15" hidden="false" customHeight="false" outlineLevel="0" collapsed="false">
      <c r="A791" s="11" t="s">
        <v>1352</v>
      </c>
      <c r="B791" s="9" t="n">
        <v>0</v>
      </c>
      <c r="C791" s="9" t="n">
        <v>0</v>
      </c>
      <c r="D791" s="9" t="n">
        <v>0</v>
      </c>
      <c r="E791" s="9" t="n">
        <v>0</v>
      </c>
      <c r="F791" s="9" t="n">
        <v>0</v>
      </c>
      <c r="G791" s="9" t="n">
        <v>0</v>
      </c>
      <c r="H791" s="9" t="n">
        <v>0</v>
      </c>
      <c r="I791" s="9" t="n">
        <v>0</v>
      </c>
      <c r="J791" s="9" t="n">
        <v>0</v>
      </c>
      <c r="K791" s="9" t="n">
        <v>0</v>
      </c>
      <c r="L791" s="9" t="n">
        <v>0</v>
      </c>
      <c r="M791" s="9" t="n">
        <v>0</v>
      </c>
      <c r="N791" s="12" t="n">
        <f aca="true">IFERROR(ROUND(SUM(OFFSET(B791,0,0,1,POSTAVKE!$B$7))/POSTAVKE!$B$7,2),0)</f>
        <v>0</v>
      </c>
    </row>
    <row r="792" customFormat="false" ht="15" hidden="false" customHeight="false" outlineLevel="0" collapsed="false">
      <c r="A792" s="11" t="s">
        <v>1354</v>
      </c>
      <c r="B792" s="9" t="n">
        <v>0</v>
      </c>
      <c r="C792" s="9" t="n">
        <v>0</v>
      </c>
      <c r="D792" s="9" t="n">
        <v>0</v>
      </c>
      <c r="E792" s="9" t="n">
        <v>0</v>
      </c>
      <c r="F792" s="9" t="n">
        <v>0</v>
      </c>
      <c r="G792" s="9" t="n">
        <v>0</v>
      </c>
      <c r="H792" s="9" t="n">
        <v>0</v>
      </c>
      <c r="I792" s="9" t="n">
        <v>0</v>
      </c>
      <c r="J792" s="9" t="n">
        <v>0</v>
      </c>
      <c r="K792" s="9" t="n">
        <v>0</v>
      </c>
      <c r="L792" s="9" t="n">
        <v>0</v>
      </c>
      <c r="M792" s="9" t="n">
        <v>0</v>
      </c>
      <c r="N792" s="12" t="n">
        <f aca="true">IFERROR(ROUND(SUM(OFFSET(B792,0,0,1,POSTAVKE!$B$7))/POSTAVKE!$B$7,2),0)</f>
        <v>0</v>
      </c>
    </row>
    <row r="793" customFormat="false" ht="15" hidden="false" customHeight="false" outlineLevel="0" collapsed="false">
      <c r="A793" s="11" t="s">
        <v>1356</v>
      </c>
      <c r="B793" s="9" t="n">
        <v>0</v>
      </c>
      <c r="C793" s="9" t="n">
        <v>0</v>
      </c>
      <c r="D793" s="9" t="n">
        <v>0</v>
      </c>
      <c r="E793" s="9" t="n">
        <v>0</v>
      </c>
      <c r="F793" s="9" t="n">
        <v>0</v>
      </c>
      <c r="G793" s="9" t="n">
        <v>0</v>
      </c>
      <c r="H793" s="9" t="n">
        <v>0</v>
      </c>
      <c r="I793" s="9" t="n">
        <v>0</v>
      </c>
      <c r="J793" s="9" t="n">
        <v>0</v>
      </c>
      <c r="K793" s="9" t="n">
        <v>0</v>
      </c>
      <c r="L793" s="9" t="n">
        <v>0</v>
      </c>
      <c r="M793" s="9" t="n">
        <v>0</v>
      </c>
      <c r="N793" s="12" t="n">
        <f aca="true">IFERROR(ROUND(SUM(OFFSET(B793,0,0,1,POSTAVKE!$B$7))/POSTAVKE!$B$7,2),0)</f>
        <v>0</v>
      </c>
    </row>
    <row r="794" customFormat="false" ht="15" hidden="false" customHeight="false" outlineLevel="0" collapsed="false">
      <c r="A794" s="11" t="s">
        <v>1190</v>
      </c>
      <c r="B794" s="9" t="n">
        <v>0</v>
      </c>
      <c r="C794" s="9" t="n">
        <v>0</v>
      </c>
      <c r="D794" s="9" t="n">
        <v>0</v>
      </c>
      <c r="E794" s="9" t="n">
        <v>0</v>
      </c>
      <c r="F794" s="9" t="n">
        <v>0</v>
      </c>
      <c r="G794" s="9" t="n">
        <v>0</v>
      </c>
      <c r="H794" s="9" t="n">
        <v>0</v>
      </c>
      <c r="I794" s="9" t="n">
        <v>0</v>
      </c>
      <c r="J794" s="9" t="n">
        <v>0</v>
      </c>
      <c r="K794" s="9" t="n">
        <v>0</v>
      </c>
      <c r="L794" s="9" t="n">
        <v>0</v>
      </c>
      <c r="M794" s="9" t="n">
        <v>0</v>
      </c>
      <c r="N794" s="12" t="n">
        <f aca="true">IFERROR(ROUND(SUM(OFFSET(B794,0,0,1,POSTAVKE!$B$7))/POSTAVKE!$B$7,2),0)</f>
        <v>0</v>
      </c>
    </row>
    <row r="795" customFormat="false" ht="15" hidden="false" customHeight="false" outlineLevel="0" collapsed="false">
      <c r="A795" s="11" t="s">
        <v>1192</v>
      </c>
      <c r="B795" s="9" t="n">
        <v>0</v>
      </c>
      <c r="C795" s="9" t="n">
        <v>0</v>
      </c>
      <c r="D795" s="9" t="n">
        <v>0</v>
      </c>
      <c r="E795" s="9" t="n">
        <v>0</v>
      </c>
      <c r="F795" s="9" t="n">
        <v>0</v>
      </c>
      <c r="G795" s="9" t="n">
        <v>0</v>
      </c>
      <c r="H795" s="9" t="n">
        <v>0</v>
      </c>
      <c r="I795" s="9" t="n">
        <v>0</v>
      </c>
      <c r="J795" s="9" t="n">
        <v>0</v>
      </c>
      <c r="K795" s="9" t="n">
        <v>0</v>
      </c>
      <c r="L795" s="9" t="n">
        <v>0</v>
      </c>
      <c r="M795" s="9" t="n">
        <v>0</v>
      </c>
      <c r="N795" s="12" t="n">
        <f aca="true">IFERROR(ROUND(SUM(OFFSET(B795,0,0,1,POSTAVKE!$B$7))/POSTAVKE!$B$7,2),0)</f>
        <v>0</v>
      </c>
    </row>
    <row r="796" customFormat="false" ht="15" hidden="false" customHeight="false" outlineLevel="0" collapsed="false">
      <c r="A796" s="11" t="s">
        <v>1194</v>
      </c>
      <c r="B796" s="9" t="n">
        <v>0</v>
      </c>
      <c r="C796" s="9" t="n">
        <v>0</v>
      </c>
      <c r="D796" s="9" t="n">
        <v>0</v>
      </c>
      <c r="E796" s="9" t="n">
        <v>0</v>
      </c>
      <c r="F796" s="9" t="n">
        <v>0</v>
      </c>
      <c r="G796" s="9" t="n">
        <v>0</v>
      </c>
      <c r="H796" s="9" t="n">
        <v>0</v>
      </c>
      <c r="I796" s="9" t="n">
        <v>0</v>
      </c>
      <c r="J796" s="9" t="n">
        <v>0</v>
      </c>
      <c r="K796" s="9" t="n">
        <v>0</v>
      </c>
      <c r="L796" s="9" t="n">
        <v>0</v>
      </c>
      <c r="M796" s="9" t="n">
        <v>0</v>
      </c>
      <c r="N796" s="12" t="n">
        <f aca="true">IFERROR(ROUND(SUM(OFFSET(B796,0,0,1,POSTAVKE!$B$7))/POSTAVKE!$B$7,2),0)</f>
        <v>0</v>
      </c>
    </row>
    <row r="797" customFormat="false" ht="15" hidden="false" customHeight="false" outlineLevel="0" collapsed="false">
      <c r="A797" s="11" t="s">
        <v>1151</v>
      </c>
      <c r="B797" s="9" t="n">
        <v>0</v>
      </c>
      <c r="C797" s="9" t="n">
        <v>0</v>
      </c>
      <c r="D797" s="9" t="n">
        <v>0</v>
      </c>
      <c r="E797" s="9" t="n">
        <v>0</v>
      </c>
      <c r="F797" s="9" t="n">
        <v>0</v>
      </c>
      <c r="G797" s="9" t="n">
        <v>0</v>
      </c>
      <c r="H797" s="9" t="n">
        <v>0</v>
      </c>
      <c r="I797" s="9" t="n">
        <v>0</v>
      </c>
      <c r="J797" s="9" t="n">
        <v>0</v>
      </c>
      <c r="K797" s="9" t="n">
        <v>0</v>
      </c>
      <c r="L797" s="9" t="n">
        <v>0</v>
      </c>
      <c r="M797" s="9" t="n">
        <v>0</v>
      </c>
      <c r="N797" s="12" t="n">
        <f aca="true">IFERROR(ROUND(SUM(OFFSET(B797,0,0,1,POSTAVKE!$B$7))/POSTAVKE!$B$7,2),0)</f>
        <v>0</v>
      </c>
    </row>
    <row r="798" customFormat="false" ht="15" hidden="false" customHeight="false" outlineLevel="0" collapsed="false">
      <c r="A798" s="11" t="s">
        <v>971</v>
      </c>
      <c r="B798" s="9" t="n">
        <v>0</v>
      </c>
      <c r="C798" s="9" t="n">
        <v>0</v>
      </c>
      <c r="D798" s="9" t="n">
        <v>0</v>
      </c>
      <c r="E798" s="9" t="n">
        <v>0</v>
      </c>
      <c r="F798" s="9" t="n">
        <v>0</v>
      </c>
      <c r="G798" s="9" t="n">
        <v>0</v>
      </c>
      <c r="H798" s="9" t="n">
        <v>0</v>
      </c>
      <c r="I798" s="9" t="n">
        <v>0</v>
      </c>
      <c r="J798" s="9" t="n">
        <v>0</v>
      </c>
      <c r="K798" s="9" t="n">
        <v>0</v>
      </c>
      <c r="L798" s="9" t="n">
        <v>0</v>
      </c>
      <c r="M798" s="9" t="n">
        <v>0</v>
      </c>
      <c r="N798" s="12" t="n">
        <f aca="true">IFERROR(ROUND(SUM(OFFSET(B798,0,0,1,POSTAVKE!$B$7))/POSTAVKE!$B$7,2),0)</f>
        <v>0</v>
      </c>
    </row>
    <row r="799" customFormat="false" ht="15" hidden="false" customHeight="false" outlineLevel="0" collapsed="false">
      <c r="A799" s="11" t="s">
        <v>1358</v>
      </c>
      <c r="B799" s="9" t="n">
        <v>0</v>
      </c>
      <c r="C799" s="9" t="n">
        <v>0</v>
      </c>
      <c r="D799" s="9" t="n">
        <v>0</v>
      </c>
      <c r="E799" s="9" t="n">
        <v>0</v>
      </c>
      <c r="F799" s="9" t="n">
        <v>0</v>
      </c>
      <c r="G799" s="9" t="n">
        <v>0</v>
      </c>
      <c r="H799" s="9" t="n">
        <v>0</v>
      </c>
      <c r="I799" s="9" t="n">
        <v>0</v>
      </c>
      <c r="J799" s="9" t="n">
        <v>0</v>
      </c>
      <c r="K799" s="9" t="n">
        <v>0</v>
      </c>
      <c r="L799" s="9" t="n">
        <v>0</v>
      </c>
      <c r="M799" s="9" t="n">
        <v>0</v>
      </c>
      <c r="N799" s="12" t="n">
        <f aca="true">IFERROR(ROUND(SUM(OFFSET(B799,0,0,1,POSTAVKE!$B$7))/POSTAVKE!$B$7,2),0)</f>
        <v>0</v>
      </c>
    </row>
    <row r="800" customFormat="false" ht="15" hidden="false" customHeight="false" outlineLevel="0" collapsed="false">
      <c r="A800" s="11" t="s">
        <v>973</v>
      </c>
      <c r="B800" s="9" t="n">
        <v>0</v>
      </c>
      <c r="C800" s="9" t="n">
        <v>0</v>
      </c>
      <c r="D800" s="9" t="n">
        <v>0</v>
      </c>
      <c r="E800" s="9" t="n">
        <v>0</v>
      </c>
      <c r="F800" s="9" t="n">
        <v>0</v>
      </c>
      <c r="G800" s="9" t="n">
        <v>0</v>
      </c>
      <c r="H800" s="9" t="n">
        <v>0</v>
      </c>
      <c r="I800" s="9" t="n">
        <v>0</v>
      </c>
      <c r="J800" s="9" t="n">
        <v>0</v>
      </c>
      <c r="K800" s="9" t="n">
        <v>0</v>
      </c>
      <c r="L800" s="9" t="n">
        <v>0</v>
      </c>
      <c r="M800" s="9" t="n">
        <v>0</v>
      </c>
      <c r="N800" s="12" t="n">
        <f aca="true">IFERROR(ROUND(SUM(OFFSET(B800,0,0,1,POSTAVKE!$B$7))/POSTAVKE!$B$7,2),0)</f>
        <v>0</v>
      </c>
    </row>
    <row r="801" customFormat="false" ht="15" hidden="false" customHeight="false" outlineLevel="0" collapsed="false">
      <c r="A801" s="11" t="s">
        <v>1119</v>
      </c>
      <c r="B801" s="9" t="n">
        <v>0</v>
      </c>
      <c r="C801" s="9" t="n">
        <v>0</v>
      </c>
      <c r="D801" s="9" t="n">
        <v>0</v>
      </c>
      <c r="E801" s="9" t="n">
        <v>0</v>
      </c>
      <c r="F801" s="9" t="n">
        <v>0</v>
      </c>
      <c r="G801" s="9" t="n">
        <v>0</v>
      </c>
      <c r="H801" s="9" t="n">
        <v>0</v>
      </c>
      <c r="I801" s="9" t="n">
        <v>0</v>
      </c>
      <c r="J801" s="9" t="n">
        <v>0</v>
      </c>
      <c r="K801" s="9" t="n">
        <v>0</v>
      </c>
      <c r="L801" s="9" t="n">
        <v>0</v>
      </c>
      <c r="M801" s="9" t="n">
        <v>0</v>
      </c>
      <c r="N801" s="12" t="n">
        <f aca="true">IFERROR(ROUND(SUM(OFFSET(B801,0,0,1,POSTAVKE!$B$7))/POSTAVKE!$B$7,2),0)</f>
        <v>0</v>
      </c>
    </row>
    <row r="802" customFormat="false" ht="15" hidden="false" customHeight="false" outlineLevel="0" collapsed="false">
      <c r="A802" s="11" t="s">
        <v>1901</v>
      </c>
      <c r="B802" s="9" t="n">
        <v>0</v>
      </c>
      <c r="C802" s="9" t="n">
        <v>0</v>
      </c>
      <c r="D802" s="9" t="n">
        <v>0</v>
      </c>
      <c r="E802" s="9" t="n">
        <v>1</v>
      </c>
      <c r="F802" s="9" t="n">
        <v>0</v>
      </c>
      <c r="G802" s="9" t="n">
        <v>0</v>
      </c>
      <c r="H802" s="9" t="n">
        <v>0</v>
      </c>
      <c r="I802" s="9" t="n">
        <v>0</v>
      </c>
      <c r="J802" s="9" t="n">
        <v>0</v>
      </c>
      <c r="K802" s="9" t="n">
        <v>0</v>
      </c>
      <c r="L802" s="9" t="n">
        <v>0</v>
      </c>
      <c r="M802" s="9" t="n">
        <v>0</v>
      </c>
      <c r="N802" s="12" t="n">
        <f aca="true">IFERROR(ROUND(SUM(OFFSET(B802,0,0,1,POSTAVKE!$B$7))/POSTAVKE!$B$7,2),0)</f>
        <v>0.13</v>
      </c>
    </row>
    <row r="803" customFormat="false" ht="15" hidden="false" customHeight="false" outlineLevel="0" collapsed="false">
      <c r="A803" s="11" t="s">
        <v>1121</v>
      </c>
      <c r="B803" s="9" t="n">
        <v>0</v>
      </c>
      <c r="C803" s="9" t="n">
        <v>0</v>
      </c>
      <c r="D803" s="9" t="n">
        <v>0</v>
      </c>
      <c r="E803" s="9" t="n">
        <v>0</v>
      </c>
      <c r="F803" s="9" t="n">
        <v>0</v>
      </c>
      <c r="G803" s="9" t="n">
        <v>0</v>
      </c>
      <c r="H803" s="9" t="n">
        <v>0</v>
      </c>
      <c r="I803" s="9" t="n">
        <v>0</v>
      </c>
      <c r="J803" s="9" t="n">
        <v>0</v>
      </c>
      <c r="K803" s="9" t="n">
        <v>0</v>
      </c>
      <c r="L803" s="9" t="n">
        <v>0</v>
      </c>
      <c r="M803" s="9" t="n">
        <v>0</v>
      </c>
      <c r="N803" s="12" t="n">
        <f aca="true">IFERROR(ROUND(SUM(OFFSET(B803,0,0,1,POSTAVKE!$B$7))/POSTAVKE!$B$7,2),0)</f>
        <v>0</v>
      </c>
    </row>
    <row r="804" customFormat="false" ht="15" hidden="false" customHeight="false" outlineLevel="0" collapsed="false">
      <c r="A804" s="11" t="s">
        <v>1123</v>
      </c>
      <c r="B804" s="9" t="n">
        <v>0</v>
      </c>
      <c r="C804" s="9" t="n">
        <v>0</v>
      </c>
      <c r="D804" s="9" t="n">
        <v>0</v>
      </c>
      <c r="E804" s="9" t="n">
        <v>0</v>
      </c>
      <c r="F804" s="9" t="n">
        <v>0</v>
      </c>
      <c r="G804" s="9" t="n">
        <v>0</v>
      </c>
      <c r="H804" s="9" t="n">
        <v>0</v>
      </c>
      <c r="I804" s="9" t="n">
        <v>0</v>
      </c>
      <c r="J804" s="9" t="n">
        <v>0</v>
      </c>
      <c r="K804" s="9" t="n">
        <v>0</v>
      </c>
      <c r="L804" s="9" t="n">
        <v>0</v>
      </c>
      <c r="M804" s="9" t="n">
        <v>0</v>
      </c>
      <c r="N804" s="12" t="n">
        <f aca="true">IFERROR(ROUND(SUM(OFFSET(B804,0,0,1,POSTAVKE!$B$7))/POSTAVKE!$B$7,2),0)</f>
        <v>0</v>
      </c>
    </row>
    <row r="805" customFormat="false" ht="15" hidden="false" customHeight="false" outlineLevel="0" collapsed="false">
      <c r="A805" s="11" t="s">
        <v>1360</v>
      </c>
      <c r="B805" s="9" t="n">
        <v>0</v>
      </c>
      <c r="C805" s="9" t="n">
        <v>0</v>
      </c>
      <c r="D805" s="9" t="n">
        <v>0</v>
      </c>
      <c r="E805" s="9" t="n">
        <v>0</v>
      </c>
      <c r="F805" s="9" t="n">
        <v>0</v>
      </c>
      <c r="G805" s="9" t="n">
        <v>0</v>
      </c>
      <c r="H805" s="9" t="n">
        <v>0</v>
      </c>
      <c r="I805" s="9" t="n">
        <v>0</v>
      </c>
      <c r="J805" s="9" t="n">
        <v>0</v>
      </c>
      <c r="K805" s="9" t="n">
        <v>0</v>
      </c>
      <c r="L805" s="9" t="n">
        <v>0</v>
      </c>
      <c r="M805" s="9" t="n">
        <v>0</v>
      </c>
      <c r="N805" s="12" t="n">
        <f aca="true">IFERROR(ROUND(SUM(OFFSET(B805,0,0,1,POSTAVKE!$B$7))/POSTAVKE!$B$7,2),0)</f>
        <v>0</v>
      </c>
    </row>
    <row r="806" customFormat="false" ht="15" hidden="false" customHeight="false" outlineLevel="0" collapsed="false">
      <c r="A806" s="11" t="s">
        <v>1125</v>
      </c>
      <c r="B806" s="9" t="n">
        <v>0</v>
      </c>
      <c r="C806" s="9" t="n">
        <v>0</v>
      </c>
      <c r="D806" s="9" t="n">
        <v>0</v>
      </c>
      <c r="E806" s="9" t="n">
        <v>0</v>
      </c>
      <c r="F806" s="9" t="n">
        <v>0</v>
      </c>
      <c r="G806" s="9" t="n">
        <v>0</v>
      </c>
      <c r="H806" s="9" t="n">
        <v>0</v>
      </c>
      <c r="I806" s="9" t="n">
        <v>0</v>
      </c>
      <c r="J806" s="9" t="n">
        <v>0</v>
      </c>
      <c r="K806" s="9" t="n">
        <v>0</v>
      </c>
      <c r="L806" s="9" t="n">
        <v>0</v>
      </c>
      <c r="M806" s="9" t="n">
        <v>0</v>
      </c>
      <c r="N806" s="12" t="n">
        <f aca="true">IFERROR(ROUND(SUM(OFFSET(B806,0,0,1,POSTAVKE!$B$7))/POSTAVKE!$B$7,2),0)</f>
        <v>0</v>
      </c>
    </row>
    <row r="807" customFormat="false" ht="15" hidden="false" customHeight="false" outlineLevel="0" collapsed="false">
      <c r="A807" s="11" t="s">
        <v>1127</v>
      </c>
      <c r="B807" s="9" t="n">
        <v>0</v>
      </c>
      <c r="C807" s="9" t="n">
        <v>0</v>
      </c>
      <c r="D807" s="9" t="n">
        <v>0</v>
      </c>
      <c r="E807" s="9" t="n">
        <v>0</v>
      </c>
      <c r="F807" s="9" t="n">
        <v>0</v>
      </c>
      <c r="G807" s="9" t="n">
        <v>0</v>
      </c>
      <c r="H807" s="9" t="n">
        <v>0</v>
      </c>
      <c r="I807" s="9" t="n">
        <v>0</v>
      </c>
      <c r="J807" s="9" t="n">
        <v>0</v>
      </c>
      <c r="K807" s="9" t="n">
        <v>0</v>
      </c>
      <c r="L807" s="9" t="n">
        <v>0</v>
      </c>
      <c r="M807" s="9" t="n">
        <v>0</v>
      </c>
      <c r="N807" s="12" t="n">
        <f aca="true">IFERROR(ROUND(SUM(OFFSET(B807,0,0,1,POSTAVKE!$B$7))/POSTAVKE!$B$7,2),0)</f>
        <v>0</v>
      </c>
    </row>
    <row r="808" customFormat="false" ht="15" hidden="false" customHeight="false" outlineLevel="0" collapsed="false">
      <c r="A808" s="11" t="s">
        <v>1129</v>
      </c>
      <c r="B808" s="9" t="n">
        <v>0</v>
      </c>
      <c r="C808" s="9" t="n">
        <v>0</v>
      </c>
      <c r="D808" s="9" t="n">
        <v>0</v>
      </c>
      <c r="E808" s="9" t="n">
        <v>0</v>
      </c>
      <c r="F808" s="9" t="n">
        <v>0</v>
      </c>
      <c r="G808" s="9" t="n">
        <v>0</v>
      </c>
      <c r="H808" s="9" t="n">
        <v>0</v>
      </c>
      <c r="I808" s="9" t="n">
        <v>0</v>
      </c>
      <c r="J808" s="9" t="n">
        <v>0</v>
      </c>
      <c r="K808" s="9" t="n">
        <v>0</v>
      </c>
      <c r="L808" s="9" t="n">
        <v>0</v>
      </c>
      <c r="M808" s="9" t="n">
        <v>0</v>
      </c>
      <c r="N808" s="12" t="n">
        <f aca="true">IFERROR(ROUND(SUM(OFFSET(B808,0,0,1,POSTAVKE!$B$7))/POSTAVKE!$B$7,2),0)</f>
        <v>0</v>
      </c>
    </row>
    <row r="809" customFormat="false" ht="15" hidden="false" customHeight="false" outlineLevel="0" collapsed="false">
      <c r="A809" s="11" t="s">
        <v>1903</v>
      </c>
      <c r="B809" s="9" t="n">
        <v>0</v>
      </c>
      <c r="C809" s="9" t="n">
        <v>0</v>
      </c>
      <c r="D809" s="9" t="n">
        <v>0</v>
      </c>
      <c r="E809" s="9" t="n">
        <v>1</v>
      </c>
      <c r="F809" s="9" t="n">
        <v>0</v>
      </c>
      <c r="G809" s="9" t="n">
        <v>0</v>
      </c>
      <c r="H809" s="9" t="n">
        <v>0</v>
      </c>
      <c r="I809" s="9" t="n">
        <v>0</v>
      </c>
      <c r="J809" s="9" t="n">
        <v>0</v>
      </c>
      <c r="K809" s="9" t="n">
        <v>0</v>
      </c>
      <c r="L809" s="9" t="n">
        <v>0</v>
      </c>
      <c r="M809" s="9" t="n">
        <v>0</v>
      </c>
      <c r="N809" s="12" t="n">
        <f aca="true">IFERROR(ROUND(SUM(OFFSET(B809,0,0,1,POSTAVKE!$B$7))/POSTAVKE!$B$7,2),0)</f>
        <v>0.13</v>
      </c>
    </row>
    <row r="810" customFormat="false" ht="15" hidden="false" customHeight="false" outlineLevel="0" collapsed="false">
      <c r="A810" s="11" t="s">
        <v>1362</v>
      </c>
      <c r="B810" s="9" t="n">
        <v>0</v>
      </c>
      <c r="C810" s="9" t="n">
        <v>0</v>
      </c>
      <c r="D810" s="9" t="n">
        <v>0</v>
      </c>
      <c r="E810" s="9" t="n">
        <v>0</v>
      </c>
      <c r="F810" s="9" t="n">
        <v>0</v>
      </c>
      <c r="G810" s="9" t="n">
        <v>0</v>
      </c>
      <c r="H810" s="9" t="n">
        <v>0</v>
      </c>
      <c r="I810" s="9" t="n">
        <v>0</v>
      </c>
      <c r="J810" s="9" t="n">
        <v>0</v>
      </c>
      <c r="K810" s="9" t="n">
        <v>0</v>
      </c>
      <c r="L810" s="9" t="n">
        <v>0</v>
      </c>
      <c r="M810" s="9" t="n">
        <v>0</v>
      </c>
      <c r="N810" s="12" t="n">
        <f aca="true">IFERROR(ROUND(SUM(OFFSET(B810,0,0,1,POSTAVKE!$B$7))/POSTAVKE!$B$7,2),0)</f>
        <v>0</v>
      </c>
    </row>
    <row r="811" customFormat="false" ht="15" hidden="false" customHeight="false" outlineLevel="0" collapsed="false">
      <c r="A811" s="11" t="s">
        <v>1196</v>
      </c>
      <c r="B811" s="9" t="n">
        <v>0</v>
      </c>
      <c r="C811" s="9" t="n">
        <v>0</v>
      </c>
      <c r="D811" s="9" t="n">
        <v>0</v>
      </c>
      <c r="E811" s="9" t="n">
        <v>0</v>
      </c>
      <c r="F811" s="9" t="n">
        <v>0</v>
      </c>
      <c r="G811" s="9" t="n">
        <v>0</v>
      </c>
      <c r="H811" s="9" t="n">
        <v>0</v>
      </c>
      <c r="I811" s="9" t="n">
        <v>0</v>
      </c>
      <c r="J811" s="9" t="n">
        <v>0</v>
      </c>
      <c r="K811" s="9" t="n">
        <v>0</v>
      </c>
      <c r="L811" s="9" t="n">
        <v>0</v>
      </c>
      <c r="M811" s="9" t="n">
        <v>0</v>
      </c>
      <c r="N811" s="12" t="n">
        <f aca="true">IFERROR(ROUND(SUM(OFFSET(B811,0,0,1,POSTAVKE!$B$7))/POSTAVKE!$B$7,2),0)</f>
        <v>0</v>
      </c>
    </row>
    <row r="812" customFormat="false" ht="15" hidden="false" customHeight="false" outlineLevel="0" collapsed="false">
      <c r="A812" s="11" t="s">
        <v>1065</v>
      </c>
      <c r="B812" s="9" t="n">
        <v>0</v>
      </c>
      <c r="C812" s="9" t="n">
        <v>0</v>
      </c>
      <c r="D812" s="9" t="n">
        <v>0</v>
      </c>
      <c r="E812" s="9" t="n">
        <v>0</v>
      </c>
      <c r="F812" s="9" t="n">
        <v>0</v>
      </c>
      <c r="G812" s="9" t="n">
        <v>0</v>
      </c>
      <c r="H812" s="9" t="n">
        <v>0</v>
      </c>
      <c r="I812" s="9" t="n">
        <v>0</v>
      </c>
      <c r="J812" s="9" t="n">
        <v>0</v>
      </c>
      <c r="K812" s="9" t="n">
        <v>0</v>
      </c>
      <c r="L812" s="9" t="n">
        <v>0</v>
      </c>
      <c r="M812" s="9" t="n">
        <v>0</v>
      </c>
      <c r="N812" s="12" t="n">
        <f aca="true">IFERROR(ROUND(SUM(OFFSET(B812,0,0,1,POSTAVKE!$B$7))/POSTAVKE!$B$7,2),0)</f>
        <v>0</v>
      </c>
    </row>
    <row r="813" customFormat="false" ht="15" hidden="false" customHeight="false" outlineLevel="0" collapsed="false">
      <c r="A813" s="11" t="s">
        <v>933</v>
      </c>
      <c r="B813" s="9" t="n">
        <v>0</v>
      </c>
      <c r="C813" s="9" t="n">
        <v>0</v>
      </c>
      <c r="D813" s="9" t="n">
        <v>0</v>
      </c>
      <c r="E813" s="9" t="n">
        <v>0</v>
      </c>
      <c r="F813" s="9" t="n">
        <v>0</v>
      </c>
      <c r="G813" s="9" t="n">
        <v>0</v>
      </c>
      <c r="H813" s="9" t="n">
        <v>0</v>
      </c>
      <c r="I813" s="9" t="n">
        <v>0</v>
      </c>
      <c r="J813" s="9" t="n">
        <v>0</v>
      </c>
      <c r="K813" s="9" t="n">
        <v>0</v>
      </c>
      <c r="L813" s="9" t="n">
        <v>0</v>
      </c>
      <c r="M813" s="9" t="n">
        <v>0</v>
      </c>
      <c r="N813" s="12" t="n">
        <f aca="true">IFERROR(ROUND(SUM(OFFSET(B813,0,0,1,POSTAVKE!$B$7))/POSTAVKE!$B$7,2),0)</f>
        <v>0</v>
      </c>
    </row>
    <row r="814" customFormat="false" ht="15" hidden="false" customHeight="false" outlineLevel="0" collapsed="false">
      <c r="A814" s="11" t="s">
        <v>975</v>
      </c>
      <c r="B814" s="9" t="n">
        <v>0</v>
      </c>
      <c r="C814" s="9" t="n">
        <v>0</v>
      </c>
      <c r="D814" s="9" t="n">
        <v>0</v>
      </c>
      <c r="E814" s="9" t="n">
        <v>0</v>
      </c>
      <c r="F814" s="9" t="n">
        <v>0</v>
      </c>
      <c r="G814" s="9" t="n">
        <v>0</v>
      </c>
      <c r="H814" s="9" t="n">
        <v>0</v>
      </c>
      <c r="I814" s="9" t="n">
        <v>0</v>
      </c>
      <c r="J814" s="9" t="n">
        <v>0</v>
      </c>
      <c r="K814" s="9" t="n">
        <v>0</v>
      </c>
      <c r="L814" s="9" t="n">
        <v>0</v>
      </c>
      <c r="M814" s="9" t="n">
        <v>0</v>
      </c>
      <c r="N814" s="12" t="n">
        <f aca="true">IFERROR(ROUND(SUM(OFFSET(B814,0,0,1,POSTAVKE!$B$7))/POSTAVKE!$B$7,2),0)</f>
        <v>0</v>
      </c>
    </row>
    <row r="815" customFormat="false" ht="15" hidden="false" customHeight="false" outlineLevel="0" collapsed="false">
      <c r="A815" s="11" t="s">
        <v>1198</v>
      </c>
      <c r="B815" s="9" t="n">
        <v>0</v>
      </c>
      <c r="C815" s="9" t="n">
        <v>0</v>
      </c>
      <c r="D815" s="9" t="n">
        <v>0</v>
      </c>
      <c r="E815" s="9" t="n">
        <v>0</v>
      </c>
      <c r="F815" s="9" t="n">
        <v>0</v>
      </c>
      <c r="G815" s="9" t="n">
        <v>0</v>
      </c>
      <c r="H815" s="9" t="n">
        <v>0</v>
      </c>
      <c r="I815" s="9" t="n">
        <v>0</v>
      </c>
      <c r="J815" s="9" t="n">
        <v>0</v>
      </c>
      <c r="K815" s="9" t="n">
        <v>0</v>
      </c>
      <c r="L815" s="9" t="n">
        <v>0</v>
      </c>
      <c r="M815" s="9" t="n">
        <v>0</v>
      </c>
      <c r="N815" s="12" t="n">
        <f aca="true">IFERROR(ROUND(SUM(OFFSET(B815,0,0,1,POSTAVKE!$B$7))/POSTAVKE!$B$7,2),0)</f>
        <v>0</v>
      </c>
    </row>
    <row r="816" customFormat="false" ht="15" hidden="false" customHeight="false" outlineLevel="0" collapsed="false">
      <c r="A816" s="11" t="s">
        <v>1200</v>
      </c>
      <c r="B816" s="9" t="n">
        <v>0</v>
      </c>
      <c r="C816" s="9" t="n">
        <v>0</v>
      </c>
      <c r="D816" s="9" t="n">
        <v>0</v>
      </c>
      <c r="E816" s="9" t="n">
        <v>0</v>
      </c>
      <c r="F816" s="9" t="n">
        <v>0</v>
      </c>
      <c r="G816" s="9" t="n">
        <v>0</v>
      </c>
      <c r="H816" s="9" t="n">
        <v>0</v>
      </c>
      <c r="I816" s="9" t="n">
        <v>0</v>
      </c>
      <c r="J816" s="9" t="n">
        <v>0</v>
      </c>
      <c r="K816" s="9" t="n">
        <v>0</v>
      </c>
      <c r="L816" s="9" t="n">
        <v>0</v>
      </c>
      <c r="M816" s="9" t="n">
        <v>0</v>
      </c>
      <c r="N816" s="12" t="n">
        <f aca="true">IFERROR(ROUND(SUM(OFFSET(B816,0,0,1,POSTAVKE!$B$7))/POSTAVKE!$B$7,2),0)</f>
        <v>0</v>
      </c>
    </row>
    <row r="817" customFormat="false" ht="15" hidden="false" customHeight="false" outlineLevel="0" collapsed="false">
      <c r="A817" s="11" t="s">
        <v>977</v>
      </c>
      <c r="B817" s="9" t="n">
        <v>0</v>
      </c>
      <c r="C817" s="9" t="n">
        <v>0</v>
      </c>
      <c r="D817" s="9" t="n">
        <v>0</v>
      </c>
      <c r="E817" s="9" t="n">
        <v>0</v>
      </c>
      <c r="F817" s="9" t="n">
        <v>0</v>
      </c>
      <c r="G817" s="9" t="n">
        <v>0</v>
      </c>
      <c r="H817" s="9" t="n">
        <v>0</v>
      </c>
      <c r="I817" s="9" t="n">
        <v>0</v>
      </c>
      <c r="J817" s="9" t="n">
        <v>0</v>
      </c>
      <c r="K817" s="9" t="n">
        <v>0</v>
      </c>
      <c r="L817" s="9" t="n">
        <v>0</v>
      </c>
      <c r="M817" s="9" t="n">
        <v>0</v>
      </c>
      <c r="N817" s="12" t="n">
        <f aca="true">IFERROR(ROUND(SUM(OFFSET(B817,0,0,1,POSTAVKE!$B$7))/POSTAVKE!$B$7,2),0)</f>
        <v>0</v>
      </c>
    </row>
    <row r="818" customFormat="false" ht="15" hidden="false" customHeight="false" outlineLevel="0" collapsed="false">
      <c r="A818" s="11" t="s">
        <v>1905</v>
      </c>
      <c r="B818" s="9" t="n">
        <v>0</v>
      </c>
      <c r="C818" s="9" t="n">
        <v>0</v>
      </c>
      <c r="D818" s="9" t="n">
        <v>0</v>
      </c>
      <c r="E818" s="9" t="n">
        <v>0</v>
      </c>
      <c r="F818" s="9" t="n">
        <v>0</v>
      </c>
      <c r="G818" s="9" t="n">
        <v>0</v>
      </c>
      <c r="H818" s="9" t="n">
        <v>0</v>
      </c>
      <c r="I818" s="9" t="n">
        <v>5</v>
      </c>
      <c r="J818" s="9" t="n">
        <v>0</v>
      </c>
      <c r="K818" s="9" t="n">
        <v>0</v>
      </c>
      <c r="L818" s="9" t="n">
        <v>0</v>
      </c>
      <c r="M818" s="9" t="n">
        <v>0</v>
      </c>
      <c r="N818" s="12" t="n">
        <f aca="true">IFERROR(ROUND(SUM(OFFSET(B818,0,0,1,POSTAVKE!$B$7))/POSTAVKE!$B$7,2),0)</f>
        <v>0.63</v>
      </c>
    </row>
    <row r="819" customFormat="false" ht="15" hidden="false" customHeight="false" outlineLevel="0" collapsed="false">
      <c r="A819" s="11" t="s">
        <v>979</v>
      </c>
      <c r="B819" s="9" t="n">
        <v>0</v>
      </c>
      <c r="C819" s="9" t="n">
        <v>0</v>
      </c>
      <c r="D819" s="9" t="n">
        <v>0</v>
      </c>
      <c r="E819" s="9" t="n">
        <v>0</v>
      </c>
      <c r="F819" s="9" t="n">
        <v>0</v>
      </c>
      <c r="G819" s="9" t="n">
        <v>0</v>
      </c>
      <c r="H819" s="9" t="n">
        <v>0</v>
      </c>
      <c r="I819" s="9" t="n">
        <v>0</v>
      </c>
      <c r="J819" s="9" t="n">
        <v>0</v>
      </c>
      <c r="K819" s="9" t="n">
        <v>0</v>
      </c>
      <c r="L819" s="9" t="n">
        <v>0</v>
      </c>
      <c r="M819" s="9" t="n">
        <v>0</v>
      </c>
      <c r="N819" s="12" t="n">
        <f aca="true">IFERROR(ROUND(SUM(OFFSET(B819,0,0,1,POSTAVKE!$B$7))/POSTAVKE!$B$7,2),0)</f>
        <v>0</v>
      </c>
    </row>
    <row r="820" customFormat="false" ht="15" hidden="false" customHeight="false" outlineLevel="0" collapsed="false">
      <c r="A820" s="11" t="s">
        <v>1364</v>
      </c>
      <c r="B820" s="9" t="n">
        <v>0</v>
      </c>
      <c r="C820" s="9" t="n">
        <v>0</v>
      </c>
      <c r="D820" s="9" t="n">
        <v>0</v>
      </c>
      <c r="E820" s="9" t="n">
        <v>0</v>
      </c>
      <c r="F820" s="9" t="n">
        <v>0</v>
      </c>
      <c r="G820" s="9" t="n">
        <v>0</v>
      </c>
      <c r="H820" s="9" t="n">
        <v>0</v>
      </c>
      <c r="I820" s="9" t="n">
        <v>0</v>
      </c>
      <c r="J820" s="9" t="n">
        <v>0</v>
      </c>
      <c r="K820" s="9" t="n">
        <v>0</v>
      </c>
      <c r="L820" s="9" t="n">
        <v>0</v>
      </c>
      <c r="M820" s="9" t="n">
        <v>0</v>
      </c>
      <c r="N820" s="12" t="n">
        <f aca="true">IFERROR(ROUND(SUM(OFFSET(B820,0,0,1,POSTAVKE!$B$7))/POSTAVKE!$B$7,2),0)</f>
        <v>0</v>
      </c>
    </row>
    <row r="821" customFormat="false" ht="15" hidden="false" customHeight="false" outlineLevel="0" collapsed="false">
      <c r="A821" s="11" t="s">
        <v>1907</v>
      </c>
      <c r="B821" s="9" t="n">
        <v>0</v>
      </c>
      <c r="C821" s="9" t="n">
        <v>0</v>
      </c>
      <c r="D821" s="9" t="n">
        <v>0</v>
      </c>
      <c r="E821" s="9" t="n">
        <v>0</v>
      </c>
      <c r="F821" s="9" t="n">
        <v>0</v>
      </c>
      <c r="G821" s="9" t="n">
        <v>1</v>
      </c>
      <c r="H821" s="9" t="n">
        <v>0</v>
      </c>
      <c r="I821" s="9" t="n">
        <v>0</v>
      </c>
      <c r="J821" s="9" t="n">
        <v>0</v>
      </c>
      <c r="K821" s="9" t="n">
        <v>0</v>
      </c>
      <c r="L821" s="9" t="n">
        <v>0</v>
      </c>
      <c r="M821" s="9" t="n">
        <v>0</v>
      </c>
      <c r="N821" s="12" t="n">
        <f aca="true">IFERROR(ROUND(SUM(OFFSET(B821,0,0,1,POSTAVKE!$B$7))/POSTAVKE!$B$7,2),0)</f>
        <v>0.13</v>
      </c>
    </row>
    <row r="822" customFormat="false" ht="15" hidden="false" customHeight="false" outlineLevel="0" collapsed="false">
      <c r="A822" s="11" t="s">
        <v>1909</v>
      </c>
      <c r="B822" s="9" t="n">
        <v>0</v>
      </c>
      <c r="C822" s="9" t="n">
        <v>0</v>
      </c>
      <c r="D822" s="9" t="n">
        <v>0</v>
      </c>
      <c r="E822" s="9" t="n">
        <v>0</v>
      </c>
      <c r="F822" s="9" t="n">
        <v>0</v>
      </c>
      <c r="G822" s="9" t="n">
        <v>10</v>
      </c>
      <c r="H822" s="9" t="n">
        <v>0</v>
      </c>
      <c r="I822" s="9" t="n">
        <v>0</v>
      </c>
      <c r="J822" s="9" t="n">
        <v>0</v>
      </c>
      <c r="K822" s="9" t="n">
        <v>0</v>
      </c>
      <c r="L822" s="9" t="n">
        <v>0</v>
      </c>
      <c r="M822" s="9" t="n">
        <v>0</v>
      </c>
      <c r="N822" s="12" t="n">
        <f aca="true">IFERROR(ROUND(SUM(OFFSET(B822,0,0,1,POSTAVKE!$B$7))/POSTAVKE!$B$7,2),0)</f>
        <v>1.25</v>
      </c>
    </row>
    <row r="823" customFormat="false" ht="15" hidden="false" customHeight="false" outlineLevel="0" collapsed="false">
      <c r="A823" s="11" t="s">
        <v>1911</v>
      </c>
      <c r="B823" s="9" t="n">
        <v>0</v>
      </c>
      <c r="C823" s="9" t="n">
        <v>0</v>
      </c>
      <c r="D823" s="9" t="n">
        <v>0</v>
      </c>
      <c r="E823" s="9" t="n">
        <v>0</v>
      </c>
      <c r="F823" s="9" t="n">
        <v>0</v>
      </c>
      <c r="G823" s="9" t="n">
        <v>10</v>
      </c>
      <c r="H823" s="9" t="n">
        <v>0</v>
      </c>
      <c r="I823" s="9" t="n">
        <v>0</v>
      </c>
      <c r="J823" s="9" t="n">
        <v>0</v>
      </c>
      <c r="K823" s="9" t="n">
        <v>0</v>
      </c>
      <c r="L823" s="9" t="n">
        <v>0</v>
      </c>
      <c r="M823" s="9" t="n">
        <v>0</v>
      </c>
      <c r="N823" s="12" t="n">
        <f aca="true">IFERROR(ROUND(SUM(OFFSET(B823,0,0,1,POSTAVKE!$B$7))/POSTAVKE!$B$7,2),0)</f>
        <v>1.25</v>
      </c>
    </row>
    <row r="824" customFormat="false" ht="15" hidden="false" customHeight="false" outlineLevel="0" collapsed="false">
      <c r="A824" s="11" t="s">
        <v>1913</v>
      </c>
      <c r="B824" s="9" t="n">
        <v>-1</v>
      </c>
      <c r="C824" s="9" t="n">
        <v>0</v>
      </c>
      <c r="D824" s="9" t="n">
        <v>0</v>
      </c>
      <c r="E824" s="9" t="n">
        <v>0</v>
      </c>
      <c r="F824" s="9" t="n">
        <v>0</v>
      </c>
      <c r="G824" s="9" t="n">
        <v>0</v>
      </c>
      <c r="H824" s="9" t="n">
        <v>0</v>
      </c>
      <c r="I824" s="9" t="n">
        <v>0</v>
      </c>
      <c r="J824" s="9" t="n">
        <v>0</v>
      </c>
      <c r="K824" s="9" t="n">
        <v>0</v>
      </c>
      <c r="L824" s="9" t="n">
        <v>0</v>
      </c>
      <c r="M824" s="9" t="n">
        <v>0</v>
      </c>
      <c r="N824" s="12" t="n">
        <f aca="true">IFERROR(ROUND(SUM(OFFSET(B824,0,0,1,POSTAVKE!$B$7))/POSTAVKE!$B$7,2),0)</f>
        <v>-0.13</v>
      </c>
    </row>
    <row r="825" customFormat="false" ht="15" hidden="false" customHeight="false" outlineLevel="0" collapsed="false">
      <c r="A825" s="11" t="s">
        <v>219</v>
      </c>
      <c r="B825" s="9" t="n">
        <v>-1</v>
      </c>
      <c r="C825" s="9" t="n">
        <v>145</v>
      </c>
      <c r="D825" s="9" t="n">
        <v>65</v>
      </c>
      <c r="E825" s="9" t="n">
        <v>44</v>
      </c>
      <c r="F825" s="9" t="n">
        <v>41</v>
      </c>
      <c r="G825" s="9" t="n">
        <v>60</v>
      </c>
      <c r="H825" s="9" t="n">
        <v>25</v>
      </c>
      <c r="I825" s="9" t="n">
        <v>45</v>
      </c>
      <c r="J825" s="9" t="n">
        <v>5</v>
      </c>
      <c r="K825" s="9" t="n">
        <v>0</v>
      </c>
      <c r="L825" s="9" t="n">
        <v>0</v>
      </c>
      <c r="M825" s="9" t="n">
        <v>0</v>
      </c>
      <c r="N825" s="12" t="n">
        <f aca="true">IFERROR(ROUND(SUM(OFFSET(B825,0,0,1,POSTAVKE!$B$7))/POSTAVKE!$B$7,2),0)</f>
        <v>53</v>
      </c>
    </row>
    <row r="826" customFormat="false" ht="15" hidden="false" customHeight="false" outlineLevel="0" collapsed="false">
      <c r="A826" s="11" t="s">
        <v>1915</v>
      </c>
      <c r="B826" s="9" t="n">
        <v>-1</v>
      </c>
      <c r="C826" s="9" t="n">
        <v>3</v>
      </c>
      <c r="D826" s="9" t="n">
        <v>0</v>
      </c>
      <c r="E826" s="9" t="n">
        <v>8</v>
      </c>
      <c r="F826" s="9" t="n">
        <v>0</v>
      </c>
      <c r="G826" s="9" t="n">
        <v>0</v>
      </c>
      <c r="H826" s="9" t="n">
        <v>0</v>
      </c>
      <c r="I826" s="9" t="n">
        <v>0</v>
      </c>
      <c r="J826" s="9" t="n">
        <v>0</v>
      </c>
      <c r="K826" s="9" t="n">
        <v>0</v>
      </c>
      <c r="L826" s="9" t="n">
        <v>0</v>
      </c>
      <c r="M826" s="9" t="n">
        <v>0</v>
      </c>
      <c r="N826" s="12" t="n">
        <f aca="true">IFERROR(ROUND(SUM(OFFSET(B826,0,0,1,POSTAVKE!$B$7))/POSTAVKE!$B$7,2),0)</f>
        <v>1.25</v>
      </c>
    </row>
    <row r="827" customFormat="false" ht="15" hidden="false" customHeight="false" outlineLevel="0" collapsed="false">
      <c r="A827" s="11" t="s">
        <v>1917</v>
      </c>
      <c r="B827" s="9" t="n">
        <v>-1</v>
      </c>
      <c r="C827" s="9" t="n">
        <v>0</v>
      </c>
      <c r="D827" s="9" t="n">
        <v>0</v>
      </c>
      <c r="E827" s="9" t="n">
        <v>0</v>
      </c>
      <c r="F827" s="9" t="n">
        <v>0</v>
      </c>
      <c r="G827" s="9" t="n">
        <v>0</v>
      </c>
      <c r="H827" s="9" t="n">
        <v>0</v>
      </c>
      <c r="I827" s="9" t="n">
        <v>0</v>
      </c>
      <c r="J827" s="9" t="n">
        <v>0</v>
      </c>
      <c r="K827" s="9" t="n">
        <v>0</v>
      </c>
      <c r="L827" s="9" t="n">
        <v>0</v>
      </c>
      <c r="M827" s="9" t="n">
        <v>0</v>
      </c>
      <c r="N827" s="12" t="n">
        <f aca="true">IFERROR(ROUND(SUM(OFFSET(B827,0,0,1,POSTAVKE!$B$7))/POSTAVKE!$B$7,2),0)</f>
        <v>-0.13</v>
      </c>
    </row>
    <row r="828" customFormat="false" ht="15" hidden="false" customHeight="false" outlineLevel="0" collapsed="false">
      <c r="A828" s="11" t="s">
        <v>737</v>
      </c>
      <c r="B828" s="9" t="n">
        <v>-1</v>
      </c>
      <c r="C828" s="9" t="n">
        <v>12</v>
      </c>
      <c r="D828" s="9" t="n">
        <v>16</v>
      </c>
      <c r="E828" s="9" t="n">
        <v>20</v>
      </c>
      <c r="F828" s="9" t="n">
        <v>10</v>
      </c>
      <c r="G828" s="9" t="n">
        <v>0</v>
      </c>
      <c r="H828" s="9" t="n">
        <v>0</v>
      </c>
      <c r="I828" s="9" t="n">
        <v>0</v>
      </c>
      <c r="J828" s="9" t="n">
        <v>0</v>
      </c>
      <c r="K828" s="9" t="n">
        <v>0</v>
      </c>
      <c r="L828" s="9" t="n">
        <v>0</v>
      </c>
      <c r="M828" s="9" t="n">
        <v>0</v>
      </c>
      <c r="N828" s="12" t="n">
        <f aca="true">IFERROR(ROUND(SUM(OFFSET(B828,0,0,1,POSTAVKE!$B$7))/POSTAVKE!$B$7,2),0)</f>
        <v>7.13</v>
      </c>
    </row>
    <row r="829" customFormat="false" ht="15" hidden="false" customHeight="false" outlineLevel="0" collapsed="false">
      <c r="A829" s="11" t="s">
        <v>1919</v>
      </c>
      <c r="B829" s="9" t="n">
        <v>3285</v>
      </c>
      <c r="C829" s="9" t="n">
        <v>3701</v>
      </c>
      <c r="D829" s="9" t="n">
        <v>6689</v>
      </c>
      <c r="E829" s="9" t="n">
        <v>4533</v>
      </c>
      <c r="F829" s="9" t="n">
        <v>3829</v>
      </c>
      <c r="G829" s="9" t="n">
        <v>3762.32</v>
      </c>
      <c r="H829" s="9" t="n">
        <v>4206.4</v>
      </c>
      <c r="I829" s="9" t="n">
        <v>4008</v>
      </c>
      <c r="J829" s="9" t="n">
        <v>669</v>
      </c>
      <c r="K829" s="9" t="n">
        <v>0</v>
      </c>
      <c r="L829" s="9" t="n">
        <v>0</v>
      </c>
      <c r="M829" s="9" t="n">
        <v>0</v>
      </c>
      <c r="N829" s="12" t="n">
        <f aca="true">IFERROR(ROUND(SUM(OFFSET(B829,0,0,1,POSTAVKE!$B$7))/POSTAVKE!$B$7,2),0)</f>
        <v>4251.72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"/>
    <col collapsed="false" customWidth="true" hidden="false" outlineLevel="0" max="3" min="3" style="0" width="15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6" min="6" style="0" width="11"/>
    <col collapsed="false" customWidth="true" hidden="false" outlineLevel="0" max="7" min="7" style="0" width="22"/>
    <col collapsed="false" customWidth="true" hidden="false" outlineLevel="0" max="8" min="8" style="0" width="7"/>
  </cols>
  <sheetData>
    <row r="1" customFormat="false" ht="17.35" hidden="false" customHeight="false" outlineLevel="0" collapsed="false">
      <c r="A1" s="1" t="s">
        <v>1952</v>
      </c>
    </row>
    <row r="2" customFormat="false" ht="15" hidden="false" customHeight="false" outlineLevel="0" collapsed="false">
      <c r="A2" s="5" t="s">
        <v>1953</v>
      </c>
    </row>
    <row r="3" customFormat="false" ht="15" hidden="false" customHeight="false" outlineLevel="0" collapsed="false">
      <c r="A3" s="5" t="s">
        <v>1954</v>
      </c>
    </row>
    <row r="5" customFormat="false" ht="23.85" hidden="false" customHeight="false" outlineLevel="0" collapsed="false">
      <c r="A5" s="6" t="s">
        <v>8</v>
      </c>
      <c r="B5" s="6" t="s">
        <v>1955</v>
      </c>
      <c r="C5" s="6" t="s">
        <v>1956</v>
      </c>
      <c r="D5" s="6" t="s">
        <v>1957</v>
      </c>
      <c r="E5" s="6" t="s">
        <v>10</v>
      </c>
      <c r="F5" s="6" t="s">
        <v>1958</v>
      </c>
      <c r="G5" s="6" t="s">
        <v>1959</v>
      </c>
      <c r="H5" s="6" t="s">
        <v>1960</v>
      </c>
    </row>
    <row r="6" customFormat="false" ht="15" hidden="false" customHeight="false" outlineLevel="0" collapsed="false">
      <c r="A6" s="13" t="s">
        <v>91</v>
      </c>
      <c r="B6" s="14" t="n">
        <v>300</v>
      </c>
      <c r="C6" s="14" t="n">
        <v>2.2</v>
      </c>
      <c r="D6" s="15" t="n">
        <v>46334</v>
      </c>
      <c r="E6" s="14"/>
      <c r="F6" s="9" t="s">
        <v>1961</v>
      </c>
      <c r="G6" s="10"/>
      <c r="H6" s="16" t="n">
        <f aca="false">IF(A6="","",COUNTIFS($A$6:$A$95,A6,$C$6:$C$95,"&lt;"&amp;C6)+COUNTIFS($A$6:A6,A6,$C$6:C6,C6))</f>
        <v>1</v>
      </c>
    </row>
    <row r="7" customFormat="false" ht="15" hidden="false" customHeight="false" outlineLevel="0" collapsed="false">
      <c r="A7" s="13" t="s">
        <v>273</v>
      </c>
      <c r="B7" s="14" t="n">
        <v>100</v>
      </c>
      <c r="C7" s="14" t="n">
        <v>2.2</v>
      </c>
      <c r="D7" s="15" t="n">
        <v>46334</v>
      </c>
      <c r="E7" s="14"/>
      <c r="F7" s="9" t="s">
        <v>1961</v>
      </c>
      <c r="G7" s="10"/>
      <c r="H7" s="16" t="n">
        <f aca="false">IF(A7="","",COUNTIFS($A$6:$A$95,A7,$C$6:$C$95,"&lt;"&amp;C7)+COUNTIFS($A$6:A7,A7,$C$6:C7,C7))</f>
        <v>1</v>
      </c>
    </row>
    <row r="8" customFormat="false" ht="15" hidden="false" customHeight="false" outlineLevel="0" collapsed="false">
      <c r="A8" s="13" t="s">
        <v>173</v>
      </c>
      <c r="B8" s="14" t="n">
        <v>152</v>
      </c>
      <c r="C8" s="14" t="n">
        <v>2.2</v>
      </c>
      <c r="D8" s="15" t="n">
        <v>46334</v>
      </c>
      <c r="E8" s="14"/>
      <c r="F8" s="9" t="s">
        <v>1961</v>
      </c>
      <c r="G8" s="10"/>
      <c r="H8" s="16" t="n">
        <f aca="false">IF(A8="","",COUNTIFS($A$6:$A$95,A8,$C$6:$C$95,"&lt;"&amp;C8)+COUNTIFS($A$6:A8,A8,$C$6:C8,C8))</f>
        <v>1</v>
      </c>
    </row>
    <row r="9" customFormat="false" ht="15" hidden="false" customHeight="false" outlineLevel="0" collapsed="false">
      <c r="A9" s="13" t="s">
        <v>549</v>
      </c>
      <c r="B9" s="14" t="n">
        <v>20</v>
      </c>
      <c r="C9" s="14" t="n">
        <v>1</v>
      </c>
      <c r="D9" s="15" t="n">
        <v>46298</v>
      </c>
      <c r="E9" s="14"/>
      <c r="F9" s="9" t="s">
        <v>1962</v>
      </c>
      <c r="G9" s="10"/>
      <c r="H9" s="16" t="n">
        <f aca="false">IF(A9="","",COUNTIFS($A$6:$A$95,A9,$C$6:$C$95,"&lt;"&amp;C9)+COUNTIFS($A$6:A9,A9,$C$6:C9,C9))</f>
        <v>1</v>
      </c>
    </row>
    <row r="10" customFormat="false" ht="15" hidden="false" customHeight="false" outlineLevel="0" collapsed="false">
      <c r="A10" s="13" t="s">
        <v>105</v>
      </c>
      <c r="B10" s="14" t="n">
        <v>100</v>
      </c>
      <c r="C10" s="14" t="n">
        <v>2.2</v>
      </c>
      <c r="D10" s="15" t="n">
        <v>46334</v>
      </c>
      <c r="E10" s="14"/>
      <c r="F10" s="9" t="s">
        <v>1961</v>
      </c>
      <c r="G10" s="10"/>
      <c r="H10" s="16" t="n">
        <f aca="false">IF(A10="","",COUNTIFS($A$6:$A$95,A10,$C$6:$C$95,"&lt;"&amp;C10)+COUNTIFS($A$6:A10,A10,$C$6:C10,C10))</f>
        <v>1</v>
      </c>
    </row>
    <row r="11" customFormat="false" ht="15" hidden="false" customHeight="false" outlineLevel="0" collapsed="false">
      <c r="A11" s="13" t="s">
        <v>269</v>
      </c>
      <c r="B11" s="14" t="n">
        <v>100</v>
      </c>
      <c r="C11" s="14" t="n">
        <v>2.2</v>
      </c>
      <c r="D11" s="15" t="n">
        <v>46334</v>
      </c>
      <c r="E11" s="14"/>
      <c r="F11" s="9" t="s">
        <v>1963</v>
      </c>
      <c r="G11" s="10"/>
      <c r="H11" s="16" t="n">
        <f aca="false">IF(A11="","",COUNTIFS($A$6:$A$95,A11,$C$6:$C$95,"&lt;"&amp;C11)+COUNTIFS($A$6:A11,A11,$C$6:C11,C11))</f>
        <v>1</v>
      </c>
    </row>
    <row r="12" customFormat="false" ht="15" hidden="false" customHeight="false" outlineLevel="0" collapsed="false">
      <c r="A12" s="13" t="s">
        <v>131</v>
      </c>
      <c r="B12" s="14" t="n">
        <v>200</v>
      </c>
      <c r="C12" s="14" t="n">
        <v>2.2</v>
      </c>
      <c r="D12" s="15" t="n">
        <v>46334</v>
      </c>
      <c r="E12" s="14"/>
      <c r="F12" s="9" t="s">
        <v>1963</v>
      </c>
      <c r="G12" s="10"/>
      <c r="H12" s="16" t="n">
        <f aca="false">IF(A12="","",COUNTIFS($A$6:$A$95,A12,$C$6:$C$95,"&lt;"&amp;C12)+COUNTIFS($A$6:A12,A12,$C$6:C12,C12))</f>
        <v>1</v>
      </c>
    </row>
    <row r="13" customFormat="false" ht="15" hidden="false" customHeight="false" outlineLevel="0" collapsed="false">
      <c r="A13" s="13" t="s">
        <v>227</v>
      </c>
      <c r="B13" s="14" t="n">
        <v>80</v>
      </c>
      <c r="C13" s="14" t="n">
        <v>2.2</v>
      </c>
      <c r="D13" s="15" t="n">
        <v>46334</v>
      </c>
      <c r="E13" s="14"/>
      <c r="F13" s="9" t="s">
        <v>1963</v>
      </c>
      <c r="G13" s="10"/>
      <c r="H13" s="16" t="n">
        <f aca="false">IF(A13="","",COUNTIFS($A$6:$A$95,A13,$C$6:$C$95,"&lt;"&amp;C13)+COUNTIFS($A$6:A13,A13,$C$6:C13,C13))</f>
        <v>1</v>
      </c>
    </row>
    <row r="14" customFormat="false" ht="15" hidden="false" customHeight="false" outlineLevel="0" collapsed="false">
      <c r="A14" s="13" t="s">
        <v>1482</v>
      </c>
      <c r="B14" s="14" t="n">
        <v>20</v>
      </c>
      <c r="C14" s="14" t="n">
        <v>1</v>
      </c>
      <c r="D14" s="15" t="n">
        <v>46298</v>
      </c>
      <c r="E14" s="14"/>
      <c r="F14" s="9" t="s">
        <v>1962</v>
      </c>
      <c r="G14" s="10"/>
      <c r="H14" s="16" t="n">
        <f aca="false">IF(A14="","",COUNTIFS($A$6:$A$95,A14,$C$6:$C$95,"&lt;"&amp;C14)+COUNTIFS($A$6:A14,A14,$C$6:C14,C14))</f>
        <v>1</v>
      </c>
    </row>
    <row r="15" customFormat="false" ht="15" hidden="false" customHeight="false" outlineLevel="0" collapsed="false">
      <c r="A15" s="13" t="s">
        <v>827</v>
      </c>
      <c r="B15" s="14" t="n">
        <v>20</v>
      </c>
      <c r="C15" s="14" t="n">
        <v>1</v>
      </c>
      <c r="D15" s="15" t="n">
        <v>46298</v>
      </c>
      <c r="E15" s="14"/>
      <c r="F15" s="9" t="s">
        <v>1962</v>
      </c>
      <c r="G15" s="10"/>
      <c r="H15" s="16" t="n">
        <f aca="false">IF(A15="","",COUNTIFS($A$6:$A$95,A15,$C$6:$C$95,"&lt;"&amp;C15)+COUNTIFS($A$6:A15,A15,$C$6:C15,C15))</f>
        <v>1</v>
      </c>
    </row>
    <row r="16" customFormat="false" ht="15" hidden="false" customHeight="false" outlineLevel="0" collapsed="false">
      <c r="A16" s="13" t="s">
        <v>1486</v>
      </c>
      <c r="B16" s="14" t="n">
        <v>20</v>
      </c>
      <c r="C16" s="14" t="n">
        <v>1</v>
      </c>
      <c r="D16" s="15" t="n">
        <v>46298</v>
      </c>
      <c r="E16" s="14"/>
      <c r="F16" s="9" t="s">
        <v>1962</v>
      </c>
      <c r="G16" s="10"/>
      <c r="H16" s="16" t="n">
        <f aca="false">IF(A16="","",COUNTIFS($A$6:$A$95,A16,$C$6:$C$95,"&lt;"&amp;C16)+COUNTIFS($A$6:A16,A16,$C$6:C16,C16))</f>
        <v>1</v>
      </c>
    </row>
    <row r="17" customFormat="false" ht="15" hidden="false" customHeight="false" outlineLevel="0" collapsed="false">
      <c r="A17" s="13" t="s">
        <v>1212</v>
      </c>
      <c r="B17" s="14" t="n">
        <v>15</v>
      </c>
      <c r="C17" s="14" t="n">
        <v>1</v>
      </c>
      <c r="D17" s="15" t="n">
        <v>46298</v>
      </c>
      <c r="E17" s="14"/>
      <c r="F17" s="9" t="s">
        <v>1962</v>
      </c>
      <c r="G17" s="10"/>
      <c r="H17" s="16" t="n">
        <f aca="false">IF(A17="","",COUNTIFS($A$6:$A$95,A17,$C$6:$C$95,"&lt;"&amp;C17)+COUNTIFS($A$6:A17,A17,$C$6:C17,C17))</f>
        <v>1</v>
      </c>
    </row>
    <row r="18" customFormat="false" ht="15" hidden="false" customHeight="false" outlineLevel="0" collapsed="false">
      <c r="A18" s="13" t="s">
        <v>557</v>
      </c>
      <c r="B18" s="14" t="n">
        <v>20</v>
      </c>
      <c r="C18" s="14" t="n">
        <v>1</v>
      </c>
      <c r="D18" s="15" t="n">
        <v>46298</v>
      </c>
      <c r="E18" s="14"/>
      <c r="F18" s="9" t="s">
        <v>1962</v>
      </c>
      <c r="G18" s="10"/>
      <c r="H18" s="16" t="n">
        <f aca="false">IF(A18="","",COUNTIFS($A$6:$A$95,A18,$C$6:$C$95,"&lt;"&amp;C18)+COUNTIFS($A$6:A18,A18,$C$6:C18,C18))</f>
        <v>1</v>
      </c>
    </row>
    <row r="19" customFormat="false" ht="15" hidden="false" customHeight="false" outlineLevel="0" collapsed="false">
      <c r="A19" s="13" t="s">
        <v>323</v>
      </c>
      <c r="B19" s="14" t="n">
        <v>30</v>
      </c>
      <c r="C19" s="14" t="n">
        <v>2.2</v>
      </c>
      <c r="D19" s="15" t="n">
        <v>46334</v>
      </c>
      <c r="E19" s="14"/>
      <c r="F19" s="9" t="s">
        <v>1963</v>
      </c>
      <c r="G19" s="10"/>
      <c r="H19" s="16" t="n">
        <f aca="false">IF(A19="","",COUNTIFS($A$6:$A$95,A19,$C$6:$C$95,"&lt;"&amp;C19)+COUNTIFS($A$6:A19,A19,$C$6:C19,C19))</f>
        <v>1</v>
      </c>
    </row>
    <row r="20" customFormat="false" ht="15" hidden="false" customHeight="false" outlineLevel="0" collapsed="false">
      <c r="A20" s="13" t="s">
        <v>331</v>
      </c>
      <c r="B20" s="14" t="n">
        <v>40</v>
      </c>
      <c r="C20" s="14" t="n">
        <v>2.2</v>
      </c>
      <c r="D20" s="15" t="n">
        <v>46334</v>
      </c>
      <c r="E20" s="14"/>
      <c r="F20" s="9" t="s">
        <v>1963</v>
      </c>
      <c r="G20" s="10"/>
      <c r="H20" s="16" t="n">
        <f aca="false">IF(A20="","",COUNTIFS($A$6:$A$95,A20,$C$6:$C$95,"&lt;"&amp;C20)+COUNTIFS($A$6:A20,A20,$C$6:C20,C20))</f>
        <v>1</v>
      </c>
    </row>
    <row r="21" customFormat="false" ht="15" hidden="false" customHeight="false" outlineLevel="0" collapsed="false">
      <c r="A21" s="13" t="s">
        <v>301</v>
      </c>
      <c r="B21" s="14" t="n">
        <v>100</v>
      </c>
      <c r="C21" s="14" t="n">
        <v>2.2</v>
      </c>
      <c r="D21" s="15" t="n">
        <v>46334</v>
      </c>
      <c r="E21" s="14"/>
      <c r="F21" s="9" t="s">
        <v>1963</v>
      </c>
      <c r="G21" s="10"/>
      <c r="H21" s="16" t="n">
        <f aca="false">IF(A21="","",COUNTIFS($A$6:$A$95,A21,$C$6:$C$95,"&lt;"&amp;C21)+COUNTIFS($A$6:A21,A21,$C$6:C21,C21))</f>
        <v>1</v>
      </c>
    </row>
    <row r="22" customFormat="false" ht="15" hidden="false" customHeight="false" outlineLevel="0" collapsed="false">
      <c r="A22" s="13" t="s">
        <v>325</v>
      </c>
      <c r="B22" s="14" t="n">
        <v>30</v>
      </c>
      <c r="C22" s="14" t="n">
        <v>2.2</v>
      </c>
      <c r="D22" s="15" t="n">
        <v>46334</v>
      </c>
      <c r="E22" s="14"/>
      <c r="F22" s="9" t="s">
        <v>1963</v>
      </c>
      <c r="G22" s="10"/>
      <c r="H22" s="16" t="n">
        <f aca="false">IF(A22="","",COUNTIFS($A$6:$A$95,A22,$C$6:$C$95,"&lt;"&amp;C22)+COUNTIFS($A$6:A22,A22,$C$6:C22,C22))</f>
        <v>1</v>
      </c>
    </row>
    <row r="23" customFormat="false" ht="15" hidden="false" customHeight="false" outlineLevel="0" collapsed="false">
      <c r="A23" s="13" t="s">
        <v>343</v>
      </c>
      <c r="B23" s="14" t="n">
        <v>40</v>
      </c>
      <c r="C23" s="14" t="n">
        <v>1</v>
      </c>
      <c r="D23" s="15" t="n">
        <v>46298</v>
      </c>
      <c r="E23" s="14"/>
      <c r="F23" s="9" t="s">
        <v>1962</v>
      </c>
      <c r="G23" s="10"/>
      <c r="H23" s="16" t="n">
        <f aca="false">IF(A23="","",COUNTIFS($A$6:$A$95,A23,$C$6:$C$95,"&lt;"&amp;C23)+COUNTIFS($A$6:A23,A23,$C$6:C23,C23))</f>
        <v>1</v>
      </c>
    </row>
    <row r="24" customFormat="false" ht="15" hidden="false" customHeight="false" outlineLevel="0" collapsed="false">
      <c r="A24" s="13" t="s">
        <v>467</v>
      </c>
      <c r="B24" s="14" t="n">
        <v>20</v>
      </c>
      <c r="C24" s="14" t="n">
        <v>1</v>
      </c>
      <c r="D24" s="15" t="n">
        <v>46298</v>
      </c>
      <c r="E24" s="14"/>
      <c r="F24" s="9" t="s">
        <v>1962</v>
      </c>
      <c r="G24" s="10"/>
      <c r="H24" s="16" t="n">
        <f aca="false">IF(A24="","",COUNTIFS($A$6:$A$95,A24,$C$6:$C$95,"&lt;"&amp;C24)+COUNTIFS($A$6:A24,A24,$C$6:C24,C24))</f>
        <v>1</v>
      </c>
    </row>
    <row r="25" customFormat="false" ht="15" hidden="false" customHeight="false" outlineLevel="0" collapsed="false">
      <c r="A25" s="13" t="s">
        <v>697</v>
      </c>
      <c r="B25" s="14" t="n">
        <v>20</v>
      </c>
      <c r="C25" s="14" t="n">
        <v>1</v>
      </c>
      <c r="D25" s="15" t="n">
        <v>46298</v>
      </c>
      <c r="E25" s="14"/>
      <c r="F25" s="9" t="s">
        <v>1962</v>
      </c>
      <c r="G25" s="10"/>
      <c r="H25" s="16" t="n">
        <f aca="false">IF(A25="","",COUNTIFS($A$6:$A$95,A25,$C$6:$C$95,"&lt;"&amp;C25)+COUNTIFS($A$6:A25,A25,$C$6:C25,C25))</f>
        <v>1</v>
      </c>
    </row>
    <row r="26" customFormat="false" ht="15" hidden="false" customHeight="false" outlineLevel="0" collapsed="false">
      <c r="A26" s="13" t="s">
        <v>61</v>
      </c>
      <c r="B26" s="14" t="n">
        <v>50</v>
      </c>
      <c r="C26" s="14" t="n">
        <v>2.4</v>
      </c>
      <c r="D26" s="15" t="n">
        <v>46341</v>
      </c>
      <c r="E26" s="14"/>
      <c r="F26" s="9" t="s">
        <v>1964</v>
      </c>
      <c r="G26" s="10"/>
      <c r="H26" s="16" t="n">
        <f aca="false">IF(A26="","",COUNTIFS($A$6:$A$95,A26,$C$6:$C$95,"&lt;"&amp;C26)+COUNTIFS($A$6:A26,A26,$C$6:C26,C26))</f>
        <v>1</v>
      </c>
    </row>
    <row r="27" customFormat="false" ht="15" hidden="false" customHeight="false" outlineLevel="0" collapsed="false">
      <c r="A27" s="13" t="s">
        <v>73</v>
      </c>
      <c r="B27" s="14" t="n">
        <v>50</v>
      </c>
      <c r="C27" s="14" t="n">
        <v>2.4</v>
      </c>
      <c r="D27" s="15" t="n">
        <v>46341</v>
      </c>
      <c r="E27" s="14"/>
      <c r="F27" s="9" t="s">
        <v>1964</v>
      </c>
      <c r="G27" s="10"/>
      <c r="H27" s="16" t="n">
        <f aca="false">IF(A27="","",COUNTIFS($A$6:$A$95,A27,$C$6:$C$95,"&lt;"&amp;C27)+COUNTIFS($A$6:A27,A27,$C$6:C27,C27))</f>
        <v>1</v>
      </c>
    </row>
    <row r="28" customFormat="false" ht="15" hidden="false" customHeight="false" outlineLevel="0" collapsed="false">
      <c r="A28" s="13" t="s">
        <v>671</v>
      </c>
      <c r="B28" s="14" t="n">
        <v>20</v>
      </c>
      <c r="C28" s="14" t="n">
        <v>1</v>
      </c>
      <c r="D28" s="15" t="n">
        <v>46298</v>
      </c>
      <c r="E28" s="14"/>
      <c r="F28" s="9" t="s">
        <v>1962</v>
      </c>
      <c r="G28" s="10"/>
      <c r="H28" s="16" t="n">
        <f aca="false">IF(A28="","",COUNTIFS($A$6:$A$95,A28,$C$6:$C$95,"&lt;"&amp;C28)+COUNTIFS($A$6:A28,A28,$C$6:C28,C28))</f>
        <v>1</v>
      </c>
    </row>
    <row r="29" customFormat="false" ht="15" hidden="false" customHeight="false" outlineLevel="0" collapsed="false">
      <c r="A29" s="13" t="s">
        <v>571</v>
      </c>
      <c r="B29" s="14" t="n">
        <v>60</v>
      </c>
      <c r="C29" s="14" t="n">
        <v>2.4</v>
      </c>
      <c r="D29" s="15" t="n">
        <v>46341</v>
      </c>
      <c r="E29" s="14"/>
      <c r="F29" s="9" t="s">
        <v>1964</v>
      </c>
      <c r="G29" s="10"/>
      <c r="H29" s="16" t="n">
        <f aca="false">IF(A29="","",COUNTIFS($A$6:$A$95,A29,$C$6:$C$95,"&lt;"&amp;C29)+COUNTIFS($A$6:A29,A29,$C$6:C29,C29))</f>
        <v>1</v>
      </c>
    </row>
    <row r="30" customFormat="false" ht="15" hidden="false" customHeight="false" outlineLevel="0" collapsed="false">
      <c r="A30" s="13" t="s">
        <v>363</v>
      </c>
      <c r="B30" s="14" t="n">
        <v>30</v>
      </c>
      <c r="C30" s="14" t="n">
        <v>2.2</v>
      </c>
      <c r="D30" s="15" t="n">
        <v>46334</v>
      </c>
      <c r="E30" s="14"/>
      <c r="F30" s="9" t="s">
        <v>1963</v>
      </c>
      <c r="G30" s="10"/>
      <c r="H30" s="16" t="n">
        <f aca="false">IF(A30="","",COUNTIFS($A$6:$A$95,A30,$C$6:$C$95,"&lt;"&amp;C30)+COUNTIFS($A$6:A30,A30,$C$6:C30,C30))</f>
        <v>1</v>
      </c>
    </row>
    <row r="31" customFormat="false" ht="15" hidden="false" customHeight="false" outlineLevel="0" collapsed="false">
      <c r="A31" s="13" t="s">
        <v>637</v>
      </c>
      <c r="B31" s="14" t="n">
        <v>30</v>
      </c>
      <c r="C31" s="14" t="n">
        <v>2.2</v>
      </c>
      <c r="D31" s="15" t="n">
        <v>46334</v>
      </c>
      <c r="E31" s="14"/>
      <c r="F31" s="9" t="s">
        <v>1963</v>
      </c>
      <c r="G31" s="10"/>
      <c r="H31" s="16" t="n">
        <f aca="false">IF(A31="","",COUNTIFS($A$6:$A$95,A31,$C$6:$C$95,"&lt;"&amp;C31)+COUNTIFS($A$6:A31,A31,$C$6:C31,C31))</f>
        <v>1</v>
      </c>
    </row>
    <row r="32" customFormat="false" ht="15" hidden="false" customHeight="false" outlineLevel="0" collapsed="false">
      <c r="A32" s="13" t="s">
        <v>1608</v>
      </c>
      <c r="B32" s="14" t="n">
        <v>20</v>
      </c>
      <c r="C32" s="14" t="n">
        <v>2.4</v>
      </c>
      <c r="D32" s="15" t="n">
        <v>46341</v>
      </c>
      <c r="E32" s="14"/>
      <c r="F32" s="9" t="s">
        <v>1964</v>
      </c>
      <c r="G32" s="10"/>
      <c r="H32" s="16" t="n">
        <f aca="false">IF(A32="","",COUNTIFS($A$6:$A$95,A32,$C$6:$C$95,"&lt;"&amp;C32)+COUNTIFS($A$6:A32,A32,$C$6:C32,C32))</f>
        <v>1</v>
      </c>
    </row>
    <row r="33" customFormat="false" ht="15" hidden="false" customHeight="false" outlineLevel="0" collapsed="false">
      <c r="A33" s="13" t="s">
        <v>1610</v>
      </c>
      <c r="B33" s="14" t="n">
        <v>30</v>
      </c>
      <c r="C33" s="14" t="n">
        <v>2.4</v>
      </c>
      <c r="D33" s="15" t="n">
        <v>46341</v>
      </c>
      <c r="E33" s="14"/>
      <c r="F33" s="9" t="s">
        <v>1964</v>
      </c>
      <c r="G33" s="10"/>
      <c r="H33" s="16" t="n">
        <f aca="false">IF(A33="","",COUNTIFS($A$6:$A$95,A33,$C$6:$C$95,"&lt;"&amp;C33)+COUNTIFS($A$6:A33,A33,$C$6:C33,C33))</f>
        <v>1</v>
      </c>
    </row>
    <row r="34" customFormat="false" ht="15" hidden="false" customHeight="false" outlineLevel="0" collapsed="false">
      <c r="A34" s="13" t="s">
        <v>377</v>
      </c>
      <c r="B34" s="14" t="n">
        <v>30</v>
      </c>
      <c r="C34" s="14" t="n">
        <v>2.4</v>
      </c>
      <c r="D34" s="15" t="n">
        <v>46341</v>
      </c>
      <c r="E34" s="14"/>
      <c r="F34" s="9" t="s">
        <v>1964</v>
      </c>
      <c r="G34" s="10"/>
      <c r="H34" s="16" t="n">
        <f aca="false">IF(A34="","",COUNTIFS($A$6:$A$95,A34,$C$6:$C$95,"&lt;"&amp;C34)+COUNTIFS($A$6:A34,A34,$C$6:C34,C34))</f>
        <v>1</v>
      </c>
    </row>
    <row r="35" customFormat="false" ht="15" hidden="false" customHeight="false" outlineLevel="0" collapsed="false">
      <c r="A35" s="13" t="s">
        <v>757</v>
      </c>
      <c r="B35" s="14" t="n">
        <v>20</v>
      </c>
      <c r="C35" s="14" t="n">
        <v>2.4</v>
      </c>
      <c r="D35" s="15" t="n">
        <v>46341</v>
      </c>
      <c r="E35" s="14"/>
      <c r="F35" s="9" t="s">
        <v>1964</v>
      </c>
      <c r="G35" s="10"/>
      <c r="H35" s="16" t="n">
        <f aca="false">IF(A35="","",COUNTIFS($A$6:$A$95,A35,$C$6:$C$95,"&lt;"&amp;C35)+COUNTIFS($A$6:A35,A35,$C$6:C35,C35))</f>
        <v>1</v>
      </c>
    </row>
    <row r="36" customFormat="false" ht="15" hidden="false" customHeight="false" outlineLevel="0" collapsed="false">
      <c r="A36" s="13" t="s">
        <v>983</v>
      </c>
      <c r="B36" s="14" t="n">
        <v>20</v>
      </c>
      <c r="C36" s="14" t="n">
        <v>2.4</v>
      </c>
      <c r="D36" s="15" t="n">
        <v>46341</v>
      </c>
      <c r="E36" s="14"/>
      <c r="F36" s="9" t="s">
        <v>1964</v>
      </c>
      <c r="G36" s="10"/>
      <c r="H36" s="16" t="n">
        <f aca="false">IF(A36="","",COUNTIFS($A$6:$A$95,A36,$C$6:$C$95,"&lt;"&amp;C36)+COUNTIFS($A$6:A36,A36,$C$6:C36,C36))</f>
        <v>1</v>
      </c>
    </row>
    <row r="37" customFormat="false" ht="15" hidden="false" customHeight="false" outlineLevel="0" collapsed="false">
      <c r="A37" s="13" t="s">
        <v>863</v>
      </c>
      <c r="B37" s="14" t="n">
        <v>20</v>
      </c>
      <c r="C37" s="14" t="n">
        <v>2.4</v>
      </c>
      <c r="D37" s="15" t="n">
        <v>46341</v>
      </c>
      <c r="E37" s="14"/>
      <c r="F37" s="9" t="s">
        <v>1964</v>
      </c>
      <c r="G37" s="10"/>
      <c r="H37" s="16" t="n">
        <f aca="false">IF(A37="","",COUNTIFS($A$6:$A$95,A37,$C$6:$C$95,"&lt;"&amp;C37)+COUNTIFS($A$6:A37,A37,$C$6:C37,C37))</f>
        <v>1</v>
      </c>
    </row>
    <row r="38" customFormat="false" ht="15" hidden="false" customHeight="false" outlineLevel="0" collapsed="false">
      <c r="A38" s="13" t="s">
        <v>1009</v>
      </c>
      <c r="B38" s="14" t="n">
        <v>50</v>
      </c>
      <c r="C38" s="14" t="n">
        <v>0.8</v>
      </c>
      <c r="D38" s="15" t="n">
        <v>46293</v>
      </c>
      <c r="E38" s="14"/>
      <c r="F38" s="9" t="s">
        <v>1965</v>
      </c>
      <c r="G38" s="10"/>
      <c r="H38" s="16" t="n">
        <f aca="false">IF(A38="","",COUNTIFS($A$6:$A$95,A38,$C$6:$C$95,"&lt;"&amp;C38)+COUNTIFS($A$6:A38,A38,$C$6:C38,C38))</f>
        <v>1</v>
      </c>
    </row>
    <row r="39" customFormat="false" ht="15" hidden="false" customHeight="false" outlineLevel="0" collapsed="false">
      <c r="A39" s="13" t="s">
        <v>585</v>
      </c>
      <c r="B39" s="14" t="n">
        <v>20</v>
      </c>
      <c r="C39" s="14" t="n">
        <v>0.8</v>
      </c>
      <c r="D39" s="15" t="n">
        <v>46293</v>
      </c>
      <c r="E39" s="14"/>
      <c r="F39" s="9" t="s">
        <v>1965</v>
      </c>
      <c r="G39" s="10"/>
      <c r="H39" s="16" t="n">
        <f aca="false">IF(A39="","",COUNTIFS($A$6:$A$95,A39,$C$6:$C$95,"&lt;"&amp;C39)+COUNTIFS($A$6:A39,A39,$C$6:C39,C39))</f>
        <v>1</v>
      </c>
    </row>
    <row r="40" customFormat="false" ht="15" hidden="false" customHeight="false" outlineLevel="0" collapsed="false">
      <c r="A40" s="13" t="s">
        <v>845</v>
      </c>
      <c r="B40" s="14" t="n">
        <v>20</v>
      </c>
      <c r="C40" s="14" t="n">
        <v>0.8</v>
      </c>
      <c r="D40" s="15" t="n">
        <v>46293</v>
      </c>
      <c r="E40" s="14"/>
      <c r="F40" s="9" t="s">
        <v>1965</v>
      </c>
      <c r="G40" s="10"/>
      <c r="H40" s="16" t="n">
        <f aca="false">IF(A40="","",COUNTIFS($A$6:$A$95,A40,$C$6:$C$95,"&lt;"&amp;C40)+COUNTIFS($A$6:A40,A40,$C$6:C40,C40))</f>
        <v>1</v>
      </c>
    </row>
    <row r="41" customFormat="false" ht="15" hidden="false" customHeight="false" outlineLevel="0" collapsed="false">
      <c r="A41" s="13" t="s">
        <v>257</v>
      </c>
      <c r="B41" s="14" t="n">
        <v>100</v>
      </c>
      <c r="C41" s="14" t="n">
        <v>2.2</v>
      </c>
      <c r="D41" s="15" t="n">
        <v>46334</v>
      </c>
      <c r="E41" s="14"/>
      <c r="F41" s="9" t="s">
        <v>1963</v>
      </c>
      <c r="G41" s="10"/>
      <c r="H41" s="16" t="n">
        <f aca="false">IF(A41="","",COUNTIFS($A$6:$A$95,A41,$C$6:$C$95,"&lt;"&amp;C41)+COUNTIFS($A$6:A41,A41,$C$6:C41,C41))</f>
        <v>1</v>
      </c>
    </row>
    <row r="42" customFormat="false" ht="15" hidden="false" customHeight="false" outlineLevel="0" collapsed="false">
      <c r="A42" s="13" t="s">
        <v>311</v>
      </c>
      <c r="B42" s="14" t="n">
        <v>40</v>
      </c>
      <c r="C42" s="14" t="n">
        <v>2.2</v>
      </c>
      <c r="D42" s="15" t="n">
        <v>46334</v>
      </c>
      <c r="E42" s="14"/>
      <c r="F42" s="9" t="s">
        <v>1963</v>
      </c>
      <c r="G42" s="10"/>
      <c r="H42" s="16" t="n">
        <f aca="false">IF(A42="","",COUNTIFS($A$6:$A$95,A42,$C$6:$C$95,"&lt;"&amp;C42)+COUNTIFS($A$6:A42,A42,$C$6:C42,C42))</f>
        <v>1</v>
      </c>
    </row>
    <row r="43" customFormat="false" ht="15" hidden="false" customHeight="false" outlineLevel="0" collapsed="false">
      <c r="A43" s="13" t="s">
        <v>401</v>
      </c>
      <c r="B43" s="14" t="n">
        <v>40</v>
      </c>
      <c r="C43" s="14" t="n">
        <v>2.2</v>
      </c>
      <c r="D43" s="15" t="n">
        <v>46334</v>
      </c>
      <c r="E43" s="14"/>
      <c r="F43" s="9" t="s">
        <v>1963</v>
      </c>
      <c r="G43" s="10"/>
      <c r="H43" s="16" t="n">
        <f aca="false">IF(A43="","",COUNTIFS($A$6:$A$95,A43,$C$6:$C$95,"&lt;"&amp;C43)+COUNTIFS($A$6:A43,A43,$C$6:C43,C43))</f>
        <v>1</v>
      </c>
    </row>
    <row r="44" customFormat="false" ht="15" hidden="false" customHeight="false" outlineLevel="0" collapsed="false">
      <c r="A44" s="13" t="s">
        <v>1644</v>
      </c>
      <c r="B44" s="14" t="n">
        <v>80</v>
      </c>
      <c r="C44" s="14" t="n">
        <v>2.2</v>
      </c>
      <c r="D44" s="15" t="n">
        <v>46334</v>
      </c>
      <c r="E44" s="14"/>
      <c r="F44" s="9" t="s">
        <v>1963</v>
      </c>
      <c r="G44" s="10"/>
      <c r="H44" s="16" t="n">
        <f aca="false">IF(A44="","",COUNTIFS($A$6:$A$95,A44,$C$6:$C$95,"&lt;"&amp;C44)+COUNTIFS($A$6:A44,A44,$C$6:C44,C44))</f>
        <v>1</v>
      </c>
    </row>
    <row r="45" customFormat="false" ht="15" hidden="false" customHeight="false" outlineLevel="0" collapsed="false">
      <c r="A45" s="13" t="s">
        <v>1646</v>
      </c>
      <c r="B45" s="14" t="n">
        <v>100</v>
      </c>
      <c r="C45" s="14" t="n">
        <v>2.2</v>
      </c>
      <c r="D45" s="15" t="n">
        <v>46334</v>
      </c>
      <c r="E45" s="14"/>
      <c r="F45" s="9" t="s">
        <v>1963</v>
      </c>
      <c r="G45" s="10"/>
      <c r="H45" s="16" t="n">
        <f aca="false">IF(A45="","",COUNTIFS($A$6:$A$95,A45,$C$6:$C$95,"&lt;"&amp;C45)+COUNTIFS($A$6:A45,A45,$C$6:C45,C45))</f>
        <v>1</v>
      </c>
    </row>
    <row r="46" customFormat="false" ht="15" hidden="false" customHeight="false" outlineLevel="0" collapsed="false">
      <c r="A46" s="13" t="s">
        <v>455</v>
      </c>
      <c r="B46" s="14" t="n">
        <v>100</v>
      </c>
      <c r="C46" s="14" t="n">
        <v>2.2</v>
      </c>
      <c r="D46" s="15" t="n">
        <v>46334</v>
      </c>
      <c r="E46" s="14"/>
      <c r="F46" s="9" t="s">
        <v>1963</v>
      </c>
      <c r="G46" s="10"/>
      <c r="H46" s="16" t="n">
        <f aca="false">IF(A46="","",COUNTIFS($A$6:$A$95,A46,$C$6:$C$95,"&lt;"&amp;C46)+COUNTIFS($A$6:A46,A46,$C$6:C46,C46))</f>
        <v>1</v>
      </c>
    </row>
    <row r="47" customFormat="false" ht="15" hidden="false" customHeight="false" outlineLevel="0" collapsed="false">
      <c r="A47" s="13" t="s">
        <v>907</v>
      </c>
      <c r="B47" s="14" t="n">
        <v>100</v>
      </c>
      <c r="C47" s="14" t="n">
        <v>2.2</v>
      </c>
      <c r="D47" s="15" t="n">
        <v>46334</v>
      </c>
      <c r="E47" s="14"/>
      <c r="F47" s="9" t="s">
        <v>1963</v>
      </c>
      <c r="G47" s="10"/>
      <c r="H47" s="16" t="n">
        <f aca="false">IF(A47="","",COUNTIFS($A$6:$A$95,A47,$C$6:$C$95,"&lt;"&amp;C47)+COUNTIFS($A$6:A47,A47,$C$6:C47,C47))</f>
        <v>1</v>
      </c>
    </row>
    <row r="48" customFormat="false" ht="15" hidden="false" customHeight="false" outlineLevel="0" collapsed="false">
      <c r="A48" s="13" t="s">
        <v>601</v>
      </c>
      <c r="B48" s="14" t="n">
        <v>100</v>
      </c>
      <c r="C48" s="14" t="n">
        <v>2.2</v>
      </c>
      <c r="D48" s="15" t="n">
        <v>46334</v>
      </c>
      <c r="E48" s="14"/>
      <c r="F48" s="9" t="s">
        <v>1963</v>
      </c>
      <c r="G48" s="10"/>
      <c r="H48" s="16" t="n">
        <f aca="false">IF(A48="","",COUNTIFS($A$6:$A$95,A48,$C$6:$C$95,"&lt;"&amp;C48)+COUNTIFS($A$6:A48,A48,$C$6:C48,C48))</f>
        <v>1</v>
      </c>
    </row>
    <row r="49" customFormat="false" ht="15" hidden="false" customHeight="false" outlineLevel="0" collapsed="false">
      <c r="A49" s="13" t="s">
        <v>267</v>
      </c>
      <c r="B49" s="14" t="n">
        <v>80</v>
      </c>
      <c r="C49" s="14" t="n">
        <v>2.2</v>
      </c>
      <c r="D49" s="15" t="n">
        <v>46334</v>
      </c>
      <c r="E49" s="14"/>
      <c r="F49" s="9" t="s">
        <v>1963</v>
      </c>
      <c r="G49" s="10"/>
      <c r="H49" s="16" t="n">
        <f aca="false">IF(A49="","",COUNTIFS($A$6:$A$95,A49,$C$6:$C$95,"&lt;"&amp;C49)+COUNTIFS($A$6:A49,A49,$C$6:C49,C49))</f>
        <v>1</v>
      </c>
    </row>
    <row r="50" customFormat="false" ht="15" hidden="false" customHeight="false" outlineLevel="0" collapsed="false">
      <c r="A50" s="13" t="s">
        <v>229</v>
      </c>
      <c r="B50" s="14" t="n">
        <v>80</v>
      </c>
      <c r="C50" s="14" t="n">
        <v>2.2</v>
      </c>
      <c r="D50" s="15" t="n">
        <v>46334</v>
      </c>
      <c r="E50" s="14"/>
      <c r="F50" s="9" t="s">
        <v>1963</v>
      </c>
      <c r="G50" s="10"/>
      <c r="H50" s="16" t="n">
        <f aca="false">IF(A50="","",COUNTIFS($A$6:$A$95,A50,$C$6:$C$95,"&lt;"&amp;C50)+COUNTIFS($A$6:A50,A50,$C$6:C50,C50))</f>
        <v>1</v>
      </c>
    </row>
    <row r="51" customFormat="false" ht="15" hidden="false" customHeight="false" outlineLevel="0" collapsed="false">
      <c r="A51" s="13" t="s">
        <v>825</v>
      </c>
      <c r="B51" s="14" t="n">
        <v>20</v>
      </c>
      <c r="C51" s="14" t="n">
        <v>1</v>
      </c>
      <c r="D51" s="15" t="n">
        <v>46298</v>
      </c>
      <c r="E51" s="14"/>
      <c r="F51" s="9" t="s">
        <v>1962</v>
      </c>
      <c r="G51" s="10"/>
      <c r="H51" s="16" t="n">
        <f aca="false">IF(A51="","",COUNTIFS($A$6:$A$95,A51,$C$6:$C$95,"&lt;"&amp;C51)+COUNTIFS($A$6:A51,A51,$C$6:C51,C51))</f>
        <v>1</v>
      </c>
    </row>
    <row r="52" customFormat="false" ht="15" hidden="false" customHeight="false" outlineLevel="0" collapsed="false">
      <c r="A52" s="13" t="s">
        <v>989</v>
      </c>
      <c r="B52" s="14" t="n">
        <v>20</v>
      </c>
      <c r="C52" s="14" t="n">
        <v>1</v>
      </c>
      <c r="D52" s="15" t="n">
        <v>46298</v>
      </c>
      <c r="E52" s="14"/>
      <c r="F52" s="9" t="s">
        <v>1962</v>
      </c>
      <c r="G52" s="10"/>
      <c r="H52" s="16" t="n">
        <f aca="false">IF(A52="","",COUNTIFS($A$6:$A$95,A52,$C$6:$C$95,"&lt;"&amp;C52)+COUNTIFS($A$6:A52,A52,$C$6:C52,C52))</f>
        <v>1</v>
      </c>
    </row>
    <row r="53" customFormat="false" ht="15" hidden="false" customHeight="false" outlineLevel="0" collapsed="false">
      <c r="A53" s="13" t="s">
        <v>1933</v>
      </c>
      <c r="B53" s="14" t="n">
        <v>25</v>
      </c>
      <c r="C53" s="14" t="n">
        <v>0.8</v>
      </c>
      <c r="D53" s="15" t="n">
        <v>46293</v>
      </c>
      <c r="E53" s="14"/>
      <c r="F53" s="9" t="s">
        <v>1965</v>
      </c>
      <c r="G53" s="10" t="s">
        <v>1966</v>
      </c>
      <c r="H53" s="16" t="n">
        <f aca="false">IF(A53="","",COUNTIFS($A$6:$A$95,A53,$C$6:$C$95,"&lt;"&amp;C53)+COUNTIFS($A$6:A53,A53,$C$6:C53,C53))</f>
        <v>1</v>
      </c>
    </row>
    <row r="54" customFormat="false" ht="15" hidden="false" customHeight="false" outlineLevel="0" collapsed="false">
      <c r="A54" s="13" t="s">
        <v>1934</v>
      </c>
      <c r="B54" s="14" t="n">
        <v>25</v>
      </c>
      <c r="C54" s="14" t="n">
        <v>0.8</v>
      </c>
      <c r="D54" s="15" t="n">
        <v>46293</v>
      </c>
      <c r="E54" s="14"/>
      <c r="F54" s="9" t="s">
        <v>1965</v>
      </c>
      <c r="G54" s="10" t="s">
        <v>1966</v>
      </c>
      <c r="H54" s="16" t="n">
        <f aca="false">IF(A54="","",COUNTIFS($A$6:$A$95,A54,$C$6:$C$95,"&lt;"&amp;C54)+COUNTIFS($A$6:A54,A54,$C$6:C54,C54))</f>
        <v>1</v>
      </c>
    </row>
    <row r="55" customFormat="false" ht="15" hidden="false" customHeight="false" outlineLevel="0" collapsed="false">
      <c r="A55" s="13" t="s">
        <v>1935</v>
      </c>
      <c r="B55" s="14" t="n">
        <v>25</v>
      </c>
      <c r="C55" s="14" t="n">
        <v>0.8</v>
      </c>
      <c r="D55" s="15" t="n">
        <v>46293</v>
      </c>
      <c r="E55" s="14"/>
      <c r="F55" s="9" t="s">
        <v>1965</v>
      </c>
      <c r="G55" s="10" t="s">
        <v>1966</v>
      </c>
      <c r="H55" s="16" t="n">
        <f aca="false">IF(A55="","",COUNTIFS($A$6:$A$95,A55,$C$6:$C$95,"&lt;"&amp;C55)+COUNTIFS($A$6:A55,A55,$C$6:C55,C55))</f>
        <v>1</v>
      </c>
    </row>
    <row r="56" customFormat="false" ht="15" hidden="false" customHeight="false" outlineLevel="0" collapsed="false">
      <c r="A56" s="13" t="s">
        <v>853</v>
      </c>
      <c r="B56" s="14" t="n">
        <v>15</v>
      </c>
      <c r="C56" s="14" t="n">
        <v>0.8</v>
      </c>
      <c r="D56" s="15" t="n">
        <v>46293</v>
      </c>
      <c r="E56" s="14"/>
      <c r="F56" s="9" t="s">
        <v>1965</v>
      </c>
      <c r="G56" s="10"/>
      <c r="H56" s="16" t="n">
        <f aca="false">IF(A56="","",COUNTIFS($A$6:$A$95,A56,$C$6:$C$95,"&lt;"&amp;C56)+COUNTIFS($A$6:A56,A56,$C$6:C56,C56))</f>
        <v>1</v>
      </c>
    </row>
    <row r="57" customFormat="false" ht="15" hidden="false" customHeight="false" outlineLevel="0" collapsed="false">
      <c r="A57" s="13" t="s">
        <v>871</v>
      </c>
      <c r="B57" s="14" t="n">
        <v>20</v>
      </c>
      <c r="C57" s="14" t="n">
        <v>0.8</v>
      </c>
      <c r="D57" s="15" t="n">
        <v>46293</v>
      </c>
      <c r="E57" s="14"/>
      <c r="F57" s="9" t="s">
        <v>1965</v>
      </c>
      <c r="G57" s="10"/>
      <c r="H57" s="16" t="n">
        <f aca="false">IF(A57="","",COUNTIFS($A$6:$A$95,A57,$C$6:$C$95,"&lt;"&amp;C57)+COUNTIFS($A$6:A57,A57,$C$6:C57,C57))</f>
        <v>1</v>
      </c>
    </row>
    <row r="58" customFormat="false" ht="15" hidden="false" customHeight="false" outlineLevel="0" collapsed="false">
      <c r="A58" s="13" t="s">
        <v>855</v>
      </c>
      <c r="B58" s="14" t="n">
        <v>15</v>
      </c>
      <c r="C58" s="14" t="n">
        <v>1</v>
      </c>
      <c r="D58" s="15" t="n">
        <v>46298</v>
      </c>
      <c r="E58" s="14"/>
      <c r="F58" s="9" t="s">
        <v>1962</v>
      </c>
      <c r="G58" s="10"/>
      <c r="H58" s="16" t="n">
        <f aca="false">IF(A58="","",COUNTIFS($A$6:$A$95,A58,$C$6:$C$95,"&lt;"&amp;C58)+COUNTIFS($A$6:A58,A58,$C$6:C58,C58))</f>
        <v>1</v>
      </c>
    </row>
    <row r="59" customFormat="false" ht="15" hidden="false" customHeight="false" outlineLevel="0" collapsed="false">
      <c r="A59" s="13" t="s">
        <v>857</v>
      </c>
      <c r="B59" s="14" t="n">
        <v>15</v>
      </c>
      <c r="C59" s="14" t="n">
        <v>1</v>
      </c>
      <c r="D59" s="15" t="n">
        <v>46298</v>
      </c>
      <c r="E59" s="14"/>
      <c r="F59" s="9" t="s">
        <v>1962</v>
      </c>
      <c r="G59" s="10"/>
      <c r="H59" s="16" t="n">
        <f aca="false">IF(A59="","",COUNTIFS($A$6:$A$95,A59,$C$6:$C$95,"&lt;"&amp;C59)+COUNTIFS($A$6:A59,A59,$C$6:C59,C59))</f>
        <v>1</v>
      </c>
    </row>
    <row r="60" customFormat="false" ht="15" hidden="false" customHeight="false" outlineLevel="0" collapsed="false">
      <c r="A60" s="13" t="s">
        <v>1920</v>
      </c>
      <c r="B60" s="14" t="n">
        <v>15</v>
      </c>
      <c r="C60" s="14" t="n">
        <v>0.8</v>
      </c>
      <c r="D60" s="15" t="n">
        <v>46293</v>
      </c>
      <c r="E60" s="14"/>
      <c r="F60" s="9" t="s">
        <v>1965</v>
      </c>
      <c r="G60" s="10" t="s">
        <v>1966</v>
      </c>
      <c r="H60" s="16" t="n">
        <f aca="false">IF(A60="","",COUNTIFS($A$6:$A$95,A60,$C$6:$C$95,"&lt;"&amp;C60)+COUNTIFS($A$6:A60,A60,$C$6:C60,C60))</f>
        <v>1</v>
      </c>
    </row>
    <row r="61" customFormat="false" ht="15" hidden="false" customHeight="false" outlineLevel="0" collapsed="false">
      <c r="A61" s="13" t="s">
        <v>1921</v>
      </c>
      <c r="B61" s="14" t="n">
        <v>30</v>
      </c>
      <c r="C61" s="14" t="n">
        <v>0.8</v>
      </c>
      <c r="D61" s="15" t="n">
        <v>46293</v>
      </c>
      <c r="E61" s="14"/>
      <c r="F61" s="9" t="s">
        <v>1965</v>
      </c>
      <c r="G61" s="10" t="s">
        <v>1966</v>
      </c>
      <c r="H61" s="16" t="n">
        <f aca="false">IF(A61="","",COUNTIFS($A$6:$A$95,A61,$C$6:$C$95,"&lt;"&amp;C61)+COUNTIFS($A$6:A61,A61,$C$6:C61,C61))</f>
        <v>1</v>
      </c>
    </row>
    <row r="62" customFormat="false" ht="15" hidden="false" customHeight="false" outlineLevel="0" collapsed="false">
      <c r="A62" s="13" t="s">
        <v>1922</v>
      </c>
      <c r="B62" s="14" t="n">
        <v>20</v>
      </c>
      <c r="C62" s="14" t="n">
        <v>0.8</v>
      </c>
      <c r="D62" s="15" t="n">
        <v>46293</v>
      </c>
      <c r="E62" s="14"/>
      <c r="F62" s="9" t="s">
        <v>1965</v>
      </c>
      <c r="G62" s="10" t="s">
        <v>1966</v>
      </c>
      <c r="H62" s="16" t="n">
        <f aca="false">IF(A62="","",COUNTIFS($A$6:$A$95,A62,$C$6:$C$95,"&lt;"&amp;C62)+COUNTIFS($A$6:A62,A62,$C$6:C62,C62))</f>
        <v>1</v>
      </c>
    </row>
    <row r="63" customFormat="false" ht="15" hidden="false" customHeight="false" outlineLevel="0" collapsed="false">
      <c r="A63" s="13" t="s">
        <v>1923</v>
      </c>
      <c r="B63" s="14" t="n">
        <v>20</v>
      </c>
      <c r="C63" s="14" t="n">
        <v>0.8</v>
      </c>
      <c r="D63" s="15" t="n">
        <v>46293</v>
      </c>
      <c r="E63" s="14"/>
      <c r="F63" s="9" t="s">
        <v>1965</v>
      </c>
      <c r="G63" s="10" t="s">
        <v>1966</v>
      </c>
      <c r="H63" s="16" t="n">
        <f aca="false">IF(A63="","",COUNTIFS($A$6:$A$95,A63,$C$6:$C$95,"&lt;"&amp;C63)+COUNTIFS($A$6:A63,A63,$C$6:C63,C63))</f>
        <v>1</v>
      </c>
    </row>
    <row r="64" customFormat="false" ht="15" hidden="false" customHeight="false" outlineLevel="0" collapsed="false">
      <c r="A64" s="13" t="s">
        <v>1924</v>
      </c>
      <c r="B64" s="14" t="n">
        <v>15</v>
      </c>
      <c r="C64" s="14" t="n">
        <v>0.8</v>
      </c>
      <c r="D64" s="15" t="n">
        <v>46293</v>
      </c>
      <c r="E64" s="14"/>
      <c r="F64" s="9" t="s">
        <v>1965</v>
      </c>
      <c r="G64" s="10" t="s">
        <v>1966</v>
      </c>
      <c r="H64" s="16" t="n">
        <f aca="false">IF(A64="","",COUNTIFS($A$6:$A$95,A64,$C$6:$C$95,"&lt;"&amp;C64)+COUNTIFS($A$6:A64,A64,$C$6:C64,C64))</f>
        <v>1</v>
      </c>
    </row>
    <row r="65" customFormat="false" ht="15" hidden="false" customHeight="false" outlineLevel="0" collapsed="false">
      <c r="A65" s="13" t="s">
        <v>1925</v>
      </c>
      <c r="B65" s="14" t="n">
        <v>15</v>
      </c>
      <c r="C65" s="14" t="n">
        <v>0.8</v>
      </c>
      <c r="D65" s="15" t="n">
        <v>46293</v>
      </c>
      <c r="E65" s="14"/>
      <c r="F65" s="9" t="s">
        <v>1965</v>
      </c>
      <c r="G65" s="10" t="s">
        <v>1966</v>
      </c>
      <c r="H65" s="16" t="n">
        <f aca="false">IF(A65="","",COUNTIFS($A$6:$A$95,A65,$C$6:$C$95,"&lt;"&amp;C65)+COUNTIFS($A$6:A65,A65,$C$6:C65,C65))</f>
        <v>1</v>
      </c>
    </row>
    <row r="66" customFormat="false" ht="15" hidden="false" customHeight="false" outlineLevel="0" collapsed="false">
      <c r="A66" s="13" t="s">
        <v>1926</v>
      </c>
      <c r="B66" s="14" t="n">
        <v>20</v>
      </c>
      <c r="C66" s="14" t="n">
        <v>0.8</v>
      </c>
      <c r="D66" s="15" t="n">
        <v>46293</v>
      </c>
      <c r="E66" s="14"/>
      <c r="F66" s="9" t="s">
        <v>1965</v>
      </c>
      <c r="G66" s="10" t="s">
        <v>1966</v>
      </c>
      <c r="H66" s="16" t="n">
        <f aca="false">IF(A66="","",COUNTIFS($A$6:$A$95,A66,$C$6:$C$95,"&lt;"&amp;C66)+COUNTIFS($A$6:A66,A66,$C$6:C66,C66))</f>
        <v>1</v>
      </c>
    </row>
    <row r="67" customFormat="false" ht="15" hidden="false" customHeight="false" outlineLevel="0" collapsed="false">
      <c r="A67" s="13" t="s">
        <v>1927</v>
      </c>
      <c r="B67" s="14" t="n">
        <v>20</v>
      </c>
      <c r="C67" s="14" t="n">
        <v>0.8</v>
      </c>
      <c r="D67" s="15" t="n">
        <v>46293</v>
      </c>
      <c r="E67" s="14"/>
      <c r="F67" s="9" t="s">
        <v>1965</v>
      </c>
      <c r="G67" s="10" t="s">
        <v>1966</v>
      </c>
      <c r="H67" s="16" t="n">
        <f aca="false">IF(A67="","",COUNTIFS($A$6:$A$95,A67,$C$6:$C$95,"&lt;"&amp;C67)+COUNTIFS($A$6:A67,A67,$C$6:C67,C67))</f>
        <v>1</v>
      </c>
    </row>
    <row r="68" customFormat="false" ht="15" hidden="false" customHeight="false" outlineLevel="0" collapsed="false">
      <c r="A68" s="13" t="s">
        <v>1928</v>
      </c>
      <c r="B68" s="14" t="n">
        <v>20</v>
      </c>
      <c r="C68" s="14" t="n">
        <v>0.8</v>
      </c>
      <c r="D68" s="15" t="n">
        <v>46293</v>
      </c>
      <c r="E68" s="14"/>
      <c r="F68" s="9" t="s">
        <v>1965</v>
      </c>
      <c r="G68" s="10" t="s">
        <v>1966</v>
      </c>
      <c r="H68" s="16" t="n">
        <f aca="false">IF(A68="","",COUNTIFS($A$6:$A$95,A68,$C$6:$C$95,"&lt;"&amp;C68)+COUNTIFS($A$6:A68,A68,$C$6:C68,C68))</f>
        <v>1</v>
      </c>
    </row>
    <row r="69" customFormat="false" ht="15" hidden="false" customHeight="false" outlineLevel="0" collapsed="false">
      <c r="A69" s="13" t="s">
        <v>1929</v>
      </c>
      <c r="B69" s="14" t="n">
        <v>20</v>
      </c>
      <c r="C69" s="14" t="n">
        <v>0.8</v>
      </c>
      <c r="D69" s="15" t="n">
        <v>46293</v>
      </c>
      <c r="E69" s="14"/>
      <c r="F69" s="9" t="s">
        <v>1965</v>
      </c>
      <c r="G69" s="10" t="s">
        <v>1966</v>
      </c>
      <c r="H69" s="16" t="n">
        <f aca="false">IF(A69="","",COUNTIFS($A$6:$A$95,A69,$C$6:$C$95,"&lt;"&amp;C69)+COUNTIFS($A$6:A69,A69,$C$6:C69,C69))</f>
        <v>1</v>
      </c>
    </row>
    <row r="70" customFormat="false" ht="15" hidden="false" customHeight="false" outlineLevel="0" collapsed="false">
      <c r="A70" s="13" t="s">
        <v>1930</v>
      </c>
      <c r="B70" s="14" t="n">
        <v>25</v>
      </c>
      <c r="C70" s="14" t="n">
        <v>0.8</v>
      </c>
      <c r="D70" s="15" t="n">
        <v>46293</v>
      </c>
      <c r="E70" s="14"/>
      <c r="F70" s="9" t="s">
        <v>1965</v>
      </c>
      <c r="G70" s="10" t="s">
        <v>1966</v>
      </c>
      <c r="H70" s="16" t="n">
        <f aca="false">IF(A70="","",COUNTIFS($A$6:$A$95,A70,$C$6:$C$95,"&lt;"&amp;C70)+COUNTIFS($A$6:A70,A70,$C$6:C70,C70))</f>
        <v>1</v>
      </c>
    </row>
    <row r="71" customFormat="false" ht="15" hidden="false" customHeight="false" outlineLevel="0" collapsed="false">
      <c r="A71" s="13" t="s">
        <v>1931</v>
      </c>
      <c r="B71" s="14" t="n">
        <v>35</v>
      </c>
      <c r="C71" s="14" t="n">
        <v>0.8</v>
      </c>
      <c r="D71" s="15" t="n">
        <v>46293</v>
      </c>
      <c r="E71" s="14"/>
      <c r="F71" s="9" t="s">
        <v>1965</v>
      </c>
      <c r="G71" s="10" t="s">
        <v>1966</v>
      </c>
      <c r="H71" s="16" t="n">
        <f aca="false">IF(A71="","",COUNTIFS($A$6:$A$95,A71,$C$6:$C$95,"&lt;"&amp;C71)+COUNTIFS($A$6:A71,A71,$C$6:C71,C71))</f>
        <v>1</v>
      </c>
    </row>
    <row r="72" customFormat="false" ht="15" hidden="false" customHeight="false" outlineLevel="0" collapsed="false">
      <c r="A72" s="13" t="s">
        <v>1932</v>
      </c>
      <c r="B72" s="14" t="n">
        <v>25</v>
      </c>
      <c r="C72" s="14" t="n">
        <v>0.8</v>
      </c>
      <c r="D72" s="15" t="n">
        <v>46293</v>
      </c>
      <c r="E72" s="14"/>
      <c r="F72" s="9" t="s">
        <v>1965</v>
      </c>
      <c r="G72" s="10" t="s">
        <v>1966</v>
      </c>
      <c r="H72" s="16" t="n">
        <f aca="false">IF(A72="","",COUNTIFS($A$6:$A$95,A72,$C$6:$C$95,"&lt;"&amp;C72)+COUNTIFS($A$6:A72,A72,$C$6:C72,C72))</f>
        <v>1</v>
      </c>
    </row>
    <row r="73" customFormat="false" ht="15" hidden="false" customHeight="false" outlineLevel="0" collapsed="false">
      <c r="A73" s="13" t="s">
        <v>1936</v>
      </c>
      <c r="B73" s="14" t="n">
        <v>40</v>
      </c>
      <c r="C73" s="14" t="n">
        <v>1</v>
      </c>
      <c r="D73" s="15" t="n">
        <v>46298</v>
      </c>
      <c r="E73" s="14"/>
      <c r="F73" s="9" t="s">
        <v>1962</v>
      </c>
      <c r="G73" s="10" t="s">
        <v>1966</v>
      </c>
      <c r="H73" s="16" t="n">
        <f aca="false">IF(A73="","",COUNTIFS($A$6:$A$95,A73,$C$6:$C$95,"&lt;"&amp;C73)+COUNTIFS($A$6:A73,A73,$C$6:C73,C73))</f>
        <v>1</v>
      </c>
    </row>
    <row r="74" customFormat="false" ht="15" hidden="false" customHeight="false" outlineLevel="0" collapsed="false">
      <c r="A74" s="13" t="s">
        <v>1937</v>
      </c>
      <c r="B74" s="14" t="n">
        <v>30</v>
      </c>
      <c r="C74" s="14" t="n">
        <v>1</v>
      </c>
      <c r="D74" s="15" t="n">
        <v>46298</v>
      </c>
      <c r="E74" s="14"/>
      <c r="F74" s="9" t="s">
        <v>1962</v>
      </c>
      <c r="G74" s="10" t="s">
        <v>1966</v>
      </c>
      <c r="H74" s="16" t="n">
        <f aca="false">IF(A74="","",COUNTIFS($A$6:$A$95,A74,$C$6:$C$95,"&lt;"&amp;C74)+COUNTIFS($A$6:A74,A74,$C$6:C74,C74))</f>
        <v>1</v>
      </c>
    </row>
    <row r="75" customFormat="false" ht="15" hidden="false" customHeight="false" outlineLevel="0" collapsed="false">
      <c r="A75" s="13" t="s">
        <v>1938</v>
      </c>
      <c r="B75" s="14" t="n">
        <v>30</v>
      </c>
      <c r="C75" s="14" t="n">
        <v>1</v>
      </c>
      <c r="D75" s="15" t="n">
        <v>46298</v>
      </c>
      <c r="E75" s="14"/>
      <c r="F75" s="9" t="s">
        <v>1962</v>
      </c>
      <c r="G75" s="10" t="s">
        <v>1966</v>
      </c>
      <c r="H75" s="16" t="n">
        <f aca="false">IF(A75="","",COUNTIFS($A$6:$A$95,A75,$C$6:$C$95,"&lt;"&amp;C75)+COUNTIFS($A$6:A75,A75,$C$6:C75,C75))</f>
        <v>1</v>
      </c>
    </row>
    <row r="76" customFormat="false" ht="15" hidden="false" customHeight="false" outlineLevel="0" collapsed="false">
      <c r="A76" s="4"/>
      <c r="B76" s="4"/>
      <c r="C76" s="4"/>
      <c r="D76" s="3"/>
      <c r="E76" s="4"/>
      <c r="F76" s="17"/>
      <c r="G76" s="17"/>
      <c r="H76" s="16" t="str">
        <f aca="false">IF(A76="","",COUNTIFS($A$6:$A$95,A76,$C$6:$C$95,"&lt;"&amp;C76)+COUNTIFS($A$6:A76,A76,$C$6:C76,C76))</f>
        <v/>
      </c>
    </row>
    <row r="77" customFormat="false" ht="15" hidden="false" customHeight="false" outlineLevel="0" collapsed="false">
      <c r="A77" s="4"/>
      <c r="B77" s="4"/>
      <c r="C77" s="4"/>
      <c r="D77" s="3"/>
      <c r="E77" s="4"/>
      <c r="F77" s="17"/>
      <c r="G77" s="17"/>
      <c r="H77" s="16" t="str">
        <f aca="false">IF(A77="","",COUNTIFS($A$6:$A$95,A77,$C$6:$C$95,"&lt;"&amp;C77)+COUNTIFS($A$6:A77,A77,$C$6:C77,C77))</f>
        <v/>
      </c>
    </row>
    <row r="78" customFormat="false" ht="15" hidden="false" customHeight="false" outlineLevel="0" collapsed="false">
      <c r="A78" s="4"/>
      <c r="B78" s="4"/>
      <c r="C78" s="4"/>
      <c r="D78" s="3"/>
      <c r="E78" s="4"/>
      <c r="F78" s="17"/>
      <c r="G78" s="17"/>
      <c r="H78" s="16" t="str">
        <f aca="false">IF(A78="","",COUNTIFS($A$6:$A$95,A78,$C$6:$C$95,"&lt;"&amp;C78)+COUNTIFS($A$6:A78,A78,$C$6:C78,C78))</f>
        <v/>
      </c>
    </row>
    <row r="79" customFormat="false" ht="15" hidden="false" customHeight="false" outlineLevel="0" collapsed="false">
      <c r="A79" s="4"/>
      <c r="B79" s="4"/>
      <c r="C79" s="4"/>
      <c r="D79" s="3"/>
      <c r="E79" s="4"/>
      <c r="F79" s="17"/>
      <c r="G79" s="17"/>
      <c r="H79" s="16" t="str">
        <f aca="false">IF(A79="","",COUNTIFS($A$6:$A$95,A79,$C$6:$C$95,"&lt;"&amp;C79)+COUNTIFS($A$6:A79,A79,$C$6:C79,C79))</f>
        <v/>
      </c>
    </row>
    <row r="80" customFormat="false" ht="15" hidden="false" customHeight="false" outlineLevel="0" collapsed="false">
      <c r="A80" s="4"/>
      <c r="B80" s="4"/>
      <c r="C80" s="4"/>
      <c r="D80" s="3"/>
      <c r="E80" s="4"/>
      <c r="F80" s="17"/>
      <c r="G80" s="17"/>
      <c r="H80" s="16" t="str">
        <f aca="false">IF(A80="","",COUNTIFS($A$6:$A$95,A80,$C$6:$C$95,"&lt;"&amp;C80)+COUNTIFS($A$6:A80,A80,$C$6:C80,C80))</f>
        <v/>
      </c>
    </row>
    <row r="81" customFormat="false" ht="15" hidden="false" customHeight="false" outlineLevel="0" collapsed="false">
      <c r="A81" s="4"/>
      <c r="B81" s="4"/>
      <c r="C81" s="4"/>
      <c r="D81" s="3"/>
      <c r="E81" s="4"/>
      <c r="F81" s="17"/>
      <c r="G81" s="17"/>
      <c r="H81" s="16" t="str">
        <f aca="false">IF(A81="","",COUNTIFS($A$6:$A$95,A81,$C$6:$C$95,"&lt;"&amp;C81)+COUNTIFS($A$6:A81,A81,$C$6:C81,C81))</f>
        <v/>
      </c>
    </row>
    <row r="82" customFormat="false" ht="15" hidden="false" customHeight="false" outlineLevel="0" collapsed="false">
      <c r="A82" s="4"/>
      <c r="B82" s="4"/>
      <c r="C82" s="4"/>
      <c r="D82" s="3"/>
      <c r="E82" s="4"/>
      <c r="F82" s="17"/>
      <c r="G82" s="17"/>
      <c r="H82" s="16" t="str">
        <f aca="false">IF(A82="","",COUNTIFS($A$6:$A$95,A82,$C$6:$C$95,"&lt;"&amp;C82)+COUNTIFS($A$6:A82,A82,$C$6:C82,C82))</f>
        <v/>
      </c>
    </row>
    <row r="83" customFormat="false" ht="15" hidden="false" customHeight="false" outlineLevel="0" collapsed="false">
      <c r="A83" s="4"/>
      <c r="B83" s="4"/>
      <c r="C83" s="4"/>
      <c r="D83" s="3"/>
      <c r="E83" s="4"/>
      <c r="F83" s="17"/>
      <c r="G83" s="17"/>
      <c r="H83" s="16" t="str">
        <f aca="false">IF(A83="","",COUNTIFS($A$6:$A$95,A83,$C$6:$C$95,"&lt;"&amp;C83)+COUNTIFS($A$6:A83,A83,$C$6:C83,C83))</f>
        <v/>
      </c>
    </row>
    <row r="84" customFormat="false" ht="15" hidden="false" customHeight="false" outlineLevel="0" collapsed="false">
      <c r="A84" s="4"/>
      <c r="B84" s="4"/>
      <c r="C84" s="4"/>
      <c r="D84" s="3"/>
      <c r="E84" s="4"/>
      <c r="F84" s="17"/>
      <c r="G84" s="17"/>
      <c r="H84" s="16" t="str">
        <f aca="false">IF(A84="","",COUNTIFS($A$6:$A$95,A84,$C$6:$C$95,"&lt;"&amp;C84)+COUNTIFS($A$6:A84,A84,$C$6:C84,C84))</f>
        <v/>
      </c>
    </row>
    <row r="85" customFormat="false" ht="15" hidden="false" customHeight="false" outlineLevel="0" collapsed="false">
      <c r="A85" s="4"/>
      <c r="B85" s="4"/>
      <c r="C85" s="4"/>
      <c r="D85" s="3"/>
      <c r="E85" s="4"/>
      <c r="F85" s="17"/>
      <c r="G85" s="17"/>
      <c r="H85" s="16" t="str">
        <f aca="false">IF(A85="","",COUNTIFS($A$6:$A$95,A85,$C$6:$C$95,"&lt;"&amp;C85)+COUNTIFS($A$6:A85,A85,$C$6:C85,C85))</f>
        <v/>
      </c>
    </row>
    <row r="86" customFormat="false" ht="15" hidden="false" customHeight="false" outlineLevel="0" collapsed="false">
      <c r="A86" s="4"/>
      <c r="B86" s="4"/>
      <c r="C86" s="4"/>
      <c r="D86" s="3"/>
      <c r="E86" s="4"/>
      <c r="F86" s="17"/>
      <c r="G86" s="17"/>
      <c r="H86" s="16" t="str">
        <f aca="false">IF(A86="","",COUNTIFS($A$6:$A$95,A86,$C$6:$C$95,"&lt;"&amp;C86)+COUNTIFS($A$6:A86,A86,$C$6:C86,C86))</f>
        <v/>
      </c>
    </row>
    <row r="87" customFormat="false" ht="15" hidden="false" customHeight="false" outlineLevel="0" collapsed="false">
      <c r="A87" s="4"/>
      <c r="B87" s="4"/>
      <c r="C87" s="4"/>
      <c r="D87" s="3"/>
      <c r="E87" s="4"/>
      <c r="F87" s="17"/>
      <c r="G87" s="17"/>
      <c r="H87" s="16" t="str">
        <f aca="false">IF(A87="","",COUNTIFS($A$6:$A$95,A87,$C$6:$C$95,"&lt;"&amp;C87)+COUNTIFS($A$6:A87,A87,$C$6:C87,C87))</f>
        <v/>
      </c>
    </row>
    <row r="88" customFormat="false" ht="15" hidden="false" customHeight="false" outlineLevel="0" collapsed="false">
      <c r="A88" s="4"/>
      <c r="B88" s="4"/>
      <c r="C88" s="4"/>
      <c r="D88" s="3"/>
      <c r="E88" s="4"/>
      <c r="F88" s="17"/>
      <c r="G88" s="17"/>
      <c r="H88" s="16" t="str">
        <f aca="false">IF(A88="","",COUNTIFS($A$6:$A$95,A88,$C$6:$C$95,"&lt;"&amp;C88)+COUNTIFS($A$6:A88,A88,$C$6:C88,C88))</f>
        <v/>
      </c>
    </row>
    <row r="89" customFormat="false" ht="15" hidden="false" customHeight="false" outlineLevel="0" collapsed="false">
      <c r="A89" s="4"/>
      <c r="B89" s="4"/>
      <c r="C89" s="4"/>
      <c r="D89" s="3"/>
      <c r="E89" s="4"/>
      <c r="F89" s="17"/>
      <c r="G89" s="17"/>
      <c r="H89" s="16" t="str">
        <f aca="false">IF(A89="","",COUNTIFS($A$6:$A$95,A89,$C$6:$C$95,"&lt;"&amp;C89)+COUNTIFS($A$6:A89,A89,$C$6:C89,C89))</f>
        <v/>
      </c>
    </row>
    <row r="90" customFormat="false" ht="15" hidden="false" customHeight="false" outlineLevel="0" collapsed="false">
      <c r="A90" s="4"/>
      <c r="B90" s="4"/>
      <c r="C90" s="4"/>
      <c r="D90" s="3"/>
      <c r="E90" s="4"/>
      <c r="F90" s="17"/>
      <c r="G90" s="17"/>
      <c r="H90" s="16" t="str">
        <f aca="false">IF(A90="","",COUNTIFS($A$6:$A$95,A90,$C$6:$C$95,"&lt;"&amp;C90)+COUNTIFS($A$6:A90,A90,$C$6:C90,C90))</f>
        <v/>
      </c>
    </row>
    <row r="91" customFormat="false" ht="15" hidden="false" customHeight="false" outlineLevel="0" collapsed="false">
      <c r="A91" s="4"/>
      <c r="B91" s="4"/>
      <c r="C91" s="4"/>
      <c r="D91" s="3"/>
      <c r="E91" s="4"/>
      <c r="F91" s="17"/>
      <c r="G91" s="17"/>
      <c r="H91" s="16" t="str">
        <f aca="false">IF(A91="","",COUNTIFS($A$6:$A$95,A91,$C$6:$C$95,"&lt;"&amp;C91)+COUNTIFS($A$6:A91,A91,$C$6:C91,C91))</f>
        <v/>
      </c>
    </row>
    <row r="92" customFormat="false" ht="15" hidden="false" customHeight="false" outlineLevel="0" collapsed="false">
      <c r="A92" s="4"/>
      <c r="B92" s="4"/>
      <c r="C92" s="4"/>
      <c r="D92" s="3"/>
      <c r="E92" s="4"/>
      <c r="F92" s="17"/>
      <c r="G92" s="17"/>
      <c r="H92" s="16" t="str">
        <f aca="false">IF(A92="","",COUNTIFS($A$6:$A$95,A92,$C$6:$C$95,"&lt;"&amp;C92)+COUNTIFS($A$6:A92,A92,$C$6:C92,C92))</f>
        <v/>
      </c>
    </row>
    <row r="93" customFormat="false" ht="15" hidden="false" customHeight="false" outlineLevel="0" collapsed="false">
      <c r="A93" s="4"/>
      <c r="B93" s="4"/>
      <c r="C93" s="4"/>
      <c r="D93" s="3"/>
      <c r="E93" s="4"/>
      <c r="F93" s="17"/>
      <c r="G93" s="17"/>
      <c r="H93" s="16" t="str">
        <f aca="false">IF(A93="","",COUNTIFS($A$6:$A$95,A93,$C$6:$C$95,"&lt;"&amp;C93)+COUNTIFS($A$6:A93,A93,$C$6:C93,C93))</f>
        <v/>
      </c>
    </row>
    <row r="94" customFormat="false" ht="15" hidden="false" customHeight="false" outlineLevel="0" collapsed="false">
      <c r="A94" s="4"/>
      <c r="B94" s="4"/>
      <c r="C94" s="4"/>
      <c r="D94" s="3"/>
      <c r="E94" s="4"/>
      <c r="F94" s="17"/>
      <c r="G94" s="17"/>
      <c r="H94" s="16" t="str">
        <f aca="false">IF(A94="","",COUNTIFS($A$6:$A$95,A94,$C$6:$C$95,"&lt;"&amp;C94)+COUNTIFS($A$6:A94,A94,$C$6:C94,C94))</f>
        <v/>
      </c>
    </row>
    <row r="95" customFormat="false" ht="15" hidden="false" customHeight="false" outlineLevel="0" collapsed="false">
      <c r="A95" s="4"/>
      <c r="B95" s="4"/>
      <c r="C95" s="4"/>
      <c r="D95" s="3"/>
      <c r="E95" s="4"/>
      <c r="F95" s="17"/>
      <c r="G95" s="17"/>
      <c r="H95" s="16" t="str">
        <f aca="false">IF(A95="","",COUNTIFS($A$6:$A$95,A95,$C$6:$C$95,"&lt;"&amp;C95)+COUNTIFS($A$6:A95,A95,$C$6:C95,C95))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9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2"/>
    <col collapsed="false" customWidth="true" hidden="false" outlineLevel="0" max="3" min="3" style="0" width="9"/>
    <col collapsed="false" customWidth="true" hidden="false" outlineLevel="0" max="4" min="4" style="0" width="28"/>
    <col collapsed="false" customWidth="true" hidden="false" outlineLevel="0" max="7" min="5" style="0" width="11"/>
    <col collapsed="false" customWidth="true" hidden="false" outlineLevel="0" max="8" min="8" style="0" width="10"/>
    <col collapsed="false" customWidth="true" hidden="false" outlineLevel="0" max="9" min="9" style="0" width="11"/>
    <col collapsed="false" customWidth="true" hidden="false" outlineLevel="0" max="10" min="10" style="0" width="9"/>
    <col collapsed="false" customWidth="true" hidden="false" outlineLevel="0" max="11" min="11" style="0" width="10"/>
    <col collapsed="false" customWidth="true" hidden="false" outlineLevel="0" max="12" min="12" style="0" width="9"/>
    <col collapsed="false" customWidth="true" hidden="false" outlineLevel="0" max="13" min="13" style="0" width="10"/>
    <col collapsed="false" customWidth="true" hidden="false" outlineLevel="0" max="14" min="14" style="0" width="9"/>
    <col collapsed="false" customWidth="true" hidden="false" outlineLevel="0" max="15" min="15" style="0" width="10"/>
    <col collapsed="false" customWidth="true" hidden="false" outlineLevel="0" max="16" min="16" style="0" width="11"/>
    <col collapsed="false" customWidth="true" hidden="false" outlineLevel="0" max="17" min="17" style="0" width="28"/>
    <col collapsed="false" customWidth="true" hidden="false" outlineLevel="0" max="30" min="19" style="0" width="7"/>
  </cols>
  <sheetData>
    <row r="1" customFormat="false" ht="17.35" hidden="false" customHeight="false" outlineLevel="0" collapsed="false">
      <c r="A1" s="1" t="s">
        <v>1967</v>
      </c>
    </row>
    <row r="2" customFormat="false" ht="15" hidden="false" customHeight="false" outlineLevel="0" collapsed="false">
      <c r="A2" s="5" t="s">
        <v>1968</v>
      </c>
    </row>
    <row r="4" customFormat="false" ht="35.05" hidden="false" customHeight="false" outlineLevel="0" collapsed="false">
      <c r="A4" s="6" t="s">
        <v>1969</v>
      </c>
      <c r="B4" s="6" t="s">
        <v>9</v>
      </c>
      <c r="C4" s="6" t="s">
        <v>1970</v>
      </c>
      <c r="D4" s="6" t="s">
        <v>1971</v>
      </c>
      <c r="E4" s="6" t="s">
        <v>1972</v>
      </c>
      <c r="F4" s="6" t="s">
        <v>1973</v>
      </c>
      <c r="G4" s="6" t="s">
        <v>1974</v>
      </c>
      <c r="H4" s="6" t="s">
        <v>1951</v>
      </c>
      <c r="I4" s="6" t="s">
        <v>1975</v>
      </c>
      <c r="J4" s="6" t="s">
        <v>1976</v>
      </c>
      <c r="K4" s="6" t="s">
        <v>1977</v>
      </c>
      <c r="L4" s="6" t="s">
        <v>1978</v>
      </c>
      <c r="M4" s="6" t="s">
        <v>1979</v>
      </c>
      <c r="N4" s="6" t="s">
        <v>1980</v>
      </c>
      <c r="O4" s="6" t="s">
        <v>1981</v>
      </c>
      <c r="P4" s="6" t="s">
        <v>1982</v>
      </c>
      <c r="Q4" s="6" t="s">
        <v>1983</v>
      </c>
      <c r="S4" s="18" t="s">
        <v>1984</v>
      </c>
      <c r="T4" s="18" t="s">
        <v>1985</v>
      </c>
      <c r="U4" s="18" t="s">
        <v>1986</v>
      </c>
      <c r="V4" s="18" t="s">
        <v>1987</v>
      </c>
      <c r="W4" s="18" t="s">
        <v>1988</v>
      </c>
      <c r="X4" s="18" t="s">
        <v>1989</v>
      </c>
      <c r="Y4" s="18" t="s">
        <v>1990</v>
      </c>
      <c r="Z4" s="18" t="s">
        <v>1991</v>
      </c>
      <c r="AA4" s="18" t="s">
        <v>1992</v>
      </c>
      <c r="AB4" s="18" t="s">
        <v>1993</v>
      </c>
      <c r="AC4" s="18" t="s">
        <v>1994</v>
      </c>
      <c r="AD4" s="18" t="s">
        <v>1995</v>
      </c>
    </row>
    <row r="5" customFormat="false" ht="15" hidden="false" customHeight="false" outlineLevel="0" collapsed="false">
      <c r="A5" s="11" t="str">
        <f aca="false">PODACI_ZALIHE!A2</f>
        <v>16958</v>
      </c>
      <c r="B5" s="8" t="str">
        <f aca="false">PODACI_ZALIHE!B2</f>
        <v>KERAMIČKI OVLAŽIVAČ ZRAKA ZA RADIJATOR 20x8.5x3.5 cm</v>
      </c>
      <c r="C5" s="9" t="n">
        <f aca="false">PODACI_ZALIHE!C2</f>
        <v>0</v>
      </c>
      <c r="D5" s="8" t="n">
        <f aca="false">PODACI_ZALIHE!D2</f>
        <v>0</v>
      </c>
      <c r="E5" s="19" t="n">
        <f aca="false">IF(PODACI_ZALIHE!E2="","",PODACI_ZALIHE!E2)</f>
        <v>1595</v>
      </c>
      <c r="F5" s="20" t="n">
        <f aca="false">PODACI_ZALIHE!F2</f>
        <v>1595</v>
      </c>
      <c r="G5" s="19" t="n">
        <f aca="false">IF(E5="","",E5-F5)</f>
        <v>0</v>
      </c>
      <c r="H5" s="9" t="n">
        <f aca="false">PODACI_PRODAJA!N258</f>
        <v>175.63</v>
      </c>
      <c r="I5" s="21" t="n">
        <f aca="false">IF(H5&lt;=0,999,ROUND(F5/H5,1))</f>
        <v>9.1</v>
      </c>
      <c r="J5" s="9" t="n">
        <f aca="false">SUMIFS(ROBA_U_DOLASKU!$C$6:$C$95,ROBA_U_DOLASKU!$A$6:$A$95,A5,ROBA_U_DOLASKU!$H$6:$H$95,1)</f>
        <v>0</v>
      </c>
      <c r="K5" s="9" t="n">
        <f aca="false">SUMIFS(ROBA_U_DOLASKU!$B$6:$B$95,ROBA_U_DOLASKU!$A$6:$A$95,A5,ROBA_U_DOLASKU!$H$6:$H$95,1)</f>
        <v>0</v>
      </c>
      <c r="L5" s="9" t="n">
        <f aca="false">SUMIFS(ROBA_U_DOLASKU!$C$6:$C$95,ROBA_U_DOLASKU!$A$6:$A$95,A5,ROBA_U_DOLASKU!$H$6:$H$95,2)</f>
        <v>0</v>
      </c>
      <c r="M5" s="9" t="n">
        <f aca="false">SUMIFS(ROBA_U_DOLASKU!$B$6:$B$95,ROBA_U_DOLASKU!$A$6:$A$95,A5,ROBA_U_DOLASKU!$H$6:$H$95,2)</f>
        <v>0</v>
      </c>
      <c r="N5" s="9" t="n">
        <f aca="false">SUMIFS(ROBA_U_DOLASKU!$C$6:$C$95,ROBA_U_DOLASKU!$A$6:$A$95,A5,ROBA_U_DOLASKU!$H$6:$H$95,3)</f>
        <v>0</v>
      </c>
      <c r="O5" s="9" t="n">
        <f aca="false">SUMIFS(ROBA_U_DOLASKU!$B$6:$B$95,ROBA_U_DOLASKU!$A$6:$A$95,A5,ROBA_U_DOLASKU!$H$6:$H$95,3)</f>
        <v>0</v>
      </c>
      <c r="P5" s="9" t="n">
        <f aca="false">IF(H5&lt;=0,999,IF(O5&gt;0,ROUND((F5-H5*N5+K5+M5+O5)/H5,1),IF(M5&gt;0,ROUND((F5-H5*L5+K5+M5)/H5,1),IF(K5&gt;0,ROUND((F5-H5*J5+K5)/H5,1),I5))))</f>
        <v>9.1</v>
      </c>
      <c r="Q5" s="22" t="str">
        <f aca="false">IF(H5&lt;=0,"Nema prodaje",IF(AND(K5=0,M5=0,O5=0),IF(I5&lt;POSTAVKE!$B$6,"Naruči odmah","Sve u redu"),IF(F5-H5*J5&lt;0,"Rupa za ~"&amp;TEXT(I5,"0.0")&amp;" mj.",IF(AND(M5&gt;0,F5-H5*L5+K5&lt;0),"Rupa nakon 1. dolaska",IF(AND(O5&gt;0,F5-H5*N5+K5+M5&lt;0),"Rupa nakon 2. dolaska",IF(P5&lt;POSTAVKE!$B$6,"Količina nije dovoljna",IF(I5&gt;=POSTAVKE!$B$6,"Sve u redu","Stiže na vrijeme")))))))</f>
        <v>Sve u redu</v>
      </c>
      <c r="S5" s="23" t="n">
        <f aca="false">IFERROR(INDEX(PODACI_PRODAJA!B:B,MATCH($A5,PODACI_PRODAJA!$A:$A,0)),0)</f>
        <v>1</v>
      </c>
      <c r="T5" s="23" t="n">
        <f aca="false">IFERROR(INDEX(PODACI_PRODAJA!C:C,MATCH($A5,PODACI_PRODAJA!$A:$A,0)),0)</f>
        <v>-1</v>
      </c>
      <c r="U5" s="23" t="n">
        <f aca="false">IFERROR(INDEX(PODACI_PRODAJA!D:D,MATCH($A5,PODACI_PRODAJA!$A:$A,0)),0)</f>
        <v>1405</v>
      </c>
      <c r="V5" s="23" t="n">
        <f aca="false">IFERROR(INDEX(PODACI_PRODAJA!E:E,MATCH($A5,PODACI_PRODAJA!$A:$A,0)),0)</f>
        <v>0</v>
      </c>
      <c r="W5" s="23" t="n">
        <f aca="false">IFERROR(INDEX(PODACI_PRODAJA!F:F,MATCH($A5,PODACI_PRODAJA!$A:$A,0)),0)</f>
        <v>0</v>
      </c>
      <c r="X5" s="23" t="n">
        <f aca="false">IFERROR(INDEX(PODACI_PRODAJA!G:G,MATCH($A5,PODACI_PRODAJA!$A:$A,0)),0)</f>
        <v>0</v>
      </c>
      <c r="Y5" s="23" t="n">
        <f aca="false">IFERROR(INDEX(PODACI_PRODAJA!H:H,MATCH($A5,PODACI_PRODAJA!$A:$A,0)),0)</f>
        <v>0</v>
      </c>
      <c r="Z5" s="23" t="n">
        <f aca="false">IFERROR(INDEX(PODACI_PRODAJA!I:I,MATCH($A5,PODACI_PRODAJA!$A:$A,0)),0)</f>
        <v>0</v>
      </c>
      <c r="AA5" s="23" t="n">
        <f aca="false">IFERROR(INDEX(PODACI_PRODAJA!J:J,MATCH($A5,PODACI_PRODAJA!$A:$A,0)),0)</f>
        <v>0</v>
      </c>
      <c r="AB5" s="23" t="n">
        <f aca="false">IFERROR(INDEX(PODACI_PRODAJA!K:K,MATCH($A5,PODACI_PRODAJA!$A:$A,0)),0)</f>
        <v>0</v>
      </c>
      <c r="AC5" s="23" t="n">
        <f aca="false">IFERROR(INDEX(PODACI_PRODAJA!L:L,MATCH($A5,PODACI_PRODAJA!$A:$A,0)),0)</f>
        <v>0</v>
      </c>
      <c r="AD5" s="23" t="n">
        <f aca="false">IFERROR(INDEX(PODACI_PRODAJA!M:M,MATCH($A5,PODACI_PRODAJA!$A:$A,0)),0)</f>
        <v>0</v>
      </c>
    </row>
    <row r="6" customFormat="false" ht="15" hidden="false" customHeight="false" outlineLevel="0" collapsed="false">
      <c r="A6" s="11" t="str">
        <f aca="false">PODACI_ZALIHE!A3</f>
        <v>00617</v>
      </c>
      <c r="B6" s="8" t="str">
        <f aca="false">PODACI_ZALIHE!B3</f>
        <v>MIJEŠALICA ZA SUDOPER PROTOČNI BOJLER</v>
      </c>
      <c r="C6" s="9" t="str">
        <f aca="false">PODACI_ZALIHE!C3</f>
        <v>2974</v>
      </c>
      <c r="D6" s="8" t="str">
        <f aca="false">PODACI_ZALIHE!D3</f>
        <v>TAIZHOU MINUOTE SANITARY WARES CO.,LTD.</v>
      </c>
      <c r="E6" s="19" t="n">
        <f aca="false">IF(PODACI_ZALIHE!E3="","",PODACI_ZALIHE!E3)</f>
        <v>932</v>
      </c>
      <c r="F6" s="20" t="n">
        <f aca="false">PODACI_ZALIHE!F3</f>
        <v>932</v>
      </c>
      <c r="G6" s="19" t="n">
        <f aca="false">IF(E6="","",E6-F6)</f>
        <v>0</v>
      </c>
      <c r="H6" s="9" t="n">
        <f aca="false">PODACI_PRODAJA!N16</f>
        <v>42.38</v>
      </c>
      <c r="I6" s="21" t="n">
        <f aca="false">IF(H6&lt;=0,999,ROUND(F6/H6,1))</f>
        <v>22</v>
      </c>
      <c r="J6" s="9" t="n">
        <f aca="false">SUMIFS(ROBA_U_DOLASKU!$C$6:$C$95,ROBA_U_DOLASKU!$A$6:$A$95,A6,ROBA_U_DOLASKU!$H$6:$H$95,1)</f>
        <v>0</v>
      </c>
      <c r="K6" s="9" t="n">
        <f aca="false">SUMIFS(ROBA_U_DOLASKU!$B$6:$B$95,ROBA_U_DOLASKU!$A$6:$A$95,A6,ROBA_U_DOLASKU!$H$6:$H$95,1)</f>
        <v>0</v>
      </c>
      <c r="L6" s="9" t="n">
        <f aca="false">SUMIFS(ROBA_U_DOLASKU!$C$6:$C$95,ROBA_U_DOLASKU!$A$6:$A$95,A6,ROBA_U_DOLASKU!$H$6:$H$95,2)</f>
        <v>0</v>
      </c>
      <c r="M6" s="9" t="n">
        <f aca="false">SUMIFS(ROBA_U_DOLASKU!$B$6:$B$95,ROBA_U_DOLASKU!$A$6:$A$95,A6,ROBA_U_DOLASKU!$H$6:$H$95,2)</f>
        <v>0</v>
      </c>
      <c r="N6" s="9" t="n">
        <f aca="false">SUMIFS(ROBA_U_DOLASKU!$C$6:$C$95,ROBA_U_DOLASKU!$A$6:$A$95,A6,ROBA_U_DOLASKU!$H$6:$H$95,3)</f>
        <v>0</v>
      </c>
      <c r="O6" s="9" t="n">
        <f aca="false">SUMIFS(ROBA_U_DOLASKU!$B$6:$B$95,ROBA_U_DOLASKU!$A$6:$A$95,A6,ROBA_U_DOLASKU!$H$6:$H$95,3)</f>
        <v>0</v>
      </c>
      <c r="P6" s="9" t="n">
        <f aca="false">IF(H6&lt;=0,999,IF(O6&gt;0,ROUND((F6-H6*N6+K6+M6+O6)/H6,1),IF(M6&gt;0,ROUND((F6-H6*L6+K6+M6)/H6,1),IF(K6&gt;0,ROUND((F6-H6*J6+K6)/H6,1),I6))))</f>
        <v>22</v>
      </c>
      <c r="Q6" s="22" t="str">
        <f aca="false">IF(H6&lt;=0,"Nema prodaje",IF(AND(K6=0,M6=0,O6=0),IF(I6&lt;POSTAVKE!$B$6,"Naruči odmah","Sve u redu"),IF(F6-H6*J6&lt;0,"Rupa za ~"&amp;TEXT(I6,"0.0")&amp;" mj.",IF(AND(M6&gt;0,F6-H6*L6+K6&lt;0),"Rupa nakon 1. dolaska",IF(AND(O6&gt;0,F6-H6*N6+K6+M6&lt;0),"Rupa nakon 2. dolaska",IF(P6&lt;POSTAVKE!$B$6,"Količina nije dovoljna",IF(I6&gt;=POSTAVKE!$B$6,"Sve u redu","Stiže na vrijeme")))))))</f>
        <v>Sve u redu</v>
      </c>
      <c r="S6" s="23" t="n">
        <f aca="false">IFERROR(INDEX(PODACI_PRODAJA!B:B,MATCH($A6,PODACI_PRODAJA!$A:$A,0)),0)</f>
        <v>50</v>
      </c>
      <c r="T6" s="23" t="n">
        <f aca="false">IFERROR(INDEX(PODACI_PRODAJA!C:C,MATCH($A6,PODACI_PRODAJA!$A:$A,0)),0)</f>
        <v>36</v>
      </c>
      <c r="U6" s="23" t="n">
        <f aca="false">IFERROR(INDEX(PODACI_PRODAJA!D:D,MATCH($A6,PODACI_PRODAJA!$A:$A,0)),0)</f>
        <v>40</v>
      </c>
      <c r="V6" s="23" t="n">
        <f aca="false">IFERROR(INDEX(PODACI_PRODAJA!E:E,MATCH($A6,PODACI_PRODAJA!$A:$A,0)),0)</f>
        <v>34</v>
      </c>
      <c r="W6" s="23" t="n">
        <f aca="false">IFERROR(INDEX(PODACI_PRODAJA!F:F,MATCH($A6,PODACI_PRODAJA!$A:$A,0)),0)</f>
        <v>45</v>
      </c>
      <c r="X6" s="23" t="n">
        <f aca="false">IFERROR(INDEX(PODACI_PRODAJA!G:G,MATCH($A6,PODACI_PRODAJA!$A:$A,0)),0)</f>
        <v>41</v>
      </c>
      <c r="Y6" s="23" t="n">
        <f aca="false">IFERROR(INDEX(PODACI_PRODAJA!H:H,MATCH($A6,PODACI_PRODAJA!$A:$A,0)),0)</f>
        <v>52</v>
      </c>
      <c r="Z6" s="23" t="n">
        <f aca="false">IFERROR(INDEX(PODACI_PRODAJA!I:I,MATCH($A6,PODACI_PRODAJA!$A:$A,0)),0)</f>
        <v>41</v>
      </c>
      <c r="AA6" s="23" t="n">
        <f aca="false">IFERROR(INDEX(PODACI_PRODAJA!J:J,MATCH($A6,PODACI_PRODAJA!$A:$A,0)),0)</f>
        <v>0</v>
      </c>
      <c r="AB6" s="23" t="n">
        <f aca="false">IFERROR(INDEX(PODACI_PRODAJA!K:K,MATCH($A6,PODACI_PRODAJA!$A:$A,0)),0)</f>
        <v>0</v>
      </c>
      <c r="AC6" s="23" t="n">
        <f aca="false">IFERROR(INDEX(PODACI_PRODAJA!L:L,MATCH($A6,PODACI_PRODAJA!$A:$A,0)),0)</f>
        <v>0</v>
      </c>
      <c r="AD6" s="23" t="n">
        <f aca="false">IFERROR(INDEX(PODACI_PRODAJA!M:M,MATCH($A6,PODACI_PRODAJA!$A:$A,0)),0)</f>
        <v>0</v>
      </c>
    </row>
    <row r="7" customFormat="false" ht="15" hidden="false" customHeight="false" outlineLevel="0" collapsed="false">
      <c r="A7" s="11" t="str">
        <f aca="false">PODACI_ZALIHE!A4</f>
        <v>00836</v>
      </c>
      <c r="B7" s="8" t="str">
        <f aca="false">PODACI_ZALIHE!B4</f>
        <v>GL11428 SIFON ZA TUŠ KADU LUX 60 mm</v>
      </c>
      <c r="C7" s="9" t="str">
        <f aca="false">PODACI_ZALIHE!C4</f>
        <v>3291</v>
      </c>
      <c r="D7" s="8" t="str">
        <f aca="false">PODACI_ZALIHE!D4</f>
        <v>TEHNOEXPORT D.O.O.</v>
      </c>
      <c r="E7" s="19" t="n">
        <f aca="false">IF(PODACI_ZALIHE!E4="","",PODACI_ZALIHE!E4)</f>
        <v>664</v>
      </c>
      <c r="F7" s="20" t="n">
        <f aca="false">PODACI_ZALIHE!F4</f>
        <v>561</v>
      </c>
      <c r="G7" s="19" t="n">
        <f aca="false">IF(E7="","",E7-F7)</f>
        <v>103</v>
      </c>
      <c r="H7" s="9" t="n">
        <f aca="false">PODACI_PRODAJA!N2</f>
        <v>264</v>
      </c>
      <c r="I7" s="21" t="n">
        <f aca="false">IF(H7&lt;=0,999,ROUND(F7/H7,1))</f>
        <v>2.1</v>
      </c>
      <c r="J7" s="9" t="n">
        <f aca="false">SUMIFS(ROBA_U_DOLASKU!$C$6:$C$95,ROBA_U_DOLASKU!$A$6:$A$95,A7,ROBA_U_DOLASKU!$H$6:$H$95,1)</f>
        <v>0</v>
      </c>
      <c r="K7" s="9" t="n">
        <f aca="false">SUMIFS(ROBA_U_DOLASKU!$B$6:$B$95,ROBA_U_DOLASKU!$A$6:$A$95,A7,ROBA_U_DOLASKU!$H$6:$H$95,1)</f>
        <v>0</v>
      </c>
      <c r="L7" s="9" t="n">
        <f aca="false">SUMIFS(ROBA_U_DOLASKU!$C$6:$C$95,ROBA_U_DOLASKU!$A$6:$A$95,A7,ROBA_U_DOLASKU!$H$6:$H$95,2)</f>
        <v>0</v>
      </c>
      <c r="M7" s="9" t="n">
        <f aca="false">SUMIFS(ROBA_U_DOLASKU!$B$6:$B$95,ROBA_U_DOLASKU!$A$6:$A$95,A7,ROBA_U_DOLASKU!$H$6:$H$95,2)</f>
        <v>0</v>
      </c>
      <c r="N7" s="9" t="n">
        <f aca="false">SUMIFS(ROBA_U_DOLASKU!$C$6:$C$95,ROBA_U_DOLASKU!$A$6:$A$95,A7,ROBA_U_DOLASKU!$H$6:$H$95,3)</f>
        <v>0</v>
      </c>
      <c r="O7" s="9" t="n">
        <f aca="false">SUMIFS(ROBA_U_DOLASKU!$B$6:$B$95,ROBA_U_DOLASKU!$A$6:$A$95,A7,ROBA_U_DOLASKU!$H$6:$H$95,3)</f>
        <v>0</v>
      </c>
      <c r="P7" s="9" t="n">
        <f aca="false">IF(H7&lt;=0,999,IF(O7&gt;0,ROUND((F7-H7*N7+K7+M7+O7)/H7,1),IF(M7&gt;0,ROUND((F7-H7*L7+K7+M7)/H7,1),IF(K7&gt;0,ROUND((F7-H7*J7+K7)/H7,1),I7))))</f>
        <v>2.1</v>
      </c>
      <c r="Q7" s="22" t="str">
        <f aca="false">IF(H7&lt;=0,"Nema prodaje",IF(AND(K7=0,M7=0,O7=0),IF(I7&lt;POSTAVKE!$B$6,"Naruči odmah","Sve u redu"),IF(F7-H7*J7&lt;0,"Rupa za ~"&amp;TEXT(I7,"0.0")&amp;" mj.",IF(AND(M7&gt;0,F7-H7*L7+K7&lt;0),"Rupa nakon 1. dolaska",IF(AND(O7&gt;0,F7-H7*N7+K7+M7&lt;0),"Rupa nakon 2. dolaska",IF(P7&lt;POSTAVKE!$B$6,"Količina nije dovoljna",IF(I7&gt;=POSTAVKE!$B$6,"Sve u redu","Stiže na vrijeme")))))))</f>
        <v>Naruči odmah</v>
      </c>
      <c r="S7" s="23" t="n">
        <f aca="false">IFERROR(INDEX(PODACI_PRODAJA!B:B,MATCH($A7,PODACI_PRODAJA!$A:$A,0)),0)</f>
        <v>195</v>
      </c>
      <c r="T7" s="23" t="n">
        <f aca="false">IFERROR(INDEX(PODACI_PRODAJA!C:C,MATCH($A7,PODACI_PRODAJA!$A:$A,0)),0)</f>
        <v>251</v>
      </c>
      <c r="U7" s="23" t="n">
        <f aca="false">IFERROR(INDEX(PODACI_PRODAJA!D:D,MATCH($A7,PODACI_PRODAJA!$A:$A,0)),0)</f>
        <v>334</v>
      </c>
      <c r="V7" s="23" t="n">
        <f aca="false">IFERROR(INDEX(PODACI_PRODAJA!E:E,MATCH($A7,PODACI_PRODAJA!$A:$A,0)),0)</f>
        <v>325</v>
      </c>
      <c r="W7" s="23" t="n">
        <f aca="false">IFERROR(INDEX(PODACI_PRODAJA!F:F,MATCH($A7,PODACI_PRODAJA!$A:$A,0)),0)</f>
        <v>183</v>
      </c>
      <c r="X7" s="23" t="n">
        <f aca="false">IFERROR(INDEX(PODACI_PRODAJA!G:G,MATCH($A7,PODACI_PRODAJA!$A:$A,0)),0)</f>
        <v>276</v>
      </c>
      <c r="Y7" s="23" t="n">
        <f aca="false">IFERROR(INDEX(PODACI_PRODAJA!H:H,MATCH($A7,PODACI_PRODAJA!$A:$A,0)),0)</f>
        <v>303</v>
      </c>
      <c r="Z7" s="23" t="n">
        <f aca="false">IFERROR(INDEX(PODACI_PRODAJA!I:I,MATCH($A7,PODACI_PRODAJA!$A:$A,0)),0)</f>
        <v>245</v>
      </c>
      <c r="AA7" s="23" t="n">
        <f aca="false">IFERROR(INDEX(PODACI_PRODAJA!J:J,MATCH($A7,PODACI_PRODAJA!$A:$A,0)),0)</f>
        <v>103</v>
      </c>
      <c r="AB7" s="23" t="n">
        <f aca="false">IFERROR(INDEX(PODACI_PRODAJA!K:K,MATCH($A7,PODACI_PRODAJA!$A:$A,0)),0)</f>
        <v>0</v>
      </c>
      <c r="AC7" s="23" t="n">
        <f aca="false">IFERROR(INDEX(PODACI_PRODAJA!L:L,MATCH($A7,PODACI_PRODAJA!$A:$A,0)),0)</f>
        <v>0</v>
      </c>
      <c r="AD7" s="23" t="n">
        <f aca="false">IFERROR(INDEX(PODACI_PRODAJA!M:M,MATCH($A7,PODACI_PRODAJA!$A:$A,0)),0)</f>
        <v>0</v>
      </c>
    </row>
    <row r="8" customFormat="false" ht="15" hidden="false" customHeight="false" outlineLevel="0" collapsed="false">
      <c r="A8" s="11" t="str">
        <f aca="false">PODACI_ZALIHE!A5</f>
        <v>16856</v>
      </c>
      <c r="B8" s="8" t="str">
        <f aca="false">PODACI_ZALIHE!B5</f>
        <v>MOHO WC MONOBLOK PODNI ODVOD 665x375x725 mm</v>
      </c>
      <c r="C8" s="9" t="n">
        <f aca="false">PODACI_ZALIHE!C5</f>
        <v>0</v>
      </c>
      <c r="D8" s="8" t="n">
        <f aca="false">PODACI_ZALIHE!D5</f>
        <v>0</v>
      </c>
      <c r="E8" s="19" t="n">
        <f aca="false">IF(PODACI_ZALIHE!E5="","",PODACI_ZALIHE!E5)</f>
        <v>526</v>
      </c>
      <c r="F8" s="20" t="n">
        <f aca="false">PODACI_ZALIHE!F5</f>
        <v>526</v>
      </c>
      <c r="G8" s="19" t="n">
        <f aca="false">IF(E8="","",E8-F8)</f>
        <v>0</v>
      </c>
      <c r="H8" s="9" t="n">
        <f aca="false">PODACI_PRODAJA!N203</f>
        <v>3.88</v>
      </c>
      <c r="I8" s="21" t="n">
        <f aca="false">IF(H8&lt;=0,999,ROUND(F8/H8,1))</f>
        <v>135.6</v>
      </c>
      <c r="J8" s="9" t="n">
        <f aca="false">SUMIFS(ROBA_U_DOLASKU!$C$6:$C$95,ROBA_U_DOLASKU!$A$6:$A$95,A8,ROBA_U_DOLASKU!$H$6:$H$95,1)</f>
        <v>0</v>
      </c>
      <c r="K8" s="9" t="n">
        <f aca="false">SUMIFS(ROBA_U_DOLASKU!$B$6:$B$95,ROBA_U_DOLASKU!$A$6:$A$95,A8,ROBA_U_DOLASKU!$H$6:$H$95,1)</f>
        <v>0</v>
      </c>
      <c r="L8" s="9" t="n">
        <f aca="false">SUMIFS(ROBA_U_DOLASKU!$C$6:$C$95,ROBA_U_DOLASKU!$A$6:$A$95,A8,ROBA_U_DOLASKU!$H$6:$H$95,2)</f>
        <v>0</v>
      </c>
      <c r="M8" s="9" t="n">
        <f aca="false">SUMIFS(ROBA_U_DOLASKU!$B$6:$B$95,ROBA_U_DOLASKU!$A$6:$A$95,A8,ROBA_U_DOLASKU!$H$6:$H$95,2)</f>
        <v>0</v>
      </c>
      <c r="N8" s="9" t="n">
        <f aca="false">SUMIFS(ROBA_U_DOLASKU!$C$6:$C$95,ROBA_U_DOLASKU!$A$6:$A$95,A8,ROBA_U_DOLASKU!$H$6:$H$95,3)</f>
        <v>0</v>
      </c>
      <c r="O8" s="9" t="n">
        <f aca="false">SUMIFS(ROBA_U_DOLASKU!$B$6:$B$95,ROBA_U_DOLASKU!$A$6:$A$95,A8,ROBA_U_DOLASKU!$H$6:$H$95,3)</f>
        <v>0</v>
      </c>
      <c r="P8" s="9" t="n">
        <f aca="false">IF(H8&lt;=0,999,IF(O8&gt;0,ROUND((F8-H8*N8+K8+M8+O8)/H8,1),IF(M8&gt;0,ROUND((F8-H8*L8+K8+M8)/H8,1),IF(K8&gt;0,ROUND((F8-H8*J8+K8)/H8,1),I8))))</f>
        <v>135.6</v>
      </c>
      <c r="Q8" s="22" t="str">
        <f aca="false">IF(H8&lt;=0,"Nema prodaje",IF(AND(K8=0,M8=0,O8=0),IF(I8&lt;POSTAVKE!$B$6,"Naruči odmah","Sve u redu"),IF(F8-H8*J8&lt;0,"Rupa za ~"&amp;TEXT(I8,"0.0")&amp;" mj.",IF(AND(M8&gt;0,F8-H8*L8+K8&lt;0),"Rupa nakon 1. dolaska",IF(AND(O8&gt;0,F8-H8*N8+K8+M8&lt;0),"Rupa nakon 2. dolaska",IF(P8&lt;POSTAVKE!$B$6,"Količina nije dovoljna",IF(I8&gt;=POSTAVKE!$B$6,"Sve u redu","Stiže na vrijeme")))))))</f>
        <v>Sve u redu</v>
      </c>
      <c r="S8" s="23" t="n">
        <f aca="false">IFERROR(INDEX(PODACI_PRODAJA!B:B,MATCH($A8,PODACI_PRODAJA!$A:$A,0)),0)</f>
        <v>2</v>
      </c>
      <c r="T8" s="23" t="n">
        <f aca="false">IFERROR(INDEX(PODACI_PRODAJA!C:C,MATCH($A8,PODACI_PRODAJA!$A:$A,0)),0)</f>
        <v>14</v>
      </c>
      <c r="U8" s="23" t="n">
        <f aca="false">IFERROR(INDEX(PODACI_PRODAJA!D:D,MATCH($A8,PODACI_PRODAJA!$A:$A,0)),0)</f>
        <v>1</v>
      </c>
      <c r="V8" s="23" t="n">
        <f aca="false">IFERROR(INDEX(PODACI_PRODAJA!E:E,MATCH($A8,PODACI_PRODAJA!$A:$A,0)),0)</f>
        <v>4</v>
      </c>
      <c r="W8" s="23" t="n">
        <f aca="false">IFERROR(INDEX(PODACI_PRODAJA!F:F,MATCH($A8,PODACI_PRODAJA!$A:$A,0)),0)</f>
        <v>9</v>
      </c>
      <c r="X8" s="23" t="n">
        <f aca="false">IFERROR(INDEX(PODACI_PRODAJA!G:G,MATCH($A8,PODACI_PRODAJA!$A:$A,0)),0)</f>
        <v>0</v>
      </c>
      <c r="Y8" s="23" t="n">
        <f aca="false">IFERROR(INDEX(PODACI_PRODAJA!H:H,MATCH($A8,PODACI_PRODAJA!$A:$A,0)),0)</f>
        <v>0</v>
      </c>
      <c r="Z8" s="23" t="n">
        <f aca="false">IFERROR(INDEX(PODACI_PRODAJA!I:I,MATCH($A8,PODACI_PRODAJA!$A:$A,0)),0)</f>
        <v>1</v>
      </c>
      <c r="AA8" s="23" t="n">
        <f aca="false">IFERROR(INDEX(PODACI_PRODAJA!J:J,MATCH($A8,PODACI_PRODAJA!$A:$A,0)),0)</f>
        <v>0</v>
      </c>
      <c r="AB8" s="23" t="n">
        <f aca="false">IFERROR(INDEX(PODACI_PRODAJA!K:K,MATCH($A8,PODACI_PRODAJA!$A:$A,0)),0)</f>
        <v>0</v>
      </c>
      <c r="AC8" s="23" t="n">
        <f aca="false">IFERROR(INDEX(PODACI_PRODAJA!L:L,MATCH($A8,PODACI_PRODAJA!$A:$A,0)),0)</f>
        <v>0</v>
      </c>
      <c r="AD8" s="23" t="n">
        <f aca="false">IFERROR(INDEX(PODACI_PRODAJA!M:M,MATCH($A8,PODACI_PRODAJA!$A:$A,0)),0)</f>
        <v>0</v>
      </c>
    </row>
    <row r="9" customFormat="false" ht="15" hidden="false" customHeight="false" outlineLevel="0" collapsed="false">
      <c r="A9" s="11" t="str">
        <f aca="false">PODACI_ZALIHE!A6</f>
        <v>18749</v>
      </c>
      <c r="B9" s="8" t="str">
        <f aca="false">PODACI_ZALIHE!B6</f>
        <v>ZIDNI PANEL PVC NATURAL HRAST 3000x200x5 mm</v>
      </c>
      <c r="C9" s="9" t="str">
        <f aca="false">PODACI_ZALIHE!C6</f>
        <v>6931</v>
      </c>
      <c r="D9" s="8" t="str">
        <f aca="false">PODACI_ZALIHE!D6</f>
        <v>INTCO INTERNATIONAL (HK) CO., LIMITED</v>
      </c>
      <c r="E9" s="19" t="n">
        <f aca="false">IF(PODACI_ZALIHE!E6="","",PODACI_ZALIHE!E6)</f>
        <v>504</v>
      </c>
      <c r="F9" s="20" t="n">
        <f aca="false">PODACI_ZALIHE!F6</f>
        <v>503</v>
      </c>
      <c r="G9" s="19" t="n">
        <f aca="false">IF(E9="","",E9-F9)</f>
        <v>1</v>
      </c>
      <c r="H9" s="9" t="n">
        <f aca="false">PODACI_PRODAJA!N704</f>
        <v>0</v>
      </c>
      <c r="I9" s="21" t="n">
        <f aca="false">IF(H9&lt;=0,999,ROUND(F9/H9,1))</f>
        <v>999</v>
      </c>
      <c r="J9" s="9" t="n">
        <f aca="false">SUMIFS(ROBA_U_DOLASKU!$C$6:$C$95,ROBA_U_DOLASKU!$A$6:$A$95,A9,ROBA_U_DOLASKU!$H$6:$H$95,1)</f>
        <v>0</v>
      </c>
      <c r="K9" s="9" t="n">
        <f aca="false">SUMIFS(ROBA_U_DOLASKU!$B$6:$B$95,ROBA_U_DOLASKU!$A$6:$A$95,A9,ROBA_U_DOLASKU!$H$6:$H$95,1)</f>
        <v>0</v>
      </c>
      <c r="L9" s="9" t="n">
        <f aca="false">SUMIFS(ROBA_U_DOLASKU!$C$6:$C$95,ROBA_U_DOLASKU!$A$6:$A$95,A9,ROBA_U_DOLASKU!$H$6:$H$95,2)</f>
        <v>0</v>
      </c>
      <c r="M9" s="9" t="n">
        <f aca="false">SUMIFS(ROBA_U_DOLASKU!$B$6:$B$95,ROBA_U_DOLASKU!$A$6:$A$95,A9,ROBA_U_DOLASKU!$H$6:$H$95,2)</f>
        <v>0</v>
      </c>
      <c r="N9" s="9" t="n">
        <f aca="false">SUMIFS(ROBA_U_DOLASKU!$C$6:$C$95,ROBA_U_DOLASKU!$A$6:$A$95,A9,ROBA_U_DOLASKU!$H$6:$H$95,3)</f>
        <v>0</v>
      </c>
      <c r="O9" s="9" t="n">
        <f aca="false">SUMIFS(ROBA_U_DOLASKU!$B$6:$B$95,ROBA_U_DOLASKU!$A$6:$A$95,A9,ROBA_U_DOLASKU!$H$6:$H$95,3)</f>
        <v>0</v>
      </c>
      <c r="P9" s="9" t="n">
        <f aca="false">IF(H9&lt;=0,999,IF(O9&gt;0,ROUND((F9-H9*N9+K9+M9+O9)/H9,1),IF(M9&gt;0,ROUND((F9-H9*L9+K9+M9)/H9,1),IF(K9&gt;0,ROUND((F9-H9*J9+K9)/H9,1),I9))))</f>
        <v>999</v>
      </c>
      <c r="Q9" s="22" t="str">
        <f aca="false">IF(H9&lt;=0,"Nema prodaje",IF(AND(K9=0,M9=0,O9=0),IF(I9&lt;POSTAVKE!$B$6,"Naruči odmah","Sve u redu"),IF(F9-H9*J9&lt;0,"Rupa za ~"&amp;TEXT(I9,"0.0")&amp;" mj.",IF(AND(M9&gt;0,F9-H9*L9+K9&lt;0),"Rupa nakon 1. dolaska",IF(AND(O9&gt;0,F9-H9*N9+K9+M9&lt;0),"Rupa nakon 2. dolaska",IF(P9&lt;POSTAVKE!$B$6,"Količina nije dovoljna",IF(I9&gt;=POSTAVKE!$B$6,"Sve u redu","Stiže na vrijeme")))))))</f>
        <v>Nema prodaje</v>
      </c>
      <c r="S9" s="23" t="n">
        <f aca="false">IFERROR(INDEX(PODACI_PRODAJA!B:B,MATCH($A9,PODACI_PRODAJA!$A:$A,0)),0)</f>
        <v>0</v>
      </c>
      <c r="T9" s="23" t="n">
        <f aca="false">IFERROR(INDEX(PODACI_PRODAJA!C:C,MATCH($A9,PODACI_PRODAJA!$A:$A,0)),0)</f>
        <v>0</v>
      </c>
      <c r="U9" s="23" t="n">
        <f aca="false">IFERROR(INDEX(PODACI_PRODAJA!D:D,MATCH($A9,PODACI_PRODAJA!$A:$A,0)),0)</f>
        <v>0</v>
      </c>
      <c r="V9" s="23" t="n">
        <f aca="false">IFERROR(INDEX(PODACI_PRODAJA!E:E,MATCH($A9,PODACI_PRODAJA!$A:$A,0)),0)</f>
        <v>0</v>
      </c>
      <c r="W9" s="23" t="n">
        <f aca="false">IFERROR(INDEX(PODACI_PRODAJA!F:F,MATCH($A9,PODACI_PRODAJA!$A:$A,0)),0)</f>
        <v>0</v>
      </c>
      <c r="X9" s="23" t="n">
        <f aca="false">IFERROR(INDEX(PODACI_PRODAJA!G:G,MATCH($A9,PODACI_PRODAJA!$A:$A,0)),0)</f>
        <v>0</v>
      </c>
      <c r="Y9" s="23" t="n">
        <f aca="false">IFERROR(INDEX(PODACI_PRODAJA!H:H,MATCH($A9,PODACI_PRODAJA!$A:$A,0)),0)</f>
        <v>0</v>
      </c>
      <c r="Z9" s="23" t="n">
        <f aca="false">IFERROR(INDEX(PODACI_PRODAJA!I:I,MATCH($A9,PODACI_PRODAJA!$A:$A,0)),0)</f>
        <v>0</v>
      </c>
      <c r="AA9" s="23" t="n">
        <f aca="false">IFERROR(INDEX(PODACI_PRODAJA!J:J,MATCH($A9,PODACI_PRODAJA!$A:$A,0)),0)</f>
        <v>0</v>
      </c>
      <c r="AB9" s="23" t="n">
        <f aca="false">IFERROR(INDEX(PODACI_PRODAJA!K:K,MATCH($A9,PODACI_PRODAJA!$A:$A,0)),0)</f>
        <v>0</v>
      </c>
      <c r="AC9" s="23" t="n">
        <f aca="false">IFERROR(INDEX(PODACI_PRODAJA!L:L,MATCH($A9,PODACI_PRODAJA!$A:$A,0)),0)</f>
        <v>0</v>
      </c>
      <c r="AD9" s="23" t="n">
        <f aca="false">IFERROR(INDEX(PODACI_PRODAJA!M:M,MATCH($A9,PODACI_PRODAJA!$A:$A,0)),0)</f>
        <v>0</v>
      </c>
    </row>
    <row r="10" customFormat="false" ht="15" hidden="false" customHeight="false" outlineLevel="0" collapsed="false">
      <c r="A10" s="11" t="str">
        <f aca="false">PODACI_ZALIHE!A7</f>
        <v>00875</v>
      </c>
      <c r="B10" s="8" t="str">
        <f aca="false">PODACI_ZALIHE!B7</f>
        <v>SET KOTAČIĆA ZA TUŠ KABINE 4/1  SW</v>
      </c>
      <c r="C10" s="9" t="str">
        <f aca="false">PODACI_ZALIHE!C7</f>
        <v>4328</v>
      </c>
      <c r="D10" s="8" t="str">
        <f aca="false">PODACI_ZALIHE!D7</f>
        <v>HANGZHOU DUHUI IMPORT AND EXPORT CO.,LTD</v>
      </c>
      <c r="E10" s="19" t="n">
        <f aca="false">IF(PODACI_ZALIHE!E7="","",PODACI_ZALIHE!E7)</f>
        <v>540</v>
      </c>
      <c r="F10" s="20" t="n">
        <f aca="false">PODACI_ZALIHE!F7</f>
        <v>500</v>
      </c>
      <c r="G10" s="19" t="n">
        <f aca="false">IF(E10="","",E10-F10)</f>
        <v>40</v>
      </c>
      <c r="H10" s="9" t="n">
        <f aca="false">PODACI_PRODAJA!N5</f>
        <v>145</v>
      </c>
      <c r="I10" s="21" t="n">
        <f aca="false">IF(H10&lt;=0,999,ROUND(F10/H10,1))</f>
        <v>3.4</v>
      </c>
      <c r="J10" s="9" t="n">
        <f aca="false">SUMIFS(ROBA_U_DOLASKU!$C$6:$C$95,ROBA_U_DOLASKU!$A$6:$A$95,A10,ROBA_U_DOLASKU!$H$6:$H$95,1)</f>
        <v>0</v>
      </c>
      <c r="K10" s="9" t="n">
        <f aca="false">SUMIFS(ROBA_U_DOLASKU!$B$6:$B$95,ROBA_U_DOLASKU!$A$6:$A$95,A10,ROBA_U_DOLASKU!$H$6:$H$95,1)</f>
        <v>0</v>
      </c>
      <c r="L10" s="9" t="n">
        <f aca="false">SUMIFS(ROBA_U_DOLASKU!$C$6:$C$95,ROBA_U_DOLASKU!$A$6:$A$95,A10,ROBA_U_DOLASKU!$H$6:$H$95,2)</f>
        <v>0</v>
      </c>
      <c r="M10" s="9" t="n">
        <f aca="false">SUMIFS(ROBA_U_DOLASKU!$B$6:$B$95,ROBA_U_DOLASKU!$A$6:$A$95,A10,ROBA_U_DOLASKU!$H$6:$H$95,2)</f>
        <v>0</v>
      </c>
      <c r="N10" s="9" t="n">
        <f aca="false">SUMIFS(ROBA_U_DOLASKU!$C$6:$C$95,ROBA_U_DOLASKU!$A$6:$A$95,A10,ROBA_U_DOLASKU!$H$6:$H$95,3)</f>
        <v>0</v>
      </c>
      <c r="O10" s="9" t="n">
        <f aca="false">SUMIFS(ROBA_U_DOLASKU!$B$6:$B$95,ROBA_U_DOLASKU!$A$6:$A$95,A10,ROBA_U_DOLASKU!$H$6:$H$95,3)</f>
        <v>0</v>
      </c>
      <c r="P10" s="9" t="n">
        <f aca="false">IF(H10&lt;=0,999,IF(O10&gt;0,ROUND((F10-H10*N10+K10+M10+O10)/H10,1),IF(M10&gt;0,ROUND((F10-H10*L10+K10+M10)/H10,1),IF(K10&gt;0,ROUND((F10-H10*J10+K10)/H10,1),I10))))</f>
        <v>3.4</v>
      </c>
      <c r="Q10" s="22" t="str">
        <f aca="false">IF(H10&lt;=0,"Nema prodaje",IF(AND(K10=0,M10=0,O10=0),IF(I10&lt;POSTAVKE!$B$6,"Naruči odmah","Sve u redu"),IF(F10-H10*J10&lt;0,"Rupa za ~"&amp;TEXT(I10,"0.0")&amp;" mj.",IF(AND(M10&gt;0,F10-H10*L10+K10&lt;0),"Rupa nakon 1. dolaska",IF(AND(O10&gt;0,F10-H10*N10+K10+M10&lt;0),"Rupa nakon 2. dolaska",IF(P10&lt;POSTAVKE!$B$6,"Količina nije dovoljna",IF(I10&gt;=POSTAVKE!$B$6,"Sve u redu","Stiže na vrijeme")))))))</f>
        <v>Naruči odmah</v>
      </c>
      <c r="S10" s="23" t="n">
        <f aca="false">IFERROR(INDEX(PODACI_PRODAJA!B:B,MATCH($A10,PODACI_PRODAJA!$A:$A,0)),0)</f>
        <v>112</v>
      </c>
      <c r="T10" s="23" t="n">
        <f aca="false">IFERROR(INDEX(PODACI_PRODAJA!C:C,MATCH($A10,PODACI_PRODAJA!$A:$A,0)),0)</f>
        <v>196</v>
      </c>
      <c r="U10" s="23" t="n">
        <f aca="false">IFERROR(INDEX(PODACI_PRODAJA!D:D,MATCH($A10,PODACI_PRODAJA!$A:$A,0)),0)</f>
        <v>87</v>
      </c>
      <c r="V10" s="23" t="n">
        <f aca="false">IFERROR(INDEX(PODACI_PRODAJA!E:E,MATCH($A10,PODACI_PRODAJA!$A:$A,0)),0)</f>
        <v>114</v>
      </c>
      <c r="W10" s="23" t="n">
        <f aca="false">IFERROR(INDEX(PODACI_PRODAJA!F:F,MATCH($A10,PODACI_PRODAJA!$A:$A,0)),0)</f>
        <v>114</v>
      </c>
      <c r="X10" s="23" t="n">
        <f aca="false">IFERROR(INDEX(PODACI_PRODAJA!G:G,MATCH($A10,PODACI_PRODAJA!$A:$A,0)),0)</f>
        <v>111</v>
      </c>
      <c r="Y10" s="23" t="n">
        <f aca="false">IFERROR(INDEX(PODACI_PRODAJA!H:H,MATCH($A10,PODACI_PRODAJA!$A:$A,0)),0)</f>
        <v>220</v>
      </c>
      <c r="Z10" s="23" t="n">
        <f aca="false">IFERROR(INDEX(PODACI_PRODAJA!I:I,MATCH($A10,PODACI_PRODAJA!$A:$A,0)),0)</f>
        <v>206</v>
      </c>
      <c r="AA10" s="23" t="n">
        <f aca="false">IFERROR(INDEX(PODACI_PRODAJA!J:J,MATCH($A10,PODACI_PRODAJA!$A:$A,0)),0)</f>
        <v>36</v>
      </c>
      <c r="AB10" s="23" t="n">
        <f aca="false">IFERROR(INDEX(PODACI_PRODAJA!K:K,MATCH($A10,PODACI_PRODAJA!$A:$A,0)),0)</f>
        <v>0</v>
      </c>
      <c r="AC10" s="23" t="n">
        <f aca="false">IFERROR(INDEX(PODACI_PRODAJA!L:L,MATCH($A10,PODACI_PRODAJA!$A:$A,0)),0)</f>
        <v>0</v>
      </c>
      <c r="AD10" s="23" t="n">
        <f aca="false">IFERROR(INDEX(PODACI_PRODAJA!M:M,MATCH($A10,PODACI_PRODAJA!$A:$A,0)),0)</f>
        <v>0</v>
      </c>
    </row>
    <row r="11" customFormat="false" ht="15" hidden="false" customHeight="false" outlineLevel="0" collapsed="false">
      <c r="A11" s="11" t="str">
        <f aca="false">PODACI_ZALIHE!A8</f>
        <v>044450</v>
      </c>
      <c r="B11" s="8" t="str">
        <f aca="false">PODACI_ZALIHE!B8</f>
        <v>SIFON ZA UMIVAONIK 5/4 CRNI  MESING</v>
      </c>
      <c r="C11" s="9" t="str">
        <f aca="false">PODACI_ZALIHE!C8</f>
        <v>4826</v>
      </c>
      <c r="D11" s="8" t="str">
        <f aca="false">PODACI_ZALIHE!D8</f>
        <v>TAIZHOU NIXI SANITARY WARE CO.,LTD</v>
      </c>
      <c r="E11" s="19" t="n">
        <f aca="false">IF(PODACI_ZALIHE!E8="","",PODACI_ZALIHE!E8)</f>
        <v>500</v>
      </c>
      <c r="F11" s="20" t="n">
        <f aca="false">PODACI_ZALIHE!F8</f>
        <v>500</v>
      </c>
      <c r="G11" s="19" t="n">
        <f aca="false">IF(E11="","",E11-F11)</f>
        <v>0</v>
      </c>
      <c r="H11" s="9" t="n">
        <f aca="false">PODACI_PRODAJA!N181</f>
        <v>4.5</v>
      </c>
      <c r="I11" s="21" t="n">
        <f aca="false">IF(H11&lt;=0,999,ROUND(F11/H11,1))</f>
        <v>111.1</v>
      </c>
      <c r="J11" s="9" t="n">
        <f aca="false">SUMIFS(ROBA_U_DOLASKU!$C$6:$C$95,ROBA_U_DOLASKU!$A$6:$A$95,A11,ROBA_U_DOLASKU!$H$6:$H$95,1)</f>
        <v>0</v>
      </c>
      <c r="K11" s="9" t="n">
        <f aca="false">SUMIFS(ROBA_U_DOLASKU!$B$6:$B$95,ROBA_U_DOLASKU!$A$6:$A$95,A11,ROBA_U_DOLASKU!$H$6:$H$95,1)</f>
        <v>0</v>
      </c>
      <c r="L11" s="9" t="n">
        <f aca="false">SUMIFS(ROBA_U_DOLASKU!$C$6:$C$95,ROBA_U_DOLASKU!$A$6:$A$95,A11,ROBA_U_DOLASKU!$H$6:$H$95,2)</f>
        <v>0</v>
      </c>
      <c r="M11" s="9" t="n">
        <f aca="false">SUMIFS(ROBA_U_DOLASKU!$B$6:$B$95,ROBA_U_DOLASKU!$A$6:$A$95,A11,ROBA_U_DOLASKU!$H$6:$H$95,2)</f>
        <v>0</v>
      </c>
      <c r="N11" s="9" t="n">
        <f aca="false">SUMIFS(ROBA_U_DOLASKU!$C$6:$C$95,ROBA_U_DOLASKU!$A$6:$A$95,A11,ROBA_U_DOLASKU!$H$6:$H$95,3)</f>
        <v>0</v>
      </c>
      <c r="O11" s="9" t="n">
        <f aca="false">SUMIFS(ROBA_U_DOLASKU!$B$6:$B$95,ROBA_U_DOLASKU!$A$6:$A$95,A11,ROBA_U_DOLASKU!$H$6:$H$95,3)</f>
        <v>0</v>
      </c>
      <c r="P11" s="9" t="n">
        <f aca="false">IF(H11&lt;=0,999,IF(O11&gt;0,ROUND((F11-H11*N11+K11+M11+O11)/H11,1),IF(M11&gt;0,ROUND((F11-H11*L11+K11+M11)/H11,1),IF(K11&gt;0,ROUND((F11-H11*J11+K11)/H11,1),I11))))</f>
        <v>111.1</v>
      </c>
      <c r="Q11" s="22" t="str">
        <f aca="false">IF(H11&lt;=0,"Nema prodaje",IF(AND(K11=0,M11=0,O11=0),IF(I11&lt;POSTAVKE!$B$6,"Naruči odmah","Sve u redu"),IF(F11-H11*J11&lt;0,"Rupa za ~"&amp;TEXT(I11,"0.0")&amp;" mj.",IF(AND(M11&gt;0,F11-H11*L11+K11&lt;0),"Rupa nakon 1. dolaska",IF(AND(O11&gt;0,F11-H11*N11+K11+M11&lt;0),"Rupa nakon 2. dolaska",IF(P11&lt;POSTAVKE!$B$6,"Količina nije dovoljna",IF(I11&gt;=POSTAVKE!$B$6,"Sve u redu","Stiže na vrijeme")))))))</f>
        <v>Sve u redu</v>
      </c>
      <c r="S11" s="23" t="n">
        <f aca="false">IFERROR(INDEX(PODACI_PRODAJA!B:B,MATCH($A11,PODACI_PRODAJA!$A:$A,0)),0)</f>
        <v>2</v>
      </c>
      <c r="T11" s="23" t="n">
        <f aca="false">IFERROR(INDEX(PODACI_PRODAJA!C:C,MATCH($A11,PODACI_PRODAJA!$A:$A,0)),0)</f>
        <v>1</v>
      </c>
      <c r="U11" s="23" t="n">
        <f aca="false">IFERROR(INDEX(PODACI_PRODAJA!D:D,MATCH($A11,PODACI_PRODAJA!$A:$A,0)),0)</f>
        <v>5</v>
      </c>
      <c r="V11" s="23" t="n">
        <f aca="false">IFERROR(INDEX(PODACI_PRODAJA!E:E,MATCH($A11,PODACI_PRODAJA!$A:$A,0)),0)</f>
        <v>11</v>
      </c>
      <c r="W11" s="23" t="n">
        <f aca="false">IFERROR(INDEX(PODACI_PRODAJA!F:F,MATCH($A11,PODACI_PRODAJA!$A:$A,0)),0)</f>
        <v>9</v>
      </c>
      <c r="X11" s="23" t="n">
        <f aca="false">IFERROR(INDEX(PODACI_PRODAJA!G:G,MATCH($A11,PODACI_PRODAJA!$A:$A,0)),0)</f>
        <v>5</v>
      </c>
      <c r="Y11" s="23" t="n">
        <f aca="false">IFERROR(INDEX(PODACI_PRODAJA!H:H,MATCH($A11,PODACI_PRODAJA!$A:$A,0)),0)</f>
        <v>3</v>
      </c>
      <c r="Z11" s="23" t="n">
        <f aca="false">IFERROR(INDEX(PODACI_PRODAJA!I:I,MATCH($A11,PODACI_PRODAJA!$A:$A,0)),0)</f>
        <v>0</v>
      </c>
      <c r="AA11" s="23" t="n">
        <f aca="false">IFERROR(INDEX(PODACI_PRODAJA!J:J,MATCH($A11,PODACI_PRODAJA!$A:$A,0)),0)</f>
        <v>0</v>
      </c>
      <c r="AB11" s="23" t="n">
        <f aca="false">IFERROR(INDEX(PODACI_PRODAJA!K:K,MATCH($A11,PODACI_PRODAJA!$A:$A,0)),0)</f>
        <v>0</v>
      </c>
      <c r="AC11" s="23" t="n">
        <f aca="false">IFERROR(INDEX(PODACI_PRODAJA!L:L,MATCH($A11,PODACI_PRODAJA!$A:$A,0)),0)</f>
        <v>0</v>
      </c>
      <c r="AD11" s="23" t="n">
        <f aca="false">IFERROR(INDEX(PODACI_PRODAJA!M:M,MATCH($A11,PODACI_PRODAJA!$A:$A,0)),0)</f>
        <v>0</v>
      </c>
    </row>
    <row r="12" customFormat="false" ht="15" hidden="false" customHeight="false" outlineLevel="0" collapsed="false">
      <c r="A12" s="11" t="str">
        <f aca="false">PODACI_ZALIHE!A9</f>
        <v>00893</v>
      </c>
      <c r="B12" s="8" t="str">
        <f aca="false">PODACI_ZALIHE!B9</f>
        <v>GLA011 PILETA ZA UMIVAONIK 5/4</v>
      </c>
      <c r="C12" s="9" t="str">
        <f aca="false">PODACI_ZALIHE!C9</f>
        <v>2974</v>
      </c>
      <c r="D12" s="8" t="str">
        <f aca="false">PODACI_ZALIHE!D9</f>
        <v>TAIZHOU MINUOTE SANITARY WARES CO.,LTD.</v>
      </c>
      <c r="E12" s="19" t="n">
        <f aca="false">IF(PODACI_ZALIHE!E9="","",PODACI_ZALIHE!E9)</f>
        <v>489</v>
      </c>
      <c r="F12" s="20" t="n">
        <f aca="false">PODACI_ZALIHE!F9</f>
        <v>479</v>
      </c>
      <c r="G12" s="19" t="n">
        <f aca="false">IF(E12="","",E12-F12)</f>
        <v>10</v>
      </c>
      <c r="H12" s="9" t="n">
        <f aca="false">PODACI_PRODAJA!N44</f>
        <v>36.88</v>
      </c>
      <c r="I12" s="21" t="n">
        <f aca="false">IF(H12&lt;=0,999,ROUND(F12/H12,1))</f>
        <v>13</v>
      </c>
      <c r="J12" s="9" t="n">
        <f aca="false">SUMIFS(ROBA_U_DOLASKU!$C$6:$C$95,ROBA_U_DOLASKU!$A$6:$A$95,A12,ROBA_U_DOLASKU!$H$6:$H$95,1)</f>
        <v>0</v>
      </c>
      <c r="K12" s="9" t="n">
        <f aca="false">SUMIFS(ROBA_U_DOLASKU!$B$6:$B$95,ROBA_U_DOLASKU!$A$6:$A$95,A12,ROBA_U_DOLASKU!$H$6:$H$95,1)</f>
        <v>0</v>
      </c>
      <c r="L12" s="9" t="n">
        <f aca="false">SUMIFS(ROBA_U_DOLASKU!$C$6:$C$95,ROBA_U_DOLASKU!$A$6:$A$95,A12,ROBA_U_DOLASKU!$H$6:$H$95,2)</f>
        <v>0</v>
      </c>
      <c r="M12" s="9" t="n">
        <f aca="false">SUMIFS(ROBA_U_DOLASKU!$B$6:$B$95,ROBA_U_DOLASKU!$A$6:$A$95,A12,ROBA_U_DOLASKU!$H$6:$H$95,2)</f>
        <v>0</v>
      </c>
      <c r="N12" s="9" t="n">
        <f aca="false">SUMIFS(ROBA_U_DOLASKU!$C$6:$C$95,ROBA_U_DOLASKU!$A$6:$A$95,A12,ROBA_U_DOLASKU!$H$6:$H$95,3)</f>
        <v>0</v>
      </c>
      <c r="O12" s="9" t="n">
        <f aca="false">SUMIFS(ROBA_U_DOLASKU!$B$6:$B$95,ROBA_U_DOLASKU!$A$6:$A$95,A12,ROBA_U_DOLASKU!$H$6:$H$95,3)</f>
        <v>0</v>
      </c>
      <c r="P12" s="9" t="n">
        <f aca="false">IF(H12&lt;=0,999,IF(O12&gt;0,ROUND((F12-H12*N12+K12+M12+O12)/H12,1),IF(M12&gt;0,ROUND((F12-H12*L12+K12+M12)/H12,1),IF(K12&gt;0,ROUND((F12-H12*J12+K12)/H12,1),I12))))</f>
        <v>13</v>
      </c>
      <c r="Q12" s="22" t="str">
        <f aca="false">IF(H12&lt;=0,"Nema prodaje",IF(AND(K12=0,M12=0,O12=0),IF(I12&lt;POSTAVKE!$B$6,"Naruči odmah","Sve u redu"),IF(F12-H12*J12&lt;0,"Rupa za ~"&amp;TEXT(I12,"0.0")&amp;" mj.",IF(AND(M12&gt;0,F12-H12*L12+K12&lt;0),"Rupa nakon 1. dolaska",IF(AND(O12&gt;0,F12-H12*N12+K12+M12&lt;0),"Rupa nakon 2. dolaska",IF(P12&lt;POSTAVKE!$B$6,"Količina nije dovoljna",IF(I12&gt;=POSTAVKE!$B$6,"Sve u redu","Stiže na vrijeme")))))))</f>
        <v>Sve u redu</v>
      </c>
      <c r="S12" s="23" t="n">
        <f aca="false">IFERROR(INDEX(PODACI_PRODAJA!B:B,MATCH($A12,PODACI_PRODAJA!$A:$A,0)),0)</f>
        <v>20</v>
      </c>
      <c r="T12" s="23" t="n">
        <f aca="false">IFERROR(INDEX(PODACI_PRODAJA!C:C,MATCH($A12,PODACI_PRODAJA!$A:$A,0)),0)</f>
        <v>43</v>
      </c>
      <c r="U12" s="23" t="n">
        <f aca="false">IFERROR(INDEX(PODACI_PRODAJA!D:D,MATCH($A12,PODACI_PRODAJA!$A:$A,0)),0)</f>
        <v>23</v>
      </c>
      <c r="V12" s="23" t="n">
        <f aca="false">IFERROR(INDEX(PODACI_PRODAJA!E:E,MATCH($A12,PODACI_PRODAJA!$A:$A,0)),0)</f>
        <v>44</v>
      </c>
      <c r="W12" s="23" t="n">
        <f aca="false">IFERROR(INDEX(PODACI_PRODAJA!F:F,MATCH($A12,PODACI_PRODAJA!$A:$A,0)),0)</f>
        <v>20</v>
      </c>
      <c r="X12" s="23" t="n">
        <f aca="false">IFERROR(INDEX(PODACI_PRODAJA!G:G,MATCH($A12,PODACI_PRODAJA!$A:$A,0)),0)</f>
        <v>26</v>
      </c>
      <c r="Y12" s="23" t="n">
        <f aca="false">IFERROR(INDEX(PODACI_PRODAJA!H:H,MATCH($A12,PODACI_PRODAJA!$A:$A,0)),0)</f>
        <v>50</v>
      </c>
      <c r="Z12" s="23" t="n">
        <f aca="false">IFERROR(INDEX(PODACI_PRODAJA!I:I,MATCH($A12,PODACI_PRODAJA!$A:$A,0)),0)</f>
        <v>69</v>
      </c>
      <c r="AA12" s="23" t="n">
        <f aca="false">IFERROR(INDEX(PODACI_PRODAJA!J:J,MATCH($A12,PODACI_PRODAJA!$A:$A,0)),0)</f>
        <v>10</v>
      </c>
      <c r="AB12" s="23" t="n">
        <f aca="false">IFERROR(INDEX(PODACI_PRODAJA!K:K,MATCH($A12,PODACI_PRODAJA!$A:$A,0)),0)</f>
        <v>0</v>
      </c>
      <c r="AC12" s="23" t="n">
        <f aca="false">IFERROR(INDEX(PODACI_PRODAJA!L:L,MATCH($A12,PODACI_PRODAJA!$A:$A,0)),0)</f>
        <v>0</v>
      </c>
      <c r="AD12" s="23" t="n">
        <f aca="false">IFERROR(INDEX(PODACI_PRODAJA!M:M,MATCH($A12,PODACI_PRODAJA!$A:$A,0)),0)</f>
        <v>0</v>
      </c>
    </row>
    <row r="13" customFormat="false" ht="15" hidden="false" customHeight="false" outlineLevel="0" collapsed="false">
      <c r="A13" s="11" t="str">
        <f aca="false">PODACI_ZALIHE!A10</f>
        <v>088939</v>
      </c>
      <c r="B13" s="8" t="str">
        <f aca="false">PODACI_ZALIHE!B10</f>
        <v>PILETA UNIVERZALNA KROM 5/4</v>
      </c>
      <c r="C13" s="9" t="n">
        <f aca="false">PODACI_ZALIHE!C10</f>
        <v>0</v>
      </c>
      <c r="D13" s="8" t="n">
        <f aca="false">PODACI_ZALIHE!D10</f>
        <v>0</v>
      </c>
      <c r="E13" s="19" t="n">
        <f aca="false">IF(PODACI_ZALIHE!E10="","",PODACI_ZALIHE!E10)</f>
        <v>453</v>
      </c>
      <c r="F13" s="20" t="n">
        <f aca="false">PODACI_ZALIHE!F10</f>
        <v>453</v>
      </c>
      <c r="G13" s="19" t="n">
        <f aca="false">IF(E13="","",E13-F13)</f>
        <v>0</v>
      </c>
      <c r="H13" s="9" t="n">
        <f aca="false">PODACI_PRODAJA!N38</f>
        <v>51</v>
      </c>
      <c r="I13" s="21" t="n">
        <f aca="false">IF(H13&lt;=0,999,ROUND(F13/H13,1))</f>
        <v>8.9</v>
      </c>
      <c r="J13" s="9" t="n">
        <f aca="false">SUMIFS(ROBA_U_DOLASKU!$C$6:$C$95,ROBA_U_DOLASKU!$A$6:$A$95,A13,ROBA_U_DOLASKU!$H$6:$H$95,1)</f>
        <v>0</v>
      </c>
      <c r="K13" s="9" t="n">
        <f aca="false">SUMIFS(ROBA_U_DOLASKU!$B$6:$B$95,ROBA_U_DOLASKU!$A$6:$A$95,A13,ROBA_U_DOLASKU!$H$6:$H$95,1)</f>
        <v>0</v>
      </c>
      <c r="L13" s="9" t="n">
        <f aca="false">SUMIFS(ROBA_U_DOLASKU!$C$6:$C$95,ROBA_U_DOLASKU!$A$6:$A$95,A13,ROBA_U_DOLASKU!$H$6:$H$95,2)</f>
        <v>0</v>
      </c>
      <c r="M13" s="9" t="n">
        <f aca="false">SUMIFS(ROBA_U_DOLASKU!$B$6:$B$95,ROBA_U_DOLASKU!$A$6:$A$95,A13,ROBA_U_DOLASKU!$H$6:$H$95,2)</f>
        <v>0</v>
      </c>
      <c r="N13" s="9" t="n">
        <f aca="false">SUMIFS(ROBA_U_DOLASKU!$C$6:$C$95,ROBA_U_DOLASKU!$A$6:$A$95,A13,ROBA_U_DOLASKU!$H$6:$H$95,3)</f>
        <v>0</v>
      </c>
      <c r="O13" s="9" t="n">
        <f aca="false">SUMIFS(ROBA_U_DOLASKU!$B$6:$B$95,ROBA_U_DOLASKU!$A$6:$A$95,A13,ROBA_U_DOLASKU!$H$6:$H$95,3)</f>
        <v>0</v>
      </c>
      <c r="P13" s="9" t="n">
        <f aca="false">IF(H13&lt;=0,999,IF(O13&gt;0,ROUND((F13-H13*N13+K13+M13+O13)/H13,1),IF(M13&gt;0,ROUND((F13-H13*L13+K13+M13)/H13,1),IF(K13&gt;0,ROUND((F13-H13*J13+K13)/H13,1),I13))))</f>
        <v>8.9</v>
      </c>
      <c r="Q13" s="22" t="str">
        <f aca="false">IF(H13&lt;=0,"Nema prodaje",IF(AND(K13=0,M13=0,O13=0),IF(I13&lt;POSTAVKE!$B$6,"Naruči odmah","Sve u redu"),IF(F13-H13*J13&lt;0,"Rupa za ~"&amp;TEXT(I13,"0.0")&amp;" mj.",IF(AND(M13&gt;0,F13-H13*L13+K13&lt;0),"Rupa nakon 1. dolaska",IF(AND(O13&gt;0,F13-H13*N13+K13+M13&lt;0),"Rupa nakon 2. dolaska",IF(P13&lt;POSTAVKE!$B$6,"Količina nije dovoljna",IF(I13&gt;=POSTAVKE!$B$6,"Sve u redu","Stiže na vrijeme")))))))</f>
        <v>Sve u redu</v>
      </c>
      <c r="S13" s="23" t="n">
        <f aca="false">IFERROR(INDEX(PODACI_PRODAJA!B:B,MATCH($A13,PODACI_PRODAJA!$A:$A,0)),0)</f>
        <v>25</v>
      </c>
      <c r="T13" s="23" t="n">
        <f aca="false">IFERROR(INDEX(PODACI_PRODAJA!C:C,MATCH($A13,PODACI_PRODAJA!$A:$A,0)),0)</f>
        <v>31</v>
      </c>
      <c r="U13" s="23" t="n">
        <f aca="false">IFERROR(INDEX(PODACI_PRODAJA!D:D,MATCH($A13,PODACI_PRODAJA!$A:$A,0)),0)</f>
        <v>63</v>
      </c>
      <c r="V13" s="23" t="n">
        <f aca="false">IFERROR(INDEX(PODACI_PRODAJA!E:E,MATCH($A13,PODACI_PRODAJA!$A:$A,0)),0)</f>
        <v>58</v>
      </c>
      <c r="W13" s="23" t="n">
        <f aca="false">IFERROR(INDEX(PODACI_PRODAJA!F:F,MATCH($A13,PODACI_PRODAJA!$A:$A,0)),0)</f>
        <v>79</v>
      </c>
      <c r="X13" s="23" t="n">
        <f aca="false">IFERROR(INDEX(PODACI_PRODAJA!G:G,MATCH($A13,PODACI_PRODAJA!$A:$A,0)),0)</f>
        <v>39</v>
      </c>
      <c r="Y13" s="23" t="n">
        <f aca="false">IFERROR(INDEX(PODACI_PRODAJA!H:H,MATCH($A13,PODACI_PRODAJA!$A:$A,0)),0)</f>
        <v>60</v>
      </c>
      <c r="Z13" s="23" t="n">
        <f aca="false">IFERROR(INDEX(PODACI_PRODAJA!I:I,MATCH($A13,PODACI_PRODAJA!$A:$A,0)),0)</f>
        <v>53</v>
      </c>
      <c r="AA13" s="23" t="n">
        <f aca="false">IFERROR(INDEX(PODACI_PRODAJA!J:J,MATCH($A13,PODACI_PRODAJA!$A:$A,0)),0)</f>
        <v>0</v>
      </c>
      <c r="AB13" s="23" t="n">
        <f aca="false">IFERROR(INDEX(PODACI_PRODAJA!K:K,MATCH($A13,PODACI_PRODAJA!$A:$A,0)),0)</f>
        <v>0</v>
      </c>
      <c r="AC13" s="23" t="n">
        <f aca="false">IFERROR(INDEX(PODACI_PRODAJA!L:L,MATCH($A13,PODACI_PRODAJA!$A:$A,0)),0)</f>
        <v>0</v>
      </c>
      <c r="AD13" s="23" t="n">
        <f aca="false">IFERROR(INDEX(PODACI_PRODAJA!M:M,MATCH($A13,PODACI_PRODAJA!$A:$A,0)),0)</f>
        <v>0</v>
      </c>
    </row>
    <row r="14" customFormat="false" ht="15" hidden="false" customHeight="false" outlineLevel="0" collapsed="false">
      <c r="A14" s="11" t="str">
        <f aca="false">PODACI_ZALIHE!A11</f>
        <v>046203</v>
      </c>
      <c r="B14" s="8" t="str">
        <f aca="false">PODACI_ZALIHE!B11</f>
        <v>ZELENA OBLOGA ZA ZID NATURA BOSCO</v>
      </c>
      <c r="C14" s="9" t="str">
        <f aca="false">PODACI_ZALIHE!C11</f>
        <v>6931</v>
      </c>
      <c r="D14" s="8" t="str">
        <f aca="false">PODACI_ZALIHE!D11</f>
        <v>INTCO INTERNATIONAL (HK) CO., LIMITED</v>
      </c>
      <c r="E14" s="19" t="n">
        <f aca="false">IF(PODACI_ZALIHE!E11="","",PODACI_ZALIHE!E11)</f>
        <v>405</v>
      </c>
      <c r="F14" s="20" t="n">
        <f aca="false">PODACI_ZALIHE!F11</f>
        <v>405</v>
      </c>
      <c r="G14" s="19" t="n">
        <f aca="false">IF(E14="","",E14-F14)</f>
        <v>0</v>
      </c>
      <c r="H14" s="9" t="n">
        <f aca="false">PODACI_PRODAJA!N440</f>
        <v>1.63</v>
      </c>
      <c r="I14" s="21" t="n">
        <f aca="false">IF(H14&lt;=0,999,ROUND(F14/H14,1))</f>
        <v>248.5</v>
      </c>
      <c r="J14" s="9" t="n">
        <f aca="false">SUMIFS(ROBA_U_DOLASKU!$C$6:$C$95,ROBA_U_DOLASKU!$A$6:$A$95,A14,ROBA_U_DOLASKU!$H$6:$H$95,1)</f>
        <v>0</v>
      </c>
      <c r="K14" s="9" t="n">
        <f aca="false">SUMIFS(ROBA_U_DOLASKU!$B$6:$B$95,ROBA_U_DOLASKU!$A$6:$A$95,A14,ROBA_U_DOLASKU!$H$6:$H$95,1)</f>
        <v>0</v>
      </c>
      <c r="L14" s="9" t="n">
        <f aca="false">SUMIFS(ROBA_U_DOLASKU!$C$6:$C$95,ROBA_U_DOLASKU!$A$6:$A$95,A14,ROBA_U_DOLASKU!$H$6:$H$95,2)</f>
        <v>0</v>
      </c>
      <c r="M14" s="9" t="n">
        <f aca="false">SUMIFS(ROBA_U_DOLASKU!$B$6:$B$95,ROBA_U_DOLASKU!$A$6:$A$95,A14,ROBA_U_DOLASKU!$H$6:$H$95,2)</f>
        <v>0</v>
      </c>
      <c r="N14" s="9" t="n">
        <f aca="false">SUMIFS(ROBA_U_DOLASKU!$C$6:$C$95,ROBA_U_DOLASKU!$A$6:$A$95,A14,ROBA_U_DOLASKU!$H$6:$H$95,3)</f>
        <v>0</v>
      </c>
      <c r="O14" s="9" t="n">
        <f aca="false">SUMIFS(ROBA_U_DOLASKU!$B$6:$B$95,ROBA_U_DOLASKU!$A$6:$A$95,A14,ROBA_U_DOLASKU!$H$6:$H$95,3)</f>
        <v>0</v>
      </c>
      <c r="P14" s="9" t="n">
        <f aca="false">IF(H14&lt;=0,999,IF(O14&gt;0,ROUND((F14-H14*N14+K14+M14+O14)/H14,1),IF(M14&gt;0,ROUND((F14-H14*L14+K14+M14)/H14,1),IF(K14&gt;0,ROUND((F14-H14*J14+K14)/H14,1),I14))))</f>
        <v>248.5</v>
      </c>
      <c r="Q14" s="22" t="str">
        <f aca="false">IF(H14&lt;=0,"Nema prodaje",IF(AND(K14=0,M14=0,O14=0),IF(I14&lt;POSTAVKE!$B$6,"Naruči odmah","Sve u redu"),IF(F14-H14*J14&lt;0,"Rupa za ~"&amp;TEXT(I14,"0.0")&amp;" mj.",IF(AND(M14&gt;0,F14-H14*L14+K14&lt;0),"Rupa nakon 1. dolaska",IF(AND(O14&gt;0,F14-H14*N14+K14+M14&lt;0),"Rupa nakon 2. dolaska",IF(P14&lt;POSTAVKE!$B$6,"Količina nije dovoljna",IF(I14&gt;=POSTAVKE!$B$6,"Sve u redu","Stiže na vrijeme")))))))</f>
        <v>Sve u redu</v>
      </c>
      <c r="S14" s="23" t="n">
        <f aca="false">IFERROR(INDEX(PODACI_PRODAJA!B:B,MATCH($A14,PODACI_PRODAJA!$A:$A,0)),0)</f>
        <v>0</v>
      </c>
      <c r="T14" s="23" t="n">
        <f aca="false">IFERROR(INDEX(PODACI_PRODAJA!C:C,MATCH($A14,PODACI_PRODAJA!$A:$A,0)),0)</f>
        <v>0</v>
      </c>
      <c r="U14" s="23" t="n">
        <f aca="false">IFERROR(INDEX(PODACI_PRODAJA!D:D,MATCH($A14,PODACI_PRODAJA!$A:$A,0)),0)</f>
        <v>0</v>
      </c>
      <c r="V14" s="23" t="n">
        <f aca="false">IFERROR(INDEX(PODACI_PRODAJA!E:E,MATCH($A14,PODACI_PRODAJA!$A:$A,0)),0)</f>
        <v>0</v>
      </c>
      <c r="W14" s="23" t="n">
        <f aca="false">IFERROR(INDEX(PODACI_PRODAJA!F:F,MATCH($A14,PODACI_PRODAJA!$A:$A,0)),0)</f>
        <v>0</v>
      </c>
      <c r="X14" s="23" t="n">
        <f aca="false">IFERROR(INDEX(PODACI_PRODAJA!G:G,MATCH($A14,PODACI_PRODAJA!$A:$A,0)),0)</f>
        <v>0</v>
      </c>
      <c r="Y14" s="23" t="n">
        <f aca="false">IFERROR(INDEX(PODACI_PRODAJA!H:H,MATCH($A14,PODACI_PRODAJA!$A:$A,0)),0)</f>
        <v>13</v>
      </c>
      <c r="Z14" s="23" t="n">
        <f aca="false">IFERROR(INDEX(PODACI_PRODAJA!I:I,MATCH($A14,PODACI_PRODAJA!$A:$A,0)),0)</f>
        <v>0</v>
      </c>
      <c r="AA14" s="23" t="n">
        <f aca="false">IFERROR(INDEX(PODACI_PRODAJA!J:J,MATCH($A14,PODACI_PRODAJA!$A:$A,0)),0)</f>
        <v>0</v>
      </c>
      <c r="AB14" s="23" t="n">
        <f aca="false">IFERROR(INDEX(PODACI_PRODAJA!K:K,MATCH($A14,PODACI_PRODAJA!$A:$A,0)),0)</f>
        <v>0</v>
      </c>
      <c r="AC14" s="23" t="n">
        <f aca="false">IFERROR(INDEX(PODACI_PRODAJA!L:L,MATCH($A14,PODACI_PRODAJA!$A:$A,0)),0)</f>
        <v>0</v>
      </c>
      <c r="AD14" s="23" t="n">
        <f aca="false">IFERROR(INDEX(PODACI_PRODAJA!M:M,MATCH($A14,PODACI_PRODAJA!$A:$A,0)),0)</f>
        <v>0</v>
      </c>
    </row>
    <row r="15" customFormat="false" ht="15" hidden="false" customHeight="false" outlineLevel="0" collapsed="false">
      <c r="A15" s="11" t="str">
        <f aca="false">PODACI_ZALIHE!A12</f>
        <v>046205</v>
      </c>
      <c r="B15" s="8" t="str">
        <f aca="false">PODACI_ZALIHE!B12</f>
        <v>ZELENA OBLOGA ZA ZID NATURA TERRANA</v>
      </c>
      <c r="C15" s="9" t="str">
        <f aca="false">PODACI_ZALIHE!C12</f>
        <v>6931</v>
      </c>
      <c r="D15" s="8" t="str">
        <f aca="false">PODACI_ZALIHE!D12</f>
        <v>INTCO INTERNATIONAL (HK) CO., LIMITED</v>
      </c>
      <c r="E15" s="19" t="n">
        <f aca="false">IF(PODACI_ZALIHE!E12="","",PODACI_ZALIHE!E12)</f>
        <v>405</v>
      </c>
      <c r="F15" s="20" t="n">
        <f aca="false">PODACI_ZALIHE!F12</f>
        <v>405</v>
      </c>
      <c r="G15" s="19" t="n">
        <f aca="false">IF(E15="","",E15-F15)</f>
        <v>0</v>
      </c>
      <c r="H15" s="9" t="n">
        <f aca="false">PODACI_PRODAJA!N442</f>
        <v>1.63</v>
      </c>
      <c r="I15" s="21" t="n">
        <f aca="false">IF(H15&lt;=0,999,ROUND(F15/H15,1))</f>
        <v>248.5</v>
      </c>
      <c r="J15" s="9" t="n">
        <f aca="false">SUMIFS(ROBA_U_DOLASKU!$C$6:$C$95,ROBA_U_DOLASKU!$A$6:$A$95,A15,ROBA_U_DOLASKU!$H$6:$H$95,1)</f>
        <v>0</v>
      </c>
      <c r="K15" s="9" t="n">
        <f aca="false">SUMIFS(ROBA_U_DOLASKU!$B$6:$B$95,ROBA_U_DOLASKU!$A$6:$A$95,A15,ROBA_U_DOLASKU!$H$6:$H$95,1)</f>
        <v>0</v>
      </c>
      <c r="L15" s="9" t="n">
        <f aca="false">SUMIFS(ROBA_U_DOLASKU!$C$6:$C$95,ROBA_U_DOLASKU!$A$6:$A$95,A15,ROBA_U_DOLASKU!$H$6:$H$95,2)</f>
        <v>0</v>
      </c>
      <c r="M15" s="9" t="n">
        <f aca="false">SUMIFS(ROBA_U_DOLASKU!$B$6:$B$95,ROBA_U_DOLASKU!$A$6:$A$95,A15,ROBA_U_DOLASKU!$H$6:$H$95,2)</f>
        <v>0</v>
      </c>
      <c r="N15" s="9" t="n">
        <f aca="false">SUMIFS(ROBA_U_DOLASKU!$C$6:$C$95,ROBA_U_DOLASKU!$A$6:$A$95,A15,ROBA_U_DOLASKU!$H$6:$H$95,3)</f>
        <v>0</v>
      </c>
      <c r="O15" s="9" t="n">
        <f aca="false">SUMIFS(ROBA_U_DOLASKU!$B$6:$B$95,ROBA_U_DOLASKU!$A$6:$A$95,A15,ROBA_U_DOLASKU!$H$6:$H$95,3)</f>
        <v>0</v>
      </c>
      <c r="P15" s="9" t="n">
        <f aca="false">IF(H15&lt;=0,999,IF(O15&gt;0,ROUND((F15-H15*N15+K15+M15+O15)/H15,1),IF(M15&gt;0,ROUND((F15-H15*L15+K15+M15)/H15,1),IF(K15&gt;0,ROUND((F15-H15*J15+K15)/H15,1),I15))))</f>
        <v>248.5</v>
      </c>
      <c r="Q15" s="22" t="str">
        <f aca="false">IF(H15&lt;=0,"Nema prodaje",IF(AND(K15=0,M15=0,O15=0),IF(I15&lt;POSTAVKE!$B$6,"Naruči odmah","Sve u redu"),IF(F15-H15*J15&lt;0,"Rupa za ~"&amp;TEXT(I15,"0.0")&amp;" mj.",IF(AND(M15&gt;0,F15-H15*L15+K15&lt;0),"Rupa nakon 1. dolaska",IF(AND(O15&gt;0,F15-H15*N15+K15+M15&lt;0),"Rupa nakon 2. dolaska",IF(P15&lt;POSTAVKE!$B$6,"Količina nije dovoljna",IF(I15&gt;=POSTAVKE!$B$6,"Sve u redu","Stiže na vrijeme")))))))</f>
        <v>Sve u redu</v>
      </c>
      <c r="S15" s="23" t="n">
        <f aca="false">IFERROR(INDEX(PODACI_PRODAJA!B:B,MATCH($A15,PODACI_PRODAJA!$A:$A,0)),0)</f>
        <v>0</v>
      </c>
      <c r="T15" s="23" t="n">
        <f aca="false">IFERROR(INDEX(PODACI_PRODAJA!C:C,MATCH($A15,PODACI_PRODAJA!$A:$A,0)),0)</f>
        <v>0</v>
      </c>
      <c r="U15" s="23" t="n">
        <f aca="false">IFERROR(INDEX(PODACI_PRODAJA!D:D,MATCH($A15,PODACI_PRODAJA!$A:$A,0)),0)</f>
        <v>0</v>
      </c>
      <c r="V15" s="23" t="n">
        <f aca="false">IFERROR(INDEX(PODACI_PRODAJA!E:E,MATCH($A15,PODACI_PRODAJA!$A:$A,0)),0)</f>
        <v>0</v>
      </c>
      <c r="W15" s="23" t="n">
        <f aca="false">IFERROR(INDEX(PODACI_PRODAJA!F:F,MATCH($A15,PODACI_PRODAJA!$A:$A,0)),0)</f>
        <v>0</v>
      </c>
      <c r="X15" s="23" t="n">
        <f aca="false">IFERROR(INDEX(PODACI_PRODAJA!G:G,MATCH($A15,PODACI_PRODAJA!$A:$A,0)),0)</f>
        <v>0</v>
      </c>
      <c r="Y15" s="23" t="n">
        <f aca="false">IFERROR(INDEX(PODACI_PRODAJA!H:H,MATCH($A15,PODACI_PRODAJA!$A:$A,0)),0)</f>
        <v>13</v>
      </c>
      <c r="Z15" s="23" t="n">
        <f aca="false">IFERROR(INDEX(PODACI_PRODAJA!I:I,MATCH($A15,PODACI_PRODAJA!$A:$A,0)),0)</f>
        <v>0</v>
      </c>
      <c r="AA15" s="23" t="n">
        <f aca="false">IFERROR(INDEX(PODACI_PRODAJA!J:J,MATCH($A15,PODACI_PRODAJA!$A:$A,0)),0)</f>
        <v>0</v>
      </c>
      <c r="AB15" s="23" t="n">
        <f aca="false">IFERROR(INDEX(PODACI_PRODAJA!K:K,MATCH($A15,PODACI_PRODAJA!$A:$A,0)),0)</f>
        <v>0</v>
      </c>
      <c r="AC15" s="23" t="n">
        <f aca="false">IFERROR(INDEX(PODACI_PRODAJA!L:L,MATCH($A15,PODACI_PRODAJA!$A:$A,0)),0)</f>
        <v>0</v>
      </c>
      <c r="AD15" s="23" t="n">
        <f aca="false">IFERROR(INDEX(PODACI_PRODAJA!M:M,MATCH($A15,PODACI_PRODAJA!$A:$A,0)),0)</f>
        <v>0</v>
      </c>
    </row>
    <row r="16" customFormat="false" ht="15" hidden="false" customHeight="false" outlineLevel="0" collapsed="false">
      <c r="A16" s="11" t="str">
        <f aca="false">PODACI_ZALIHE!A13</f>
        <v>17173</v>
      </c>
      <c r="B16" s="8" t="str">
        <f aca="false">PODACI_ZALIHE!B13</f>
        <v>NERO KUPAONSKA KUKICA ZA RUČNIK - CRNA</v>
      </c>
      <c r="C16" s="9" t="str">
        <f aca="false">PODACI_ZALIHE!C13</f>
        <v>6458</v>
      </c>
      <c r="D16" s="8" t="str">
        <f aca="false">PODACI_ZALIHE!D13</f>
        <v>BOJIA TRADING LIMITED</v>
      </c>
      <c r="E16" s="19" t="n">
        <f aca="false">IF(PODACI_ZALIHE!E13="","",PODACI_ZALIHE!E13)</f>
        <v>401</v>
      </c>
      <c r="F16" s="20" t="n">
        <f aca="false">PODACI_ZALIHE!F13</f>
        <v>401</v>
      </c>
      <c r="G16" s="19" t="n">
        <f aca="false">IF(E16="","",E16-F16)</f>
        <v>0</v>
      </c>
      <c r="H16" s="9" t="n">
        <f aca="false">PODACI_PRODAJA!N591</f>
        <v>4</v>
      </c>
      <c r="I16" s="21" t="n">
        <f aca="false">IF(H16&lt;=0,999,ROUND(F16/H16,1))</f>
        <v>100.3</v>
      </c>
      <c r="J16" s="9" t="n">
        <f aca="false">SUMIFS(ROBA_U_DOLASKU!$C$6:$C$95,ROBA_U_DOLASKU!$A$6:$A$95,A16,ROBA_U_DOLASKU!$H$6:$H$95,1)</f>
        <v>0</v>
      </c>
      <c r="K16" s="9" t="n">
        <f aca="false">SUMIFS(ROBA_U_DOLASKU!$B$6:$B$95,ROBA_U_DOLASKU!$A$6:$A$95,A16,ROBA_U_DOLASKU!$H$6:$H$95,1)</f>
        <v>0</v>
      </c>
      <c r="L16" s="9" t="n">
        <f aca="false">SUMIFS(ROBA_U_DOLASKU!$C$6:$C$95,ROBA_U_DOLASKU!$A$6:$A$95,A16,ROBA_U_DOLASKU!$H$6:$H$95,2)</f>
        <v>0</v>
      </c>
      <c r="M16" s="9" t="n">
        <f aca="false">SUMIFS(ROBA_U_DOLASKU!$B$6:$B$95,ROBA_U_DOLASKU!$A$6:$A$95,A16,ROBA_U_DOLASKU!$H$6:$H$95,2)</f>
        <v>0</v>
      </c>
      <c r="N16" s="9" t="n">
        <f aca="false">SUMIFS(ROBA_U_DOLASKU!$C$6:$C$95,ROBA_U_DOLASKU!$A$6:$A$95,A16,ROBA_U_DOLASKU!$H$6:$H$95,3)</f>
        <v>0</v>
      </c>
      <c r="O16" s="9" t="n">
        <f aca="false">SUMIFS(ROBA_U_DOLASKU!$B$6:$B$95,ROBA_U_DOLASKU!$A$6:$A$95,A16,ROBA_U_DOLASKU!$H$6:$H$95,3)</f>
        <v>0</v>
      </c>
      <c r="P16" s="9" t="n">
        <f aca="false">IF(H16&lt;=0,999,IF(O16&gt;0,ROUND((F16-H16*N16+K16+M16+O16)/H16,1),IF(M16&gt;0,ROUND((F16-H16*L16+K16+M16)/H16,1),IF(K16&gt;0,ROUND((F16-H16*J16+K16)/H16,1),I16))))</f>
        <v>100.3</v>
      </c>
      <c r="Q16" s="22" t="str">
        <f aca="false">IF(H16&lt;=0,"Nema prodaje",IF(AND(K16=0,M16=0,O16=0),IF(I16&lt;POSTAVKE!$B$6,"Naruči odmah","Sve u redu"),IF(F16-H16*J16&lt;0,"Rupa za ~"&amp;TEXT(I16,"0.0")&amp;" mj.",IF(AND(M16&gt;0,F16-H16*L16+K16&lt;0),"Rupa nakon 1. dolaska",IF(AND(O16&gt;0,F16-H16*N16+K16+M16&lt;0),"Rupa nakon 2. dolaska",IF(P16&lt;POSTAVKE!$B$6,"Količina nije dovoljna",IF(I16&gt;=POSTAVKE!$B$6,"Sve u redu","Stiže na vrijeme")))))))</f>
        <v>Sve u redu</v>
      </c>
      <c r="S16" s="23" t="n">
        <f aca="false">IFERROR(INDEX(PODACI_PRODAJA!B:B,MATCH($A16,PODACI_PRODAJA!$A:$A,0)),0)</f>
        <v>0</v>
      </c>
      <c r="T16" s="23" t="n">
        <f aca="false">IFERROR(INDEX(PODACI_PRODAJA!C:C,MATCH($A16,PODACI_PRODAJA!$A:$A,0)),0)</f>
        <v>1</v>
      </c>
      <c r="U16" s="23" t="n">
        <f aca="false">IFERROR(INDEX(PODACI_PRODAJA!D:D,MATCH($A16,PODACI_PRODAJA!$A:$A,0)),0)</f>
        <v>0</v>
      </c>
      <c r="V16" s="23" t="n">
        <f aca="false">IFERROR(INDEX(PODACI_PRODAJA!E:E,MATCH($A16,PODACI_PRODAJA!$A:$A,0)),0)</f>
        <v>7</v>
      </c>
      <c r="W16" s="23" t="n">
        <f aca="false">IFERROR(INDEX(PODACI_PRODAJA!F:F,MATCH($A16,PODACI_PRODAJA!$A:$A,0)),0)</f>
        <v>12</v>
      </c>
      <c r="X16" s="23" t="n">
        <f aca="false">IFERROR(INDEX(PODACI_PRODAJA!G:G,MATCH($A16,PODACI_PRODAJA!$A:$A,0)),0)</f>
        <v>2</v>
      </c>
      <c r="Y16" s="23" t="n">
        <f aca="false">IFERROR(INDEX(PODACI_PRODAJA!H:H,MATCH($A16,PODACI_PRODAJA!$A:$A,0)),0)</f>
        <v>10</v>
      </c>
      <c r="Z16" s="23" t="n">
        <f aca="false">IFERROR(INDEX(PODACI_PRODAJA!I:I,MATCH($A16,PODACI_PRODAJA!$A:$A,0)),0)</f>
        <v>0</v>
      </c>
      <c r="AA16" s="23" t="n">
        <f aca="false">IFERROR(INDEX(PODACI_PRODAJA!J:J,MATCH($A16,PODACI_PRODAJA!$A:$A,0)),0)</f>
        <v>0</v>
      </c>
      <c r="AB16" s="23" t="n">
        <f aca="false">IFERROR(INDEX(PODACI_PRODAJA!K:K,MATCH($A16,PODACI_PRODAJA!$A:$A,0)),0)</f>
        <v>0</v>
      </c>
      <c r="AC16" s="23" t="n">
        <f aca="false">IFERROR(INDEX(PODACI_PRODAJA!L:L,MATCH($A16,PODACI_PRODAJA!$A:$A,0)),0)</f>
        <v>0</v>
      </c>
      <c r="AD16" s="23" t="n">
        <f aca="false">IFERROR(INDEX(PODACI_PRODAJA!M:M,MATCH($A16,PODACI_PRODAJA!$A:$A,0)),0)</f>
        <v>0</v>
      </c>
    </row>
    <row r="17" customFormat="false" ht="15" hidden="false" customHeight="false" outlineLevel="0" collapsed="false">
      <c r="A17" s="11" t="str">
        <f aca="false">PODACI_ZALIHE!A14</f>
        <v>RDE320230</v>
      </c>
      <c r="B17" s="8" t="str">
        <f aca="false">PODACI_ZALIHE!B14</f>
        <v>DASKA SOFT CLOSE ZA MOHO MONOBLOCK</v>
      </c>
      <c r="C17" s="9" t="str">
        <f aca="false">PODACI_ZALIHE!C14</f>
        <v>6341</v>
      </c>
      <c r="D17" s="8" t="str">
        <f aca="false">PODACI_ZALIHE!D14</f>
        <v>CORRAVENI INDUSTRIES CO., LTD.</v>
      </c>
      <c r="E17" s="19" t="n">
        <f aca="false">IF(PODACI_ZALIHE!E14="","",PODACI_ZALIHE!E14)</f>
        <v>380</v>
      </c>
      <c r="F17" s="20" t="n">
        <f aca="false">PODACI_ZALIHE!F14</f>
        <v>380</v>
      </c>
      <c r="G17" s="19" t="n">
        <f aca="false">IF(E17="","",E17-F17)</f>
        <v>0</v>
      </c>
      <c r="H17" s="9" t="n">
        <v>0</v>
      </c>
      <c r="I17" s="21" t="n">
        <f aca="false">IF(H17&lt;=0,999,ROUND(F17/H17,1))</f>
        <v>999</v>
      </c>
      <c r="J17" s="9" t="n">
        <f aca="false">SUMIFS(ROBA_U_DOLASKU!$C$6:$C$95,ROBA_U_DOLASKU!$A$6:$A$95,A17,ROBA_U_DOLASKU!$H$6:$H$95,1)</f>
        <v>0</v>
      </c>
      <c r="K17" s="9" t="n">
        <f aca="false">SUMIFS(ROBA_U_DOLASKU!$B$6:$B$95,ROBA_U_DOLASKU!$A$6:$A$95,A17,ROBA_U_DOLASKU!$H$6:$H$95,1)</f>
        <v>0</v>
      </c>
      <c r="L17" s="9" t="n">
        <f aca="false">SUMIFS(ROBA_U_DOLASKU!$C$6:$C$95,ROBA_U_DOLASKU!$A$6:$A$95,A17,ROBA_U_DOLASKU!$H$6:$H$95,2)</f>
        <v>0</v>
      </c>
      <c r="M17" s="9" t="n">
        <f aca="false">SUMIFS(ROBA_U_DOLASKU!$B$6:$B$95,ROBA_U_DOLASKU!$A$6:$A$95,A17,ROBA_U_DOLASKU!$H$6:$H$95,2)</f>
        <v>0</v>
      </c>
      <c r="N17" s="9" t="n">
        <f aca="false">SUMIFS(ROBA_U_DOLASKU!$C$6:$C$95,ROBA_U_DOLASKU!$A$6:$A$95,A17,ROBA_U_DOLASKU!$H$6:$H$95,3)</f>
        <v>0</v>
      </c>
      <c r="O17" s="9" t="n">
        <f aca="false">SUMIFS(ROBA_U_DOLASKU!$B$6:$B$95,ROBA_U_DOLASKU!$A$6:$A$95,A17,ROBA_U_DOLASKU!$H$6:$H$95,3)</f>
        <v>0</v>
      </c>
      <c r="P17" s="9" t="n">
        <f aca="false">IF(H17&lt;=0,999,IF(O17&gt;0,ROUND((F17-H17*N17+K17+M17+O17)/H17,1),IF(M17&gt;0,ROUND((F17-H17*L17+K17+M17)/H17,1),IF(K17&gt;0,ROUND((F17-H17*J17+K17)/H17,1),I17))))</f>
        <v>999</v>
      </c>
      <c r="Q17" s="22" t="str">
        <f aca="false">IF(H17&lt;=0,"Nema prodaje",IF(AND(K17=0,M17=0,O17=0),IF(I17&lt;POSTAVKE!$B$6,"Naruči odmah","Sve u redu"),IF(F17-H17*J17&lt;0,"Rupa za ~"&amp;TEXT(I17,"0.0")&amp;" mj.",IF(AND(M17&gt;0,F17-H17*L17+K17&lt;0),"Rupa nakon 1. dolaska",IF(AND(O17&gt;0,F17-H17*N17+K17+M17&lt;0),"Rupa nakon 2. dolaska",IF(P17&lt;POSTAVKE!$B$6,"Količina nije dovoljna",IF(I17&gt;=POSTAVKE!$B$6,"Sve u redu","Stiže na vrijeme")))))))</f>
        <v>Nema prodaje</v>
      </c>
      <c r="S17" s="23" t="n">
        <f aca="false">IFERROR(INDEX(PODACI_PRODAJA!B:B,MATCH($A17,PODACI_PRODAJA!$A:$A,0)),0)</f>
        <v>0</v>
      </c>
      <c r="T17" s="23" t="n">
        <f aca="false">IFERROR(INDEX(PODACI_PRODAJA!C:C,MATCH($A17,PODACI_PRODAJA!$A:$A,0)),0)</f>
        <v>0</v>
      </c>
      <c r="U17" s="23" t="n">
        <f aca="false">IFERROR(INDEX(PODACI_PRODAJA!D:D,MATCH($A17,PODACI_PRODAJA!$A:$A,0)),0)</f>
        <v>0</v>
      </c>
      <c r="V17" s="23" t="n">
        <f aca="false">IFERROR(INDEX(PODACI_PRODAJA!E:E,MATCH($A17,PODACI_PRODAJA!$A:$A,0)),0)</f>
        <v>0</v>
      </c>
      <c r="W17" s="23" t="n">
        <f aca="false">IFERROR(INDEX(PODACI_PRODAJA!F:F,MATCH($A17,PODACI_PRODAJA!$A:$A,0)),0)</f>
        <v>0</v>
      </c>
      <c r="X17" s="23" t="n">
        <f aca="false">IFERROR(INDEX(PODACI_PRODAJA!G:G,MATCH($A17,PODACI_PRODAJA!$A:$A,0)),0)</f>
        <v>0</v>
      </c>
      <c r="Y17" s="23" t="n">
        <f aca="false">IFERROR(INDEX(PODACI_PRODAJA!H:H,MATCH($A17,PODACI_PRODAJA!$A:$A,0)),0)</f>
        <v>0</v>
      </c>
      <c r="Z17" s="23" t="n">
        <f aca="false">IFERROR(INDEX(PODACI_PRODAJA!I:I,MATCH($A17,PODACI_PRODAJA!$A:$A,0)),0)</f>
        <v>0</v>
      </c>
      <c r="AA17" s="23" t="n">
        <f aca="false">IFERROR(INDEX(PODACI_PRODAJA!J:J,MATCH($A17,PODACI_PRODAJA!$A:$A,0)),0)</f>
        <v>0</v>
      </c>
      <c r="AB17" s="23" t="n">
        <f aca="false">IFERROR(INDEX(PODACI_PRODAJA!K:K,MATCH($A17,PODACI_PRODAJA!$A:$A,0)),0)</f>
        <v>0</v>
      </c>
      <c r="AC17" s="23" t="n">
        <f aca="false">IFERROR(INDEX(PODACI_PRODAJA!L:L,MATCH($A17,PODACI_PRODAJA!$A:$A,0)),0)</f>
        <v>0</v>
      </c>
      <c r="AD17" s="23" t="n">
        <f aca="false">IFERROR(INDEX(PODACI_PRODAJA!M:M,MATCH($A17,PODACI_PRODAJA!$A:$A,0)),0)</f>
        <v>0</v>
      </c>
    </row>
    <row r="18" customFormat="false" ht="15" hidden="false" customHeight="false" outlineLevel="0" collapsed="false">
      <c r="A18" s="11" t="str">
        <f aca="false">PODACI_ZALIHE!A15</f>
        <v>00720</v>
      </c>
      <c r="B18" s="8" t="str">
        <f aca="false">PODACI_ZALIHE!B15</f>
        <v>KOTAČIĆI ZA TUŠ KABINE 4/1</v>
      </c>
      <c r="C18" s="9" t="str">
        <f aca="false">PODACI_ZALIHE!C15</f>
        <v>4328</v>
      </c>
      <c r="D18" s="8" t="str">
        <f aca="false">PODACI_ZALIHE!D15</f>
        <v>HANGZHOU DUHUI IMPORT AND EXPORT CO.,LTD</v>
      </c>
      <c r="E18" s="19" t="n">
        <f aca="false">IF(PODACI_ZALIHE!E15="","",PODACI_ZALIHE!E15)</f>
        <v>385</v>
      </c>
      <c r="F18" s="20" t="n">
        <f aca="false">PODACI_ZALIHE!F15</f>
        <v>354</v>
      </c>
      <c r="G18" s="19" t="n">
        <f aca="false">IF(E18="","",E18-F18)</f>
        <v>31</v>
      </c>
      <c r="H18" s="9" t="n">
        <f aca="false">PODACI_PRODAJA!N12</f>
        <v>83.13</v>
      </c>
      <c r="I18" s="21" t="n">
        <f aca="false">IF(H18&lt;=0,999,ROUND(F18/H18,1))</f>
        <v>4.3</v>
      </c>
      <c r="J18" s="9" t="n">
        <f aca="false">SUMIFS(ROBA_U_DOLASKU!$C$6:$C$95,ROBA_U_DOLASKU!$A$6:$A$95,A18,ROBA_U_DOLASKU!$H$6:$H$95,1)</f>
        <v>0</v>
      </c>
      <c r="K18" s="9" t="n">
        <f aca="false">SUMIFS(ROBA_U_DOLASKU!$B$6:$B$95,ROBA_U_DOLASKU!$A$6:$A$95,A18,ROBA_U_DOLASKU!$H$6:$H$95,1)</f>
        <v>0</v>
      </c>
      <c r="L18" s="9" t="n">
        <f aca="false">SUMIFS(ROBA_U_DOLASKU!$C$6:$C$95,ROBA_U_DOLASKU!$A$6:$A$95,A18,ROBA_U_DOLASKU!$H$6:$H$95,2)</f>
        <v>0</v>
      </c>
      <c r="M18" s="9" t="n">
        <f aca="false">SUMIFS(ROBA_U_DOLASKU!$B$6:$B$95,ROBA_U_DOLASKU!$A$6:$A$95,A18,ROBA_U_DOLASKU!$H$6:$H$95,2)</f>
        <v>0</v>
      </c>
      <c r="N18" s="9" t="n">
        <f aca="false">SUMIFS(ROBA_U_DOLASKU!$C$6:$C$95,ROBA_U_DOLASKU!$A$6:$A$95,A18,ROBA_U_DOLASKU!$H$6:$H$95,3)</f>
        <v>0</v>
      </c>
      <c r="O18" s="9" t="n">
        <f aca="false">SUMIFS(ROBA_U_DOLASKU!$B$6:$B$95,ROBA_U_DOLASKU!$A$6:$A$95,A18,ROBA_U_DOLASKU!$H$6:$H$95,3)</f>
        <v>0</v>
      </c>
      <c r="P18" s="9" t="n">
        <f aca="false">IF(H18&lt;=0,999,IF(O18&gt;0,ROUND((F18-H18*N18+K18+M18+O18)/H18,1),IF(M18&gt;0,ROUND((F18-H18*L18+K18+M18)/H18,1),IF(K18&gt;0,ROUND((F18-H18*J18+K18)/H18,1),I18))))</f>
        <v>4.3</v>
      </c>
      <c r="Q18" s="22" t="str">
        <f aca="false">IF(H18&lt;=0,"Nema prodaje",IF(AND(K18=0,M18=0,O18=0),IF(I18&lt;POSTAVKE!$B$6,"Naruči odmah","Sve u redu"),IF(F18-H18*J18&lt;0,"Rupa za ~"&amp;TEXT(I18,"0.0")&amp;" mj.",IF(AND(M18&gt;0,F18-H18*L18+K18&lt;0),"Rupa nakon 1. dolaska",IF(AND(O18&gt;0,F18-H18*N18+K18+M18&lt;0),"Rupa nakon 2. dolaska",IF(P18&lt;POSTAVKE!$B$6,"Količina nije dovoljna",IF(I18&gt;=POSTAVKE!$B$6,"Sve u redu","Stiže na vrijeme")))))))</f>
        <v>Naruči odmah</v>
      </c>
      <c r="S18" s="23" t="n">
        <f aca="false">IFERROR(INDEX(PODACI_PRODAJA!B:B,MATCH($A18,PODACI_PRODAJA!$A:$A,0)),0)</f>
        <v>66</v>
      </c>
      <c r="T18" s="23" t="n">
        <f aca="false">IFERROR(INDEX(PODACI_PRODAJA!C:C,MATCH($A18,PODACI_PRODAJA!$A:$A,0)),0)</f>
        <v>43</v>
      </c>
      <c r="U18" s="23" t="n">
        <f aca="false">IFERROR(INDEX(PODACI_PRODAJA!D:D,MATCH($A18,PODACI_PRODAJA!$A:$A,0)),0)</f>
        <v>65</v>
      </c>
      <c r="V18" s="23" t="n">
        <f aca="false">IFERROR(INDEX(PODACI_PRODAJA!E:E,MATCH($A18,PODACI_PRODAJA!$A:$A,0)),0)</f>
        <v>80</v>
      </c>
      <c r="W18" s="23" t="n">
        <f aca="false">IFERROR(INDEX(PODACI_PRODAJA!F:F,MATCH($A18,PODACI_PRODAJA!$A:$A,0)),0)</f>
        <v>66</v>
      </c>
      <c r="X18" s="23" t="n">
        <f aca="false">IFERROR(INDEX(PODACI_PRODAJA!G:G,MATCH($A18,PODACI_PRODAJA!$A:$A,0)),0)</f>
        <v>98</v>
      </c>
      <c r="Y18" s="23" t="n">
        <f aca="false">IFERROR(INDEX(PODACI_PRODAJA!H:H,MATCH($A18,PODACI_PRODAJA!$A:$A,0)),0)</f>
        <v>141</v>
      </c>
      <c r="Z18" s="23" t="n">
        <f aca="false">IFERROR(INDEX(PODACI_PRODAJA!I:I,MATCH($A18,PODACI_PRODAJA!$A:$A,0)),0)</f>
        <v>106</v>
      </c>
      <c r="AA18" s="23" t="n">
        <f aca="false">IFERROR(INDEX(PODACI_PRODAJA!J:J,MATCH($A18,PODACI_PRODAJA!$A:$A,0)),0)</f>
        <v>31</v>
      </c>
      <c r="AB18" s="23" t="n">
        <f aca="false">IFERROR(INDEX(PODACI_PRODAJA!K:K,MATCH($A18,PODACI_PRODAJA!$A:$A,0)),0)</f>
        <v>0</v>
      </c>
      <c r="AC18" s="23" t="n">
        <f aca="false">IFERROR(INDEX(PODACI_PRODAJA!L:L,MATCH($A18,PODACI_PRODAJA!$A:$A,0)),0)</f>
        <v>0</v>
      </c>
      <c r="AD18" s="23" t="n">
        <f aca="false">IFERROR(INDEX(PODACI_PRODAJA!M:M,MATCH($A18,PODACI_PRODAJA!$A:$A,0)),0)</f>
        <v>0</v>
      </c>
    </row>
    <row r="19" customFormat="false" ht="15" hidden="false" customHeight="false" outlineLevel="0" collapsed="false">
      <c r="A19" s="11" t="str">
        <f aca="false">PODACI_ZALIHE!A16</f>
        <v>046204</v>
      </c>
      <c r="B19" s="8" t="str">
        <f aca="false">PODACI_ZALIHE!B16</f>
        <v>ZELENA OBLOGA ZA ZID NATURA HERBA</v>
      </c>
      <c r="C19" s="9" t="str">
        <f aca="false">PODACI_ZALIHE!C16</f>
        <v>6931</v>
      </c>
      <c r="D19" s="8" t="str">
        <f aca="false">PODACI_ZALIHE!D16</f>
        <v>INTCO INTERNATIONAL (HK) CO., LIMITED</v>
      </c>
      <c r="E19" s="19" t="n">
        <f aca="false">IF(PODACI_ZALIHE!E16="","",PODACI_ZALIHE!E16)</f>
        <v>345</v>
      </c>
      <c r="F19" s="20" t="n">
        <f aca="false">PODACI_ZALIHE!F16</f>
        <v>345</v>
      </c>
      <c r="G19" s="19" t="n">
        <f aca="false">IF(E19="","",E19-F19)</f>
        <v>0</v>
      </c>
      <c r="H19" s="9" t="n">
        <f aca="false">PODACI_PRODAJA!N441</f>
        <v>1.63</v>
      </c>
      <c r="I19" s="21" t="n">
        <f aca="false">IF(H19&lt;=0,999,ROUND(F19/H19,1))</f>
        <v>211.7</v>
      </c>
      <c r="J19" s="9" t="n">
        <f aca="false">SUMIFS(ROBA_U_DOLASKU!$C$6:$C$95,ROBA_U_DOLASKU!$A$6:$A$95,A19,ROBA_U_DOLASKU!$H$6:$H$95,1)</f>
        <v>0</v>
      </c>
      <c r="K19" s="9" t="n">
        <f aca="false">SUMIFS(ROBA_U_DOLASKU!$B$6:$B$95,ROBA_U_DOLASKU!$A$6:$A$95,A19,ROBA_U_DOLASKU!$H$6:$H$95,1)</f>
        <v>0</v>
      </c>
      <c r="L19" s="9" t="n">
        <f aca="false">SUMIFS(ROBA_U_DOLASKU!$C$6:$C$95,ROBA_U_DOLASKU!$A$6:$A$95,A19,ROBA_U_DOLASKU!$H$6:$H$95,2)</f>
        <v>0</v>
      </c>
      <c r="M19" s="9" t="n">
        <f aca="false">SUMIFS(ROBA_U_DOLASKU!$B$6:$B$95,ROBA_U_DOLASKU!$A$6:$A$95,A19,ROBA_U_DOLASKU!$H$6:$H$95,2)</f>
        <v>0</v>
      </c>
      <c r="N19" s="9" t="n">
        <f aca="false">SUMIFS(ROBA_U_DOLASKU!$C$6:$C$95,ROBA_U_DOLASKU!$A$6:$A$95,A19,ROBA_U_DOLASKU!$H$6:$H$95,3)</f>
        <v>0</v>
      </c>
      <c r="O19" s="9" t="n">
        <f aca="false">SUMIFS(ROBA_U_DOLASKU!$B$6:$B$95,ROBA_U_DOLASKU!$A$6:$A$95,A19,ROBA_U_DOLASKU!$H$6:$H$95,3)</f>
        <v>0</v>
      </c>
      <c r="P19" s="9" t="n">
        <f aca="false">IF(H19&lt;=0,999,IF(O19&gt;0,ROUND((F19-H19*N19+K19+M19+O19)/H19,1),IF(M19&gt;0,ROUND((F19-H19*L19+K19+M19)/H19,1),IF(K19&gt;0,ROUND((F19-H19*J19+K19)/H19,1),I19))))</f>
        <v>211.7</v>
      </c>
      <c r="Q19" s="22" t="str">
        <f aca="false">IF(H19&lt;=0,"Nema prodaje",IF(AND(K19=0,M19=0,O19=0),IF(I19&lt;POSTAVKE!$B$6,"Naruči odmah","Sve u redu"),IF(F19-H19*J19&lt;0,"Rupa za ~"&amp;TEXT(I19,"0.0")&amp;" mj.",IF(AND(M19&gt;0,F19-H19*L19+K19&lt;0),"Rupa nakon 1. dolaska",IF(AND(O19&gt;0,F19-H19*N19+K19+M19&lt;0),"Rupa nakon 2. dolaska",IF(P19&lt;POSTAVKE!$B$6,"Količina nije dovoljna",IF(I19&gt;=POSTAVKE!$B$6,"Sve u redu","Stiže na vrijeme")))))))</f>
        <v>Sve u redu</v>
      </c>
      <c r="S19" s="23" t="n">
        <f aca="false">IFERROR(INDEX(PODACI_PRODAJA!B:B,MATCH($A19,PODACI_PRODAJA!$A:$A,0)),0)</f>
        <v>0</v>
      </c>
      <c r="T19" s="23" t="n">
        <f aca="false">IFERROR(INDEX(PODACI_PRODAJA!C:C,MATCH($A19,PODACI_PRODAJA!$A:$A,0)),0)</f>
        <v>0</v>
      </c>
      <c r="U19" s="23" t="n">
        <f aca="false">IFERROR(INDEX(PODACI_PRODAJA!D:D,MATCH($A19,PODACI_PRODAJA!$A:$A,0)),0)</f>
        <v>0</v>
      </c>
      <c r="V19" s="23" t="n">
        <f aca="false">IFERROR(INDEX(PODACI_PRODAJA!E:E,MATCH($A19,PODACI_PRODAJA!$A:$A,0)),0)</f>
        <v>0</v>
      </c>
      <c r="W19" s="23" t="n">
        <f aca="false">IFERROR(INDEX(PODACI_PRODAJA!F:F,MATCH($A19,PODACI_PRODAJA!$A:$A,0)),0)</f>
        <v>0</v>
      </c>
      <c r="X19" s="23" t="n">
        <f aca="false">IFERROR(INDEX(PODACI_PRODAJA!G:G,MATCH($A19,PODACI_PRODAJA!$A:$A,0)),0)</f>
        <v>0</v>
      </c>
      <c r="Y19" s="23" t="n">
        <f aca="false">IFERROR(INDEX(PODACI_PRODAJA!H:H,MATCH($A19,PODACI_PRODAJA!$A:$A,0)),0)</f>
        <v>13</v>
      </c>
      <c r="Z19" s="23" t="n">
        <f aca="false">IFERROR(INDEX(PODACI_PRODAJA!I:I,MATCH($A19,PODACI_PRODAJA!$A:$A,0)),0)</f>
        <v>0</v>
      </c>
      <c r="AA19" s="23" t="n">
        <f aca="false">IFERROR(INDEX(PODACI_PRODAJA!J:J,MATCH($A19,PODACI_PRODAJA!$A:$A,0)),0)</f>
        <v>0</v>
      </c>
      <c r="AB19" s="23" t="n">
        <f aca="false">IFERROR(INDEX(PODACI_PRODAJA!K:K,MATCH($A19,PODACI_PRODAJA!$A:$A,0)),0)</f>
        <v>0</v>
      </c>
      <c r="AC19" s="23" t="n">
        <f aca="false">IFERROR(INDEX(PODACI_PRODAJA!L:L,MATCH($A19,PODACI_PRODAJA!$A:$A,0)),0)</f>
        <v>0</v>
      </c>
      <c r="AD19" s="23" t="n">
        <f aca="false">IFERROR(INDEX(PODACI_PRODAJA!M:M,MATCH($A19,PODACI_PRODAJA!$A:$A,0)),0)</f>
        <v>0</v>
      </c>
    </row>
    <row r="20" customFormat="false" ht="15" hidden="false" customHeight="false" outlineLevel="0" collapsed="false">
      <c r="A20" s="11" t="str">
        <f aca="false">PODACI_ZALIHE!A17</f>
        <v>046202</v>
      </c>
      <c r="B20" s="8" t="str">
        <f aca="false">PODACI_ZALIHE!B17</f>
        <v>ZELENA OBLOGA ZA ZID VERDE FOREST</v>
      </c>
      <c r="C20" s="9" t="str">
        <f aca="false">PODACI_ZALIHE!C17</f>
        <v>6931</v>
      </c>
      <c r="D20" s="8" t="str">
        <f aca="false">PODACI_ZALIHE!D17</f>
        <v>INTCO INTERNATIONAL (HK) CO., LIMITED</v>
      </c>
      <c r="E20" s="19" t="n">
        <f aca="false">IF(PODACI_ZALIHE!E17="","",PODACI_ZALIHE!E17)</f>
        <v>335</v>
      </c>
      <c r="F20" s="20" t="n">
        <f aca="false">PODACI_ZALIHE!F17</f>
        <v>335</v>
      </c>
      <c r="G20" s="19" t="n">
        <f aca="false">IF(E20="","",E20-F20)</f>
        <v>0</v>
      </c>
      <c r="H20" s="9" t="n">
        <f aca="false">PODACI_PRODAJA!N439</f>
        <v>1.63</v>
      </c>
      <c r="I20" s="21" t="n">
        <f aca="false">IF(H20&lt;=0,999,ROUND(F20/H20,1))</f>
        <v>205.5</v>
      </c>
      <c r="J20" s="9" t="n">
        <f aca="false">SUMIFS(ROBA_U_DOLASKU!$C$6:$C$95,ROBA_U_DOLASKU!$A$6:$A$95,A20,ROBA_U_DOLASKU!$H$6:$H$95,1)</f>
        <v>0</v>
      </c>
      <c r="K20" s="9" t="n">
        <f aca="false">SUMIFS(ROBA_U_DOLASKU!$B$6:$B$95,ROBA_U_DOLASKU!$A$6:$A$95,A20,ROBA_U_DOLASKU!$H$6:$H$95,1)</f>
        <v>0</v>
      </c>
      <c r="L20" s="9" t="n">
        <f aca="false">SUMIFS(ROBA_U_DOLASKU!$C$6:$C$95,ROBA_U_DOLASKU!$A$6:$A$95,A20,ROBA_U_DOLASKU!$H$6:$H$95,2)</f>
        <v>0</v>
      </c>
      <c r="M20" s="9" t="n">
        <f aca="false">SUMIFS(ROBA_U_DOLASKU!$B$6:$B$95,ROBA_U_DOLASKU!$A$6:$A$95,A20,ROBA_U_DOLASKU!$H$6:$H$95,2)</f>
        <v>0</v>
      </c>
      <c r="N20" s="9" t="n">
        <f aca="false">SUMIFS(ROBA_U_DOLASKU!$C$6:$C$95,ROBA_U_DOLASKU!$A$6:$A$95,A20,ROBA_U_DOLASKU!$H$6:$H$95,3)</f>
        <v>0</v>
      </c>
      <c r="O20" s="9" t="n">
        <f aca="false">SUMIFS(ROBA_U_DOLASKU!$B$6:$B$95,ROBA_U_DOLASKU!$A$6:$A$95,A20,ROBA_U_DOLASKU!$H$6:$H$95,3)</f>
        <v>0</v>
      </c>
      <c r="P20" s="9" t="n">
        <f aca="false">IF(H20&lt;=0,999,IF(O20&gt;0,ROUND((F20-H20*N20+K20+M20+O20)/H20,1),IF(M20&gt;0,ROUND((F20-H20*L20+K20+M20)/H20,1),IF(K20&gt;0,ROUND((F20-H20*J20+K20)/H20,1),I20))))</f>
        <v>205.5</v>
      </c>
      <c r="Q20" s="22" t="str">
        <f aca="false">IF(H20&lt;=0,"Nema prodaje",IF(AND(K20=0,M20=0,O20=0),IF(I20&lt;POSTAVKE!$B$6,"Naruči odmah","Sve u redu"),IF(F20-H20*J20&lt;0,"Rupa za ~"&amp;TEXT(I20,"0.0")&amp;" mj.",IF(AND(M20&gt;0,F20-H20*L20+K20&lt;0),"Rupa nakon 1. dolaska",IF(AND(O20&gt;0,F20-H20*N20+K20+M20&lt;0),"Rupa nakon 2. dolaska",IF(P20&lt;POSTAVKE!$B$6,"Količina nije dovoljna",IF(I20&gt;=POSTAVKE!$B$6,"Sve u redu","Stiže na vrijeme")))))))</f>
        <v>Sve u redu</v>
      </c>
      <c r="S20" s="23" t="n">
        <f aca="false">IFERROR(INDEX(PODACI_PRODAJA!B:B,MATCH($A20,PODACI_PRODAJA!$A:$A,0)),0)</f>
        <v>0</v>
      </c>
      <c r="T20" s="23" t="n">
        <f aca="false">IFERROR(INDEX(PODACI_PRODAJA!C:C,MATCH($A20,PODACI_PRODAJA!$A:$A,0)),0)</f>
        <v>0</v>
      </c>
      <c r="U20" s="23" t="n">
        <f aca="false">IFERROR(INDEX(PODACI_PRODAJA!D:D,MATCH($A20,PODACI_PRODAJA!$A:$A,0)),0)</f>
        <v>0</v>
      </c>
      <c r="V20" s="23" t="n">
        <f aca="false">IFERROR(INDEX(PODACI_PRODAJA!E:E,MATCH($A20,PODACI_PRODAJA!$A:$A,0)),0)</f>
        <v>0</v>
      </c>
      <c r="W20" s="23" t="n">
        <f aca="false">IFERROR(INDEX(PODACI_PRODAJA!F:F,MATCH($A20,PODACI_PRODAJA!$A:$A,0)),0)</f>
        <v>0</v>
      </c>
      <c r="X20" s="23" t="n">
        <f aca="false">IFERROR(INDEX(PODACI_PRODAJA!G:G,MATCH($A20,PODACI_PRODAJA!$A:$A,0)),0)</f>
        <v>0</v>
      </c>
      <c r="Y20" s="23" t="n">
        <f aca="false">IFERROR(INDEX(PODACI_PRODAJA!H:H,MATCH($A20,PODACI_PRODAJA!$A:$A,0)),0)</f>
        <v>13</v>
      </c>
      <c r="Z20" s="23" t="n">
        <f aca="false">IFERROR(INDEX(PODACI_PRODAJA!I:I,MATCH($A20,PODACI_PRODAJA!$A:$A,0)),0)</f>
        <v>0</v>
      </c>
      <c r="AA20" s="23" t="n">
        <f aca="false">IFERROR(INDEX(PODACI_PRODAJA!J:J,MATCH($A20,PODACI_PRODAJA!$A:$A,0)),0)</f>
        <v>0</v>
      </c>
      <c r="AB20" s="23" t="n">
        <f aca="false">IFERROR(INDEX(PODACI_PRODAJA!K:K,MATCH($A20,PODACI_PRODAJA!$A:$A,0)),0)</f>
        <v>0</v>
      </c>
      <c r="AC20" s="23" t="n">
        <f aca="false">IFERROR(INDEX(PODACI_PRODAJA!L:L,MATCH($A20,PODACI_PRODAJA!$A:$A,0)),0)</f>
        <v>0</v>
      </c>
      <c r="AD20" s="23" t="n">
        <f aca="false">IFERROR(INDEX(PODACI_PRODAJA!M:M,MATCH($A20,PODACI_PRODAJA!$A:$A,0)),0)</f>
        <v>0</v>
      </c>
    </row>
    <row r="21" customFormat="false" ht="15" hidden="false" customHeight="false" outlineLevel="0" collapsed="false">
      <c r="A21" s="11" t="str">
        <f aca="false">PODACI_ZALIHE!A18</f>
        <v>15399</v>
      </c>
      <c r="B21" s="8" t="str">
        <f aca="false">PODACI_ZALIHE!B18</f>
        <v>PULSE 80 POLUKRUŽNA TUŠ KABINA 80X80X198</v>
      </c>
      <c r="C21" s="9" t="str">
        <f aca="false">PODACI_ZALIHE!C18</f>
        <v>6163</v>
      </c>
      <c r="D21" s="8" t="str">
        <f aca="false">PODACI_ZALIHE!D18</f>
        <v>HANGZHOU TIANMEI INDUSTRY CO.,LTD</v>
      </c>
      <c r="E21" s="19" t="n">
        <f aca="false">IF(PODACI_ZALIHE!E18="","",PODACI_ZALIHE!E18)</f>
        <v>333</v>
      </c>
      <c r="F21" s="20" t="n">
        <f aca="false">PODACI_ZALIHE!F18</f>
        <v>321</v>
      </c>
      <c r="G21" s="19" t="n">
        <f aca="false">IF(E21="","",E21-F21)</f>
        <v>12</v>
      </c>
      <c r="H21" s="9" t="n">
        <f aca="false">PODACI_PRODAJA!N18</f>
        <v>52.13</v>
      </c>
      <c r="I21" s="21" t="n">
        <f aca="false">IF(H21&lt;=0,999,ROUND(F21/H21,1))</f>
        <v>6.2</v>
      </c>
      <c r="J21" s="9" t="n">
        <f aca="false">SUMIFS(ROBA_U_DOLASKU!$C$6:$C$95,ROBA_U_DOLASKU!$A$6:$A$95,A21,ROBA_U_DOLASKU!$H$6:$H$95,1)</f>
        <v>2.4</v>
      </c>
      <c r="K21" s="9" t="n">
        <f aca="false">SUMIFS(ROBA_U_DOLASKU!$B$6:$B$95,ROBA_U_DOLASKU!$A$6:$A$95,A21,ROBA_U_DOLASKU!$H$6:$H$95,1)</f>
        <v>50</v>
      </c>
      <c r="L21" s="9" t="n">
        <f aca="false">SUMIFS(ROBA_U_DOLASKU!$C$6:$C$95,ROBA_U_DOLASKU!$A$6:$A$95,A21,ROBA_U_DOLASKU!$H$6:$H$95,2)</f>
        <v>0</v>
      </c>
      <c r="M21" s="9" t="n">
        <f aca="false">SUMIFS(ROBA_U_DOLASKU!$B$6:$B$95,ROBA_U_DOLASKU!$A$6:$A$95,A21,ROBA_U_DOLASKU!$H$6:$H$95,2)</f>
        <v>0</v>
      </c>
      <c r="N21" s="9" t="n">
        <f aca="false">SUMIFS(ROBA_U_DOLASKU!$C$6:$C$95,ROBA_U_DOLASKU!$A$6:$A$95,A21,ROBA_U_DOLASKU!$H$6:$H$95,3)</f>
        <v>0</v>
      </c>
      <c r="O21" s="9" t="n">
        <f aca="false">SUMIFS(ROBA_U_DOLASKU!$B$6:$B$95,ROBA_U_DOLASKU!$A$6:$A$95,A21,ROBA_U_DOLASKU!$H$6:$H$95,3)</f>
        <v>0</v>
      </c>
      <c r="P21" s="9" t="n">
        <f aca="false">IF(H21&lt;=0,999,IF(O21&gt;0,ROUND((F21-H21*N21+K21+M21+O21)/H21,1),IF(M21&gt;0,ROUND((F21-H21*L21+K21+M21)/H21,1),IF(K21&gt;0,ROUND((F21-H21*J21+K21)/H21,1),I21))))</f>
        <v>4.7</v>
      </c>
      <c r="Q21" s="22" t="str">
        <f aca="false">IF(H21&lt;=0,"Nema prodaje",IF(AND(K21=0,M21=0,O21=0),IF(I21&lt;POSTAVKE!$B$6,"Naruči odmah","Sve u redu"),IF(F21-H21*J21&lt;0,"Rupa za ~"&amp;TEXT(I21,"0.0")&amp;" mj.",IF(AND(M21&gt;0,F21-H21*L21+K21&lt;0),"Rupa nakon 1. dolaska",IF(AND(O21&gt;0,F21-H21*N21+K21+M21&lt;0),"Rupa nakon 2. dolaska",IF(P21&lt;POSTAVKE!$B$6,"Količina nije dovoljna",IF(I21&gt;=POSTAVKE!$B$6,"Sve u redu","Stiže na vrijeme")))))))</f>
        <v>Količina nije dovoljna</v>
      </c>
      <c r="S21" s="23" t="n">
        <f aca="false">IFERROR(INDEX(PODACI_PRODAJA!B:B,MATCH($A21,PODACI_PRODAJA!$A:$A,0)),0)</f>
        <v>45</v>
      </c>
      <c r="T21" s="23" t="n">
        <f aca="false">IFERROR(INDEX(PODACI_PRODAJA!C:C,MATCH($A21,PODACI_PRODAJA!$A:$A,0)),0)</f>
        <v>68</v>
      </c>
      <c r="U21" s="23" t="n">
        <f aca="false">IFERROR(INDEX(PODACI_PRODAJA!D:D,MATCH($A21,PODACI_PRODAJA!$A:$A,0)),0)</f>
        <v>38</v>
      </c>
      <c r="V21" s="23" t="n">
        <f aca="false">IFERROR(INDEX(PODACI_PRODAJA!E:E,MATCH($A21,PODACI_PRODAJA!$A:$A,0)),0)</f>
        <v>83</v>
      </c>
      <c r="W21" s="23" t="n">
        <f aca="false">IFERROR(INDEX(PODACI_PRODAJA!F:F,MATCH($A21,PODACI_PRODAJA!$A:$A,0)),0)</f>
        <v>37</v>
      </c>
      <c r="X21" s="23" t="n">
        <f aca="false">IFERROR(INDEX(PODACI_PRODAJA!G:G,MATCH($A21,PODACI_PRODAJA!$A:$A,0)),0)</f>
        <v>49</v>
      </c>
      <c r="Y21" s="23" t="n">
        <f aca="false">IFERROR(INDEX(PODACI_PRODAJA!H:H,MATCH($A21,PODACI_PRODAJA!$A:$A,0)),0)</f>
        <v>40</v>
      </c>
      <c r="Z21" s="23" t="n">
        <f aca="false">IFERROR(INDEX(PODACI_PRODAJA!I:I,MATCH($A21,PODACI_PRODAJA!$A:$A,0)),0)</f>
        <v>57</v>
      </c>
      <c r="AA21" s="23" t="n">
        <f aca="false">IFERROR(INDEX(PODACI_PRODAJA!J:J,MATCH($A21,PODACI_PRODAJA!$A:$A,0)),0)</f>
        <v>12</v>
      </c>
      <c r="AB21" s="23" t="n">
        <f aca="false">IFERROR(INDEX(PODACI_PRODAJA!K:K,MATCH($A21,PODACI_PRODAJA!$A:$A,0)),0)</f>
        <v>0</v>
      </c>
      <c r="AC21" s="23" t="n">
        <f aca="false">IFERROR(INDEX(PODACI_PRODAJA!L:L,MATCH($A21,PODACI_PRODAJA!$A:$A,0)),0)</f>
        <v>0</v>
      </c>
      <c r="AD21" s="23" t="n">
        <f aca="false">IFERROR(INDEX(PODACI_PRODAJA!M:M,MATCH($A21,PODACI_PRODAJA!$A:$A,0)),0)</f>
        <v>0</v>
      </c>
    </row>
    <row r="22" customFormat="false" ht="15" hidden="false" customHeight="false" outlineLevel="0" collapsed="false">
      <c r="A22" s="11" t="str">
        <f aca="false">PODACI_ZALIHE!A19</f>
        <v>17174</v>
      </c>
      <c r="B22" s="8" t="str">
        <f aca="false">PODACI_ZALIHE!B19</f>
        <v>NERO DRŽAČ TOALETNOG PAPIRA - CRNI</v>
      </c>
      <c r="C22" s="9" t="str">
        <f aca="false">PODACI_ZALIHE!C19</f>
        <v>6458</v>
      </c>
      <c r="D22" s="8" t="str">
        <f aca="false">PODACI_ZALIHE!D19</f>
        <v>BOJIA TRADING LIMITED</v>
      </c>
      <c r="E22" s="19" t="n">
        <f aca="false">IF(PODACI_ZALIHE!E19="","",PODACI_ZALIHE!E19)</f>
        <v>311</v>
      </c>
      <c r="F22" s="20" t="n">
        <f aca="false">PODACI_ZALIHE!F19</f>
        <v>311</v>
      </c>
      <c r="G22" s="19" t="n">
        <f aca="false">IF(E22="","",E22-F22)</f>
        <v>0</v>
      </c>
      <c r="H22" s="9" t="n">
        <f aca="false">PODACI_PRODAJA!N592</f>
        <v>1.5</v>
      </c>
      <c r="I22" s="21" t="n">
        <f aca="false">IF(H22&lt;=0,999,ROUND(F22/H22,1))</f>
        <v>207.3</v>
      </c>
      <c r="J22" s="9" t="n">
        <f aca="false">SUMIFS(ROBA_U_DOLASKU!$C$6:$C$95,ROBA_U_DOLASKU!$A$6:$A$95,A22,ROBA_U_DOLASKU!$H$6:$H$95,1)</f>
        <v>0</v>
      </c>
      <c r="K22" s="9" t="n">
        <f aca="false">SUMIFS(ROBA_U_DOLASKU!$B$6:$B$95,ROBA_U_DOLASKU!$A$6:$A$95,A22,ROBA_U_DOLASKU!$H$6:$H$95,1)</f>
        <v>0</v>
      </c>
      <c r="L22" s="9" t="n">
        <f aca="false">SUMIFS(ROBA_U_DOLASKU!$C$6:$C$95,ROBA_U_DOLASKU!$A$6:$A$95,A22,ROBA_U_DOLASKU!$H$6:$H$95,2)</f>
        <v>0</v>
      </c>
      <c r="M22" s="9" t="n">
        <f aca="false">SUMIFS(ROBA_U_DOLASKU!$B$6:$B$95,ROBA_U_DOLASKU!$A$6:$A$95,A22,ROBA_U_DOLASKU!$H$6:$H$95,2)</f>
        <v>0</v>
      </c>
      <c r="N22" s="9" t="n">
        <f aca="false">SUMIFS(ROBA_U_DOLASKU!$C$6:$C$95,ROBA_U_DOLASKU!$A$6:$A$95,A22,ROBA_U_DOLASKU!$H$6:$H$95,3)</f>
        <v>0</v>
      </c>
      <c r="O22" s="9" t="n">
        <f aca="false">SUMIFS(ROBA_U_DOLASKU!$B$6:$B$95,ROBA_U_DOLASKU!$A$6:$A$95,A22,ROBA_U_DOLASKU!$H$6:$H$95,3)</f>
        <v>0</v>
      </c>
      <c r="P22" s="9" t="n">
        <f aca="false">IF(H22&lt;=0,999,IF(O22&gt;0,ROUND((F22-H22*N22+K22+M22+O22)/H22,1),IF(M22&gt;0,ROUND((F22-H22*L22+K22+M22)/H22,1),IF(K22&gt;0,ROUND((F22-H22*J22+K22)/H22,1),I22))))</f>
        <v>207.3</v>
      </c>
      <c r="Q22" s="22" t="str">
        <f aca="false">IF(H22&lt;=0,"Nema prodaje",IF(AND(K22=0,M22=0,O22=0),IF(I22&lt;POSTAVKE!$B$6,"Naruči odmah","Sve u redu"),IF(F22-H22*J22&lt;0,"Rupa za ~"&amp;TEXT(I22,"0.0")&amp;" mj.",IF(AND(M22&gt;0,F22-H22*L22+K22&lt;0),"Rupa nakon 1. dolaska",IF(AND(O22&gt;0,F22-H22*N22+K22+M22&lt;0),"Rupa nakon 2. dolaska",IF(P22&lt;POSTAVKE!$B$6,"Količina nije dovoljna",IF(I22&gt;=POSTAVKE!$B$6,"Sve u redu","Stiže na vrijeme")))))))</f>
        <v>Sve u redu</v>
      </c>
      <c r="S22" s="23" t="n">
        <f aca="false">IFERROR(INDEX(PODACI_PRODAJA!B:B,MATCH($A22,PODACI_PRODAJA!$A:$A,0)),0)</f>
        <v>0</v>
      </c>
      <c r="T22" s="23" t="n">
        <f aca="false">IFERROR(INDEX(PODACI_PRODAJA!C:C,MATCH($A22,PODACI_PRODAJA!$A:$A,0)),0)</f>
        <v>1</v>
      </c>
      <c r="U22" s="23" t="n">
        <f aca="false">IFERROR(INDEX(PODACI_PRODAJA!D:D,MATCH($A22,PODACI_PRODAJA!$A:$A,0)),0)</f>
        <v>1</v>
      </c>
      <c r="V22" s="23" t="n">
        <f aca="false">IFERROR(INDEX(PODACI_PRODAJA!E:E,MATCH($A22,PODACI_PRODAJA!$A:$A,0)),0)</f>
        <v>5</v>
      </c>
      <c r="W22" s="23" t="n">
        <f aca="false">IFERROR(INDEX(PODACI_PRODAJA!F:F,MATCH($A22,PODACI_PRODAJA!$A:$A,0)),0)</f>
        <v>0</v>
      </c>
      <c r="X22" s="23" t="n">
        <f aca="false">IFERROR(INDEX(PODACI_PRODAJA!G:G,MATCH($A22,PODACI_PRODAJA!$A:$A,0)),0)</f>
        <v>0</v>
      </c>
      <c r="Y22" s="23" t="n">
        <f aca="false">IFERROR(INDEX(PODACI_PRODAJA!H:H,MATCH($A22,PODACI_PRODAJA!$A:$A,0)),0)</f>
        <v>5</v>
      </c>
      <c r="Z22" s="23" t="n">
        <f aca="false">IFERROR(INDEX(PODACI_PRODAJA!I:I,MATCH($A22,PODACI_PRODAJA!$A:$A,0)),0)</f>
        <v>0</v>
      </c>
      <c r="AA22" s="23" t="n">
        <f aca="false">IFERROR(INDEX(PODACI_PRODAJA!J:J,MATCH($A22,PODACI_PRODAJA!$A:$A,0)),0)</f>
        <v>0</v>
      </c>
      <c r="AB22" s="23" t="n">
        <f aca="false">IFERROR(INDEX(PODACI_PRODAJA!K:K,MATCH($A22,PODACI_PRODAJA!$A:$A,0)),0)</f>
        <v>0</v>
      </c>
      <c r="AC22" s="23" t="n">
        <f aca="false">IFERROR(INDEX(PODACI_PRODAJA!L:L,MATCH($A22,PODACI_PRODAJA!$A:$A,0)),0)</f>
        <v>0</v>
      </c>
      <c r="AD22" s="23" t="n">
        <f aca="false">IFERROR(INDEX(PODACI_PRODAJA!M:M,MATCH($A22,PODACI_PRODAJA!$A:$A,0)),0)</f>
        <v>0</v>
      </c>
    </row>
    <row r="23" customFormat="false" ht="15" hidden="false" customHeight="false" outlineLevel="0" collapsed="false">
      <c r="A23" s="11" t="str">
        <f aca="false">PODACI_ZALIHE!A20</f>
        <v>16935</v>
      </c>
      <c r="B23" s="8" t="str">
        <f aca="false">PODACI_ZALIHE!B20</f>
        <v>ZOYA BLACK OGLEDALO R 80 cm</v>
      </c>
      <c r="C23" s="9" t="str">
        <f aca="false">PODACI_ZALIHE!C20</f>
        <v>6032</v>
      </c>
      <c r="D23" s="8" t="str">
        <f aca="false">PODACI_ZALIHE!D20</f>
        <v>HANGZHOU ZIHAN MIRROR INDUSTRY CO., LTD.</v>
      </c>
      <c r="E23" s="19" t="n">
        <f aca="false">IF(PODACI_ZALIHE!E20="","",PODACI_ZALIHE!E20)</f>
        <v>287</v>
      </c>
      <c r="F23" s="20" t="n">
        <f aca="false">PODACI_ZALIHE!F20</f>
        <v>282</v>
      </c>
      <c r="G23" s="19" t="n">
        <f aca="false">IF(E23="","",E23-F23)</f>
        <v>5</v>
      </c>
      <c r="H23" s="9" t="n">
        <f aca="false">PODACI_PRODAJA!N120</f>
        <v>8.63</v>
      </c>
      <c r="I23" s="21" t="n">
        <f aca="false">IF(H23&lt;=0,999,ROUND(F23/H23,1))</f>
        <v>32.7</v>
      </c>
      <c r="J23" s="9" t="n">
        <f aca="false">SUMIFS(ROBA_U_DOLASKU!$C$6:$C$95,ROBA_U_DOLASKU!$A$6:$A$95,A23,ROBA_U_DOLASKU!$H$6:$H$95,1)</f>
        <v>0</v>
      </c>
      <c r="K23" s="9" t="n">
        <f aca="false">SUMIFS(ROBA_U_DOLASKU!$B$6:$B$95,ROBA_U_DOLASKU!$A$6:$A$95,A23,ROBA_U_DOLASKU!$H$6:$H$95,1)</f>
        <v>0</v>
      </c>
      <c r="L23" s="9" t="n">
        <f aca="false">SUMIFS(ROBA_U_DOLASKU!$C$6:$C$95,ROBA_U_DOLASKU!$A$6:$A$95,A23,ROBA_U_DOLASKU!$H$6:$H$95,2)</f>
        <v>0</v>
      </c>
      <c r="M23" s="9" t="n">
        <f aca="false">SUMIFS(ROBA_U_DOLASKU!$B$6:$B$95,ROBA_U_DOLASKU!$A$6:$A$95,A23,ROBA_U_DOLASKU!$H$6:$H$95,2)</f>
        <v>0</v>
      </c>
      <c r="N23" s="9" t="n">
        <f aca="false">SUMIFS(ROBA_U_DOLASKU!$C$6:$C$95,ROBA_U_DOLASKU!$A$6:$A$95,A23,ROBA_U_DOLASKU!$H$6:$H$95,3)</f>
        <v>0</v>
      </c>
      <c r="O23" s="9" t="n">
        <f aca="false">SUMIFS(ROBA_U_DOLASKU!$B$6:$B$95,ROBA_U_DOLASKU!$A$6:$A$95,A23,ROBA_U_DOLASKU!$H$6:$H$95,3)</f>
        <v>0</v>
      </c>
      <c r="P23" s="9" t="n">
        <f aca="false">IF(H23&lt;=0,999,IF(O23&gt;0,ROUND((F23-H23*N23+K23+M23+O23)/H23,1),IF(M23&gt;0,ROUND((F23-H23*L23+K23+M23)/H23,1),IF(K23&gt;0,ROUND((F23-H23*J23+K23)/H23,1),I23))))</f>
        <v>32.7</v>
      </c>
      <c r="Q23" s="22" t="str">
        <f aca="false">IF(H23&lt;=0,"Nema prodaje",IF(AND(K23=0,M23=0,O23=0),IF(I23&lt;POSTAVKE!$B$6,"Naruči odmah","Sve u redu"),IF(F23-H23*J23&lt;0,"Rupa za ~"&amp;TEXT(I23,"0.0")&amp;" mj.",IF(AND(M23&gt;0,F23-H23*L23+K23&lt;0),"Rupa nakon 1. dolaska",IF(AND(O23&gt;0,F23-H23*N23+K23+M23&lt;0),"Rupa nakon 2. dolaska",IF(P23&lt;POSTAVKE!$B$6,"Količina nije dovoljna",IF(I23&gt;=POSTAVKE!$B$6,"Sve u redu","Stiže na vrijeme")))))))</f>
        <v>Sve u redu</v>
      </c>
      <c r="S23" s="23" t="n">
        <f aca="false">IFERROR(INDEX(PODACI_PRODAJA!B:B,MATCH($A23,PODACI_PRODAJA!$A:$A,0)),0)</f>
        <v>5</v>
      </c>
      <c r="T23" s="23" t="n">
        <f aca="false">IFERROR(INDEX(PODACI_PRODAJA!C:C,MATCH($A23,PODACI_PRODAJA!$A:$A,0)),0)</f>
        <v>8</v>
      </c>
      <c r="U23" s="23" t="n">
        <f aca="false">IFERROR(INDEX(PODACI_PRODAJA!D:D,MATCH($A23,PODACI_PRODAJA!$A:$A,0)),0)</f>
        <v>31</v>
      </c>
      <c r="V23" s="23" t="n">
        <f aca="false">IFERROR(INDEX(PODACI_PRODAJA!E:E,MATCH($A23,PODACI_PRODAJA!$A:$A,0)),0)</f>
        <v>4</v>
      </c>
      <c r="W23" s="23" t="n">
        <f aca="false">IFERROR(INDEX(PODACI_PRODAJA!F:F,MATCH($A23,PODACI_PRODAJA!$A:$A,0)),0)</f>
        <v>9</v>
      </c>
      <c r="X23" s="23" t="n">
        <f aca="false">IFERROR(INDEX(PODACI_PRODAJA!G:G,MATCH($A23,PODACI_PRODAJA!$A:$A,0)),0)</f>
        <v>2</v>
      </c>
      <c r="Y23" s="23" t="n">
        <f aca="false">IFERROR(INDEX(PODACI_PRODAJA!H:H,MATCH($A23,PODACI_PRODAJA!$A:$A,0)),0)</f>
        <v>4</v>
      </c>
      <c r="Z23" s="23" t="n">
        <f aca="false">IFERROR(INDEX(PODACI_PRODAJA!I:I,MATCH($A23,PODACI_PRODAJA!$A:$A,0)),0)</f>
        <v>6</v>
      </c>
      <c r="AA23" s="23" t="n">
        <f aca="false">IFERROR(INDEX(PODACI_PRODAJA!J:J,MATCH($A23,PODACI_PRODAJA!$A:$A,0)),0)</f>
        <v>5</v>
      </c>
      <c r="AB23" s="23" t="n">
        <f aca="false">IFERROR(INDEX(PODACI_PRODAJA!K:K,MATCH($A23,PODACI_PRODAJA!$A:$A,0)),0)</f>
        <v>0</v>
      </c>
      <c r="AC23" s="23" t="n">
        <f aca="false">IFERROR(INDEX(PODACI_PRODAJA!L:L,MATCH($A23,PODACI_PRODAJA!$A:$A,0)),0)</f>
        <v>0</v>
      </c>
      <c r="AD23" s="23" t="n">
        <f aca="false">IFERROR(INDEX(PODACI_PRODAJA!M:M,MATCH($A23,PODACI_PRODAJA!$A:$A,0)),0)</f>
        <v>0</v>
      </c>
    </row>
    <row r="24" customFormat="false" ht="15" hidden="false" customHeight="false" outlineLevel="0" collapsed="false">
      <c r="A24" s="11" t="str">
        <f aca="false">PODACI_ZALIHE!A21</f>
        <v>16793</v>
      </c>
      <c r="B24" s="8" t="str">
        <f aca="false">PODACI_ZALIHE!B21</f>
        <v>GL00099 FLEKSIBILNI SIFON TUS KADE LUX 110 SLIM</v>
      </c>
      <c r="C24" s="9" t="str">
        <f aca="false">PODACI_ZALIHE!C21</f>
        <v>3291</v>
      </c>
      <c r="D24" s="8" t="str">
        <f aca="false">PODACI_ZALIHE!D21</f>
        <v>TEHNOEXPORT D.O.O.</v>
      </c>
      <c r="E24" s="19" t="n">
        <f aca="false">IF(PODACI_ZALIHE!E21="","",PODACI_ZALIHE!E21)</f>
        <v>281</v>
      </c>
      <c r="F24" s="20" t="n">
        <f aca="false">PODACI_ZALIHE!F21</f>
        <v>281</v>
      </c>
      <c r="G24" s="19" t="n">
        <f aca="false">IF(E24="","",E24-F24)</f>
        <v>0</v>
      </c>
      <c r="H24" s="9" t="n">
        <f aca="false">PODACI_PRODAJA!N24</f>
        <v>32.5</v>
      </c>
      <c r="I24" s="21" t="n">
        <f aca="false">IF(H24&lt;=0,999,ROUND(F24/H24,1))</f>
        <v>8.6</v>
      </c>
      <c r="J24" s="9" t="n">
        <f aca="false">SUMIFS(ROBA_U_DOLASKU!$C$6:$C$95,ROBA_U_DOLASKU!$A$6:$A$95,A24,ROBA_U_DOLASKU!$H$6:$H$95,1)</f>
        <v>0</v>
      </c>
      <c r="K24" s="9" t="n">
        <f aca="false">SUMIFS(ROBA_U_DOLASKU!$B$6:$B$95,ROBA_U_DOLASKU!$A$6:$A$95,A24,ROBA_U_DOLASKU!$H$6:$H$95,1)</f>
        <v>0</v>
      </c>
      <c r="L24" s="9" t="n">
        <f aca="false">SUMIFS(ROBA_U_DOLASKU!$C$6:$C$95,ROBA_U_DOLASKU!$A$6:$A$95,A24,ROBA_U_DOLASKU!$H$6:$H$95,2)</f>
        <v>0</v>
      </c>
      <c r="M24" s="9" t="n">
        <f aca="false">SUMIFS(ROBA_U_DOLASKU!$B$6:$B$95,ROBA_U_DOLASKU!$A$6:$A$95,A24,ROBA_U_DOLASKU!$H$6:$H$95,2)</f>
        <v>0</v>
      </c>
      <c r="N24" s="9" t="n">
        <f aca="false">SUMIFS(ROBA_U_DOLASKU!$C$6:$C$95,ROBA_U_DOLASKU!$A$6:$A$95,A24,ROBA_U_DOLASKU!$H$6:$H$95,3)</f>
        <v>0</v>
      </c>
      <c r="O24" s="9" t="n">
        <f aca="false">SUMIFS(ROBA_U_DOLASKU!$B$6:$B$95,ROBA_U_DOLASKU!$A$6:$A$95,A24,ROBA_U_DOLASKU!$H$6:$H$95,3)</f>
        <v>0</v>
      </c>
      <c r="P24" s="9" t="n">
        <f aca="false">IF(H24&lt;=0,999,IF(O24&gt;0,ROUND((F24-H24*N24+K24+M24+O24)/H24,1),IF(M24&gt;0,ROUND((F24-H24*L24+K24+M24)/H24,1),IF(K24&gt;0,ROUND((F24-H24*J24+K24)/H24,1),I24))))</f>
        <v>8.6</v>
      </c>
      <c r="Q24" s="22" t="str">
        <f aca="false">IF(H24&lt;=0,"Nema prodaje",IF(AND(K24=0,M24=0,O24=0),IF(I24&lt;POSTAVKE!$B$6,"Naruči odmah","Sve u redu"),IF(F24-H24*J24&lt;0,"Rupa za ~"&amp;TEXT(I24,"0.0")&amp;" mj.",IF(AND(M24&gt;0,F24-H24*L24+K24&lt;0),"Rupa nakon 1. dolaska",IF(AND(O24&gt;0,F24-H24*N24+K24+M24&lt;0),"Rupa nakon 2. dolaska",IF(P24&lt;POSTAVKE!$B$6,"Količina nije dovoljna",IF(I24&gt;=POSTAVKE!$B$6,"Sve u redu","Stiže na vrijeme")))))))</f>
        <v>Sve u redu</v>
      </c>
      <c r="S24" s="23" t="n">
        <f aca="false">IFERROR(INDEX(PODACI_PRODAJA!B:B,MATCH($A24,PODACI_PRODAJA!$A:$A,0)),0)</f>
        <v>36</v>
      </c>
      <c r="T24" s="23" t="n">
        <f aca="false">IFERROR(INDEX(PODACI_PRODAJA!C:C,MATCH($A24,PODACI_PRODAJA!$A:$A,0)),0)</f>
        <v>24</v>
      </c>
      <c r="U24" s="23" t="n">
        <f aca="false">IFERROR(INDEX(PODACI_PRODAJA!D:D,MATCH($A24,PODACI_PRODAJA!$A:$A,0)),0)</f>
        <v>38</v>
      </c>
      <c r="V24" s="23" t="n">
        <f aca="false">IFERROR(INDEX(PODACI_PRODAJA!E:E,MATCH($A24,PODACI_PRODAJA!$A:$A,0)),0)</f>
        <v>53</v>
      </c>
      <c r="W24" s="23" t="n">
        <f aca="false">IFERROR(INDEX(PODACI_PRODAJA!F:F,MATCH($A24,PODACI_PRODAJA!$A:$A,0)),0)</f>
        <v>21</v>
      </c>
      <c r="X24" s="23" t="n">
        <f aca="false">IFERROR(INDEX(PODACI_PRODAJA!G:G,MATCH($A24,PODACI_PRODAJA!$A:$A,0)),0)</f>
        <v>23</v>
      </c>
      <c r="Y24" s="23" t="n">
        <f aca="false">IFERROR(INDEX(PODACI_PRODAJA!H:H,MATCH($A24,PODACI_PRODAJA!$A:$A,0)),0)</f>
        <v>42</v>
      </c>
      <c r="Z24" s="23" t="n">
        <f aca="false">IFERROR(INDEX(PODACI_PRODAJA!I:I,MATCH($A24,PODACI_PRODAJA!$A:$A,0)),0)</f>
        <v>23</v>
      </c>
      <c r="AA24" s="23" t="n">
        <f aca="false">IFERROR(INDEX(PODACI_PRODAJA!J:J,MATCH($A24,PODACI_PRODAJA!$A:$A,0)),0)</f>
        <v>0</v>
      </c>
      <c r="AB24" s="23" t="n">
        <f aca="false">IFERROR(INDEX(PODACI_PRODAJA!K:K,MATCH($A24,PODACI_PRODAJA!$A:$A,0)),0)</f>
        <v>0</v>
      </c>
      <c r="AC24" s="23" t="n">
        <f aca="false">IFERROR(INDEX(PODACI_PRODAJA!L:L,MATCH($A24,PODACI_PRODAJA!$A:$A,0)),0)</f>
        <v>0</v>
      </c>
      <c r="AD24" s="23" t="n">
        <f aca="false">IFERROR(INDEX(PODACI_PRODAJA!M:M,MATCH($A24,PODACI_PRODAJA!$A:$A,0)),0)</f>
        <v>0</v>
      </c>
    </row>
    <row r="25" customFormat="false" ht="15" hidden="false" customHeight="false" outlineLevel="0" collapsed="false">
      <c r="A25" s="11" t="str">
        <f aca="false">PODACI_ZALIHE!A22</f>
        <v>15451</v>
      </c>
      <c r="B25" s="8" t="str">
        <f aca="false">PODACI_ZALIHE!B22</f>
        <v>PULSE 90 POLUKRUŽNA TUŠ KABINA 90X90X198</v>
      </c>
      <c r="C25" s="9" t="str">
        <f aca="false">PODACI_ZALIHE!C22</f>
        <v>6163</v>
      </c>
      <c r="D25" s="8" t="str">
        <f aca="false">PODACI_ZALIHE!D22</f>
        <v>HANGZHOU TIANMEI INDUSTRY CO.,LTD</v>
      </c>
      <c r="E25" s="19" t="n">
        <f aca="false">IF(PODACI_ZALIHE!E22="","",PODACI_ZALIHE!E22)</f>
        <v>304</v>
      </c>
      <c r="F25" s="20" t="n">
        <f aca="false">PODACI_ZALIHE!F22</f>
        <v>280</v>
      </c>
      <c r="G25" s="19" t="n">
        <f aca="false">IF(E25="","",E25-F25)</f>
        <v>24</v>
      </c>
      <c r="H25" s="9" t="n">
        <f aca="false">PODACI_PRODAJA!N9</f>
        <v>51.63</v>
      </c>
      <c r="I25" s="21" t="n">
        <f aca="false">IF(H25&lt;=0,999,ROUND(F25/H25,1))</f>
        <v>5.4</v>
      </c>
      <c r="J25" s="9" t="n">
        <f aca="false">SUMIFS(ROBA_U_DOLASKU!$C$6:$C$95,ROBA_U_DOLASKU!$A$6:$A$95,A25,ROBA_U_DOLASKU!$H$6:$H$95,1)</f>
        <v>2.4</v>
      </c>
      <c r="K25" s="9" t="n">
        <f aca="false">SUMIFS(ROBA_U_DOLASKU!$B$6:$B$95,ROBA_U_DOLASKU!$A$6:$A$95,A25,ROBA_U_DOLASKU!$H$6:$H$95,1)</f>
        <v>50</v>
      </c>
      <c r="L25" s="9" t="n">
        <f aca="false">SUMIFS(ROBA_U_DOLASKU!$C$6:$C$95,ROBA_U_DOLASKU!$A$6:$A$95,A25,ROBA_U_DOLASKU!$H$6:$H$95,2)</f>
        <v>0</v>
      </c>
      <c r="M25" s="9" t="n">
        <f aca="false">SUMIFS(ROBA_U_DOLASKU!$B$6:$B$95,ROBA_U_DOLASKU!$A$6:$A$95,A25,ROBA_U_DOLASKU!$H$6:$H$95,2)</f>
        <v>0</v>
      </c>
      <c r="N25" s="9" t="n">
        <f aca="false">SUMIFS(ROBA_U_DOLASKU!$C$6:$C$95,ROBA_U_DOLASKU!$A$6:$A$95,A25,ROBA_U_DOLASKU!$H$6:$H$95,3)</f>
        <v>0</v>
      </c>
      <c r="O25" s="9" t="n">
        <f aca="false">SUMIFS(ROBA_U_DOLASKU!$B$6:$B$95,ROBA_U_DOLASKU!$A$6:$A$95,A25,ROBA_U_DOLASKU!$H$6:$H$95,3)</f>
        <v>0</v>
      </c>
      <c r="P25" s="9" t="n">
        <f aca="false">IF(H25&lt;=0,999,IF(O25&gt;0,ROUND((F25-H25*N25+K25+M25+O25)/H25,1),IF(M25&gt;0,ROUND((F25-H25*L25+K25+M25)/H25,1),IF(K25&gt;0,ROUND((F25-H25*J25+K25)/H25,1),I25))))</f>
        <v>4</v>
      </c>
      <c r="Q25" s="22" t="str">
        <f aca="false">IF(H25&lt;=0,"Nema prodaje",IF(AND(K25=0,M25=0,O25=0),IF(I25&lt;POSTAVKE!$B$6,"Naruči odmah","Sve u redu"),IF(F25-H25*J25&lt;0,"Rupa za ~"&amp;TEXT(I25,"0.0")&amp;" mj.",IF(AND(M25&gt;0,F25-H25*L25+K25&lt;0),"Rupa nakon 1. dolaska",IF(AND(O25&gt;0,F25-H25*N25+K25+M25&lt;0),"Rupa nakon 2. dolaska",IF(P25&lt;POSTAVKE!$B$6,"Količina nije dovoljna",IF(I25&gt;=POSTAVKE!$B$6,"Sve u redu","Stiže na vrijeme")))))))</f>
        <v>Količina nije dovoljna</v>
      </c>
      <c r="S25" s="23" t="n">
        <f aca="false">IFERROR(INDEX(PODACI_PRODAJA!B:B,MATCH($A25,PODACI_PRODAJA!$A:$A,0)),0)</f>
        <v>80</v>
      </c>
      <c r="T25" s="23" t="n">
        <f aca="false">IFERROR(INDEX(PODACI_PRODAJA!C:C,MATCH($A25,PODACI_PRODAJA!$A:$A,0)),0)</f>
        <v>42</v>
      </c>
      <c r="U25" s="23" t="n">
        <f aca="false">IFERROR(INDEX(PODACI_PRODAJA!D:D,MATCH($A25,PODACI_PRODAJA!$A:$A,0)),0)</f>
        <v>29</v>
      </c>
      <c r="V25" s="23" t="n">
        <f aca="false">IFERROR(INDEX(PODACI_PRODAJA!E:E,MATCH($A25,PODACI_PRODAJA!$A:$A,0)),0)</f>
        <v>20</v>
      </c>
      <c r="W25" s="23" t="n">
        <f aca="false">IFERROR(INDEX(PODACI_PRODAJA!F:F,MATCH($A25,PODACI_PRODAJA!$A:$A,0)),0)</f>
        <v>59</v>
      </c>
      <c r="X25" s="23" t="n">
        <f aca="false">IFERROR(INDEX(PODACI_PRODAJA!G:G,MATCH($A25,PODACI_PRODAJA!$A:$A,0)),0)</f>
        <v>74</v>
      </c>
      <c r="Y25" s="23" t="n">
        <f aca="false">IFERROR(INDEX(PODACI_PRODAJA!H:H,MATCH($A25,PODACI_PRODAJA!$A:$A,0)),0)</f>
        <v>53</v>
      </c>
      <c r="Z25" s="23" t="n">
        <f aca="false">IFERROR(INDEX(PODACI_PRODAJA!I:I,MATCH($A25,PODACI_PRODAJA!$A:$A,0)),0)</f>
        <v>56</v>
      </c>
      <c r="AA25" s="23" t="n">
        <f aca="false">IFERROR(INDEX(PODACI_PRODAJA!J:J,MATCH($A25,PODACI_PRODAJA!$A:$A,0)),0)</f>
        <v>24</v>
      </c>
      <c r="AB25" s="23" t="n">
        <f aca="false">IFERROR(INDEX(PODACI_PRODAJA!K:K,MATCH($A25,PODACI_PRODAJA!$A:$A,0)),0)</f>
        <v>0</v>
      </c>
      <c r="AC25" s="23" t="n">
        <f aca="false">IFERROR(INDEX(PODACI_PRODAJA!L:L,MATCH($A25,PODACI_PRODAJA!$A:$A,0)),0)</f>
        <v>0</v>
      </c>
      <c r="AD25" s="23" t="n">
        <f aca="false">IFERROR(INDEX(PODACI_PRODAJA!M:M,MATCH($A25,PODACI_PRODAJA!$A:$A,0)),0)</f>
        <v>0</v>
      </c>
    </row>
    <row r="26" customFormat="false" ht="15" hidden="false" customHeight="false" outlineLevel="0" collapsed="false">
      <c r="A26" s="11" t="str">
        <f aca="false">PODACI_ZALIHE!A23</f>
        <v>00837</v>
      </c>
      <c r="B26" s="8" t="str">
        <f aca="false">PODACI_ZALIHE!B23</f>
        <v>GL0000 FLEKSIBILNI SIFON ZA SUDOPER I UMIVAONIK 1/1</v>
      </c>
      <c r="C26" s="9" t="str">
        <f aca="false">PODACI_ZALIHE!C23</f>
        <v>3291</v>
      </c>
      <c r="D26" s="8" t="str">
        <f aca="false">PODACI_ZALIHE!D23</f>
        <v>TEHNOEXPORT D.O.O.</v>
      </c>
      <c r="E26" s="19" t="n">
        <f aca="false">IF(PODACI_ZALIHE!E23="","",PODACI_ZALIHE!E23)</f>
        <v>277</v>
      </c>
      <c r="F26" s="20" t="n">
        <f aca="false">PODACI_ZALIHE!F23</f>
        <v>277</v>
      </c>
      <c r="G26" s="19" t="n">
        <f aca="false">IF(E26="","",E26-F26)</f>
        <v>0</v>
      </c>
      <c r="H26" s="9" t="n">
        <f aca="false">PODACI_PRODAJA!N10</f>
        <v>129.5</v>
      </c>
      <c r="I26" s="21" t="n">
        <f aca="false">IF(H26&lt;=0,999,ROUND(F26/H26,1))</f>
        <v>2.1</v>
      </c>
      <c r="J26" s="9" t="n">
        <f aca="false">SUMIFS(ROBA_U_DOLASKU!$C$6:$C$95,ROBA_U_DOLASKU!$A$6:$A$95,A26,ROBA_U_DOLASKU!$H$6:$H$95,1)</f>
        <v>0</v>
      </c>
      <c r="K26" s="9" t="n">
        <f aca="false">SUMIFS(ROBA_U_DOLASKU!$B$6:$B$95,ROBA_U_DOLASKU!$A$6:$A$95,A26,ROBA_U_DOLASKU!$H$6:$H$95,1)</f>
        <v>0</v>
      </c>
      <c r="L26" s="9" t="n">
        <f aca="false">SUMIFS(ROBA_U_DOLASKU!$C$6:$C$95,ROBA_U_DOLASKU!$A$6:$A$95,A26,ROBA_U_DOLASKU!$H$6:$H$95,2)</f>
        <v>0</v>
      </c>
      <c r="M26" s="9" t="n">
        <f aca="false">SUMIFS(ROBA_U_DOLASKU!$B$6:$B$95,ROBA_U_DOLASKU!$A$6:$A$95,A26,ROBA_U_DOLASKU!$H$6:$H$95,2)</f>
        <v>0</v>
      </c>
      <c r="N26" s="9" t="n">
        <f aca="false">SUMIFS(ROBA_U_DOLASKU!$C$6:$C$95,ROBA_U_DOLASKU!$A$6:$A$95,A26,ROBA_U_DOLASKU!$H$6:$H$95,3)</f>
        <v>0</v>
      </c>
      <c r="O26" s="9" t="n">
        <f aca="false">SUMIFS(ROBA_U_DOLASKU!$B$6:$B$95,ROBA_U_DOLASKU!$A$6:$A$95,A26,ROBA_U_DOLASKU!$H$6:$H$95,3)</f>
        <v>0</v>
      </c>
      <c r="P26" s="9" t="n">
        <f aca="false">IF(H26&lt;=0,999,IF(O26&gt;0,ROUND((F26-H26*N26+K26+M26+O26)/H26,1),IF(M26&gt;0,ROUND((F26-H26*L26+K26+M26)/H26,1),IF(K26&gt;0,ROUND((F26-H26*J26+K26)/H26,1),I26))))</f>
        <v>2.1</v>
      </c>
      <c r="Q26" s="22" t="str">
        <f aca="false">IF(H26&lt;=0,"Nema prodaje",IF(AND(K26=0,M26=0,O26=0),IF(I26&lt;POSTAVKE!$B$6,"Naruči odmah","Sve u redu"),IF(F26-H26*J26&lt;0,"Rupa za ~"&amp;TEXT(I26,"0.0")&amp;" mj.",IF(AND(M26&gt;0,F26-H26*L26+K26&lt;0),"Rupa nakon 1. dolaska",IF(AND(O26&gt;0,F26-H26*N26+K26+M26&lt;0),"Rupa nakon 2. dolaska",IF(P26&lt;POSTAVKE!$B$6,"Količina nije dovoljna",IF(I26&gt;=POSTAVKE!$B$6,"Sve u redu","Stiže na vrijeme")))))))</f>
        <v>Naruči odmah</v>
      </c>
      <c r="S26" s="23" t="n">
        <f aca="false">IFERROR(INDEX(PODACI_PRODAJA!B:B,MATCH($A26,PODACI_PRODAJA!$A:$A,0)),0)</f>
        <v>77</v>
      </c>
      <c r="T26" s="23" t="n">
        <f aca="false">IFERROR(INDEX(PODACI_PRODAJA!C:C,MATCH($A26,PODACI_PRODAJA!$A:$A,0)),0)</f>
        <v>121</v>
      </c>
      <c r="U26" s="23" t="n">
        <f aca="false">IFERROR(INDEX(PODACI_PRODAJA!D:D,MATCH($A26,PODACI_PRODAJA!$A:$A,0)),0)</f>
        <v>138</v>
      </c>
      <c r="V26" s="23" t="n">
        <f aca="false">IFERROR(INDEX(PODACI_PRODAJA!E:E,MATCH($A26,PODACI_PRODAJA!$A:$A,0)),0)</f>
        <v>163</v>
      </c>
      <c r="W26" s="23" t="n">
        <f aca="false">IFERROR(INDEX(PODACI_PRODAJA!F:F,MATCH($A26,PODACI_PRODAJA!$A:$A,0)),0)</f>
        <v>114</v>
      </c>
      <c r="X26" s="23" t="n">
        <f aca="false">IFERROR(INDEX(PODACI_PRODAJA!G:G,MATCH($A26,PODACI_PRODAJA!$A:$A,0)),0)</f>
        <v>126</v>
      </c>
      <c r="Y26" s="23" t="n">
        <f aca="false">IFERROR(INDEX(PODACI_PRODAJA!H:H,MATCH($A26,PODACI_PRODAJA!$A:$A,0)),0)</f>
        <v>177</v>
      </c>
      <c r="Z26" s="23" t="n">
        <f aca="false">IFERROR(INDEX(PODACI_PRODAJA!I:I,MATCH($A26,PODACI_PRODAJA!$A:$A,0)),0)</f>
        <v>120</v>
      </c>
      <c r="AA26" s="23" t="n">
        <f aca="false">IFERROR(INDEX(PODACI_PRODAJA!J:J,MATCH($A26,PODACI_PRODAJA!$A:$A,0)),0)</f>
        <v>0</v>
      </c>
      <c r="AB26" s="23" t="n">
        <f aca="false">IFERROR(INDEX(PODACI_PRODAJA!K:K,MATCH($A26,PODACI_PRODAJA!$A:$A,0)),0)</f>
        <v>0</v>
      </c>
      <c r="AC26" s="23" t="n">
        <f aca="false">IFERROR(INDEX(PODACI_PRODAJA!L:L,MATCH($A26,PODACI_PRODAJA!$A:$A,0)),0)</f>
        <v>0</v>
      </c>
      <c r="AD26" s="23" t="n">
        <f aca="false">IFERROR(INDEX(PODACI_PRODAJA!M:M,MATCH($A26,PODACI_PRODAJA!$A:$A,0)),0)</f>
        <v>0</v>
      </c>
    </row>
    <row r="27" customFormat="false" ht="15" hidden="false" customHeight="false" outlineLevel="0" collapsed="false">
      <c r="A27" s="11" t="str">
        <f aca="false">PODACI_ZALIHE!A24</f>
        <v>00850</v>
      </c>
      <c r="B27" s="8" t="str">
        <f aca="false">PODACI_ZALIHE!B24</f>
        <v>GL00098 FLEKSIBILNI SIFON ZA TUŠ KADU LUX 110 mm</v>
      </c>
      <c r="C27" s="9" t="str">
        <f aca="false">PODACI_ZALIHE!C24</f>
        <v>3291</v>
      </c>
      <c r="D27" s="8" t="str">
        <f aca="false">PODACI_ZALIHE!D24</f>
        <v>TEHNOEXPORT D.O.O.</v>
      </c>
      <c r="E27" s="19" t="n">
        <f aca="false">IF(PODACI_ZALIHE!E24="","",PODACI_ZALIHE!E24)</f>
        <v>317</v>
      </c>
      <c r="F27" s="20" t="n">
        <f aca="false">PODACI_ZALIHE!F24</f>
        <v>263</v>
      </c>
      <c r="G27" s="19" t="n">
        <f aca="false">IF(E27="","",E27-F27)</f>
        <v>54</v>
      </c>
      <c r="H27" s="9" t="n">
        <f aca="false">PODACI_PRODAJA!N6</f>
        <v>123.5</v>
      </c>
      <c r="I27" s="21" t="n">
        <f aca="false">IF(H27&lt;=0,999,ROUND(F27/H27,1))</f>
        <v>2.1</v>
      </c>
      <c r="J27" s="9" t="n">
        <f aca="false">SUMIFS(ROBA_U_DOLASKU!$C$6:$C$95,ROBA_U_DOLASKU!$A$6:$A$95,A27,ROBA_U_DOLASKU!$H$6:$H$95,1)</f>
        <v>0</v>
      </c>
      <c r="K27" s="9" t="n">
        <f aca="false">SUMIFS(ROBA_U_DOLASKU!$B$6:$B$95,ROBA_U_DOLASKU!$A$6:$A$95,A27,ROBA_U_DOLASKU!$H$6:$H$95,1)</f>
        <v>0</v>
      </c>
      <c r="L27" s="9" t="n">
        <f aca="false">SUMIFS(ROBA_U_DOLASKU!$C$6:$C$95,ROBA_U_DOLASKU!$A$6:$A$95,A27,ROBA_U_DOLASKU!$H$6:$H$95,2)</f>
        <v>0</v>
      </c>
      <c r="M27" s="9" t="n">
        <f aca="false">SUMIFS(ROBA_U_DOLASKU!$B$6:$B$95,ROBA_U_DOLASKU!$A$6:$A$95,A27,ROBA_U_DOLASKU!$H$6:$H$95,2)</f>
        <v>0</v>
      </c>
      <c r="N27" s="9" t="n">
        <f aca="false">SUMIFS(ROBA_U_DOLASKU!$C$6:$C$95,ROBA_U_DOLASKU!$A$6:$A$95,A27,ROBA_U_DOLASKU!$H$6:$H$95,3)</f>
        <v>0</v>
      </c>
      <c r="O27" s="9" t="n">
        <f aca="false">SUMIFS(ROBA_U_DOLASKU!$B$6:$B$95,ROBA_U_DOLASKU!$A$6:$A$95,A27,ROBA_U_DOLASKU!$H$6:$H$95,3)</f>
        <v>0</v>
      </c>
      <c r="P27" s="9" t="n">
        <f aca="false">IF(H27&lt;=0,999,IF(O27&gt;0,ROUND((F27-H27*N27+K27+M27+O27)/H27,1),IF(M27&gt;0,ROUND((F27-H27*L27+K27+M27)/H27,1),IF(K27&gt;0,ROUND((F27-H27*J27+K27)/H27,1),I27))))</f>
        <v>2.1</v>
      </c>
      <c r="Q27" s="22" t="str">
        <f aca="false">IF(H27&lt;=0,"Nema prodaje",IF(AND(K27=0,M27=0,O27=0),IF(I27&lt;POSTAVKE!$B$6,"Naruči odmah","Sve u redu"),IF(F27-H27*J27&lt;0,"Rupa za ~"&amp;TEXT(I27,"0.0")&amp;" mj.",IF(AND(M27&gt;0,F27-H27*L27+K27&lt;0),"Rupa nakon 1. dolaska",IF(AND(O27&gt;0,F27-H27*N27+K27+M27&lt;0),"Rupa nakon 2. dolaska",IF(P27&lt;POSTAVKE!$B$6,"Količina nije dovoljna",IF(I27&gt;=POSTAVKE!$B$6,"Sve u redu","Stiže na vrijeme")))))))</f>
        <v>Naruči odmah</v>
      </c>
      <c r="S27" s="23" t="n">
        <f aca="false">IFERROR(INDEX(PODACI_PRODAJA!B:B,MATCH($A27,PODACI_PRODAJA!$A:$A,0)),0)</f>
        <v>108</v>
      </c>
      <c r="T27" s="23" t="n">
        <f aca="false">IFERROR(INDEX(PODACI_PRODAJA!C:C,MATCH($A27,PODACI_PRODAJA!$A:$A,0)),0)</f>
        <v>58</v>
      </c>
      <c r="U27" s="23" t="n">
        <f aca="false">IFERROR(INDEX(PODACI_PRODAJA!D:D,MATCH($A27,PODACI_PRODAJA!$A:$A,0)),0)</f>
        <v>182</v>
      </c>
      <c r="V27" s="23" t="n">
        <f aca="false">IFERROR(INDEX(PODACI_PRODAJA!E:E,MATCH($A27,PODACI_PRODAJA!$A:$A,0)),0)</f>
        <v>132</v>
      </c>
      <c r="W27" s="23" t="n">
        <f aca="false">IFERROR(INDEX(PODACI_PRODAJA!F:F,MATCH($A27,PODACI_PRODAJA!$A:$A,0)),0)</f>
        <v>118</v>
      </c>
      <c r="X27" s="23" t="n">
        <f aca="false">IFERROR(INDEX(PODACI_PRODAJA!G:G,MATCH($A27,PODACI_PRODAJA!$A:$A,0)),0)</f>
        <v>171</v>
      </c>
      <c r="Y27" s="23" t="n">
        <f aca="false">IFERROR(INDEX(PODACI_PRODAJA!H:H,MATCH($A27,PODACI_PRODAJA!$A:$A,0)),0)</f>
        <v>111</v>
      </c>
      <c r="Z27" s="23" t="n">
        <f aca="false">IFERROR(INDEX(PODACI_PRODAJA!I:I,MATCH($A27,PODACI_PRODAJA!$A:$A,0)),0)</f>
        <v>108</v>
      </c>
      <c r="AA27" s="23" t="n">
        <f aca="false">IFERROR(INDEX(PODACI_PRODAJA!J:J,MATCH($A27,PODACI_PRODAJA!$A:$A,0)),0)</f>
        <v>50</v>
      </c>
      <c r="AB27" s="23" t="n">
        <f aca="false">IFERROR(INDEX(PODACI_PRODAJA!K:K,MATCH($A27,PODACI_PRODAJA!$A:$A,0)),0)</f>
        <v>0</v>
      </c>
      <c r="AC27" s="23" t="n">
        <f aca="false">IFERROR(INDEX(PODACI_PRODAJA!L:L,MATCH($A27,PODACI_PRODAJA!$A:$A,0)),0)</f>
        <v>0</v>
      </c>
      <c r="AD27" s="23" t="n">
        <f aca="false">IFERROR(INDEX(PODACI_PRODAJA!M:M,MATCH($A27,PODACI_PRODAJA!$A:$A,0)),0)</f>
        <v>0</v>
      </c>
    </row>
    <row r="28" customFormat="false" ht="15" hidden="false" customHeight="false" outlineLevel="0" collapsed="false">
      <c r="A28" s="11" t="str">
        <f aca="false">PODACI_ZALIHE!A25</f>
        <v>18750</v>
      </c>
      <c r="B28" s="8" t="str">
        <f aca="false">PODACI_ZALIHE!B25</f>
        <v>ZIDNI PANEL PVC TAMNI SMEĐI ORAH 3000x400x5 mm</v>
      </c>
      <c r="C28" s="9" t="str">
        <f aca="false">PODACI_ZALIHE!C25</f>
        <v>6931</v>
      </c>
      <c r="D28" s="8" t="str">
        <f aca="false">PODACI_ZALIHE!D25</f>
        <v>INTCO INTERNATIONAL (HK) CO., LIMITED</v>
      </c>
      <c r="E28" s="19" t="n">
        <f aca="false">IF(PODACI_ZALIHE!E25="","",PODACI_ZALIHE!E25)</f>
        <v>252</v>
      </c>
      <c r="F28" s="20" t="n">
        <f aca="false">PODACI_ZALIHE!F25</f>
        <v>251</v>
      </c>
      <c r="G28" s="19" t="n">
        <f aca="false">IF(E28="","",E28-F28)</f>
        <v>1</v>
      </c>
      <c r="H28" s="9" t="n">
        <f aca="false">PODACI_PRODAJA!N705</f>
        <v>0</v>
      </c>
      <c r="I28" s="21" t="n">
        <f aca="false">IF(H28&lt;=0,999,ROUND(F28/H28,1))</f>
        <v>999</v>
      </c>
      <c r="J28" s="9" t="n">
        <f aca="false">SUMIFS(ROBA_U_DOLASKU!$C$6:$C$95,ROBA_U_DOLASKU!$A$6:$A$95,A28,ROBA_U_DOLASKU!$H$6:$H$95,1)</f>
        <v>0</v>
      </c>
      <c r="K28" s="9" t="n">
        <f aca="false">SUMIFS(ROBA_U_DOLASKU!$B$6:$B$95,ROBA_U_DOLASKU!$A$6:$A$95,A28,ROBA_U_DOLASKU!$H$6:$H$95,1)</f>
        <v>0</v>
      </c>
      <c r="L28" s="9" t="n">
        <f aca="false">SUMIFS(ROBA_U_DOLASKU!$C$6:$C$95,ROBA_U_DOLASKU!$A$6:$A$95,A28,ROBA_U_DOLASKU!$H$6:$H$95,2)</f>
        <v>0</v>
      </c>
      <c r="M28" s="9" t="n">
        <f aca="false">SUMIFS(ROBA_U_DOLASKU!$B$6:$B$95,ROBA_U_DOLASKU!$A$6:$A$95,A28,ROBA_U_DOLASKU!$H$6:$H$95,2)</f>
        <v>0</v>
      </c>
      <c r="N28" s="9" t="n">
        <f aca="false">SUMIFS(ROBA_U_DOLASKU!$C$6:$C$95,ROBA_U_DOLASKU!$A$6:$A$95,A28,ROBA_U_DOLASKU!$H$6:$H$95,3)</f>
        <v>0</v>
      </c>
      <c r="O28" s="9" t="n">
        <f aca="false">SUMIFS(ROBA_U_DOLASKU!$B$6:$B$95,ROBA_U_DOLASKU!$A$6:$A$95,A28,ROBA_U_DOLASKU!$H$6:$H$95,3)</f>
        <v>0</v>
      </c>
      <c r="P28" s="9" t="n">
        <f aca="false">IF(H28&lt;=0,999,IF(O28&gt;0,ROUND((F28-H28*N28+K28+M28+O28)/H28,1),IF(M28&gt;0,ROUND((F28-H28*L28+K28+M28)/H28,1),IF(K28&gt;0,ROUND((F28-H28*J28+K28)/H28,1),I28))))</f>
        <v>999</v>
      </c>
      <c r="Q28" s="22" t="str">
        <f aca="false">IF(H28&lt;=0,"Nema prodaje",IF(AND(K28=0,M28=0,O28=0),IF(I28&lt;POSTAVKE!$B$6,"Naruči odmah","Sve u redu"),IF(F28-H28*J28&lt;0,"Rupa za ~"&amp;TEXT(I28,"0.0")&amp;" mj.",IF(AND(M28&gt;0,F28-H28*L28+K28&lt;0),"Rupa nakon 1. dolaska",IF(AND(O28&gt;0,F28-H28*N28+K28+M28&lt;0),"Rupa nakon 2. dolaska",IF(P28&lt;POSTAVKE!$B$6,"Količina nije dovoljna",IF(I28&gt;=POSTAVKE!$B$6,"Sve u redu","Stiže na vrijeme")))))))</f>
        <v>Nema prodaje</v>
      </c>
      <c r="S28" s="23" t="n">
        <f aca="false">IFERROR(INDEX(PODACI_PRODAJA!B:B,MATCH($A28,PODACI_PRODAJA!$A:$A,0)),0)</f>
        <v>0</v>
      </c>
      <c r="T28" s="23" t="n">
        <f aca="false">IFERROR(INDEX(PODACI_PRODAJA!C:C,MATCH($A28,PODACI_PRODAJA!$A:$A,0)),0)</f>
        <v>0</v>
      </c>
      <c r="U28" s="23" t="n">
        <f aca="false">IFERROR(INDEX(PODACI_PRODAJA!D:D,MATCH($A28,PODACI_PRODAJA!$A:$A,0)),0)</f>
        <v>0</v>
      </c>
      <c r="V28" s="23" t="n">
        <f aca="false">IFERROR(INDEX(PODACI_PRODAJA!E:E,MATCH($A28,PODACI_PRODAJA!$A:$A,0)),0)</f>
        <v>0</v>
      </c>
      <c r="W28" s="23" t="n">
        <f aca="false">IFERROR(INDEX(PODACI_PRODAJA!F:F,MATCH($A28,PODACI_PRODAJA!$A:$A,0)),0)</f>
        <v>0</v>
      </c>
      <c r="X28" s="23" t="n">
        <f aca="false">IFERROR(INDEX(PODACI_PRODAJA!G:G,MATCH($A28,PODACI_PRODAJA!$A:$A,0)),0)</f>
        <v>0</v>
      </c>
      <c r="Y28" s="23" t="n">
        <f aca="false">IFERROR(INDEX(PODACI_PRODAJA!H:H,MATCH($A28,PODACI_PRODAJA!$A:$A,0)),0)</f>
        <v>0</v>
      </c>
      <c r="Z28" s="23" t="n">
        <f aca="false">IFERROR(INDEX(PODACI_PRODAJA!I:I,MATCH($A28,PODACI_PRODAJA!$A:$A,0)),0)</f>
        <v>0</v>
      </c>
      <c r="AA28" s="23" t="n">
        <f aca="false">IFERROR(INDEX(PODACI_PRODAJA!J:J,MATCH($A28,PODACI_PRODAJA!$A:$A,0)),0)</f>
        <v>0</v>
      </c>
      <c r="AB28" s="23" t="n">
        <f aca="false">IFERROR(INDEX(PODACI_PRODAJA!K:K,MATCH($A28,PODACI_PRODAJA!$A:$A,0)),0)</f>
        <v>0</v>
      </c>
      <c r="AC28" s="23" t="n">
        <f aca="false">IFERROR(INDEX(PODACI_PRODAJA!L:L,MATCH($A28,PODACI_PRODAJA!$A:$A,0)),0)</f>
        <v>0</v>
      </c>
      <c r="AD28" s="23" t="n">
        <f aca="false">IFERROR(INDEX(PODACI_PRODAJA!M:M,MATCH($A28,PODACI_PRODAJA!$A:$A,0)),0)</f>
        <v>0</v>
      </c>
    </row>
    <row r="29" customFormat="false" ht="15" hidden="false" customHeight="false" outlineLevel="0" collapsed="false">
      <c r="A29" s="11" t="str">
        <f aca="false">PODACI_ZALIHE!A26</f>
        <v>18751</v>
      </c>
      <c r="B29" s="8" t="str">
        <f aca="false">PODACI_ZALIHE!B26</f>
        <v>ZIDNI PANEL PVC ANTRACIT DRVO MAT 3000x400x8 mm</v>
      </c>
      <c r="C29" s="9" t="str">
        <f aca="false">PODACI_ZALIHE!C26</f>
        <v>6931</v>
      </c>
      <c r="D29" s="8" t="str">
        <f aca="false">PODACI_ZALIHE!D26</f>
        <v>INTCO INTERNATIONAL (HK) CO., LIMITED</v>
      </c>
      <c r="E29" s="19" t="n">
        <f aca="false">IF(PODACI_ZALIHE!E26="","",PODACI_ZALIHE!E26)</f>
        <v>252</v>
      </c>
      <c r="F29" s="20" t="n">
        <f aca="false">PODACI_ZALIHE!F26</f>
        <v>251</v>
      </c>
      <c r="G29" s="19" t="n">
        <f aca="false">IF(E29="","",E29-F29)</f>
        <v>1</v>
      </c>
      <c r="H29" s="9" t="n">
        <f aca="false">PODACI_PRODAJA!N706</f>
        <v>0</v>
      </c>
      <c r="I29" s="21" t="n">
        <f aca="false">IF(H29&lt;=0,999,ROUND(F29/H29,1))</f>
        <v>999</v>
      </c>
      <c r="J29" s="9" t="n">
        <f aca="false">SUMIFS(ROBA_U_DOLASKU!$C$6:$C$95,ROBA_U_DOLASKU!$A$6:$A$95,A29,ROBA_U_DOLASKU!$H$6:$H$95,1)</f>
        <v>0</v>
      </c>
      <c r="K29" s="9" t="n">
        <f aca="false">SUMIFS(ROBA_U_DOLASKU!$B$6:$B$95,ROBA_U_DOLASKU!$A$6:$A$95,A29,ROBA_U_DOLASKU!$H$6:$H$95,1)</f>
        <v>0</v>
      </c>
      <c r="L29" s="9" t="n">
        <f aca="false">SUMIFS(ROBA_U_DOLASKU!$C$6:$C$95,ROBA_U_DOLASKU!$A$6:$A$95,A29,ROBA_U_DOLASKU!$H$6:$H$95,2)</f>
        <v>0</v>
      </c>
      <c r="M29" s="9" t="n">
        <f aca="false">SUMIFS(ROBA_U_DOLASKU!$B$6:$B$95,ROBA_U_DOLASKU!$A$6:$A$95,A29,ROBA_U_DOLASKU!$H$6:$H$95,2)</f>
        <v>0</v>
      </c>
      <c r="N29" s="9" t="n">
        <f aca="false">SUMIFS(ROBA_U_DOLASKU!$C$6:$C$95,ROBA_U_DOLASKU!$A$6:$A$95,A29,ROBA_U_DOLASKU!$H$6:$H$95,3)</f>
        <v>0</v>
      </c>
      <c r="O29" s="9" t="n">
        <f aca="false">SUMIFS(ROBA_U_DOLASKU!$B$6:$B$95,ROBA_U_DOLASKU!$A$6:$A$95,A29,ROBA_U_DOLASKU!$H$6:$H$95,3)</f>
        <v>0</v>
      </c>
      <c r="P29" s="9" t="n">
        <f aca="false">IF(H29&lt;=0,999,IF(O29&gt;0,ROUND((F29-H29*N29+K29+M29+O29)/H29,1),IF(M29&gt;0,ROUND((F29-H29*L29+K29+M29)/H29,1),IF(K29&gt;0,ROUND((F29-H29*J29+K29)/H29,1),I29))))</f>
        <v>999</v>
      </c>
      <c r="Q29" s="22" t="str">
        <f aca="false">IF(H29&lt;=0,"Nema prodaje",IF(AND(K29=0,M29=0,O29=0),IF(I29&lt;POSTAVKE!$B$6,"Naruči odmah","Sve u redu"),IF(F29-H29*J29&lt;0,"Rupa za ~"&amp;TEXT(I29,"0.0")&amp;" mj.",IF(AND(M29&gt;0,F29-H29*L29+K29&lt;0),"Rupa nakon 1. dolaska",IF(AND(O29&gt;0,F29-H29*N29+K29+M29&lt;0),"Rupa nakon 2. dolaska",IF(P29&lt;POSTAVKE!$B$6,"Količina nije dovoljna",IF(I29&gt;=POSTAVKE!$B$6,"Sve u redu","Stiže na vrijeme")))))))</f>
        <v>Nema prodaje</v>
      </c>
      <c r="S29" s="23" t="n">
        <f aca="false">IFERROR(INDEX(PODACI_PRODAJA!B:B,MATCH($A29,PODACI_PRODAJA!$A:$A,0)),0)</f>
        <v>0</v>
      </c>
      <c r="T29" s="23" t="n">
        <f aca="false">IFERROR(INDEX(PODACI_PRODAJA!C:C,MATCH($A29,PODACI_PRODAJA!$A:$A,0)),0)</f>
        <v>0</v>
      </c>
      <c r="U29" s="23" t="n">
        <f aca="false">IFERROR(INDEX(PODACI_PRODAJA!D:D,MATCH($A29,PODACI_PRODAJA!$A:$A,0)),0)</f>
        <v>0</v>
      </c>
      <c r="V29" s="23" t="n">
        <f aca="false">IFERROR(INDEX(PODACI_PRODAJA!E:E,MATCH($A29,PODACI_PRODAJA!$A:$A,0)),0)</f>
        <v>0</v>
      </c>
      <c r="W29" s="23" t="n">
        <f aca="false">IFERROR(INDEX(PODACI_PRODAJA!F:F,MATCH($A29,PODACI_PRODAJA!$A:$A,0)),0)</f>
        <v>0</v>
      </c>
      <c r="X29" s="23" t="n">
        <f aca="false">IFERROR(INDEX(PODACI_PRODAJA!G:G,MATCH($A29,PODACI_PRODAJA!$A:$A,0)),0)</f>
        <v>0</v>
      </c>
      <c r="Y29" s="23" t="n">
        <f aca="false">IFERROR(INDEX(PODACI_PRODAJA!H:H,MATCH($A29,PODACI_PRODAJA!$A:$A,0)),0)</f>
        <v>0</v>
      </c>
      <c r="Z29" s="23" t="n">
        <f aca="false">IFERROR(INDEX(PODACI_PRODAJA!I:I,MATCH($A29,PODACI_PRODAJA!$A:$A,0)),0)</f>
        <v>0</v>
      </c>
      <c r="AA29" s="23" t="n">
        <f aca="false">IFERROR(INDEX(PODACI_PRODAJA!J:J,MATCH($A29,PODACI_PRODAJA!$A:$A,0)),0)</f>
        <v>0</v>
      </c>
      <c r="AB29" s="23" t="n">
        <f aca="false">IFERROR(INDEX(PODACI_PRODAJA!K:K,MATCH($A29,PODACI_PRODAJA!$A:$A,0)),0)</f>
        <v>0</v>
      </c>
      <c r="AC29" s="23" t="n">
        <f aca="false">IFERROR(INDEX(PODACI_PRODAJA!L:L,MATCH($A29,PODACI_PRODAJA!$A:$A,0)),0)</f>
        <v>0</v>
      </c>
      <c r="AD29" s="23" t="n">
        <f aca="false">IFERROR(INDEX(PODACI_PRODAJA!M:M,MATCH($A29,PODACI_PRODAJA!$A:$A,0)),0)</f>
        <v>0</v>
      </c>
    </row>
    <row r="30" customFormat="false" ht="15" hidden="false" customHeight="false" outlineLevel="0" collapsed="false">
      <c r="A30" s="11" t="str">
        <f aca="false">PODACI_ZALIHE!A27</f>
        <v>18752</v>
      </c>
      <c r="B30" s="8" t="str">
        <f aca="false">PODACI_ZALIHE!B27</f>
        <v>ZIDNI PANEL PVC VINTAGE SMEĐE DRVO 3000x400x8 mm</v>
      </c>
      <c r="C30" s="9" t="str">
        <f aca="false">PODACI_ZALIHE!C27</f>
        <v>6931</v>
      </c>
      <c r="D30" s="8" t="str">
        <f aca="false">PODACI_ZALIHE!D27</f>
        <v>INTCO INTERNATIONAL (HK) CO., LIMITED</v>
      </c>
      <c r="E30" s="19" t="n">
        <f aca="false">IF(PODACI_ZALIHE!E27="","",PODACI_ZALIHE!E27)</f>
        <v>252</v>
      </c>
      <c r="F30" s="20" t="n">
        <f aca="false">PODACI_ZALIHE!F27</f>
        <v>251</v>
      </c>
      <c r="G30" s="19" t="n">
        <f aca="false">IF(E30="","",E30-F30)</f>
        <v>1</v>
      </c>
      <c r="H30" s="9" t="n">
        <f aca="false">PODACI_PRODAJA!N707</f>
        <v>0</v>
      </c>
      <c r="I30" s="21" t="n">
        <f aca="false">IF(H30&lt;=0,999,ROUND(F30/H30,1))</f>
        <v>999</v>
      </c>
      <c r="J30" s="9" t="n">
        <f aca="false">SUMIFS(ROBA_U_DOLASKU!$C$6:$C$95,ROBA_U_DOLASKU!$A$6:$A$95,A30,ROBA_U_DOLASKU!$H$6:$H$95,1)</f>
        <v>0</v>
      </c>
      <c r="K30" s="9" t="n">
        <f aca="false">SUMIFS(ROBA_U_DOLASKU!$B$6:$B$95,ROBA_U_DOLASKU!$A$6:$A$95,A30,ROBA_U_DOLASKU!$H$6:$H$95,1)</f>
        <v>0</v>
      </c>
      <c r="L30" s="9" t="n">
        <f aca="false">SUMIFS(ROBA_U_DOLASKU!$C$6:$C$95,ROBA_U_DOLASKU!$A$6:$A$95,A30,ROBA_U_DOLASKU!$H$6:$H$95,2)</f>
        <v>0</v>
      </c>
      <c r="M30" s="9" t="n">
        <f aca="false">SUMIFS(ROBA_U_DOLASKU!$B$6:$B$95,ROBA_U_DOLASKU!$A$6:$A$95,A30,ROBA_U_DOLASKU!$H$6:$H$95,2)</f>
        <v>0</v>
      </c>
      <c r="N30" s="9" t="n">
        <f aca="false">SUMIFS(ROBA_U_DOLASKU!$C$6:$C$95,ROBA_U_DOLASKU!$A$6:$A$95,A30,ROBA_U_DOLASKU!$H$6:$H$95,3)</f>
        <v>0</v>
      </c>
      <c r="O30" s="9" t="n">
        <f aca="false">SUMIFS(ROBA_U_DOLASKU!$B$6:$B$95,ROBA_U_DOLASKU!$A$6:$A$95,A30,ROBA_U_DOLASKU!$H$6:$H$95,3)</f>
        <v>0</v>
      </c>
      <c r="P30" s="9" t="n">
        <f aca="false">IF(H30&lt;=0,999,IF(O30&gt;0,ROUND((F30-H30*N30+K30+M30+O30)/H30,1),IF(M30&gt;0,ROUND((F30-H30*L30+K30+M30)/H30,1),IF(K30&gt;0,ROUND((F30-H30*J30+K30)/H30,1),I30))))</f>
        <v>999</v>
      </c>
      <c r="Q30" s="22" t="str">
        <f aca="false">IF(H30&lt;=0,"Nema prodaje",IF(AND(K30=0,M30=0,O30=0),IF(I30&lt;POSTAVKE!$B$6,"Naruči odmah","Sve u redu"),IF(F30-H30*J30&lt;0,"Rupa za ~"&amp;TEXT(I30,"0.0")&amp;" mj.",IF(AND(M30&gt;0,F30-H30*L30+K30&lt;0),"Rupa nakon 1. dolaska",IF(AND(O30&gt;0,F30-H30*N30+K30+M30&lt;0),"Rupa nakon 2. dolaska",IF(P30&lt;POSTAVKE!$B$6,"Količina nije dovoljna",IF(I30&gt;=POSTAVKE!$B$6,"Sve u redu","Stiže na vrijeme")))))))</f>
        <v>Nema prodaje</v>
      </c>
      <c r="S30" s="23" t="n">
        <f aca="false">IFERROR(INDEX(PODACI_PRODAJA!B:B,MATCH($A30,PODACI_PRODAJA!$A:$A,0)),0)</f>
        <v>0</v>
      </c>
      <c r="T30" s="23" t="n">
        <f aca="false">IFERROR(INDEX(PODACI_PRODAJA!C:C,MATCH($A30,PODACI_PRODAJA!$A:$A,0)),0)</f>
        <v>0</v>
      </c>
      <c r="U30" s="23" t="n">
        <f aca="false">IFERROR(INDEX(PODACI_PRODAJA!D:D,MATCH($A30,PODACI_PRODAJA!$A:$A,0)),0)</f>
        <v>0</v>
      </c>
      <c r="V30" s="23" t="n">
        <f aca="false">IFERROR(INDEX(PODACI_PRODAJA!E:E,MATCH($A30,PODACI_PRODAJA!$A:$A,0)),0)</f>
        <v>0</v>
      </c>
      <c r="W30" s="23" t="n">
        <f aca="false">IFERROR(INDEX(PODACI_PRODAJA!F:F,MATCH($A30,PODACI_PRODAJA!$A:$A,0)),0)</f>
        <v>0</v>
      </c>
      <c r="X30" s="23" t="n">
        <f aca="false">IFERROR(INDEX(PODACI_PRODAJA!G:G,MATCH($A30,PODACI_PRODAJA!$A:$A,0)),0)</f>
        <v>0</v>
      </c>
      <c r="Y30" s="23" t="n">
        <f aca="false">IFERROR(INDEX(PODACI_PRODAJA!H:H,MATCH($A30,PODACI_PRODAJA!$A:$A,0)),0)</f>
        <v>0</v>
      </c>
      <c r="Z30" s="23" t="n">
        <f aca="false">IFERROR(INDEX(PODACI_PRODAJA!I:I,MATCH($A30,PODACI_PRODAJA!$A:$A,0)),0)</f>
        <v>0</v>
      </c>
      <c r="AA30" s="23" t="n">
        <f aca="false">IFERROR(INDEX(PODACI_PRODAJA!J:J,MATCH($A30,PODACI_PRODAJA!$A:$A,0)),0)</f>
        <v>0</v>
      </c>
      <c r="AB30" s="23" t="n">
        <f aca="false">IFERROR(INDEX(PODACI_PRODAJA!K:K,MATCH($A30,PODACI_PRODAJA!$A:$A,0)),0)</f>
        <v>0</v>
      </c>
      <c r="AC30" s="23" t="n">
        <f aca="false">IFERROR(INDEX(PODACI_PRODAJA!L:L,MATCH($A30,PODACI_PRODAJA!$A:$A,0)),0)</f>
        <v>0</v>
      </c>
      <c r="AD30" s="23" t="n">
        <f aca="false">IFERROR(INDEX(PODACI_PRODAJA!M:M,MATCH($A30,PODACI_PRODAJA!$A:$A,0)),0)</f>
        <v>0</v>
      </c>
    </row>
    <row r="31" customFormat="false" ht="15" hidden="false" customHeight="false" outlineLevel="0" collapsed="false">
      <c r="A31" s="11" t="str">
        <f aca="false">PODACI_ZALIHE!A28</f>
        <v>00834</v>
      </c>
      <c r="B31" s="8" t="str">
        <f aca="false">PODACI_ZALIHE!B28</f>
        <v>GL11425 SIFON ZA UMIVAONIK CLICK MESING</v>
      </c>
      <c r="C31" s="9" t="str">
        <f aca="false">PODACI_ZALIHE!C28</f>
        <v>3291</v>
      </c>
      <c r="D31" s="8" t="str">
        <f aca="false">PODACI_ZALIHE!D28</f>
        <v>TEHNOEXPORT D.O.O.</v>
      </c>
      <c r="E31" s="19" t="n">
        <f aca="false">IF(PODACI_ZALIHE!E28="","",PODACI_ZALIHE!E28)</f>
        <v>272</v>
      </c>
      <c r="F31" s="20" t="n">
        <f aca="false">PODACI_ZALIHE!F28</f>
        <v>236</v>
      </c>
      <c r="G31" s="19" t="n">
        <f aca="false">IF(E31="","",E31-F31)</f>
        <v>36</v>
      </c>
      <c r="H31" s="9" t="n">
        <f aca="false">PODACI_PRODAJA!N4</f>
        <v>126</v>
      </c>
      <c r="I31" s="21" t="n">
        <f aca="false">IF(H31&lt;=0,999,ROUND(F31/H31,1))</f>
        <v>1.9</v>
      </c>
      <c r="J31" s="9" t="n">
        <f aca="false">SUMIFS(ROBA_U_DOLASKU!$C$6:$C$95,ROBA_U_DOLASKU!$A$6:$A$95,A31,ROBA_U_DOLASKU!$H$6:$H$95,1)</f>
        <v>0</v>
      </c>
      <c r="K31" s="9" t="n">
        <f aca="false">SUMIFS(ROBA_U_DOLASKU!$B$6:$B$95,ROBA_U_DOLASKU!$A$6:$A$95,A31,ROBA_U_DOLASKU!$H$6:$H$95,1)</f>
        <v>0</v>
      </c>
      <c r="L31" s="9" t="n">
        <f aca="false">SUMIFS(ROBA_U_DOLASKU!$C$6:$C$95,ROBA_U_DOLASKU!$A$6:$A$95,A31,ROBA_U_DOLASKU!$H$6:$H$95,2)</f>
        <v>0</v>
      </c>
      <c r="M31" s="9" t="n">
        <f aca="false">SUMIFS(ROBA_U_DOLASKU!$B$6:$B$95,ROBA_U_DOLASKU!$A$6:$A$95,A31,ROBA_U_DOLASKU!$H$6:$H$95,2)</f>
        <v>0</v>
      </c>
      <c r="N31" s="9" t="n">
        <f aca="false">SUMIFS(ROBA_U_DOLASKU!$C$6:$C$95,ROBA_U_DOLASKU!$A$6:$A$95,A31,ROBA_U_DOLASKU!$H$6:$H$95,3)</f>
        <v>0</v>
      </c>
      <c r="O31" s="9" t="n">
        <f aca="false">SUMIFS(ROBA_U_DOLASKU!$B$6:$B$95,ROBA_U_DOLASKU!$A$6:$A$95,A31,ROBA_U_DOLASKU!$H$6:$H$95,3)</f>
        <v>0</v>
      </c>
      <c r="P31" s="9" t="n">
        <f aca="false">IF(H31&lt;=0,999,IF(O31&gt;0,ROUND((F31-H31*N31+K31+M31+O31)/H31,1),IF(M31&gt;0,ROUND((F31-H31*L31+K31+M31)/H31,1),IF(K31&gt;0,ROUND((F31-H31*J31+K31)/H31,1),I31))))</f>
        <v>1.9</v>
      </c>
      <c r="Q31" s="22" t="str">
        <f aca="false">IF(H31&lt;=0,"Nema prodaje",IF(AND(K31=0,M31=0,O31=0),IF(I31&lt;POSTAVKE!$B$6,"Naruči odmah","Sve u redu"),IF(F31-H31*J31&lt;0,"Rupa za ~"&amp;TEXT(I31,"0.0")&amp;" mj.",IF(AND(M31&gt;0,F31-H31*L31+K31&lt;0),"Rupa nakon 1. dolaska",IF(AND(O31&gt;0,F31-H31*N31+K31+M31&lt;0),"Rupa nakon 2. dolaska",IF(P31&lt;POSTAVKE!$B$6,"Količina nije dovoljna",IF(I31&gt;=POSTAVKE!$B$6,"Sve u redu","Stiže na vrijeme")))))))</f>
        <v>Naruči odmah</v>
      </c>
      <c r="S31" s="23" t="n">
        <f aca="false">IFERROR(INDEX(PODACI_PRODAJA!B:B,MATCH($A31,PODACI_PRODAJA!$A:$A,0)),0)</f>
        <v>125</v>
      </c>
      <c r="T31" s="23" t="n">
        <f aca="false">IFERROR(INDEX(PODACI_PRODAJA!C:C,MATCH($A31,PODACI_PRODAJA!$A:$A,0)),0)</f>
        <v>102</v>
      </c>
      <c r="U31" s="23" t="n">
        <f aca="false">IFERROR(INDEX(PODACI_PRODAJA!D:D,MATCH($A31,PODACI_PRODAJA!$A:$A,0)),0)</f>
        <v>129</v>
      </c>
      <c r="V31" s="23" t="n">
        <f aca="false">IFERROR(INDEX(PODACI_PRODAJA!E:E,MATCH($A31,PODACI_PRODAJA!$A:$A,0)),0)</f>
        <v>124</v>
      </c>
      <c r="W31" s="23" t="n">
        <f aca="false">IFERROR(INDEX(PODACI_PRODAJA!F:F,MATCH($A31,PODACI_PRODAJA!$A:$A,0)),0)</f>
        <v>96</v>
      </c>
      <c r="X31" s="23" t="n">
        <f aca="false">IFERROR(INDEX(PODACI_PRODAJA!G:G,MATCH($A31,PODACI_PRODAJA!$A:$A,0)),0)</f>
        <v>154</v>
      </c>
      <c r="Y31" s="23" t="n">
        <f aca="false">IFERROR(INDEX(PODACI_PRODAJA!H:H,MATCH($A31,PODACI_PRODAJA!$A:$A,0)),0)</f>
        <v>157</v>
      </c>
      <c r="Z31" s="23" t="n">
        <f aca="false">IFERROR(INDEX(PODACI_PRODAJA!I:I,MATCH($A31,PODACI_PRODAJA!$A:$A,0)),0)</f>
        <v>121</v>
      </c>
      <c r="AA31" s="23" t="n">
        <f aca="false">IFERROR(INDEX(PODACI_PRODAJA!J:J,MATCH($A31,PODACI_PRODAJA!$A:$A,0)),0)</f>
        <v>36</v>
      </c>
      <c r="AB31" s="23" t="n">
        <f aca="false">IFERROR(INDEX(PODACI_PRODAJA!K:K,MATCH($A31,PODACI_PRODAJA!$A:$A,0)),0)</f>
        <v>0</v>
      </c>
      <c r="AC31" s="23" t="n">
        <f aca="false">IFERROR(INDEX(PODACI_PRODAJA!L:L,MATCH($A31,PODACI_PRODAJA!$A:$A,0)),0)</f>
        <v>0</v>
      </c>
      <c r="AD31" s="23" t="n">
        <f aca="false">IFERROR(INDEX(PODACI_PRODAJA!M:M,MATCH($A31,PODACI_PRODAJA!$A:$A,0)),0)</f>
        <v>0</v>
      </c>
    </row>
    <row r="32" customFormat="false" ht="15" hidden="false" customHeight="false" outlineLevel="0" collapsed="false">
      <c r="A32" s="11" t="str">
        <f aca="false">PODACI_ZALIHE!A29</f>
        <v>043780</v>
      </c>
      <c r="B32" s="8" t="str">
        <f aca="false">PODACI_ZALIHE!B29</f>
        <v>INTENSO BLACK MIJEŠALICA ZA UMIVAONIK</v>
      </c>
      <c r="C32" s="9" t="str">
        <f aca="false">PODACI_ZALIHE!C29</f>
        <v>5150</v>
      </c>
      <c r="D32" s="8" t="str">
        <f aca="false">PODACI_ZALIHE!D29</f>
        <v>ZHEJIANG VOLONG SANITARY WARES CO.,LTD.</v>
      </c>
      <c r="E32" s="19" t="n">
        <f aca="false">IF(PODACI_ZALIHE!E29="","",PODACI_ZALIHE!E29)</f>
        <v>236</v>
      </c>
      <c r="F32" s="20" t="n">
        <f aca="false">PODACI_ZALIHE!F29</f>
        <v>236</v>
      </c>
      <c r="G32" s="19" t="n">
        <f aca="false">IF(E32="","",E32-F32)</f>
        <v>0</v>
      </c>
      <c r="H32" s="9" t="n">
        <f aca="false">PODACI_PRODAJA!N20</f>
        <v>34.13</v>
      </c>
      <c r="I32" s="21" t="n">
        <f aca="false">IF(H32&lt;=0,999,ROUND(F32/H32,1))</f>
        <v>6.9</v>
      </c>
      <c r="J32" s="9" t="n">
        <f aca="false">SUMIFS(ROBA_U_DOLASKU!$C$6:$C$95,ROBA_U_DOLASKU!$A$6:$A$95,A32,ROBA_U_DOLASKU!$H$6:$H$95,1)</f>
        <v>0</v>
      </c>
      <c r="K32" s="9" t="n">
        <f aca="false">SUMIFS(ROBA_U_DOLASKU!$B$6:$B$95,ROBA_U_DOLASKU!$A$6:$A$95,A32,ROBA_U_DOLASKU!$H$6:$H$95,1)</f>
        <v>0</v>
      </c>
      <c r="L32" s="9" t="n">
        <f aca="false">SUMIFS(ROBA_U_DOLASKU!$C$6:$C$95,ROBA_U_DOLASKU!$A$6:$A$95,A32,ROBA_U_DOLASKU!$H$6:$H$95,2)</f>
        <v>0</v>
      </c>
      <c r="M32" s="9" t="n">
        <f aca="false">SUMIFS(ROBA_U_DOLASKU!$B$6:$B$95,ROBA_U_DOLASKU!$A$6:$A$95,A32,ROBA_U_DOLASKU!$H$6:$H$95,2)</f>
        <v>0</v>
      </c>
      <c r="N32" s="9" t="n">
        <f aca="false">SUMIFS(ROBA_U_DOLASKU!$C$6:$C$95,ROBA_U_DOLASKU!$A$6:$A$95,A32,ROBA_U_DOLASKU!$H$6:$H$95,3)</f>
        <v>0</v>
      </c>
      <c r="O32" s="9" t="n">
        <f aca="false">SUMIFS(ROBA_U_DOLASKU!$B$6:$B$95,ROBA_U_DOLASKU!$A$6:$A$95,A32,ROBA_U_DOLASKU!$H$6:$H$95,3)</f>
        <v>0</v>
      </c>
      <c r="P32" s="9" t="n">
        <f aca="false">IF(H32&lt;=0,999,IF(O32&gt;0,ROUND((F32-H32*N32+K32+M32+O32)/H32,1),IF(M32&gt;0,ROUND((F32-H32*L32+K32+M32)/H32,1),IF(K32&gt;0,ROUND((F32-H32*J32+K32)/H32,1),I32))))</f>
        <v>6.9</v>
      </c>
      <c r="Q32" s="22" t="str">
        <f aca="false">IF(H32&lt;=0,"Nema prodaje",IF(AND(K32=0,M32=0,O32=0),IF(I32&lt;POSTAVKE!$B$6,"Naruči odmah","Sve u redu"),IF(F32-H32*J32&lt;0,"Rupa za ~"&amp;TEXT(I32,"0.0")&amp;" mj.",IF(AND(M32&gt;0,F32-H32*L32+K32&lt;0),"Rupa nakon 1. dolaska",IF(AND(O32&gt;0,F32-H32*N32+K32+M32&lt;0),"Rupa nakon 2. dolaska",IF(P32&lt;POSTAVKE!$B$6,"Količina nije dovoljna",IF(I32&gt;=POSTAVKE!$B$6,"Sve u redu","Stiže na vrijeme")))))))</f>
        <v>Sve u redu</v>
      </c>
      <c r="S32" s="23" t="n">
        <f aca="false">IFERROR(INDEX(PODACI_PRODAJA!B:B,MATCH($A32,PODACI_PRODAJA!$A:$A,0)),0)</f>
        <v>43</v>
      </c>
      <c r="T32" s="23" t="n">
        <f aca="false">IFERROR(INDEX(PODACI_PRODAJA!C:C,MATCH($A32,PODACI_PRODAJA!$A:$A,0)),0)</f>
        <v>23</v>
      </c>
      <c r="U32" s="23" t="n">
        <f aca="false">IFERROR(INDEX(PODACI_PRODAJA!D:D,MATCH($A32,PODACI_PRODAJA!$A:$A,0)),0)</f>
        <v>33</v>
      </c>
      <c r="V32" s="23" t="n">
        <f aca="false">IFERROR(INDEX(PODACI_PRODAJA!E:E,MATCH($A32,PODACI_PRODAJA!$A:$A,0)),0)</f>
        <v>34</v>
      </c>
      <c r="W32" s="23" t="n">
        <f aca="false">IFERROR(INDEX(PODACI_PRODAJA!F:F,MATCH($A32,PODACI_PRODAJA!$A:$A,0)),0)</f>
        <v>39</v>
      </c>
      <c r="X32" s="23" t="n">
        <f aca="false">IFERROR(INDEX(PODACI_PRODAJA!G:G,MATCH($A32,PODACI_PRODAJA!$A:$A,0)),0)</f>
        <v>22</v>
      </c>
      <c r="Y32" s="23" t="n">
        <f aca="false">IFERROR(INDEX(PODACI_PRODAJA!H:H,MATCH($A32,PODACI_PRODAJA!$A:$A,0)),0)</f>
        <v>0</v>
      </c>
      <c r="Z32" s="23" t="n">
        <f aca="false">IFERROR(INDEX(PODACI_PRODAJA!I:I,MATCH($A32,PODACI_PRODAJA!$A:$A,0)),0)</f>
        <v>79</v>
      </c>
      <c r="AA32" s="23" t="n">
        <f aca="false">IFERROR(INDEX(PODACI_PRODAJA!J:J,MATCH($A32,PODACI_PRODAJA!$A:$A,0)),0)</f>
        <v>0</v>
      </c>
      <c r="AB32" s="23" t="n">
        <f aca="false">IFERROR(INDEX(PODACI_PRODAJA!K:K,MATCH($A32,PODACI_PRODAJA!$A:$A,0)),0)</f>
        <v>0</v>
      </c>
      <c r="AC32" s="23" t="n">
        <f aca="false">IFERROR(INDEX(PODACI_PRODAJA!L:L,MATCH($A32,PODACI_PRODAJA!$A:$A,0)),0)</f>
        <v>0</v>
      </c>
      <c r="AD32" s="23" t="n">
        <f aca="false">IFERROR(INDEX(PODACI_PRODAJA!M:M,MATCH($A32,PODACI_PRODAJA!$A:$A,0)),0)</f>
        <v>0</v>
      </c>
    </row>
    <row r="33" customFormat="false" ht="15" hidden="false" customHeight="false" outlineLevel="0" collapsed="false">
      <c r="A33" s="11" t="str">
        <f aca="false">PODACI_ZALIHE!A30</f>
        <v>002336</v>
      </c>
      <c r="B33" s="8" t="str">
        <f aca="false">PODACI_ZALIHE!B30</f>
        <v>ESSEN MIJEŠALICA ZA UMIVAONIK</v>
      </c>
      <c r="C33" s="9" t="str">
        <f aca="false">PODACI_ZALIHE!C30</f>
        <v>6022</v>
      </c>
      <c r="D33" s="8" t="str">
        <f aca="false">PODACI_ZALIHE!D30</f>
        <v>RUIAN HAIBA SANITARY CO.,LTD</v>
      </c>
      <c r="E33" s="19" t="n">
        <f aca="false">IF(PODACI_ZALIHE!E30="","",PODACI_ZALIHE!E30)</f>
        <v>230</v>
      </c>
      <c r="F33" s="20" t="n">
        <f aca="false">PODACI_ZALIHE!F30</f>
        <v>230</v>
      </c>
      <c r="G33" s="19" t="n">
        <f aca="false">IF(E33="","",E33-F33)</f>
        <v>0</v>
      </c>
      <c r="H33" s="9" t="n">
        <f aca="false">PODACI_PRODAJA!N8</f>
        <v>86.25</v>
      </c>
      <c r="I33" s="21" t="n">
        <f aca="false">IF(H33&lt;=0,999,ROUND(F33/H33,1))</f>
        <v>2.7</v>
      </c>
      <c r="J33" s="9" t="n">
        <f aca="false">SUMIFS(ROBA_U_DOLASKU!$C$6:$C$95,ROBA_U_DOLASKU!$A$6:$A$95,A33,ROBA_U_DOLASKU!$H$6:$H$95,1)</f>
        <v>2.2</v>
      </c>
      <c r="K33" s="9" t="n">
        <f aca="false">SUMIFS(ROBA_U_DOLASKU!$B$6:$B$95,ROBA_U_DOLASKU!$A$6:$A$95,A33,ROBA_U_DOLASKU!$H$6:$H$95,1)</f>
        <v>300</v>
      </c>
      <c r="L33" s="9" t="n">
        <f aca="false">SUMIFS(ROBA_U_DOLASKU!$C$6:$C$95,ROBA_U_DOLASKU!$A$6:$A$95,A33,ROBA_U_DOLASKU!$H$6:$H$95,2)</f>
        <v>0</v>
      </c>
      <c r="M33" s="9" t="n">
        <f aca="false">SUMIFS(ROBA_U_DOLASKU!$B$6:$B$95,ROBA_U_DOLASKU!$A$6:$A$95,A33,ROBA_U_DOLASKU!$H$6:$H$95,2)</f>
        <v>0</v>
      </c>
      <c r="N33" s="9" t="n">
        <f aca="false">SUMIFS(ROBA_U_DOLASKU!$C$6:$C$95,ROBA_U_DOLASKU!$A$6:$A$95,A33,ROBA_U_DOLASKU!$H$6:$H$95,3)</f>
        <v>0</v>
      </c>
      <c r="O33" s="9" t="n">
        <f aca="false">SUMIFS(ROBA_U_DOLASKU!$B$6:$B$95,ROBA_U_DOLASKU!$A$6:$A$95,A33,ROBA_U_DOLASKU!$H$6:$H$95,3)</f>
        <v>0</v>
      </c>
      <c r="P33" s="9" t="n">
        <f aca="false">IF(H33&lt;=0,999,IF(O33&gt;0,ROUND((F33-H33*N33+K33+M33+O33)/H33,1),IF(M33&gt;0,ROUND((F33-H33*L33+K33+M33)/H33,1),IF(K33&gt;0,ROUND((F33-H33*J33+K33)/H33,1),I33))))</f>
        <v>3.9</v>
      </c>
      <c r="Q33" s="22" t="str">
        <f aca="false">IF(H33&lt;=0,"Nema prodaje",IF(AND(K33=0,M33=0,O33=0),IF(I33&lt;POSTAVKE!$B$6,"Naruči odmah","Sve u redu"),IF(F33-H33*J33&lt;0,"Rupa za ~"&amp;TEXT(I33,"0.0")&amp;" mj.",IF(AND(M33&gt;0,F33-H33*L33+K33&lt;0),"Rupa nakon 1. dolaska",IF(AND(O33&gt;0,F33-H33*N33+K33+M33&lt;0),"Rupa nakon 2. dolaska",IF(P33&lt;POSTAVKE!$B$6,"Količina nije dovoljna",IF(I33&gt;=POSTAVKE!$B$6,"Sve u redu","Stiže na vrijeme")))))))</f>
        <v>Količina nije dovoljna</v>
      </c>
      <c r="S33" s="23" t="n">
        <f aca="false">IFERROR(INDEX(PODACI_PRODAJA!B:B,MATCH($A33,PODACI_PRODAJA!$A:$A,0)),0)</f>
        <v>80</v>
      </c>
      <c r="T33" s="23" t="n">
        <f aca="false">IFERROR(INDEX(PODACI_PRODAJA!C:C,MATCH($A33,PODACI_PRODAJA!$A:$A,0)),0)</f>
        <v>91</v>
      </c>
      <c r="U33" s="23" t="n">
        <f aca="false">IFERROR(INDEX(PODACI_PRODAJA!D:D,MATCH($A33,PODACI_PRODAJA!$A:$A,0)),0)</f>
        <v>83</v>
      </c>
      <c r="V33" s="23" t="n">
        <f aca="false">IFERROR(INDEX(PODACI_PRODAJA!E:E,MATCH($A33,PODACI_PRODAJA!$A:$A,0)),0)</f>
        <v>131</v>
      </c>
      <c r="W33" s="23" t="n">
        <f aca="false">IFERROR(INDEX(PODACI_PRODAJA!F:F,MATCH($A33,PODACI_PRODAJA!$A:$A,0)),0)</f>
        <v>79</v>
      </c>
      <c r="X33" s="23" t="n">
        <f aca="false">IFERROR(INDEX(PODACI_PRODAJA!G:G,MATCH($A33,PODACI_PRODAJA!$A:$A,0)),0)</f>
        <v>76</v>
      </c>
      <c r="Y33" s="23" t="n">
        <f aca="false">IFERROR(INDEX(PODACI_PRODAJA!H:H,MATCH($A33,PODACI_PRODAJA!$A:$A,0)),0)</f>
        <v>79</v>
      </c>
      <c r="Z33" s="23" t="n">
        <f aca="false">IFERROR(INDEX(PODACI_PRODAJA!I:I,MATCH($A33,PODACI_PRODAJA!$A:$A,0)),0)</f>
        <v>71</v>
      </c>
      <c r="AA33" s="23" t="n">
        <f aca="false">IFERROR(INDEX(PODACI_PRODAJA!J:J,MATCH($A33,PODACI_PRODAJA!$A:$A,0)),0)</f>
        <v>0</v>
      </c>
      <c r="AB33" s="23" t="n">
        <f aca="false">IFERROR(INDEX(PODACI_PRODAJA!K:K,MATCH($A33,PODACI_PRODAJA!$A:$A,0)),0)</f>
        <v>0</v>
      </c>
      <c r="AC33" s="23" t="n">
        <f aca="false">IFERROR(INDEX(PODACI_PRODAJA!L:L,MATCH($A33,PODACI_PRODAJA!$A:$A,0)),0)</f>
        <v>0</v>
      </c>
      <c r="AD33" s="23" t="n">
        <f aca="false">IFERROR(INDEX(PODACI_PRODAJA!M:M,MATCH($A33,PODACI_PRODAJA!$A:$A,0)),0)</f>
        <v>0</v>
      </c>
    </row>
    <row r="34" customFormat="false" ht="15" hidden="false" customHeight="false" outlineLevel="0" collapsed="false">
      <c r="A34" s="11" t="str">
        <f aca="false">PODACI_ZALIHE!A31</f>
        <v>00847</v>
      </c>
      <c r="B34" s="8" t="str">
        <f aca="false">PODACI_ZALIHE!B31</f>
        <v>GL00015 FLEXIBILNI WC NASTAVAK 1 m</v>
      </c>
      <c r="C34" s="9" t="str">
        <f aca="false">PODACI_ZALIHE!C31</f>
        <v>3291</v>
      </c>
      <c r="D34" s="8" t="str">
        <f aca="false">PODACI_ZALIHE!D31</f>
        <v>TEHNOEXPORT D.O.O.</v>
      </c>
      <c r="E34" s="19" t="n">
        <f aca="false">IF(PODACI_ZALIHE!E31="","",PODACI_ZALIHE!E31)</f>
        <v>229</v>
      </c>
      <c r="F34" s="20" t="n">
        <f aca="false">PODACI_ZALIHE!F31</f>
        <v>229</v>
      </c>
      <c r="G34" s="19" t="n">
        <f aca="false">IF(E34="","",E34-F34)</f>
        <v>0</v>
      </c>
      <c r="H34" s="9" t="n">
        <f aca="false">PODACI_PRODAJA!N22</f>
        <v>67.75</v>
      </c>
      <c r="I34" s="21" t="n">
        <f aca="false">IF(H34&lt;=0,999,ROUND(F34/H34,1))</f>
        <v>3.4</v>
      </c>
      <c r="J34" s="9" t="n">
        <f aca="false">SUMIFS(ROBA_U_DOLASKU!$C$6:$C$95,ROBA_U_DOLASKU!$A$6:$A$95,A34,ROBA_U_DOLASKU!$H$6:$H$95,1)</f>
        <v>0</v>
      </c>
      <c r="K34" s="9" t="n">
        <f aca="false">SUMIFS(ROBA_U_DOLASKU!$B$6:$B$95,ROBA_U_DOLASKU!$A$6:$A$95,A34,ROBA_U_DOLASKU!$H$6:$H$95,1)</f>
        <v>0</v>
      </c>
      <c r="L34" s="9" t="n">
        <f aca="false">SUMIFS(ROBA_U_DOLASKU!$C$6:$C$95,ROBA_U_DOLASKU!$A$6:$A$95,A34,ROBA_U_DOLASKU!$H$6:$H$95,2)</f>
        <v>0</v>
      </c>
      <c r="M34" s="9" t="n">
        <f aca="false">SUMIFS(ROBA_U_DOLASKU!$B$6:$B$95,ROBA_U_DOLASKU!$A$6:$A$95,A34,ROBA_U_DOLASKU!$H$6:$H$95,2)</f>
        <v>0</v>
      </c>
      <c r="N34" s="9" t="n">
        <f aca="false">SUMIFS(ROBA_U_DOLASKU!$C$6:$C$95,ROBA_U_DOLASKU!$A$6:$A$95,A34,ROBA_U_DOLASKU!$H$6:$H$95,3)</f>
        <v>0</v>
      </c>
      <c r="O34" s="9" t="n">
        <f aca="false">SUMIFS(ROBA_U_DOLASKU!$B$6:$B$95,ROBA_U_DOLASKU!$A$6:$A$95,A34,ROBA_U_DOLASKU!$H$6:$H$95,3)</f>
        <v>0</v>
      </c>
      <c r="P34" s="9" t="n">
        <f aca="false">IF(H34&lt;=0,999,IF(O34&gt;0,ROUND((F34-H34*N34+K34+M34+O34)/H34,1),IF(M34&gt;0,ROUND((F34-H34*L34+K34+M34)/H34,1),IF(K34&gt;0,ROUND((F34-H34*J34+K34)/H34,1),I34))))</f>
        <v>3.4</v>
      </c>
      <c r="Q34" s="22" t="str">
        <f aca="false">IF(H34&lt;=0,"Nema prodaje",IF(AND(K34=0,M34=0,O34=0),IF(I34&lt;POSTAVKE!$B$6,"Naruči odmah","Sve u redu"),IF(F34-H34*J34&lt;0,"Rupa za ~"&amp;TEXT(I34,"0.0")&amp;" mj.",IF(AND(M34&gt;0,F34-H34*L34+K34&lt;0),"Rupa nakon 1. dolaska",IF(AND(O34&gt;0,F34-H34*N34+K34+M34&lt;0),"Rupa nakon 2. dolaska",IF(P34&lt;POSTAVKE!$B$6,"Količina nije dovoljna",IF(I34&gt;=POSTAVKE!$B$6,"Sve u redu","Stiže na vrijeme")))))))</f>
        <v>Naruči odmah</v>
      </c>
      <c r="S34" s="23" t="n">
        <f aca="false">IFERROR(INDEX(PODACI_PRODAJA!B:B,MATCH($A34,PODACI_PRODAJA!$A:$A,0)),0)</f>
        <v>38</v>
      </c>
      <c r="T34" s="23" t="n">
        <f aca="false">IFERROR(INDEX(PODACI_PRODAJA!C:C,MATCH($A34,PODACI_PRODAJA!$A:$A,0)),0)</f>
        <v>42</v>
      </c>
      <c r="U34" s="23" t="n">
        <f aca="false">IFERROR(INDEX(PODACI_PRODAJA!D:D,MATCH($A34,PODACI_PRODAJA!$A:$A,0)),0)</f>
        <v>91</v>
      </c>
      <c r="V34" s="23" t="n">
        <f aca="false">IFERROR(INDEX(PODACI_PRODAJA!E:E,MATCH($A34,PODACI_PRODAJA!$A:$A,0)),0)</f>
        <v>162</v>
      </c>
      <c r="W34" s="23" t="n">
        <f aca="false">IFERROR(INDEX(PODACI_PRODAJA!F:F,MATCH($A34,PODACI_PRODAJA!$A:$A,0)),0)</f>
        <v>74</v>
      </c>
      <c r="X34" s="23" t="n">
        <f aca="false">IFERROR(INDEX(PODACI_PRODAJA!G:G,MATCH($A34,PODACI_PRODAJA!$A:$A,0)),0)</f>
        <v>31</v>
      </c>
      <c r="Y34" s="23" t="n">
        <f aca="false">IFERROR(INDEX(PODACI_PRODAJA!H:H,MATCH($A34,PODACI_PRODAJA!$A:$A,0)),0)</f>
        <v>75</v>
      </c>
      <c r="Z34" s="23" t="n">
        <f aca="false">IFERROR(INDEX(PODACI_PRODAJA!I:I,MATCH($A34,PODACI_PRODAJA!$A:$A,0)),0)</f>
        <v>29</v>
      </c>
      <c r="AA34" s="23" t="n">
        <f aca="false">IFERROR(INDEX(PODACI_PRODAJA!J:J,MATCH($A34,PODACI_PRODAJA!$A:$A,0)),0)</f>
        <v>0</v>
      </c>
      <c r="AB34" s="23" t="n">
        <f aca="false">IFERROR(INDEX(PODACI_PRODAJA!K:K,MATCH($A34,PODACI_PRODAJA!$A:$A,0)),0)</f>
        <v>0</v>
      </c>
      <c r="AC34" s="23" t="n">
        <f aca="false">IFERROR(INDEX(PODACI_PRODAJA!L:L,MATCH($A34,PODACI_PRODAJA!$A:$A,0)),0)</f>
        <v>0</v>
      </c>
      <c r="AD34" s="23" t="n">
        <f aca="false">IFERROR(INDEX(PODACI_PRODAJA!M:M,MATCH($A34,PODACI_PRODAJA!$A:$A,0)),0)</f>
        <v>0</v>
      </c>
    </row>
    <row r="35" customFormat="false" ht="15" hidden="false" customHeight="false" outlineLevel="0" collapsed="false">
      <c r="A35" s="11" t="str">
        <f aca="false">PODACI_ZALIHE!A32</f>
        <v>043810</v>
      </c>
      <c r="B35" s="8" t="str">
        <f aca="false">PODACI_ZALIHE!B32</f>
        <v>INTENSO BLACK VISOKA MIJEŠALICA ZA UMIVAONIK H 19 cm</v>
      </c>
      <c r="C35" s="9" t="str">
        <f aca="false">PODACI_ZALIHE!C32</f>
        <v>5150</v>
      </c>
      <c r="D35" s="8" t="str">
        <f aca="false">PODACI_ZALIHE!D32</f>
        <v>ZHEJIANG VOLONG SANITARY WARES CO.,LTD.</v>
      </c>
      <c r="E35" s="19" t="n">
        <f aca="false">IF(PODACI_ZALIHE!E32="","",PODACI_ZALIHE!E32)</f>
        <v>220</v>
      </c>
      <c r="F35" s="20" t="n">
        <f aca="false">PODACI_ZALIHE!F32</f>
        <v>219</v>
      </c>
      <c r="G35" s="19" t="n">
        <f aca="false">IF(E35="","",E35-F35)</f>
        <v>1</v>
      </c>
      <c r="H35" s="9" t="n">
        <f aca="false">PODACI_PRODAJA!N98</f>
        <v>12.5</v>
      </c>
      <c r="I35" s="21" t="n">
        <f aca="false">IF(H35&lt;=0,999,ROUND(F35/H35,1))</f>
        <v>17.5</v>
      </c>
      <c r="J35" s="9" t="n">
        <f aca="false">SUMIFS(ROBA_U_DOLASKU!$C$6:$C$95,ROBA_U_DOLASKU!$A$6:$A$95,A35,ROBA_U_DOLASKU!$H$6:$H$95,1)</f>
        <v>0</v>
      </c>
      <c r="K35" s="9" t="n">
        <f aca="false">SUMIFS(ROBA_U_DOLASKU!$B$6:$B$95,ROBA_U_DOLASKU!$A$6:$A$95,A35,ROBA_U_DOLASKU!$H$6:$H$95,1)</f>
        <v>0</v>
      </c>
      <c r="L35" s="9" t="n">
        <f aca="false">SUMIFS(ROBA_U_DOLASKU!$C$6:$C$95,ROBA_U_DOLASKU!$A$6:$A$95,A35,ROBA_U_DOLASKU!$H$6:$H$95,2)</f>
        <v>0</v>
      </c>
      <c r="M35" s="9" t="n">
        <f aca="false">SUMIFS(ROBA_U_DOLASKU!$B$6:$B$95,ROBA_U_DOLASKU!$A$6:$A$95,A35,ROBA_U_DOLASKU!$H$6:$H$95,2)</f>
        <v>0</v>
      </c>
      <c r="N35" s="9" t="n">
        <f aca="false">SUMIFS(ROBA_U_DOLASKU!$C$6:$C$95,ROBA_U_DOLASKU!$A$6:$A$95,A35,ROBA_U_DOLASKU!$H$6:$H$95,3)</f>
        <v>0</v>
      </c>
      <c r="O35" s="9" t="n">
        <f aca="false">SUMIFS(ROBA_U_DOLASKU!$B$6:$B$95,ROBA_U_DOLASKU!$A$6:$A$95,A35,ROBA_U_DOLASKU!$H$6:$H$95,3)</f>
        <v>0</v>
      </c>
      <c r="P35" s="9" t="n">
        <f aca="false">IF(H35&lt;=0,999,IF(O35&gt;0,ROUND((F35-H35*N35+K35+M35+O35)/H35,1),IF(M35&gt;0,ROUND((F35-H35*L35+K35+M35)/H35,1),IF(K35&gt;0,ROUND((F35-H35*J35+K35)/H35,1),I35))))</f>
        <v>17.5</v>
      </c>
      <c r="Q35" s="22" t="str">
        <f aca="false">IF(H35&lt;=0,"Nema prodaje",IF(AND(K35=0,M35=0,O35=0),IF(I35&lt;POSTAVKE!$B$6,"Naruči odmah","Sve u redu"),IF(F35-H35*J35&lt;0,"Rupa za ~"&amp;TEXT(I35,"0.0")&amp;" mj.",IF(AND(M35&gt;0,F35-H35*L35+K35&lt;0),"Rupa nakon 1. dolaska",IF(AND(O35&gt;0,F35-H35*N35+K35+M35&lt;0),"Rupa nakon 2. dolaska",IF(P35&lt;POSTAVKE!$B$6,"Količina nije dovoljna",IF(I35&gt;=POSTAVKE!$B$6,"Sve u redu","Stiže na vrijeme")))))))</f>
        <v>Sve u redu</v>
      </c>
      <c r="S35" s="23" t="n">
        <f aca="false">IFERROR(INDEX(PODACI_PRODAJA!B:B,MATCH($A35,PODACI_PRODAJA!$A:$A,0)),0)</f>
        <v>6</v>
      </c>
      <c r="T35" s="23" t="n">
        <f aca="false">IFERROR(INDEX(PODACI_PRODAJA!C:C,MATCH($A35,PODACI_PRODAJA!$A:$A,0)),0)</f>
        <v>10</v>
      </c>
      <c r="U35" s="23" t="n">
        <f aca="false">IFERROR(INDEX(PODACI_PRODAJA!D:D,MATCH($A35,PODACI_PRODAJA!$A:$A,0)),0)</f>
        <v>18</v>
      </c>
      <c r="V35" s="23" t="n">
        <f aca="false">IFERROR(INDEX(PODACI_PRODAJA!E:E,MATCH($A35,PODACI_PRODAJA!$A:$A,0)),0)</f>
        <v>8</v>
      </c>
      <c r="W35" s="23" t="n">
        <f aca="false">IFERROR(INDEX(PODACI_PRODAJA!F:F,MATCH($A35,PODACI_PRODAJA!$A:$A,0)),0)</f>
        <v>16</v>
      </c>
      <c r="X35" s="23" t="n">
        <f aca="false">IFERROR(INDEX(PODACI_PRODAJA!G:G,MATCH($A35,PODACI_PRODAJA!$A:$A,0)),0)</f>
        <v>14</v>
      </c>
      <c r="Y35" s="23" t="n">
        <f aca="false">IFERROR(INDEX(PODACI_PRODAJA!H:H,MATCH($A35,PODACI_PRODAJA!$A:$A,0)),0)</f>
        <v>12</v>
      </c>
      <c r="Z35" s="23" t="n">
        <f aca="false">IFERROR(INDEX(PODACI_PRODAJA!I:I,MATCH($A35,PODACI_PRODAJA!$A:$A,0)),0)</f>
        <v>16</v>
      </c>
      <c r="AA35" s="23" t="n">
        <f aca="false">IFERROR(INDEX(PODACI_PRODAJA!J:J,MATCH($A35,PODACI_PRODAJA!$A:$A,0)),0)</f>
        <v>1</v>
      </c>
      <c r="AB35" s="23" t="n">
        <f aca="false">IFERROR(INDEX(PODACI_PRODAJA!K:K,MATCH($A35,PODACI_PRODAJA!$A:$A,0)),0)</f>
        <v>0</v>
      </c>
      <c r="AC35" s="23" t="n">
        <f aca="false">IFERROR(INDEX(PODACI_PRODAJA!L:L,MATCH($A35,PODACI_PRODAJA!$A:$A,0)),0)</f>
        <v>0</v>
      </c>
      <c r="AD35" s="23" t="n">
        <f aca="false">IFERROR(INDEX(PODACI_PRODAJA!M:M,MATCH($A35,PODACI_PRODAJA!$A:$A,0)),0)</f>
        <v>0</v>
      </c>
    </row>
    <row r="36" customFormat="false" ht="15" hidden="false" customHeight="false" outlineLevel="0" collapsed="false">
      <c r="A36" s="11" t="str">
        <f aca="false">PODACI_ZALIHE!A33</f>
        <v>00849</v>
      </c>
      <c r="B36" s="8" t="str">
        <f aca="false">PODACI_ZALIHE!B33</f>
        <v>GL00097 FLEKSIBILNI SIFON ZA TUŠ KADU LUX 90 mm</v>
      </c>
      <c r="C36" s="9" t="str">
        <f aca="false">PODACI_ZALIHE!C33</f>
        <v>3291</v>
      </c>
      <c r="D36" s="8" t="str">
        <f aca="false">PODACI_ZALIHE!D33</f>
        <v>TEHNOEXPORT D.O.O.</v>
      </c>
      <c r="E36" s="19" t="n">
        <f aca="false">IF(PODACI_ZALIHE!E33="","",PODACI_ZALIHE!E33)</f>
        <v>224</v>
      </c>
      <c r="F36" s="20" t="n">
        <f aca="false">PODACI_ZALIHE!F33</f>
        <v>213</v>
      </c>
      <c r="G36" s="19" t="n">
        <f aca="false">IF(E36="","",E36-F36)</f>
        <v>11</v>
      </c>
      <c r="H36" s="9" t="n">
        <f aca="false">PODACI_PRODAJA!N11</f>
        <v>49</v>
      </c>
      <c r="I36" s="21" t="n">
        <f aca="false">IF(H36&lt;=0,999,ROUND(F36/H36,1))</f>
        <v>4.3</v>
      </c>
      <c r="J36" s="9" t="n">
        <f aca="false">SUMIFS(ROBA_U_DOLASKU!$C$6:$C$95,ROBA_U_DOLASKU!$A$6:$A$95,A36,ROBA_U_DOLASKU!$H$6:$H$95,1)</f>
        <v>0</v>
      </c>
      <c r="K36" s="9" t="n">
        <f aca="false">SUMIFS(ROBA_U_DOLASKU!$B$6:$B$95,ROBA_U_DOLASKU!$A$6:$A$95,A36,ROBA_U_DOLASKU!$H$6:$H$95,1)</f>
        <v>0</v>
      </c>
      <c r="L36" s="9" t="n">
        <f aca="false">SUMIFS(ROBA_U_DOLASKU!$C$6:$C$95,ROBA_U_DOLASKU!$A$6:$A$95,A36,ROBA_U_DOLASKU!$H$6:$H$95,2)</f>
        <v>0</v>
      </c>
      <c r="M36" s="9" t="n">
        <f aca="false">SUMIFS(ROBA_U_DOLASKU!$B$6:$B$95,ROBA_U_DOLASKU!$A$6:$A$95,A36,ROBA_U_DOLASKU!$H$6:$H$95,2)</f>
        <v>0</v>
      </c>
      <c r="N36" s="9" t="n">
        <f aca="false">SUMIFS(ROBA_U_DOLASKU!$C$6:$C$95,ROBA_U_DOLASKU!$A$6:$A$95,A36,ROBA_U_DOLASKU!$H$6:$H$95,3)</f>
        <v>0</v>
      </c>
      <c r="O36" s="9" t="n">
        <f aca="false">SUMIFS(ROBA_U_DOLASKU!$B$6:$B$95,ROBA_U_DOLASKU!$A$6:$A$95,A36,ROBA_U_DOLASKU!$H$6:$H$95,3)</f>
        <v>0</v>
      </c>
      <c r="P36" s="9" t="n">
        <f aca="false">IF(H36&lt;=0,999,IF(O36&gt;0,ROUND((F36-H36*N36+K36+M36+O36)/H36,1),IF(M36&gt;0,ROUND((F36-H36*L36+K36+M36)/H36,1),IF(K36&gt;0,ROUND((F36-H36*J36+K36)/H36,1),I36))))</f>
        <v>4.3</v>
      </c>
      <c r="Q36" s="22" t="str">
        <f aca="false">IF(H36&lt;=0,"Nema prodaje",IF(AND(K36=0,M36=0,O36=0),IF(I36&lt;POSTAVKE!$B$6,"Naruči odmah","Sve u redu"),IF(F36-H36*J36&lt;0,"Rupa za ~"&amp;TEXT(I36,"0.0")&amp;" mj.",IF(AND(M36&gt;0,F36-H36*L36+K36&lt;0),"Rupa nakon 1. dolaska",IF(AND(O36&gt;0,F36-H36*N36+K36+M36&lt;0),"Rupa nakon 2. dolaska",IF(P36&lt;POSTAVKE!$B$6,"Količina nije dovoljna",IF(I36&gt;=POSTAVKE!$B$6,"Sve u redu","Stiže na vrijeme")))))))</f>
        <v>Naruči odmah</v>
      </c>
      <c r="S36" s="23" t="n">
        <f aca="false">IFERROR(INDEX(PODACI_PRODAJA!B:B,MATCH($A36,PODACI_PRODAJA!$A:$A,0)),0)</f>
        <v>70</v>
      </c>
      <c r="T36" s="23" t="n">
        <f aca="false">IFERROR(INDEX(PODACI_PRODAJA!C:C,MATCH($A36,PODACI_PRODAJA!$A:$A,0)),0)</f>
        <v>44</v>
      </c>
      <c r="U36" s="23" t="n">
        <f aca="false">IFERROR(INDEX(PODACI_PRODAJA!D:D,MATCH($A36,PODACI_PRODAJA!$A:$A,0)),0)</f>
        <v>61</v>
      </c>
      <c r="V36" s="23" t="n">
        <f aca="false">IFERROR(INDEX(PODACI_PRODAJA!E:E,MATCH($A36,PODACI_PRODAJA!$A:$A,0)),0)</f>
        <v>54</v>
      </c>
      <c r="W36" s="23" t="n">
        <f aca="false">IFERROR(INDEX(PODACI_PRODAJA!F:F,MATCH($A36,PODACI_PRODAJA!$A:$A,0)),0)</f>
        <v>33</v>
      </c>
      <c r="X36" s="23" t="n">
        <f aca="false">IFERROR(INDEX(PODACI_PRODAJA!G:G,MATCH($A36,PODACI_PRODAJA!$A:$A,0)),0)</f>
        <v>35</v>
      </c>
      <c r="Y36" s="23" t="n">
        <f aca="false">IFERROR(INDEX(PODACI_PRODAJA!H:H,MATCH($A36,PODACI_PRODAJA!$A:$A,0)),0)</f>
        <v>45</v>
      </c>
      <c r="Z36" s="23" t="n">
        <f aca="false">IFERROR(INDEX(PODACI_PRODAJA!I:I,MATCH($A36,PODACI_PRODAJA!$A:$A,0)),0)</f>
        <v>50</v>
      </c>
      <c r="AA36" s="23" t="n">
        <f aca="false">IFERROR(INDEX(PODACI_PRODAJA!J:J,MATCH($A36,PODACI_PRODAJA!$A:$A,0)),0)</f>
        <v>11</v>
      </c>
      <c r="AB36" s="23" t="n">
        <f aca="false">IFERROR(INDEX(PODACI_PRODAJA!K:K,MATCH($A36,PODACI_PRODAJA!$A:$A,0)),0)</f>
        <v>0</v>
      </c>
      <c r="AC36" s="23" t="n">
        <f aca="false">IFERROR(INDEX(PODACI_PRODAJA!L:L,MATCH($A36,PODACI_PRODAJA!$A:$A,0)),0)</f>
        <v>0</v>
      </c>
      <c r="AD36" s="23" t="n">
        <f aca="false">IFERROR(INDEX(PODACI_PRODAJA!M:M,MATCH($A36,PODACI_PRODAJA!$A:$A,0)),0)</f>
        <v>0</v>
      </c>
    </row>
    <row r="37" customFormat="false" ht="15" hidden="false" customHeight="false" outlineLevel="0" collapsed="false">
      <c r="A37" s="11" t="str">
        <f aca="false">PODACI_ZALIHE!A34</f>
        <v>17178</v>
      </c>
      <c r="B37" s="8" t="str">
        <f aca="false">PODACI_ZALIHE!B34</f>
        <v>REFLECT KUPAONSKA KUKICA ZA RUČNIK - KROM</v>
      </c>
      <c r="C37" s="9" t="str">
        <f aca="false">PODACI_ZALIHE!C34</f>
        <v>6458</v>
      </c>
      <c r="D37" s="8" t="str">
        <f aca="false">PODACI_ZALIHE!D34</f>
        <v>BOJIA TRADING LIMITED</v>
      </c>
      <c r="E37" s="19" t="n">
        <f aca="false">IF(PODACI_ZALIHE!E34="","",PODACI_ZALIHE!E34)</f>
        <v>212</v>
      </c>
      <c r="F37" s="20" t="n">
        <f aca="false">PODACI_ZALIHE!F34</f>
        <v>212</v>
      </c>
      <c r="G37" s="19" t="n">
        <f aca="false">IF(E37="","",E37-F37)</f>
        <v>0</v>
      </c>
      <c r="H37" s="9" t="n">
        <f aca="false">PODACI_PRODAJA!N595</f>
        <v>2.13</v>
      </c>
      <c r="I37" s="21" t="n">
        <f aca="false">IF(H37&lt;=0,999,ROUND(F37/H37,1))</f>
        <v>99.5</v>
      </c>
      <c r="J37" s="9" t="n">
        <f aca="false">SUMIFS(ROBA_U_DOLASKU!$C$6:$C$95,ROBA_U_DOLASKU!$A$6:$A$95,A37,ROBA_U_DOLASKU!$H$6:$H$95,1)</f>
        <v>0</v>
      </c>
      <c r="K37" s="9" t="n">
        <f aca="false">SUMIFS(ROBA_U_DOLASKU!$B$6:$B$95,ROBA_U_DOLASKU!$A$6:$A$95,A37,ROBA_U_DOLASKU!$H$6:$H$95,1)</f>
        <v>0</v>
      </c>
      <c r="L37" s="9" t="n">
        <f aca="false">SUMIFS(ROBA_U_DOLASKU!$C$6:$C$95,ROBA_U_DOLASKU!$A$6:$A$95,A37,ROBA_U_DOLASKU!$H$6:$H$95,2)</f>
        <v>0</v>
      </c>
      <c r="M37" s="9" t="n">
        <f aca="false">SUMIFS(ROBA_U_DOLASKU!$B$6:$B$95,ROBA_U_DOLASKU!$A$6:$A$95,A37,ROBA_U_DOLASKU!$H$6:$H$95,2)</f>
        <v>0</v>
      </c>
      <c r="N37" s="9" t="n">
        <f aca="false">SUMIFS(ROBA_U_DOLASKU!$C$6:$C$95,ROBA_U_DOLASKU!$A$6:$A$95,A37,ROBA_U_DOLASKU!$H$6:$H$95,3)</f>
        <v>0</v>
      </c>
      <c r="O37" s="9" t="n">
        <f aca="false">SUMIFS(ROBA_U_DOLASKU!$B$6:$B$95,ROBA_U_DOLASKU!$A$6:$A$95,A37,ROBA_U_DOLASKU!$H$6:$H$95,3)</f>
        <v>0</v>
      </c>
      <c r="P37" s="9" t="n">
        <f aca="false">IF(H37&lt;=0,999,IF(O37&gt;0,ROUND((F37-H37*N37+K37+M37+O37)/H37,1),IF(M37&gt;0,ROUND((F37-H37*L37+K37+M37)/H37,1),IF(K37&gt;0,ROUND((F37-H37*J37+K37)/H37,1),I37))))</f>
        <v>99.5</v>
      </c>
      <c r="Q37" s="22" t="str">
        <f aca="false">IF(H37&lt;=0,"Nema prodaje",IF(AND(K37=0,M37=0,O37=0),IF(I37&lt;POSTAVKE!$B$6,"Naruči odmah","Sve u redu"),IF(F37-H37*J37&lt;0,"Rupa za ~"&amp;TEXT(I37,"0.0")&amp;" mj.",IF(AND(M37&gt;0,F37-H37*L37+K37&lt;0),"Rupa nakon 1. dolaska",IF(AND(O37&gt;0,F37-H37*N37+K37+M37&lt;0),"Rupa nakon 2. dolaska",IF(P37&lt;POSTAVKE!$B$6,"Količina nije dovoljna",IF(I37&gt;=POSTAVKE!$B$6,"Sve u redu","Stiže na vrijeme")))))))</f>
        <v>Sve u redu</v>
      </c>
      <c r="S37" s="23" t="n">
        <f aca="false">IFERROR(INDEX(PODACI_PRODAJA!B:B,MATCH($A37,PODACI_PRODAJA!$A:$A,0)),0)</f>
        <v>0</v>
      </c>
      <c r="T37" s="23" t="n">
        <f aca="false">IFERROR(INDEX(PODACI_PRODAJA!C:C,MATCH($A37,PODACI_PRODAJA!$A:$A,0)),0)</f>
        <v>0</v>
      </c>
      <c r="U37" s="23" t="n">
        <f aca="false">IFERROR(INDEX(PODACI_PRODAJA!D:D,MATCH($A37,PODACI_PRODAJA!$A:$A,0)),0)</f>
        <v>8</v>
      </c>
      <c r="V37" s="23" t="n">
        <f aca="false">IFERROR(INDEX(PODACI_PRODAJA!E:E,MATCH($A37,PODACI_PRODAJA!$A:$A,0)),0)</f>
        <v>1</v>
      </c>
      <c r="W37" s="23" t="n">
        <f aca="false">IFERROR(INDEX(PODACI_PRODAJA!F:F,MATCH($A37,PODACI_PRODAJA!$A:$A,0)),0)</f>
        <v>1</v>
      </c>
      <c r="X37" s="23" t="n">
        <f aca="false">IFERROR(INDEX(PODACI_PRODAJA!G:G,MATCH($A37,PODACI_PRODAJA!$A:$A,0)),0)</f>
        <v>5</v>
      </c>
      <c r="Y37" s="23" t="n">
        <f aca="false">IFERROR(INDEX(PODACI_PRODAJA!H:H,MATCH($A37,PODACI_PRODAJA!$A:$A,0)),0)</f>
        <v>0</v>
      </c>
      <c r="Z37" s="23" t="n">
        <f aca="false">IFERROR(INDEX(PODACI_PRODAJA!I:I,MATCH($A37,PODACI_PRODAJA!$A:$A,0)),0)</f>
        <v>2</v>
      </c>
      <c r="AA37" s="23" t="n">
        <f aca="false">IFERROR(INDEX(PODACI_PRODAJA!J:J,MATCH($A37,PODACI_PRODAJA!$A:$A,0)),0)</f>
        <v>0</v>
      </c>
      <c r="AB37" s="23" t="n">
        <f aca="false">IFERROR(INDEX(PODACI_PRODAJA!K:K,MATCH($A37,PODACI_PRODAJA!$A:$A,0)),0)</f>
        <v>0</v>
      </c>
      <c r="AC37" s="23" t="n">
        <f aca="false">IFERROR(INDEX(PODACI_PRODAJA!L:L,MATCH($A37,PODACI_PRODAJA!$A:$A,0)),0)</f>
        <v>0</v>
      </c>
      <c r="AD37" s="23" t="n">
        <f aca="false">IFERROR(INDEX(PODACI_PRODAJA!M:M,MATCH($A37,PODACI_PRODAJA!$A:$A,0)),0)</f>
        <v>0</v>
      </c>
    </row>
    <row r="38" customFormat="false" ht="15" hidden="false" customHeight="false" outlineLevel="0" collapsed="false">
      <c r="A38" s="11" t="str">
        <f aca="false">PODACI_ZALIHE!A35</f>
        <v>17175</v>
      </c>
      <c r="B38" s="8" t="str">
        <f aca="false">PODACI_ZALIHE!B35</f>
        <v>NERO DRŽAČ ZA RUČNIK 61 cm - CRNA</v>
      </c>
      <c r="C38" s="9" t="str">
        <f aca="false">PODACI_ZALIHE!C35</f>
        <v>6458</v>
      </c>
      <c r="D38" s="8" t="str">
        <f aca="false">PODACI_ZALIHE!D35</f>
        <v>BOJIA TRADING LIMITED</v>
      </c>
      <c r="E38" s="19" t="n">
        <f aca="false">IF(PODACI_ZALIHE!E35="","",PODACI_ZALIHE!E35)</f>
        <v>211</v>
      </c>
      <c r="F38" s="20" t="n">
        <f aca="false">PODACI_ZALIHE!F35</f>
        <v>211</v>
      </c>
      <c r="G38" s="19" t="n">
        <f aca="false">IF(E38="","",E38-F38)</f>
        <v>0</v>
      </c>
      <c r="H38" s="9" t="n">
        <f aca="false">PODACI_PRODAJA!N593</f>
        <v>1.13</v>
      </c>
      <c r="I38" s="21" t="n">
        <f aca="false">IF(H38&lt;=0,999,ROUND(F38/H38,1))</f>
        <v>186.7</v>
      </c>
      <c r="J38" s="9" t="n">
        <f aca="false">SUMIFS(ROBA_U_DOLASKU!$C$6:$C$95,ROBA_U_DOLASKU!$A$6:$A$95,A38,ROBA_U_DOLASKU!$H$6:$H$95,1)</f>
        <v>0</v>
      </c>
      <c r="K38" s="9" t="n">
        <f aca="false">SUMIFS(ROBA_U_DOLASKU!$B$6:$B$95,ROBA_U_DOLASKU!$A$6:$A$95,A38,ROBA_U_DOLASKU!$H$6:$H$95,1)</f>
        <v>0</v>
      </c>
      <c r="L38" s="9" t="n">
        <f aca="false">SUMIFS(ROBA_U_DOLASKU!$C$6:$C$95,ROBA_U_DOLASKU!$A$6:$A$95,A38,ROBA_U_DOLASKU!$H$6:$H$95,2)</f>
        <v>0</v>
      </c>
      <c r="M38" s="9" t="n">
        <f aca="false">SUMIFS(ROBA_U_DOLASKU!$B$6:$B$95,ROBA_U_DOLASKU!$A$6:$A$95,A38,ROBA_U_DOLASKU!$H$6:$H$95,2)</f>
        <v>0</v>
      </c>
      <c r="N38" s="9" t="n">
        <f aca="false">SUMIFS(ROBA_U_DOLASKU!$C$6:$C$95,ROBA_U_DOLASKU!$A$6:$A$95,A38,ROBA_U_DOLASKU!$H$6:$H$95,3)</f>
        <v>0</v>
      </c>
      <c r="O38" s="9" t="n">
        <f aca="false">SUMIFS(ROBA_U_DOLASKU!$B$6:$B$95,ROBA_U_DOLASKU!$A$6:$A$95,A38,ROBA_U_DOLASKU!$H$6:$H$95,3)</f>
        <v>0</v>
      </c>
      <c r="P38" s="9" t="n">
        <f aca="false">IF(H38&lt;=0,999,IF(O38&gt;0,ROUND((F38-H38*N38+K38+M38+O38)/H38,1),IF(M38&gt;0,ROUND((F38-H38*L38+K38+M38)/H38,1),IF(K38&gt;0,ROUND((F38-H38*J38+K38)/H38,1),I38))))</f>
        <v>186.7</v>
      </c>
      <c r="Q38" s="22" t="str">
        <f aca="false">IF(H38&lt;=0,"Nema prodaje",IF(AND(K38=0,M38=0,O38=0),IF(I38&lt;POSTAVKE!$B$6,"Naruči odmah","Sve u redu"),IF(F38-H38*J38&lt;0,"Rupa za ~"&amp;TEXT(I38,"0.0")&amp;" mj.",IF(AND(M38&gt;0,F38-H38*L38+K38&lt;0),"Rupa nakon 1. dolaska",IF(AND(O38&gt;0,F38-H38*N38+K38+M38&lt;0),"Rupa nakon 2. dolaska",IF(P38&lt;POSTAVKE!$B$6,"Količina nije dovoljna",IF(I38&gt;=POSTAVKE!$B$6,"Sve u redu","Stiže na vrijeme")))))))</f>
        <v>Sve u redu</v>
      </c>
      <c r="S38" s="23" t="n">
        <f aca="false">IFERROR(INDEX(PODACI_PRODAJA!B:B,MATCH($A38,PODACI_PRODAJA!$A:$A,0)),0)</f>
        <v>0</v>
      </c>
      <c r="T38" s="23" t="n">
        <f aca="false">IFERROR(INDEX(PODACI_PRODAJA!C:C,MATCH($A38,PODACI_PRODAJA!$A:$A,0)),0)</f>
        <v>3</v>
      </c>
      <c r="U38" s="23" t="n">
        <f aca="false">IFERROR(INDEX(PODACI_PRODAJA!D:D,MATCH($A38,PODACI_PRODAJA!$A:$A,0)),0)</f>
        <v>0</v>
      </c>
      <c r="V38" s="23" t="n">
        <f aca="false">IFERROR(INDEX(PODACI_PRODAJA!E:E,MATCH($A38,PODACI_PRODAJA!$A:$A,0)),0)</f>
        <v>1</v>
      </c>
      <c r="W38" s="23" t="n">
        <f aca="false">IFERROR(INDEX(PODACI_PRODAJA!F:F,MATCH($A38,PODACI_PRODAJA!$A:$A,0)),0)</f>
        <v>0</v>
      </c>
      <c r="X38" s="23" t="n">
        <f aca="false">IFERROR(INDEX(PODACI_PRODAJA!G:G,MATCH($A38,PODACI_PRODAJA!$A:$A,0)),0)</f>
        <v>0</v>
      </c>
      <c r="Y38" s="23" t="n">
        <f aca="false">IFERROR(INDEX(PODACI_PRODAJA!H:H,MATCH($A38,PODACI_PRODAJA!$A:$A,0)),0)</f>
        <v>5</v>
      </c>
      <c r="Z38" s="23" t="n">
        <f aca="false">IFERROR(INDEX(PODACI_PRODAJA!I:I,MATCH($A38,PODACI_PRODAJA!$A:$A,0)),0)</f>
        <v>0</v>
      </c>
      <c r="AA38" s="23" t="n">
        <f aca="false">IFERROR(INDEX(PODACI_PRODAJA!J:J,MATCH($A38,PODACI_PRODAJA!$A:$A,0)),0)</f>
        <v>0</v>
      </c>
      <c r="AB38" s="23" t="n">
        <f aca="false">IFERROR(INDEX(PODACI_PRODAJA!K:K,MATCH($A38,PODACI_PRODAJA!$A:$A,0)),0)</f>
        <v>0</v>
      </c>
      <c r="AC38" s="23" t="n">
        <f aca="false">IFERROR(INDEX(PODACI_PRODAJA!L:L,MATCH($A38,PODACI_PRODAJA!$A:$A,0)),0)</f>
        <v>0</v>
      </c>
      <c r="AD38" s="23" t="n">
        <f aca="false">IFERROR(INDEX(PODACI_PRODAJA!M:M,MATCH($A38,PODACI_PRODAJA!$A:$A,0)),0)</f>
        <v>0</v>
      </c>
    </row>
    <row r="39" customFormat="false" ht="15" hidden="false" customHeight="false" outlineLevel="0" collapsed="false">
      <c r="A39" s="11" t="str">
        <f aca="false">PODACI_ZALIHE!A36</f>
        <v>003227</v>
      </c>
      <c r="B39" s="8" t="str">
        <f aca="false">PODACI_ZALIHE!B36</f>
        <v>LENA MIJEŠALICA ZA UMIVAONIK</v>
      </c>
      <c r="C39" s="9" t="str">
        <f aca="false">PODACI_ZALIHE!C36</f>
        <v>6022</v>
      </c>
      <c r="D39" s="8" t="str">
        <f aca="false">PODACI_ZALIHE!D36</f>
        <v>RUIAN HAIBA SANITARY CO.,LTD</v>
      </c>
      <c r="E39" s="19" t="n">
        <f aca="false">IF(PODACI_ZALIHE!E36="","",PODACI_ZALIHE!E36)</f>
        <v>209</v>
      </c>
      <c r="F39" s="20" t="n">
        <f aca="false">PODACI_ZALIHE!F36</f>
        <v>209</v>
      </c>
      <c r="G39" s="19" t="n">
        <f aca="false">IF(E39="","",E39-F39)</f>
        <v>0</v>
      </c>
      <c r="H39" s="9" t="n">
        <f aca="false">PODACI_PRODAJA!N13</f>
        <v>42.63</v>
      </c>
      <c r="I39" s="21" t="n">
        <f aca="false">IF(H39&lt;=0,999,ROUND(F39/H39,1))</f>
        <v>4.9</v>
      </c>
      <c r="J39" s="9" t="n">
        <f aca="false">SUMIFS(ROBA_U_DOLASKU!$C$6:$C$95,ROBA_U_DOLASKU!$A$6:$A$95,A39,ROBA_U_DOLASKU!$H$6:$H$95,1)</f>
        <v>2.2</v>
      </c>
      <c r="K39" s="9" t="n">
        <f aca="false">SUMIFS(ROBA_U_DOLASKU!$B$6:$B$95,ROBA_U_DOLASKU!$A$6:$A$95,A39,ROBA_U_DOLASKU!$H$6:$H$95,1)</f>
        <v>100</v>
      </c>
      <c r="L39" s="9" t="n">
        <f aca="false">SUMIFS(ROBA_U_DOLASKU!$C$6:$C$95,ROBA_U_DOLASKU!$A$6:$A$95,A39,ROBA_U_DOLASKU!$H$6:$H$95,2)</f>
        <v>0</v>
      </c>
      <c r="M39" s="9" t="n">
        <f aca="false">SUMIFS(ROBA_U_DOLASKU!$B$6:$B$95,ROBA_U_DOLASKU!$A$6:$A$95,A39,ROBA_U_DOLASKU!$H$6:$H$95,2)</f>
        <v>0</v>
      </c>
      <c r="N39" s="9" t="n">
        <f aca="false">SUMIFS(ROBA_U_DOLASKU!$C$6:$C$95,ROBA_U_DOLASKU!$A$6:$A$95,A39,ROBA_U_DOLASKU!$H$6:$H$95,3)</f>
        <v>0</v>
      </c>
      <c r="O39" s="9" t="n">
        <f aca="false">SUMIFS(ROBA_U_DOLASKU!$B$6:$B$95,ROBA_U_DOLASKU!$A$6:$A$95,A39,ROBA_U_DOLASKU!$H$6:$H$95,3)</f>
        <v>0</v>
      </c>
      <c r="P39" s="9" t="n">
        <f aca="false">IF(H39&lt;=0,999,IF(O39&gt;0,ROUND((F39-H39*N39+K39+M39+O39)/H39,1),IF(M39&gt;0,ROUND((F39-H39*L39+K39+M39)/H39,1),IF(K39&gt;0,ROUND((F39-H39*J39+K39)/H39,1),I39))))</f>
        <v>5</v>
      </c>
      <c r="Q39" s="22" t="str">
        <f aca="false">IF(H39&lt;=0,"Nema prodaje",IF(AND(K39=0,M39=0,O39=0),IF(I39&lt;POSTAVKE!$B$6,"Naruči odmah","Sve u redu"),IF(F39-H39*J39&lt;0,"Rupa za ~"&amp;TEXT(I39,"0.0")&amp;" mj.",IF(AND(M39&gt;0,F39-H39*L39+K39&lt;0),"Rupa nakon 1. dolaska",IF(AND(O39&gt;0,F39-H39*N39+K39+M39&lt;0),"Rupa nakon 2. dolaska",IF(P39&lt;POSTAVKE!$B$6,"Količina nije dovoljna",IF(I39&gt;=POSTAVKE!$B$6,"Sve u redu","Stiže na vrijeme")))))))</f>
        <v>Stiže na vrijeme</v>
      </c>
      <c r="S39" s="23" t="n">
        <f aca="false">IFERROR(INDEX(PODACI_PRODAJA!B:B,MATCH($A39,PODACI_PRODAJA!$A:$A,0)),0)</f>
        <v>63</v>
      </c>
      <c r="T39" s="23" t="n">
        <f aca="false">IFERROR(INDEX(PODACI_PRODAJA!C:C,MATCH($A39,PODACI_PRODAJA!$A:$A,0)),0)</f>
        <v>36</v>
      </c>
      <c r="U39" s="23" t="n">
        <f aca="false">IFERROR(INDEX(PODACI_PRODAJA!D:D,MATCH($A39,PODACI_PRODAJA!$A:$A,0)),0)</f>
        <v>46</v>
      </c>
      <c r="V39" s="23" t="n">
        <f aca="false">IFERROR(INDEX(PODACI_PRODAJA!E:E,MATCH($A39,PODACI_PRODAJA!$A:$A,0)),0)</f>
        <v>39</v>
      </c>
      <c r="W39" s="23" t="n">
        <f aca="false">IFERROR(INDEX(PODACI_PRODAJA!F:F,MATCH($A39,PODACI_PRODAJA!$A:$A,0)),0)</f>
        <v>46</v>
      </c>
      <c r="X39" s="23" t="n">
        <f aca="false">IFERROR(INDEX(PODACI_PRODAJA!G:G,MATCH($A39,PODACI_PRODAJA!$A:$A,0)),0)</f>
        <v>34</v>
      </c>
      <c r="Y39" s="23" t="n">
        <f aca="false">IFERROR(INDEX(PODACI_PRODAJA!H:H,MATCH($A39,PODACI_PRODAJA!$A:$A,0)),0)</f>
        <v>37</v>
      </c>
      <c r="Z39" s="23" t="n">
        <f aca="false">IFERROR(INDEX(PODACI_PRODAJA!I:I,MATCH($A39,PODACI_PRODAJA!$A:$A,0)),0)</f>
        <v>40</v>
      </c>
      <c r="AA39" s="23" t="n">
        <f aca="false">IFERROR(INDEX(PODACI_PRODAJA!J:J,MATCH($A39,PODACI_PRODAJA!$A:$A,0)),0)</f>
        <v>0</v>
      </c>
      <c r="AB39" s="23" t="n">
        <f aca="false">IFERROR(INDEX(PODACI_PRODAJA!K:K,MATCH($A39,PODACI_PRODAJA!$A:$A,0)),0)</f>
        <v>0</v>
      </c>
      <c r="AC39" s="23" t="n">
        <f aca="false">IFERROR(INDEX(PODACI_PRODAJA!L:L,MATCH($A39,PODACI_PRODAJA!$A:$A,0)),0)</f>
        <v>0</v>
      </c>
      <c r="AD39" s="23" t="n">
        <f aca="false">IFERROR(INDEX(PODACI_PRODAJA!M:M,MATCH($A39,PODACI_PRODAJA!$A:$A,0)),0)</f>
        <v>0</v>
      </c>
    </row>
    <row r="40" customFormat="false" ht="15" hidden="false" customHeight="false" outlineLevel="0" collapsed="false">
      <c r="A40" s="11" t="str">
        <f aca="false">PODACI_ZALIHE!A37</f>
        <v>17183</v>
      </c>
      <c r="B40" s="8" t="str">
        <f aca="false">PODACI_ZALIHE!B37</f>
        <v>NERO DRŽAČ TOALETNOG PAPIRA S POKLOPCEM - CRNI</v>
      </c>
      <c r="C40" s="9" t="str">
        <f aca="false">PODACI_ZALIHE!C37</f>
        <v>6458</v>
      </c>
      <c r="D40" s="8" t="str">
        <f aca="false">PODACI_ZALIHE!D37</f>
        <v>BOJIA TRADING LIMITED</v>
      </c>
      <c r="E40" s="19" t="n">
        <f aca="false">IF(PODACI_ZALIHE!E37="","",PODACI_ZALIHE!E37)</f>
        <v>205</v>
      </c>
      <c r="F40" s="20" t="n">
        <f aca="false">PODACI_ZALIHE!F37</f>
        <v>205</v>
      </c>
      <c r="G40" s="19" t="n">
        <f aca="false">IF(E40="","",E40-F40)</f>
        <v>0</v>
      </c>
      <c r="H40" s="9" t="n">
        <f aca="false">PODACI_PRODAJA!N124</f>
        <v>1.75</v>
      </c>
      <c r="I40" s="21" t="n">
        <f aca="false">IF(H40&lt;=0,999,ROUND(F40/H40,1))</f>
        <v>117.1</v>
      </c>
      <c r="J40" s="9" t="n">
        <f aca="false">SUMIFS(ROBA_U_DOLASKU!$C$6:$C$95,ROBA_U_DOLASKU!$A$6:$A$95,A40,ROBA_U_DOLASKU!$H$6:$H$95,1)</f>
        <v>0</v>
      </c>
      <c r="K40" s="9" t="n">
        <f aca="false">SUMIFS(ROBA_U_DOLASKU!$B$6:$B$95,ROBA_U_DOLASKU!$A$6:$A$95,A40,ROBA_U_DOLASKU!$H$6:$H$95,1)</f>
        <v>0</v>
      </c>
      <c r="L40" s="9" t="n">
        <f aca="false">SUMIFS(ROBA_U_DOLASKU!$C$6:$C$95,ROBA_U_DOLASKU!$A$6:$A$95,A40,ROBA_U_DOLASKU!$H$6:$H$95,2)</f>
        <v>0</v>
      </c>
      <c r="M40" s="9" t="n">
        <f aca="false">SUMIFS(ROBA_U_DOLASKU!$B$6:$B$95,ROBA_U_DOLASKU!$A$6:$A$95,A40,ROBA_U_DOLASKU!$H$6:$H$95,2)</f>
        <v>0</v>
      </c>
      <c r="N40" s="9" t="n">
        <f aca="false">SUMIFS(ROBA_U_DOLASKU!$C$6:$C$95,ROBA_U_DOLASKU!$A$6:$A$95,A40,ROBA_U_DOLASKU!$H$6:$H$95,3)</f>
        <v>0</v>
      </c>
      <c r="O40" s="9" t="n">
        <f aca="false">SUMIFS(ROBA_U_DOLASKU!$B$6:$B$95,ROBA_U_DOLASKU!$A$6:$A$95,A40,ROBA_U_DOLASKU!$H$6:$H$95,3)</f>
        <v>0</v>
      </c>
      <c r="P40" s="9" t="n">
        <f aca="false">IF(H40&lt;=0,999,IF(O40&gt;0,ROUND((F40-H40*N40+K40+M40+O40)/H40,1),IF(M40&gt;0,ROUND((F40-H40*L40+K40+M40)/H40,1),IF(K40&gt;0,ROUND((F40-H40*J40+K40)/H40,1),I40))))</f>
        <v>117.1</v>
      </c>
      <c r="Q40" s="22" t="str">
        <f aca="false">IF(H40&lt;=0,"Nema prodaje",IF(AND(K40=0,M40=0,O40=0),IF(I40&lt;POSTAVKE!$B$6,"Naruči odmah","Sve u redu"),IF(F40-H40*J40&lt;0,"Rupa za ~"&amp;TEXT(I40,"0.0")&amp;" mj.",IF(AND(M40&gt;0,F40-H40*L40+K40&lt;0),"Rupa nakon 1. dolaska",IF(AND(O40&gt;0,F40-H40*N40+K40+M40&lt;0),"Rupa nakon 2. dolaska",IF(P40&lt;POSTAVKE!$B$6,"Količina nije dovoljna",IF(I40&gt;=POSTAVKE!$B$6,"Sve u redu","Stiže na vrijeme")))))))</f>
        <v>Sve u redu</v>
      </c>
      <c r="S40" s="23" t="n">
        <f aca="false">IFERROR(INDEX(PODACI_PRODAJA!B:B,MATCH($A40,PODACI_PRODAJA!$A:$A,0)),0)</f>
        <v>5</v>
      </c>
      <c r="T40" s="23" t="n">
        <f aca="false">IFERROR(INDEX(PODACI_PRODAJA!C:C,MATCH($A40,PODACI_PRODAJA!$A:$A,0)),0)</f>
        <v>3</v>
      </c>
      <c r="U40" s="23" t="n">
        <f aca="false">IFERROR(INDEX(PODACI_PRODAJA!D:D,MATCH($A40,PODACI_PRODAJA!$A:$A,0)),0)</f>
        <v>0</v>
      </c>
      <c r="V40" s="23" t="n">
        <f aca="false">IFERROR(INDEX(PODACI_PRODAJA!E:E,MATCH($A40,PODACI_PRODAJA!$A:$A,0)),0)</f>
        <v>0</v>
      </c>
      <c r="W40" s="23" t="n">
        <f aca="false">IFERROR(INDEX(PODACI_PRODAJA!F:F,MATCH($A40,PODACI_PRODAJA!$A:$A,0)),0)</f>
        <v>4</v>
      </c>
      <c r="X40" s="23" t="n">
        <f aca="false">IFERROR(INDEX(PODACI_PRODAJA!G:G,MATCH($A40,PODACI_PRODAJA!$A:$A,0)),0)</f>
        <v>0</v>
      </c>
      <c r="Y40" s="23" t="n">
        <f aca="false">IFERROR(INDEX(PODACI_PRODAJA!H:H,MATCH($A40,PODACI_PRODAJA!$A:$A,0)),0)</f>
        <v>0</v>
      </c>
      <c r="Z40" s="23" t="n">
        <f aca="false">IFERROR(INDEX(PODACI_PRODAJA!I:I,MATCH($A40,PODACI_PRODAJA!$A:$A,0)),0)</f>
        <v>2</v>
      </c>
      <c r="AA40" s="23" t="n">
        <f aca="false">IFERROR(INDEX(PODACI_PRODAJA!J:J,MATCH($A40,PODACI_PRODAJA!$A:$A,0)),0)</f>
        <v>0</v>
      </c>
      <c r="AB40" s="23" t="n">
        <f aca="false">IFERROR(INDEX(PODACI_PRODAJA!K:K,MATCH($A40,PODACI_PRODAJA!$A:$A,0)),0)</f>
        <v>0</v>
      </c>
      <c r="AC40" s="23" t="n">
        <f aca="false">IFERROR(INDEX(PODACI_PRODAJA!L:L,MATCH($A40,PODACI_PRODAJA!$A:$A,0)),0)</f>
        <v>0</v>
      </c>
      <c r="AD40" s="23" t="n">
        <f aca="false">IFERROR(INDEX(PODACI_PRODAJA!M:M,MATCH($A40,PODACI_PRODAJA!$A:$A,0)),0)</f>
        <v>0</v>
      </c>
    </row>
    <row r="41" customFormat="false" ht="15" hidden="false" customHeight="false" outlineLevel="0" collapsed="false">
      <c r="A41" s="11" t="str">
        <f aca="false">PODACI_ZALIHE!A38</f>
        <v>17176</v>
      </c>
      <c r="B41" s="8" t="str">
        <f aca="false">PODACI_ZALIHE!B38</f>
        <v>NERO DRŽAČ ZA DVA RUČNIKA 61 cm - CRNI</v>
      </c>
      <c r="C41" s="9" t="str">
        <f aca="false">PODACI_ZALIHE!C38</f>
        <v>6458</v>
      </c>
      <c r="D41" s="8" t="str">
        <f aca="false">PODACI_ZALIHE!D38</f>
        <v>BOJIA TRADING LIMITED</v>
      </c>
      <c r="E41" s="19" t="n">
        <f aca="false">IF(PODACI_ZALIHE!E38="","",PODACI_ZALIHE!E38)</f>
        <v>202</v>
      </c>
      <c r="F41" s="20" t="n">
        <f aca="false">PODACI_ZALIHE!F38</f>
        <v>202</v>
      </c>
      <c r="G41" s="19" t="n">
        <f aca="false">IF(E41="","",E41-F41)</f>
        <v>0</v>
      </c>
      <c r="H41" s="9" t="n">
        <f aca="false">PODACI_PRODAJA!N263</f>
        <v>0.5</v>
      </c>
      <c r="I41" s="21" t="n">
        <f aca="false">IF(H41&lt;=0,999,ROUND(F41/H41,1))</f>
        <v>404</v>
      </c>
      <c r="J41" s="9" t="n">
        <f aca="false">SUMIFS(ROBA_U_DOLASKU!$C$6:$C$95,ROBA_U_DOLASKU!$A$6:$A$95,A41,ROBA_U_DOLASKU!$H$6:$H$95,1)</f>
        <v>0</v>
      </c>
      <c r="K41" s="9" t="n">
        <f aca="false">SUMIFS(ROBA_U_DOLASKU!$B$6:$B$95,ROBA_U_DOLASKU!$A$6:$A$95,A41,ROBA_U_DOLASKU!$H$6:$H$95,1)</f>
        <v>0</v>
      </c>
      <c r="L41" s="9" t="n">
        <f aca="false">SUMIFS(ROBA_U_DOLASKU!$C$6:$C$95,ROBA_U_DOLASKU!$A$6:$A$95,A41,ROBA_U_DOLASKU!$H$6:$H$95,2)</f>
        <v>0</v>
      </c>
      <c r="M41" s="9" t="n">
        <f aca="false">SUMIFS(ROBA_U_DOLASKU!$B$6:$B$95,ROBA_U_DOLASKU!$A$6:$A$95,A41,ROBA_U_DOLASKU!$H$6:$H$95,2)</f>
        <v>0</v>
      </c>
      <c r="N41" s="9" t="n">
        <f aca="false">SUMIFS(ROBA_U_DOLASKU!$C$6:$C$95,ROBA_U_DOLASKU!$A$6:$A$95,A41,ROBA_U_DOLASKU!$H$6:$H$95,3)</f>
        <v>0</v>
      </c>
      <c r="O41" s="9" t="n">
        <f aca="false">SUMIFS(ROBA_U_DOLASKU!$B$6:$B$95,ROBA_U_DOLASKU!$A$6:$A$95,A41,ROBA_U_DOLASKU!$H$6:$H$95,3)</f>
        <v>0</v>
      </c>
      <c r="P41" s="9" t="n">
        <f aca="false">IF(H41&lt;=0,999,IF(O41&gt;0,ROUND((F41-H41*N41+K41+M41+O41)/H41,1),IF(M41&gt;0,ROUND((F41-H41*L41+K41+M41)/H41,1),IF(K41&gt;0,ROUND((F41-H41*J41+K41)/H41,1),I41))))</f>
        <v>404</v>
      </c>
      <c r="Q41" s="22" t="str">
        <f aca="false">IF(H41&lt;=0,"Nema prodaje",IF(AND(K41=0,M41=0,O41=0),IF(I41&lt;POSTAVKE!$B$6,"Naruči odmah","Sve u redu"),IF(F41-H41*J41&lt;0,"Rupa za ~"&amp;TEXT(I41,"0.0")&amp;" mj.",IF(AND(M41&gt;0,F41-H41*L41+K41&lt;0),"Rupa nakon 1. dolaska",IF(AND(O41&gt;0,F41-H41*N41+K41+M41&lt;0),"Rupa nakon 2. dolaska",IF(P41&lt;POSTAVKE!$B$6,"Količina nije dovoljna",IF(I41&gt;=POSTAVKE!$B$6,"Sve u redu","Stiže na vrijeme")))))))</f>
        <v>Sve u redu</v>
      </c>
      <c r="S41" s="23" t="n">
        <f aca="false">IFERROR(INDEX(PODACI_PRODAJA!B:B,MATCH($A41,PODACI_PRODAJA!$A:$A,0)),0)</f>
        <v>1</v>
      </c>
      <c r="T41" s="23" t="n">
        <f aca="false">IFERROR(INDEX(PODACI_PRODAJA!C:C,MATCH($A41,PODACI_PRODAJA!$A:$A,0)),0)</f>
        <v>0</v>
      </c>
      <c r="U41" s="23" t="n">
        <f aca="false">IFERROR(INDEX(PODACI_PRODAJA!D:D,MATCH($A41,PODACI_PRODAJA!$A:$A,0)),0)</f>
        <v>0</v>
      </c>
      <c r="V41" s="23" t="n">
        <f aca="false">IFERROR(INDEX(PODACI_PRODAJA!E:E,MATCH($A41,PODACI_PRODAJA!$A:$A,0)),0)</f>
        <v>3</v>
      </c>
      <c r="W41" s="23" t="n">
        <f aca="false">IFERROR(INDEX(PODACI_PRODAJA!F:F,MATCH($A41,PODACI_PRODAJA!$A:$A,0)),0)</f>
        <v>0</v>
      </c>
      <c r="X41" s="23" t="n">
        <f aca="false">IFERROR(INDEX(PODACI_PRODAJA!G:G,MATCH($A41,PODACI_PRODAJA!$A:$A,0)),0)</f>
        <v>0</v>
      </c>
      <c r="Y41" s="23" t="n">
        <f aca="false">IFERROR(INDEX(PODACI_PRODAJA!H:H,MATCH($A41,PODACI_PRODAJA!$A:$A,0)),0)</f>
        <v>0</v>
      </c>
      <c r="Z41" s="23" t="n">
        <f aca="false">IFERROR(INDEX(PODACI_PRODAJA!I:I,MATCH($A41,PODACI_PRODAJA!$A:$A,0)),0)</f>
        <v>0</v>
      </c>
      <c r="AA41" s="23" t="n">
        <f aca="false">IFERROR(INDEX(PODACI_PRODAJA!J:J,MATCH($A41,PODACI_PRODAJA!$A:$A,0)),0)</f>
        <v>0</v>
      </c>
      <c r="AB41" s="23" t="n">
        <f aca="false">IFERROR(INDEX(PODACI_PRODAJA!K:K,MATCH($A41,PODACI_PRODAJA!$A:$A,0)),0)</f>
        <v>0</v>
      </c>
      <c r="AC41" s="23" t="n">
        <f aca="false">IFERROR(INDEX(PODACI_PRODAJA!L:L,MATCH($A41,PODACI_PRODAJA!$A:$A,0)),0)</f>
        <v>0</v>
      </c>
      <c r="AD41" s="23" t="n">
        <f aca="false">IFERROR(INDEX(PODACI_PRODAJA!M:M,MATCH($A41,PODACI_PRODAJA!$A:$A,0)),0)</f>
        <v>0</v>
      </c>
    </row>
    <row r="42" customFormat="false" ht="15" hidden="false" customHeight="false" outlineLevel="0" collapsed="false">
      <c r="A42" s="11" t="str">
        <f aca="false">PODACI_ZALIHE!A39</f>
        <v>18240</v>
      </c>
      <c r="B42" s="8" t="str">
        <f aca="false">PODACI_ZALIHE!B39</f>
        <v>GEA OGLEDALO D60 cm</v>
      </c>
      <c r="C42" s="9" t="str">
        <f aca="false">PODACI_ZALIHE!C39</f>
        <v>6032</v>
      </c>
      <c r="D42" s="8" t="str">
        <f aca="false">PODACI_ZALIHE!D39</f>
        <v>HANGZHOU ZIHAN MIRROR INDUSTRY CO., LTD.</v>
      </c>
      <c r="E42" s="19" t="n">
        <f aca="false">IF(PODACI_ZALIHE!E39="","",PODACI_ZALIHE!E39)</f>
        <v>200</v>
      </c>
      <c r="F42" s="20" t="n">
        <f aca="false">PODACI_ZALIHE!F39</f>
        <v>200</v>
      </c>
      <c r="G42" s="19" t="n">
        <f aca="false">IF(E42="","",E42-F42)</f>
        <v>0</v>
      </c>
      <c r="H42" s="9" t="n">
        <f aca="false">PODACI_PRODAJA!N17</f>
        <v>6.13</v>
      </c>
      <c r="I42" s="21" t="n">
        <f aca="false">IF(H42&lt;=0,999,ROUND(F42/H42,1))</f>
        <v>32.6</v>
      </c>
      <c r="J42" s="9" t="n">
        <f aca="false">SUMIFS(ROBA_U_DOLASKU!$C$6:$C$95,ROBA_U_DOLASKU!$A$6:$A$95,A42,ROBA_U_DOLASKU!$H$6:$H$95,1)</f>
        <v>0</v>
      </c>
      <c r="K42" s="9" t="n">
        <f aca="false">SUMIFS(ROBA_U_DOLASKU!$B$6:$B$95,ROBA_U_DOLASKU!$A$6:$A$95,A42,ROBA_U_DOLASKU!$H$6:$H$95,1)</f>
        <v>0</v>
      </c>
      <c r="L42" s="9" t="n">
        <f aca="false">SUMIFS(ROBA_U_DOLASKU!$C$6:$C$95,ROBA_U_DOLASKU!$A$6:$A$95,A42,ROBA_U_DOLASKU!$H$6:$H$95,2)</f>
        <v>0</v>
      </c>
      <c r="M42" s="9" t="n">
        <f aca="false">SUMIFS(ROBA_U_DOLASKU!$B$6:$B$95,ROBA_U_DOLASKU!$A$6:$A$95,A42,ROBA_U_DOLASKU!$H$6:$H$95,2)</f>
        <v>0</v>
      </c>
      <c r="N42" s="9" t="n">
        <f aca="false">SUMIFS(ROBA_U_DOLASKU!$C$6:$C$95,ROBA_U_DOLASKU!$A$6:$A$95,A42,ROBA_U_DOLASKU!$H$6:$H$95,3)</f>
        <v>0</v>
      </c>
      <c r="O42" s="9" t="n">
        <f aca="false">SUMIFS(ROBA_U_DOLASKU!$B$6:$B$95,ROBA_U_DOLASKU!$A$6:$A$95,A42,ROBA_U_DOLASKU!$H$6:$H$95,3)</f>
        <v>0</v>
      </c>
      <c r="P42" s="9" t="n">
        <f aca="false">IF(H42&lt;=0,999,IF(O42&gt;0,ROUND((F42-H42*N42+K42+M42+O42)/H42,1),IF(M42&gt;0,ROUND((F42-H42*L42+K42+M42)/H42,1),IF(K42&gt;0,ROUND((F42-H42*J42+K42)/H42,1),I42))))</f>
        <v>32.6</v>
      </c>
      <c r="Q42" s="22" t="str">
        <f aca="false">IF(H42&lt;=0,"Nema prodaje",IF(AND(K42=0,M42=0,O42=0),IF(I42&lt;POSTAVKE!$B$6,"Naruči odmah","Sve u redu"),IF(F42-H42*J42&lt;0,"Rupa za ~"&amp;TEXT(I42,"0.0")&amp;" mj.",IF(AND(M42&gt;0,F42-H42*L42+K42&lt;0),"Rupa nakon 1. dolaska",IF(AND(O42&gt;0,F42-H42*N42+K42+M42&lt;0),"Rupa nakon 2. dolaska",IF(P42&lt;POSTAVKE!$B$6,"Količina nije dovoljna",IF(I42&gt;=POSTAVKE!$B$6,"Sve u redu","Stiže na vrijeme")))))))</f>
        <v>Sve u redu</v>
      </c>
      <c r="S42" s="23" t="n">
        <f aca="false">IFERROR(INDEX(PODACI_PRODAJA!B:B,MATCH($A42,PODACI_PRODAJA!$A:$A,0)),0)</f>
        <v>49</v>
      </c>
      <c r="T42" s="23" t="n">
        <f aca="false">IFERROR(INDEX(PODACI_PRODAJA!C:C,MATCH($A42,PODACI_PRODAJA!$A:$A,0)),0)</f>
        <v>0</v>
      </c>
      <c r="U42" s="23" t="n">
        <f aca="false">IFERROR(INDEX(PODACI_PRODAJA!D:D,MATCH($A42,PODACI_PRODAJA!$A:$A,0)),0)</f>
        <v>0</v>
      </c>
      <c r="V42" s="23" t="n">
        <f aca="false">IFERROR(INDEX(PODACI_PRODAJA!E:E,MATCH($A42,PODACI_PRODAJA!$A:$A,0)),0)</f>
        <v>0</v>
      </c>
      <c r="W42" s="23" t="n">
        <f aca="false">IFERROR(INDEX(PODACI_PRODAJA!F:F,MATCH($A42,PODACI_PRODAJA!$A:$A,0)),0)</f>
        <v>0</v>
      </c>
      <c r="X42" s="23" t="n">
        <f aca="false">IFERROR(INDEX(PODACI_PRODAJA!G:G,MATCH($A42,PODACI_PRODAJA!$A:$A,0)),0)</f>
        <v>0</v>
      </c>
      <c r="Y42" s="23" t="n">
        <f aca="false">IFERROR(INDEX(PODACI_PRODAJA!H:H,MATCH($A42,PODACI_PRODAJA!$A:$A,0)),0)</f>
        <v>0</v>
      </c>
      <c r="Z42" s="23" t="n">
        <f aca="false">IFERROR(INDEX(PODACI_PRODAJA!I:I,MATCH($A42,PODACI_PRODAJA!$A:$A,0)),0)</f>
        <v>0</v>
      </c>
      <c r="AA42" s="23" t="n">
        <f aca="false">IFERROR(INDEX(PODACI_PRODAJA!J:J,MATCH($A42,PODACI_PRODAJA!$A:$A,0)),0)</f>
        <v>0</v>
      </c>
      <c r="AB42" s="23" t="n">
        <f aca="false">IFERROR(INDEX(PODACI_PRODAJA!K:K,MATCH($A42,PODACI_PRODAJA!$A:$A,0)),0)</f>
        <v>0</v>
      </c>
      <c r="AC42" s="23" t="n">
        <f aca="false">IFERROR(INDEX(PODACI_PRODAJA!L:L,MATCH($A42,PODACI_PRODAJA!$A:$A,0)),0)</f>
        <v>0</v>
      </c>
      <c r="AD42" s="23" t="n">
        <f aca="false">IFERROR(INDEX(PODACI_PRODAJA!M:M,MATCH($A42,PODACI_PRODAJA!$A:$A,0)),0)</f>
        <v>0</v>
      </c>
    </row>
    <row r="43" customFormat="false" ht="15" hidden="false" customHeight="false" outlineLevel="0" collapsed="false">
      <c r="A43" s="11" t="str">
        <f aca="false">PODACI_ZALIHE!A40</f>
        <v>16936</v>
      </c>
      <c r="B43" s="8" t="str">
        <f aca="false">PODACI_ZALIHE!B40</f>
        <v>ZOYA GOLD OGLEDALO R 80 cm</v>
      </c>
      <c r="C43" s="9" t="str">
        <f aca="false">PODACI_ZALIHE!C40</f>
        <v>6032</v>
      </c>
      <c r="D43" s="8" t="str">
        <f aca="false">PODACI_ZALIHE!D40</f>
        <v>HANGZHOU ZIHAN MIRROR INDUSTRY CO., LTD.</v>
      </c>
      <c r="E43" s="19" t="n">
        <f aca="false">IF(PODACI_ZALIHE!E40="","",PODACI_ZALIHE!E40)</f>
        <v>200</v>
      </c>
      <c r="F43" s="20" t="n">
        <f aca="false">PODACI_ZALIHE!F40</f>
        <v>196</v>
      </c>
      <c r="G43" s="19" t="n">
        <f aca="false">IF(E43="","",E43-F43)</f>
        <v>4</v>
      </c>
      <c r="H43" s="9" t="n">
        <f aca="false">PODACI_PRODAJA!N107</f>
        <v>12.13</v>
      </c>
      <c r="I43" s="21" t="n">
        <f aca="false">IF(H43&lt;=0,999,ROUND(F43/H43,1))</f>
        <v>16.2</v>
      </c>
      <c r="J43" s="9" t="n">
        <f aca="false">SUMIFS(ROBA_U_DOLASKU!$C$6:$C$95,ROBA_U_DOLASKU!$A$6:$A$95,A43,ROBA_U_DOLASKU!$H$6:$H$95,1)</f>
        <v>0</v>
      </c>
      <c r="K43" s="9" t="n">
        <f aca="false">SUMIFS(ROBA_U_DOLASKU!$B$6:$B$95,ROBA_U_DOLASKU!$A$6:$A$95,A43,ROBA_U_DOLASKU!$H$6:$H$95,1)</f>
        <v>0</v>
      </c>
      <c r="L43" s="9" t="n">
        <f aca="false">SUMIFS(ROBA_U_DOLASKU!$C$6:$C$95,ROBA_U_DOLASKU!$A$6:$A$95,A43,ROBA_U_DOLASKU!$H$6:$H$95,2)</f>
        <v>0</v>
      </c>
      <c r="M43" s="9" t="n">
        <f aca="false">SUMIFS(ROBA_U_DOLASKU!$B$6:$B$95,ROBA_U_DOLASKU!$A$6:$A$95,A43,ROBA_U_DOLASKU!$H$6:$H$95,2)</f>
        <v>0</v>
      </c>
      <c r="N43" s="9" t="n">
        <f aca="false">SUMIFS(ROBA_U_DOLASKU!$C$6:$C$95,ROBA_U_DOLASKU!$A$6:$A$95,A43,ROBA_U_DOLASKU!$H$6:$H$95,3)</f>
        <v>0</v>
      </c>
      <c r="O43" s="9" t="n">
        <f aca="false">SUMIFS(ROBA_U_DOLASKU!$B$6:$B$95,ROBA_U_DOLASKU!$A$6:$A$95,A43,ROBA_U_DOLASKU!$H$6:$H$95,3)</f>
        <v>0</v>
      </c>
      <c r="P43" s="9" t="n">
        <f aca="false">IF(H43&lt;=0,999,IF(O43&gt;0,ROUND((F43-H43*N43+K43+M43+O43)/H43,1),IF(M43&gt;0,ROUND((F43-H43*L43+K43+M43)/H43,1),IF(K43&gt;0,ROUND((F43-H43*J43+K43)/H43,1),I43))))</f>
        <v>16.2</v>
      </c>
      <c r="Q43" s="22" t="str">
        <f aca="false">IF(H43&lt;=0,"Nema prodaje",IF(AND(K43=0,M43=0,O43=0),IF(I43&lt;POSTAVKE!$B$6,"Naruči odmah","Sve u redu"),IF(F43-H43*J43&lt;0,"Rupa za ~"&amp;TEXT(I43,"0.0")&amp;" mj.",IF(AND(M43&gt;0,F43-H43*L43+K43&lt;0),"Rupa nakon 1. dolaska",IF(AND(O43&gt;0,F43-H43*N43+K43+M43&lt;0),"Rupa nakon 2. dolaska",IF(P43&lt;POSTAVKE!$B$6,"Količina nije dovoljna",IF(I43&gt;=POSTAVKE!$B$6,"Sve u redu","Stiže na vrijeme")))))))</f>
        <v>Sve u redu</v>
      </c>
      <c r="S43" s="23" t="n">
        <f aca="false">IFERROR(INDEX(PODACI_PRODAJA!B:B,MATCH($A43,PODACI_PRODAJA!$A:$A,0)),0)</f>
        <v>6</v>
      </c>
      <c r="T43" s="23" t="n">
        <f aca="false">IFERROR(INDEX(PODACI_PRODAJA!C:C,MATCH($A43,PODACI_PRODAJA!$A:$A,0)),0)</f>
        <v>18</v>
      </c>
      <c r="U43" s="23" t="n">
        <f aca="false">IFERROR(INDEX(PODACI_PRODAJA!D:D,MATCH($A43,PODACI_PRODAJA!$A:$A,0)),0)</f>
        <v>24</v>
      </c>
      <c r="V43" s="23" t="n">
        <f aca="false">IFERROR(INDEX(PODACI_PRODAJA!E:E,MATCH($A43,PODACI_PRODAJA!$A:$A,0)),0)</f>
        <v>13</v>
      </c>
      <c r="W43" s="23" t="n">
        <f aca="false">IFERROR(INDEX(PODACI_PRODAJA!F:F,MATCH($A43,PODACI_PRODAJA!$A:$A,0)),0)</f>
        <v>14</v>
      </c>
      <c r="X43" s="23" t="n">
        <f aca="false">IFERROR(INDEX(PODACI_PRODAJA!G:G,MATCH($A43,PODACI_PRODAJA!$A:$A,0)),0)</f>
        <v>4</v>
      </c>
      <c r="Y43" s="23" t="n">
        <f aca="false">IFERROR(INDEX(PODACI_PRODAJA!H:H,MATCH($A43,PODACI_PRODAJA!$A:$A,0)),0)</f>
        <v>5</v>
      </c>
      <c r="Z43" s="23" t="n">
        <f aca="false">IFERROR(INDEX(PODACI_PRODAJA!I:I,MATCH($A43,PODACI_PRODAJA!$A:$A,0)),0)</f>
        <v>13</v>
      </c>
      <c r="AA43" s="23" t="n">
        <f aca="false">IFERROR(INDEX(PODACI_PRODAJA!J:J,MATCH($A43,PODACI_PRODAJA!$A:$A,0)),0)</f>
        <v>2</v>
      </c>
      <c r="AB43" s="23" t="n">
        <f aca="false">IFERROR(INDEX(PODACI_PRODAJA!K:K,MATCH($A43,PODACI_PRODAJA!$A:$A,0)),0)</f>
        <v>0</v>
      </c>
      <c r="AC43" s="23" t="n">
        <f aca="false">IFERROR(INDEX(PODACI_PRODAJA!L:L,MATCH($A43,PODACI_PRODAJA!$A:$A,0)),0)</f>
        <v>0</v>
      </c>
      <c r="AD43" s="23" t="n">
        <f aca="false">IFERROR(INDEX(PODACI_PRODAJA!M:M,MATCH($A43,PODACI_PRODAJA!$A:$A,0)),0)</f>
        <v>0</v>
      </c>
    </row>
    <row r="44" customFormat="false" ht="15" hidden="false" customHeight="false" outlineLevel="0" collapsed="false">
      <c r="A44" s="11" t="str">
        <f aca="false">PODACI_ZALIHE!A41</f>
        <v>046201</v>
      </c>
      <c r="B44" s="8" t="str">
        <f aca="false">PODACI_ZALIHE!B41</f>
        <v>ZELENA OBLOGA ZA ZID VERDE GARDEN</v>
      </c>
      <c r="C44" s="9" t="str">
        <f aca="false">PODACI_ZALIHE!C41</f>
        <v>6931</v>
      </c>
      <c r="D44" s="8" t="str">
        <f aca="false">PODACI_ZALIHE!D41</f>
        <v>INTCO INTERNATIONAL (HK) CO., LIMITED</v>
      </c>
      <c r="E44" s="19" t="n">
        <f aca="false">IF(PODACI_ZALIHE!E41="","",PODACI_ZALIHE!E41)</f>
        <v>195</v>
      </c>
      <c r="F44" s="20" t="n">
        <f aca="false">PODACI_ZALIHE!F41</f>
        <v>195</v>
      </c>
      <c r="G44" s="19" t="n">
        <f aca="false">IF(E44="","",E44-F44)</f>
        <v>0</v>
      </c>
      <c r="H44" s="9" t="n">
        <f aca="false">PODACI_PRODAJA!N438</f>
        <v>1.63</v>
      </c>
      <c r="I44" s="21" t="n">
        <f aca="false">IF(H44&lt;=0,999,ROUND(F44/H44,1))</f>
        <v>119.6</v>
      </c>
      <c r="J44" s="9" t="n">
        <f aca="false">SUMIFS(ROBA_U_DOLASKU!$C$6:$C$95,ROBA_U_DOLASKU!$A$6:$A$95,A44,ROBA_U_DOLASKU!$H$6:$H$95,1)</f>
        <v>0</v>
      </c>
      <c r="K44" s="9" t="n">
        <f aca="false">SUMIFS(ROBA_U_DOLASKU!$B$6:$B$95,ROBA_U_DOLASKU!$A$6:$A$95,A44,ROBA_U_DOLASKU!$H$6:$H$95,1)</f>
        <v>0</v>
      </c>
      <c r="L44" s="9" t="n">
        <f aca="false">SUMIFS(ROBA_U_DOLASKU!$C$6:$C$95,ROBA_U_DOLASKU!$A$6:$A$95,A44,ROBA_U_DOLASKU!$H$6:$H$95,2)</f>
        <v>0</v>
      </c>
      <c r="M44" s="9" t="n">
        <f aca="false">SUMIFS(ROBA_U_DOLASKU!$B$6:$B$95,ROBA_U_DOLASKU!$A$6:$A$95,A44,ROBA_U_DOLASKU!$H$6:$H$95,2)</f>
        <v>0</v>
      </c>
      <c r="N44" s="9" t="n">
        <f aca="false">SUMIFS(ROBA_U_DOLASKU!$C$6:$C$95,ROBA_U_DOLASKU!$A$6:$A$95,A44,ROBA_U_DOLASKU!$H$6:$H$95,3)</f>
        <v>0</v>
      </c>
      <c r="O44" s="9" t="n">
        <f aca="false">SUMIFS(ROBA_U_DOLASKU!$B$6:$B$95,ROBA_U_DOLASKU!$A$6:$A$95,A44,ROBA_U_DOLASKU!$H$6:$H$95,3)</f>
        <v>0</v>
      </c>
      <c r="P44" s="9" t="n">
        <f aca="false">IF(H44&lt;=0,999,IF(O44&gt;0,ROUND((F44-H44*N44+K44+M44+O44)/H44,1),IF(M44&gt;0,ROUND((F44-H44*L44+K44+M44)/H44,1),IF(K44&gt;0,ROUND((F44-H44*J44+K44)/H44,1),I44))))</f>
        <v>119.6</v>
      </c>
      <c r="Q44" s="22" t="str">
        <f aca="false">IF(H44&lt;=0,"Nema prodaje",IF(AND(K44=0,M44=0,O44=0),IF(I44&lt;POSTAVKE!$B$6,"Naruči odmah","Sve u redu"),IF(F44-H44*J44&lt;0,"Rupa za ~"&amp;TEXT(I44,"0.0")&amp;" mj.",IF(AND(M44&gt;0,F44-H44*L44+K44&lt;0),"Rupa nakon 1. dolaska",IF(AND(O44&gt;0,F44-H44*N44+K44+M44&lt;0),"Rupa nakon 2. dolaska",IF(P44&lt;POSTAVKE!$B$6,"Količina nije dovoljna",IF(I44&gt;=POSTAVKE!$B$6,"Sve u redu","Stiže na vrijeme")))))))</f>
        <v>Sve u redu</v>
      </c>
      <c r="S44" s="23" t="n">
        <f aca="false">IFERROR(INDEX(PODACI_PRODAJA!B:B,MATCH($A44,PODACI_PRODAJA!$A:$A,0)),0)</f>
        <v>0</v>
      </c>
      <c r="T44" s="23" t="n">
        <f aca="false">IFERROR(INDEX(PODACI_PRODAJA!C:C,MATCH($A44,PODACI_PRODAJA!$A:$A,0)),0)</f>
        <v>0</v>
      </c>
      <c r="U44" s="23" t="n">
        <f aca="false">IFERROR(INDEX(PODACI_PRODAJA!D:D,MATCH($A44,PODACI_PRODAJA!$A:$A,0)),0)</f>
        <v>0</v>
      </c>
      <c r="V44" s="23" t="n">
        <f aca="false">IFERROR(INDEX(PODACI_PRODAJA!E:E,MATCH($A44,PODACI_PRODAJA!$A:$A,0)),0)</f>
        <v>0</v>
      </c>
      <c r="W44" s="23" t="n">
        <f aca="false">IFERROR(INDEX(PODACI_PRODAJA!F:F,MATCH($A44,PODACI_PRODAJA!$A:$A,0)),0)</f>
        <v>0</v>
      </c>
      <c r="X44" s="23" t="n">
        <f aca="false">IFERROR(INDEX(PODACI_PRODAJA!G:G,MATCH($A44,PODACI_PRODAJA!$A:$A,0)),0)</f>
        <v>0</v>
      </c>
      <c r="Y44" s="23" t="n">
        <f aca="false">IFERROR(INDEX(PODACI_PRODAJA!H:H,MATCH($A44,PODACI_PRODAJA!$A:$A,0)),0)</f>
        <v>13</v>
      </c>
      <c r="Z44" s="23" t="n">
        <f aca="false">IFERROR(INDEX(PODACI_PRODAJA!I:I,MATCH($A44,PODACI_PRODAJA!$A:$A,0)),0)</f>
        <v>0</v>
      </c>
      <c r="AA44" s="23" t="n">
        <f aca="false">IFERROR(INDEX(PODACI_PRODAJA!J:J,MATCH($A44,PODACI_PRODAJA!$A:$A,0)),0)</f>
        <v>0</v>
      </c>
      <c r="AB44" s="23" t="n">
        <f aca="false">IFERROR(INDEX(PODACI_PRODAJA!K:K,MATCH($A44,PODACI_PRODAJA!$A:$A,0)),0)</f>
        <v>0</v>
      </c>
      <c r="AC44" s="23" t="n">
        <f aca="false">IFERROR(INDEX(PODACI_PRODAJA!L:L,MATCH($A44,PODACI_PRODAJA!$A:$A,0)),0)</f>
        <v>0</v>
      </c>
      <c r="AD44" s="23" t="n">
        <f aca="false">IFERROR(INDEX(PODACI_PRODAJA!M:M,MATCH($A44,PODACI_PRODAJA!$A:$A,0)),0)</f>
        <v>0</v>
      </c>
    </row>
    <row r="45" customFormat="false" ht="15" hidden="false" customHeight="false" outlineLevel="0" collapsed="false">
      <c r="A45" s="11" t="str">
        <f aca="false">PODACI_ZALIHE!A42</f>
        <v>00835</v>
      </c>
      <c r="B45" s="8" t="str">
        <f aca="false">PODACI_ZALIHE!B42</f>
        <v>GL11427 SIFON ZA TUŠ KADU CLICK MESING</v>
      </c>
      <c r="C45" s="9" t="str">
        <f aca="false">PODACI_ZALIHE!C42</f>
        <v>3291</v>
      </c>
      <c r="D45" s="8" t="str">
        <f aca="false">PODACI_ZALIHE!D42</f>
        <v>TEHNOEXPORT D.O.O.</v>
      </c>
      <c r="E45" s="19" t="n">
        <f aca="false">IF(PODACI_ZALIHE!E42="","",PODACI_ZALIHE!E42)</f>
        <v>237</v>
      </c>
      <c r="F45" s="20" t="n">
        <f aca="false">PODACI_ZALIHE!F42</f>
        <v>190</v>
      </c>
      <c r="G45" s="19" t="n">
        <f aca="false">IF(E45="","",E45-F45)</f>
        <v>47</v>
      </c>
      <c r="H45" s="9" t="n">
        <f aca="false">PODACI_PRODAJA!N3</f>
        <v>109.5</v>
      </c>
      <c r="I45" s="21" t="n">
        <f aca="false">IF(H45&lt;=0,999,ROUND(F45/H45,1))</f>
        <v>1.7</v>
      </c>
      <c r="J45" s="9" t="n">
        <f aca="false">SUMIFS(ROBA_U_DOLASKU!$C$6:$C$95,ROBA_U_DOLASKU!$A$6:$A$95,A45,ROBA_U_DOLASKU!$H$6:$H$95,1)</f>
        <v>0</v>
      </c>
      <c r="K45" s="9" t="n">
        <f aca="false">SUMIFS(ROBA_U_DOLASKU!$B$6:$B$95,ROBA_U_DOLASKU!$A$6:$A$95,A45,ROBA_U_DOLASKU!$H$6:$H$95,1)</f>
        <v>0</v>
      </c>
      <c r="L45" s="9" t="n">
        <f aca="false">SUMIFS(ROBA_U_DOLASKU!$C$6:$C$95,ROBA_U_DOLASKU!$A$6:$A$95,A45,ROBA_U_DOLASKU!$H$6:$H$95,2)</f>
        <v>0</v>
      </c>
      <c r="M45" s="9" t="n">
        <f aca="false">SUMIFS(ROBA_U_DOLASKU!$B$6:$B$95,ROBA_U_DOLASKU!$A$6:$A$95,A45,ROBA_U_DOLASKU!$H$6:$H$95,2)</f>
        <v>0</v>
      </c>
      <c r="N45" s="9" t="n">
        <f aca="false">SUMIFS(ROBA_U_DOLASKU!$C$6:$C$95,ROBA_U_DOLASKU!$A$6:$A$95,A45,ROBA_U_DOLASKU!$H$6:$H$95,3)</f>
        <v>0</v>
      </c>
      <c r="O45" s="9" t="n">
        <f aca="false">SUMIFS(ROBA_U_DOLASKU!$B$6:$B$95,ROBA_U_DOLASKU!$A$6:$A$95,A45,ROBA_U_DOLASKU!$H$6:$H$95,3)</f>
        <v>0</v>
      </c>
      <c r="P45" s="9" t="n">
        <f aca="false">IF(H45&lt;=0,999,IF(O45&gt;0,ROUND((F45-H45*N45+K45+M45+O45)/H45,1),IF(M45&gt;0,ROUND((F45-H45*L45+K45+M45)/H45,1),IF(K45&gt;0,ROUND((F45-H45*J45+K45)/H45,1),I45))))</f>
        <v>1.7</v>
      </c>
      <c r="Q45" s="22" t="str">
        <f aca="false">IF(H45&lt;=0,"Nema prodaje",IF(AND(K45=0,M45=0,O45=0),IF(I45&lt;POSTAVKE!$B$6,"Naruči odmah","Sve u redu"),IF(F45-H45*J45&lt;0,"Rupa za ~"&amp;TEXT(I45,"0.0")&amp;" mj.",IF(AND(M45&gt;0,F45-H45*L45+K45&lt;0),"Rupa nakon 1. dolaska",IF(AND(O45&gt;0,F45-H45*N45+K45+M45&lt;0),"Rupa nakon 2. dolaska",IF(P45&lt;POSTAVKE!$B$6,"Količina nije dovoljna",IF(I45&gt;=POSTAVKE!$B$6,"Sve u redu","Stiže na vrijeme")))))))</f>
        <v>Naruči odmah</v>
      </c>
      <c r="S45" s="23" t="n">
        <f aca="false">IFERROR(INDEX(PODACI_PRODAJA!B:B,MATCH($A45,PODACI_PRODAJA!$A:$A,0)),0)</f>
        <v>134</v>
      </c>
      <c r="T45" s="23" t="n">
        <f aca="false">IFERROR(INDEX(PODACI_PRODAJA!C:C,MATCH($A45,PODACI_PRODAJA!$A:$A,0)),0)</f>
        <v>73</v>
      </c>
      <c r="U45" s="23" t="n">
        <f aca="false">IFERROR(INDEX(PODACI_PRODAJA!D:D,MATCH($A45,PODACI_PRODAJA!$A:$A,0)),0)</f>
        <v>121</v>
      </c>
      <c r="V45" s="23" t="n">
        <f aca="false">IFERROR(INDEX(PODACI_PRODAJA!E:E,MATCH($A45,PODACI_PRODAJA!$A:$A,0)),0)</f>
        <v>121</v>
      </c>
      <c r="W45" s="23" t="n">
        <f aca="false">IFERROR(INDEX(PODACI_PRODAJA!F:F,MATCH($A45,PODACI_PRODAJA!$A:$A,0)),0)</f>
        <v>77</v>
      </c>
      <c r="X45" s="23" t="n">
        <f aca="false">IFERROR(INDEX(PODACI_PRODAJA!G:G,MATCH($A45,PODACI_PRODAJA!$A:$A,0)),0)</f>
        <v>108</v>
      </c>
      <c r="Y45" s="23" t="n">
        <f aca="false">IFERROR(INDEX(PODACI_PRODAJA!H:H,MATCH($A45,PODACI_PRODAJA!$A:$A,0)),0)</f>
        <v>145</v>
      </c>
      <c r="Z45" s="23" t="n">
        <f aca="false">IFERROR(INDEX(PODACI_PRODAJA!I:I,MATCH($A45,PODACI_PRODAJA!$A:$A,0)),0)</f>
        <v>97</v>
      </c>
      <c r="AA45" s="23" t="n">
        <f aca="false">IFERROR(INDEX(PODACI_PRODAJA!J:J,MATCH($A45,PODACI_PRODAJA!$A:$A,0)),0)</f>
        <v>47</v>
      </c>
      <c r="AB45" s="23" t="n">
        <f aca="false">IFERROR(INDEX(PODACI_PRODAJA!K:K,MATCH($A45,PODACI_PRODAJA!$A:$A,0)),0)</f>
        <v>0</v>
      </c>
      <c r="AC45" s="23" t="n">
        <f aca="false">IFERROR(INDEX(PODACI_PRODAJA!L:L,MATCH($A45,PODACI_PRODAJA!$A:$A,0)),0)</f>
        <v>0</v>
      </c>
      <c r="AD45" s="23" t="n">
        <f aca="false">IFERROR(INDEX(PODACI_PRODAJA!M:M,MATCH($A45,PODACI_PRODAJA!$A:$A,0)),0)</f>
        <v>0</v>
      </c>
    </row>
    <row r="46" customFormat="false" ht="15" hidden="false" customHeight="false" outlineLevel="0" collapsed="false">
      <c r="A46" s="11" t="str">
        <f aca="false">PODACI_ZALIHE!A43</f>
        <v>088940</v>
      </c>
      <c r="B46" s="8" t="str">
        <f aca="false">PODACI_ZALIHE!B43</f>
        <v>PILETA UNIVERZALNA BIJELA 5/4</v>
      </c>
      <c r="C46" s="9" t="n">
        <f aca="false">PODACI_ZALIHE!C43</f>
        <v>0</v>
      </c>
      <c r="D46" s="8" t="n">
        <f aca="false">PODACI_ZALIHE!D43</f>
        <v>0</v>
      </c>
      <c r="E46" s="19" t="n">
        <f aca="false">IF(PODACI_ZALIHE!E43="","",PODACI_ZALIHE!E43)</f>
        <v>189</v>
      </c>
      <c r="F46" s="20" t="n">
        <f aca="false">PODACI_ZALIHE!F43</f>
        <v>188</v>
      </c>
      <c r="G46" s="19" t="n">
        <f aca="false">IF(E46="","",E46-F46)</f>
        <v>1</v>
      </c>
      <c r="H46" s="9" t="n">
        <f aca="false">PODACI_PRODAJA!N447</f>
        <v>14.75</v>
      </c>
      <c r="I46" s="21" t="n">
        <f aca="false">IF(H46&lt;=0,999,ROUND(F46/H46,1))</f>
        <v>12.7</v>
      </c>
      <c r="J46" s="9" t="n">
        <f aca="false">SUMIFS(ROBA_U_DOLASKU!$C$6:$C$95,ROBA_U_DOLASKU!$A$6:$A$95,A46,ROBA_U_DOLASKU!$H$6:$H$95,1)</f>
        <v>0</v>
      </c>
      <c r="K46" s="9" t="n">
        <f aca="false">SUMIFS(ROBA_U_DOLASKU!$B$6:$B$95,ROBA_U_DOLASKU!$A$6:$A$95,A46,ROBA_U_DOLASKU!$H$6:$H$95,1)</f>
        <v>0</v>
      </c>
      <c r="L46" s="9" t="n">
        <f aca="false">SUMIFS(ROBA_U_DOLASKU!$C$6:$C$95,ROBA_U_DOLASKU!$A$6:$A$95,A46,ROBA_U_DOLASKU!$H$6:$H$95,2)</f>
        <v>0</v>
      </c>
      <c r="M46" s="9" t="n">
        <f aca="false">SUMIFS(ROBA_U_DOLASKU!$B$6:$B$95,ROBA_U_DOLASKU!$A$6:$A$95,A46,ROBA_U_DOLASKU!$H$6:$H$95,2)</f>
        <v>0</v>
      </c>
      <c r="N46" s="9" t="n">
        <f aca="false">SUMIFS(ROBA_U_DOLASKU!$C$6:$C$95,ROBA_U_DOLASKU!$A$6:$A$95,A46,ROBA_U_DOLASKU!$H$6:$H$95,3)</f>
        <v>0</v>
      </c>
      <c r="O46" s="9" t="n">
        <f aca="false">SUMIFS(ROBA_U_DOLASKU!$B$6:$B$95,ROBA_U_DOLASKU!$A$6:$A$95,A46,ROBA_U_DOLASKU!$H$6:$H$95,3)</f>
        <v>0</v>
      </c>
      <c r="P46" s="9" t="n">
        <f aca="false">IF(H46&lt;=0,999,IF(O46&gt;0,ROUND((F46-H46*N46+K46+M46+O46)/H46,1),IF(M46&gt;0,ROUND((F46-H46*L46+K46+M46)/H46,1),IF(K46&gt;0,ROUND((F46-H46*J46+K46)/H46,1),I46))))</f>
        <v>12.7</v>
      </c>
      <c r="Q46" s="22" t="str">
        <f aca="false">IF(H46&lt;=0,"Nema prodaje",IF(AND(K46=0,M46=0,O46=0),IF(I46&lt;POSTAVKE!$B$6,"Naruči odmah","Sve u redu"),IF(F46-H46*J46&lt;0,"Rupa za ~"&amp;TEXT(I46,"0.0")&amp;" mj.",IF(AND(M46&gt;0,F46-H46*L46+K46&lt;0),"Rupa nakon 1. dolaska",IF(AND(O46&gt;0,F46-H46*N46+K46+M46&lt;0),"Rupa nakon 2. dolaska",IF(P46&lt;POSTAVKE!$B$6,"Količina nije dovoljna",IF(I46&gt;=POSTAVKE!$B$6,"Sve u redu","Stiže na vrijeme")))))))</f>
        <v>Sve u redu</v>
      </c>
      <c r="S46" s="23" t="n">
        <f aca="false">IFERROR(INDEX(PODACI_PRODAJA!B:B,MATCH($A46,PODACI_PRODAJA!$A:$A,0)),0)</f>
        <v>0</v>
      </c>
      <c r="T46" s="23" t="n">
        <f aca="false">IFERROR(INDEX(PODACI_PRODAJA!C:C,MATCH($A46,PODACI_PRODAJA!$A:$A,0)),0)</f>
        <v>5</v>
      </c>
      <c r="U46" s="23" t="n">
        <f aca="false">IFERROR(INDEX(PODACI_PRODAJA!D:D,MATCH($A46,PODACI_PRODAJA!$A:$A,0)),0)</f>
        <v>15</v>
      </c>
      <c r="V46" s="23" t="n">
        <f aca="false">IFERROR(INDEX(PODACI_PRODAJA!E:E,MATCH($A46,PODACI_PRODAJA!$A:$A,0)),0)</f>
        <v>17</v>
      </c>
      <c r="W46" s="23" t="n">
        <f aca="false">IFERROR(INDEX(PODACI_PRODAJA!F:F,MATCH($A46,PODACI_PRODAJA!$A:$A,0)),0)</f>
        <v>23</v>
      </c>
      <c r="X46" s="23" t="n">
        <f aca="false">IFERROR(INDEX(PODACI_PRODAJA!G:G,MATCH($A46,PODACI_PRODAJA!$A:$A,0)),0)</f>
        <v>11</v>
      </c>
      <c r="Y46" s="23" t="n">
        <f aca="false">IFERROR(INDEX(PODACI_PRODAJA!H:H,MATCH($A46,PODACI_PRODAJA!$A:$A,0)),0)</f>
        <v>23</v>
      </c>
      <c r="Z46" s="23" t="n">
        <f aca="false">IFERROR(INDEX(PODACI_PRODAJA!I:I,MATCH($A46,PODACI_PRODAJA!$A:$A,0)),0)</f>
        <v>24</v>
      </c>
      <c r="AA46" s="23" t="n">
        <f aca="false">IFERROR(INDEX(PODACI_PRODAJA!J:J,MATCH($A46,PODACI_PRODAJA!$A:$A,0)),0)</f>
        <v>1</v>
      </c>
      <c r="AB46" s="23" t="n">
        <f aca="false">IFERROR(INDEX(PODACI_PRODAJA!K:K,MATCH($A46,PODACI_PRODAJA!$A:$A,0)),0)</f>
        <v>0</v>
      </c>
      <c r="AC46" s="23" t="n">
        <f aca="false">IFERROR(INDEX(PODACI_PRODAJA!L:L,MATCH($A46,PODACI_PRODAJA!$A:$A,0)),0)</f>
        <v>0</v>
      </c>
      <c r="AD46" s="23" t="n">
        <f aca="false">IFERROR(INDEX(PODACI_PRODAJA!M:M,MATCH($A46,PODACI_PRODAJA!$A:$A,0)),0)</f>
        <v>0</v>
      </c>
    </row>
    <row r="47" customFormat="false" ht="15" hidden="false" customHeight="false" outlineLevel="0" collapsed="false">
      <c r="A47" s="11" t="str">
        <f aca="false">PODACI_ZALIHE!A44</f>
        <v>15010</v>
      </c>
      <c r="B47" s="8" t="str">
        <f aca="false">PODACI_ZALIHE!B44</f>
        <v>KUTNI PROFIL ZA PANELE 5 mm</v>
      </c>
      <c r="C47" s="9" t="n">
        <f aca="false">PODACI_ZALIHE!C44</f>
        <v>0</v>
      </c>
      <c r="D47" s="8" t="n">
        <f aca="false">PODACI_ZALIHE!D44</f>
        <v>0</v>
      </c>
      <c r="E47" s="19" t="n">
        <f aca="false">IF(PODACI_ZALIHE!E44="","",PODACI_ZALIHE!E44)</f>
        <v>187</v>
      </c>
      <c r="F47" s="20" t="n">
        <f aca="false">PODACI_ZALIHE!F44</f>
        <v>187</v>
      </c>
      <c r="G47" s="19" t="n">
        <f aca="false">IF(E47="","",E47-F47)</f>
        <v>0</v>
      </c>
      <c r="H47" s="9" t="n">
        <v>0</v>
      </c>
      <c r="I47" s="21" t="n">
        <f aca="false">IF(H47&lt;=0,999,ROUND(F47/H47,1))</f>
        <v>999</v>
      </c>
      <c r="J47" s="9" t="n">
        <f aca="false">SUMIFS(ROBA_U_DOLASKU!$C$6:$C$95,ROBA_U_DOLASKU!$A$6:$A$95,A47,ROBA_U_DOLASKU!$H$6:$H$95,1)</f>
        <v>0</v>
      </c>
      <c r="K47" s="9" t="n">
        <f aca="false">SUMIFS(ROBA_U_DOLASKU!$B$6:$B$95,ROBA_U_DOLASKU!$A$6:$A$95,A47,ROBA_U_DOLASKU!$H$6:$H$95,1)</f>
        <v>0</v>
      </c>
      <c r="L47" s="9" t="n">
        <f aca="false">SUMIFS(ROBA_U_DOLASKU!$C$6:$C$95,ROBA_U_DOLASKU!$A$6:$A$95,A47,ROBA_U_DOLASKU!$H$6:$H$95,2)</f>
        <v>0</v>
      </c>
      <c r="M47" s="9" t="n">
        <f aca="false">SUMIFS(ROBA_U_DOLASKU!$B$6:$B$95,ROBA_U_DOLASKU!$A$6:$A$95,A47,ROBA_U_DOLASKU!$H$6:$H$95,2)</f>
        <v>0</v>
      </c>
      <c r="N47" s="9" t="n">
        <f aca="false">SUMIFS(ROBA_U_DOLASKU!$C$6:$C$95,ROBA_U_DOLASKU!$A$6:$A$95,A47,ROBA_U_DOLASKU!$H$6:$H$95,3)</f>
        <v>0</v>
      </c>
      <c r="O47" s="9" t="n">
        <f aca="false">SUMIFS(ROBA_U_DOLASKU!$B$6:$B$95,ROBA_U_DOLASKU!$A$6:$A$95,A47,ROBA_U_DOLASKU!$H$6:$H$95,3)</f>
        <v>0</v>
      </c>
      <c r="P47" s="9" t="n">
        <f aca="false">IF(H47&lt;=0,999,IF(O47&gt;0,ROUND((F47-H47*N47+K47+M47+O47)/H47,1),IF(M47&gt;0,ROUND((F47-H47*L47+K47+M47)/H47,1),IF(K47&gt;0,ROUND((F47-H47*J47+K47)/H47,1),I47))))</f>
        <v>999</v>
      </c>
      <c r="Q47" s="22" t="str">
        <f aca="false">IF(H47&lt;=0,"Nema prodaje",IF(AND(K47=0,M47=0,O47=0),IF(I47&lt;POSTAVKE!$B$6,"Naruči odmah","Sve u redu"),IF(F47-H47*J47&lt;0,"Rupa za ~"&amp;TEXT(I47,"0.0")&amp;" mj.",IF(AND(M47&gt;0,F47-H47*L47+K47&lt;0),"Rupa nakon 1. dolaska",IF(AND(O47&gt;0,F47-H47*N47+K47+M47&lt;0),"Rupa nakon 2. dolaska",IF(P47&lt;POSTAVKE!$B$6,"Količina nije dovoljna",IF(I47&gt;=POSTAVKE!$B$6,"Sve u redu","Stiže na vrijeme")))))))</f>
        <v>Nema prodaje</v>
      </c>
      <c r="S47" s="23" t="n">
        <f aca="false">IFERROR(INDEX(PODACI_PRODAJA!B:B,MATCH($A47,PODACI_PRODAJA!$A:$A,0)),0)</f>
        <v>0</v>
      </c>
      <c r="T47" s="23" t="n">
        <f aca="false">IFERROR(INDEX(PODACI_PRODAJA!C:C,MATCH($A47,PODACI_PRODAJA!$A:$A,0)),0)</f>
        <v>0</v>
      </c>
      <c r="U47" s="23" t="n">
        <f aca="false">IFERROR(INDEX(PODACI_PRODAJA!D:D,MATCH($A47,PODACI_PRODAJA!$A:$A,0)),0)</f>
        <v>0</v>
      </c>
      <c r="V47" s="23" t="n">
        <f aca="false">IFERROR(INDEX(PODACI_PRODAJA!E:E,MATCH($A47,PODACI_PRODAJA!$A:$A,0)),0)</f>
        <v>0</v>
      </c>
      <c r="W47" s="23" t="n">
        <f aca="false">IFERROR(INDEX(PODACI_PRODAJA!F:F,MATCH($A47,PODACI_PRODAJA!$A:$A,0)),0)</f>
        <v>0</v>
      </c>
      <c r="X47" s="23" t="n">
        <f aca="false">IFERROR(INDEX(PODACI_PRODAJA!G:G,MATCH($A47,PODACI_PRODAJA!$A:$A,0)),0)</f>
        <v>0</v>
      </c>
      <c r="Y47" s="23" t="n">
        <f aca="false">IFERROR(INDEX(PODACI_PRODAJA!H:H,MATCH($A47,PODACI_PRODAJA!$A:$A,0)),0)</f>
        <v>0</v>
      </c>
      <c r="Z47" s="23" t="n">
        <f aca="false">IFERROR(INDEX(PODACI_PRODAJA!I:I,MATCH($A47,PODACI_PRODAJA!$A:$A,0)),0)</f>
        <v>0</v>
      </c>
      <c r="AA47" s="23" t="n">
        <f aca="false">IFERROR(INDEX(PODACI_PRODAJA!J:J,MATCH($A47,PODACI_PRODAJA!$A:$A,0)),0)</f>
        <v>0</v>
      </c>
      <c r="AB47" s="23" t="n">
        <f aca="false">IFERROR(INDEX(PODACI_PRODAJA!K:K,MATCH($A47,PODACI_PRODAJA!$A:$A,0)),0)</f>
        <v>0</v>
      </c>
      <c r="AC47" s="23" t="n">
        <f aca="false">IFERROR(INDEX(PODACI_PRODAJA!L:L,MATCH($A47,PODACI_PRODAJA!$A:$A,0)),0)</f>
        <v>0</v>
      </c>
      <c r="AD47" s="23" t="n">
        <f aca="false">IFERROR(INDEX(PODACI_PRODAJA!M:M,MATCH($A47,PODACI_PRODAJA!$A:$A,0)),0)</f>
        <v>0</v>
      </c>
    </row>
    <row r="48" customFormat="false" ht="15" hidden="false" customHeight="false" outlineLevel="0" collapsed="false">
      <c r="A48" s="11" t="str">
        <f aca="false">PODACI_ZALIHE!A45</f>
        <v>17177</v>
      </c>
      <c r="B48" s="8" t="str">
        <f aca="false">PODACI_ZALIHE!B45</f>
        <v>NERO DRŽAČ WC ČETKE - CRNI</v>
      </c>
      <c r="C48" s="9" t="str">
        <f aca="false">PODACI_ZALIHE!C45</f>
        <v>6458</v>
      </c>
      <c r="D48" s="8" t="str">
        <f aca="false">PODACI_ZALIHE!D45</f>
        <v>BOJIA TRADING LIMITED</v>
      </c>
      <c r="E48" s="19" t="n">
        <f aca="false">IF(PODACI_ZALIHE!E45="","",PODACI_ZALIHE!E45)</f>
        <v>186</v>
      </c>
      <c r="F48" s="20" t="n">
        <f aca="false">PODACI_ZALIHE!F45</f>
        <v>186</v>
      </c>
      <c r="G48" s="19" t="n">
        <f aca="false">IF(E48="","",E48-F48)</f>
        <v>0</v>
      </c>
      <c r="H48" s="9" t="n">
        <f aca="false">PODACI_PRODAJA!N594</f>
        <v>0.88</v>
      </c>
      <c r="I48" s="21" t="n">
        <f aca="false">IF(H48&lt;=0,999,ROUND(F48/H48,1))</f>
        <v>211.4</v>
      </c>
      <c r="J48" s="9" t="n">
        <f aca="false">SUMIFS(ROBA_U_DOLASKU!$C$6:$C$95,ROBA_U_DOLASKU!$A$6:$A$95,A48,ROBA_U_DOLASKU!$H$6:$H$95,1)</f>
        <v>0</v>
      </c>
      <c r="K48" s="9" t="n">
        <f aca="false">SUMIFS(ROBA_U_DOLASKU!$B$6:$B$95,ROBA_U_DOLASKU!$A$6:$A$95,A48,ROBA_U_DOLASKU!$H$6:$H$95,1)</f>
        <v>0</v>
      </c>
      <c r="L48" s="9" t="n">
        <f aca="false">SUMIFS(ROBA_U_DOLASKU!$C$6:$C$95,ROBA_U_DOLASKU!$A$6:$A$95,A48,ROBA_U_DOLASKU!$H$6:$H$95,2)</f>
        <v>0</v>
      </c>
      <c r="M48" s="9" t="n">
        <f aca="false">SUMIFS(ROBA_U_DOLASKU!$B$6:$B$95,ROBA_U_DOLASKU!$A$6:$A$95,A48,ROBA_U_DOLASKU!$H$6:$H$95,2)</f>
        <v>0</v>
      </c>
      <c r="N48" s="9" t="n">
        <f aca="false">SUMIFS(ROBA_U_DOLASKU!$C$6:$C$95,ROBA_U_DOLASKU!$A$6:$A$95,A48,ROBA_U_DOLASKU!$H$6:$H$95,3)</f>
        <v>0</v>
      </c>
      <c r="O48" s="9" t="n">
        <f aca="false">SUMIFS(ROBA_U_DOLASKU!$B$6:$B$95,ROBA_U_DOLASKU!$A$6:$A$95,A48,ROBA_U_DOLASKU!$H$6:$H$95,3)</f>
        <v>0</v>
      </c>
      <c r="P48" s="9" t="n">
        <f aca="false">IF(H48&lt;=0,999,IF(O48&gt;0,ROUND((F48-H48*N48+K48+M48+O48)/H48,1),IF(M48&gt;0,ROUND((F48-H48*L48+K48+M48)/H48,1),IF(K48&gt;0,ROUND((F48-H48*J48+K48)/H48,1),I48))))</f>
        <v>211.4</v>
      </c>
      <c r="Q48" s="22" t="str">
        <f aca="false">IF(H48&lt;=0,"Nema prodaje",IF(AND(K48=0,M48=0,O48=0),IF(I48&lt;POSTAVKE!$B$6,"Naruči odmah","Sve u redu"),IF(F48-H48*J48&lt;0,"Rupa za ~"&amp;TEXT(I48,"0.0")&amp;" mj.",IF(AND(M48&gt;0,F48-H48*L48+K48&lt;0),"Rupa nakon 1. dolaska",IF(AND(O48&gt;0,F48-H48*N48+K48+M48&lt;0),"Rupa nakon 2. dolaska",IF(P48&lt;POSTAVKE!$B$6,"Količina nije dovoljna",IF(I48&gt;=POSTAVKE!$B$6,"Sve u redu","Stiže na vrijeme")))))))</f>
        <v>Sve u redu</v>
      </c>
      <c r="S48" s="23" t="n">
        <f aca="false">IFERROR(INDEX(PODACI_PRODAJA!B:B,MATCH($A48,PODACI_PRODAJA!$A:$A,0)),0)</f>
        <v>0</v>
      </c>
      <c r="T48" s="23" t="n">
        <f aca="false">IFERROR(INDEX(PODACI_PRODAJA!C:C,MATCH($A48,PODACI_PRODAJA!$A:$A,0)),0)</f>
        <v>0</v>
      </c>
      <c r="U48" s="23" t="n">
        <f aca="false">IFERROR(INDEX(PODACI_PRODAJA!D:D,MATCH($A48,PODACI_PRODAJA!$A:$A,0)),0)</f>
        <v>0</v>
      </c>
      <c r="V48" s="23" t="n">
        <f aca="false">IFERROR(INDEX(PODACI_PRODAJA!E:E,MATCH($A48,PODACI_PRODAJA!$A:$A,0)),0)</f>
        <v>3</v>
      </c>
      <c r="W48" s="23" t="n">
        <f aca="false">IFERROR(INDEX(PODACI_PRODAJA!F:F,MATCH($A48,PODACI_PRODAJA!$A:$A,0)),0)</f>
        <v>4</v>
      </c>
      <c r="X48" s="23" t="n">
        <f aca="false">IFERROR(INDEX(PODACI_PRODAJA!G:G,MATCH($A48,PODACI_PRODAJA!$A:$A,0)),0)</f>
        <v>0</v>
      </c>
      <c r="Y48" s="23" t="n">
        <f aca="false">IFERROR(INDEX(PODACI_PRODAJA!H:H,MATCH($A48,PODACI_PRODAJA!$A:$A,0)),0)</f>
        <v>0</v>
      </c>
      <c r="Z48" s="23" t="n">
        <f aca="false">IFERROR(INDEX(PODACI_PRODAJA!I:I,MATCH($A48,PODACI_PRODAJA!$A:$A,0)),0)</f>
        <v>0</v>
      </c>
      <c r="AA48" s="23" t="n">
        <f aca="false">IFERROR(INDEX(PODACI_PRODAJA!J:J,MATCH($A48,PODACI_PRODAJA!$A:$A,0)),0)</f>
        <v>0</v>
      </c>
      <c r="AB48" s="23" t="n">
        <f aca="false">IFERROR(INDEX(PODACI_PRODAJA!K:K,MATCH($A48,PODACI_PRODAJA!$A:$A,0)),0)</f>
        <v>0</v>
      </c>
      <c r="AC48" s="23" t="n">
        <f aca="false">IFERROR(INDEX(PODACI_PRODAJA!L:L,MATCH($A48,PODACI_PRODAJA!$A:$A,0)),0)</f>
        <v>0</v>
      </c>
      <c r="AD48" s="23" t="n">
        <f aca="false">IFERROR(INDEX(PODACI_PRODAJA!M:M,MATCH($A48,PODACI_PRODAJA!$A:$A,0)),0)</f>
        <v>0</v>
      </c>
    </row>
    <row r="49" customFormat="false" ht="15" hidden="false" customHeight="false" outlineLevel="0" collapsed="false">
      <c r="A49" s="11" t="str">
        <f aca="false">PODACI_ZALIHE!A46</f>
        <v>15011</v>
      </c>
      <c r="B49" s="8" t="str">
        <f aca="false">PODACI_ZALIHE!B46</f>
        <v>ZAVRŠNI PROFIL ZA PANELE 5 mm</v>
      </c>
      <c r="C49" s="9" t="n">
        <f aca="false">PODACI_ZALIHE!C46</f>
        <v>0</v>
      </c>
      <c r="D49" s="8" t="n">
        <f aca="false">PODACI_ZALIHE!D46</f>
        <v>0</v>
      </c>
      <c r="E49" s="19" t="n">
        <f aca="false">IF(PODACI_ZALIHE!E46="","",PODACI_ZALIHE!E46)</f>
        <v>184</v>
      </c>
      <c r="F49" s="20" t="n">
        <f aca="false">PODACI_ZALIHE!F46</f>
        <v>184</v>
      </c>
      <c r="G49" s="19" t="n">
        <f aca="false">IF(E49="","",E49-F49)</f>
        <v>0</v>
      </c>
      <c r="H49" s="9" t="n">
        <v>0</v>
      </c>
      <c r="I49" s="21" t="n">
        <f aca="false">IF(H49&lt;=0,999,ROUND(F49/H49,1))</f>
        <v>999</v>
      </c>
      <c r="J49" s="9" t="n">
        <f aca="false">SUMIFS(ROBA_U_DOLASKU!$C$6:$C$95,ROBA_U_DOLASKU!$A$6:$A$95,A49,ROBA_U_DOLASKU!$H$6:$H$95,1)</f>
        <v>0</v>
      </c>
      <c r="K49" s="9" t="n">
        <f aca="false">SUMIFS(ROBA_U_DOLASKU!$B$6:$B$95,ROBA_U_DOLASKU!$A$6:$A$95,A49,ROBA_U_DOLASKU!$H$6:$H$95,1)</f>
        <v>0</v>
      </c>
      <c r="L49" s="9" t="n">
        <f aca="false">SUMIFS(ROBA_U_DOLASKU!$C$6:$C$95,ROBA_U_DOLASKU!$A$6:$A$95,A49,ROBA_U_DOLASKU!$H$6:$H$95,2)</f>
        <v>0</v>
      </c>
      <c r="M49" s="9" t="n">
        <f aca="false">SUMIFS(ROBA_U_DOLASKU!$B$6:$B$95,ROBA_U_DOLASKU!$A$6:$A$95,A49,ROBA_U_DOLASKU!$H$6:$H$95,2)</f>
        <v>0</v>
      </c>
      <c r="N49" s="9" t="n">
        <f aca="false">SUMIFS(ROBA_U_DOLASKU!$C$6:$C$95,ROBA_U_DOLASKU!$A$6:$A$95,A49,ROBA_U_DOLASKU!$H$6:$H$95,3)</f>
        <v>0</v>
      </c>
      <c r="O49" s="9" t="n">
        <f aca="false">SUMIFS(ROBA_U_DOLASKU!$B$6:$B$95,ROBA_U_DOLASKU!$A$6:$A$95,A49,ROBA_U_DOLASKU!$H$6:$H$95,3)</f>
        <v>0</v>
      </c>
      <c r="P49" s="9" t="n">
        <f aca="false">IF(H49&lt;=0,999,IF(O49&gt;0,ROUND((F49-H49*N49+K49+M49+O49)/H49,1),IF(M49&gt;0,ROUND((F49-H49*L49+K49+M49)/H49,1),IF(K49&gt;0,ROUND((F49-H49*J49+K49)/H49,1),I49))))</f>
        <v>999</v>
      </c>
      <c r="Q49" s="22" t="str">
        <f aca="false">IF(H49&lt;=0,"Nema prodaje",IF(AND(K49=0,M49=0,O49=0),IF(I49&lt;POSTAVKE!$B$6,"Naruči odmah","Sve u redu"),IF(F49-H49*J49&lt;0,"Rupa za ~"&amp;TEXT(I49,"0.0")&amp;" mj.",IF(AND(M49&gt;0,F49-H49*L49+K49&lt;0),"Rupa nakon 1. dolaska",IF(AND(O49&gt;0,F49-H49*N49+K49+M49&lt;0),"Rupa nakon 2. dolaska",IF(P49&lt;POSTAVKE!$B$6,"Količina nije dovoljna",IF(I49&gt;=POSTAVKE!$B$6,"Sve u redu","Stiže na vrijeme")))))))</f>
        <v>Nema prodaje</v>
      </c>
      <c r="S49" s="23" t="n">
        <f aca="false">IFERROR(INDEX(PODACI_PRODAJA!B:B,MATCH($A49,PODACI_PRODAJA!$A:$A,0)),0)</f>
        <v>0</v>
      </c>
      <c r="T49" s="23" t="n">
        <f aca="false">IFERROR(INDEX(PODACI_PRODAJA!C:C,MATCH($A49,PODACI_PRODAJA!$A:$A,0)),0)</f>
        <v>0</v>
      </c>
      <c r="U49" s="23" t="n">
        <f aca="false">IFERROR(INDEX(PODACI_PRODAJA!D:D,MATCH($A49,PODACI_PRODAJA!$A:$A,0)),0)</f>
        <v>0</v>
      </c>
      <c r="V49" s="23" t="n">
        <f aca="false">IFERROR(INDEX(PODACI_PRODAJA!E:E,MATCH($A49,PODACI_PRODAJA!$A:$A,0)),0)</f>
        <v>0</v>
      </c>
      <c r="W49" s="23" t="n">
        <f aca="false">IFERROR(INDEX(PODACI_PRODAJA!F:F,MATCH($A49,PODACI_PRODAJA!$A:$A,0)),0)</f>
        <v>0</v>
      </c>
      <c r="X49" s="23" t="n">
        <f aca="false">IFERROR(INDEX(PODACI_PRODAJA!G:G,MATCH($A49,PODACI_PRODAJA!$A:$A,0)),0)</f>
        <v>0</v>
      </c>
      <c r="Y49" s="23" t="n">
        <f aca="false">IFERROR(INDEX(PODACI_PRODAJA!H:H,MATCH($A49,PODACI_PRODAJA!$A:$A,0)),0)</f>
        <v>0</v>
      </c>
      <c r="Z49" s="23" t="n">
        <f aca="false">IFERROR(INDEX(PODACI_PRODAJA!I:I,MATCH($A49,PODACI_PRODAJA!$A:$A,0)),0)</f>
        <v>0</v>
      </c>
      <c r="AA49" s="23" t="n">
        <f aca="false">IFERROR(INDEX(PODACI_PRODAJA!J:J,MATCH($A49,PODACI_PRODAJA!$A:$A,0)),0)</f>
        <v>0</v>
      </c>
      <c r="AB49" s="23" t="n">
        <f aca="false">IFERROR(INDEX(PODACI_PRODAJA!K:K,MATCH($A49,PODACI_PRODAJA!$A:$A,0)),0)</f>
        <v>0</v>
      </c>
      <c r="AC49" s="23" t="n">
        <f aca="false">IFERROR(INDEX(PODACI_PRODAJA!L:L,MATCH($A49,PODACI_PRODAJA!$A:$A,0)),0)</f>
        <v>0</v>
      </c>
      <c r="AD49" s="23" t="n">
        <f aca="false">IFERROR(INDEX(PODACI_PRODAJA!M:M,MATCH($A49,PODACI_PRODAJA!$A:$A,0)),0)</f>
        <v>0</v>
      </c>
    </row>
    <row r="50" customFormat="false" ht="15" hidden="false" customHeight="false" outlineLevel="0" collapsed="false">
      <c r="A50" s="11" t="str">
        <f aca="false">PODACI_ZALIHE!A47</f>
        <v>18242</v>
      </c>
      <c r="B50" s="8" t="str">
        <f aca="false">PODACI_ZALIHE!B47</f>
        <v>GEA OGLEDALO D80 cm</v>
      </c>
      <c r="C50" s="9" t="str">
        <f aca="false">PODACI_ZALIHE!C47</f>
        <v>6032</v>
      </c>
      <c r="D50" s="8" t="str">
        <f aca="false">PODACI_ZALIHE!D47</f>
        <v>HANGZHOU ZIHAN MIRROR INDUSTRY CO., LTD.</v>
      </c>
      <c r="E50" s="19" t="n">
        <f aca="false">IF(PODACI_ZALIHE!E47="","",PODACI_ZALIHE!E47)</f>
        <v>170</v>
      </c>
      <c r="F50" s="20" t="n">
        <f aca="false">PODACI_ZALIHE!F47</f>
        <v>170</v>
      </c>
      <c r="G50" s="19" t="n">
        <f aca="false">IF(E50="","",E50-F50)</f>
        <v>0</v>
      </c>
      <c r="H50" s="9" t="n">
        <f aca="false">PODACI_PRODAJA!N50</f>
        <v>7.25</v>
      </c>
      <c r="I50" s="21" t="n">
        <f aca="false">IF(H50&lt;=0,999,ROUND(F50/H50,1))</f>
        <v>23.4</v>
      </c>
      <c r="J50" s="9" t="n">
        <f aca="false">SUMIFS(ROBA_U_DOLASKU!$C$6:$C$95,ROBA_U_DOLASKU!$A$6:$A$95,A50,ROBA_U_DOLASKU!$H$6:$H$95,1)</f>
        <v>0</v>
      </c>
      <c r="K50" s="9" t="n">
        <f aca="false">SUMIFS(ROBA_U_DOLASKU!$B$6:$B$95,ROBA_U_DOLASKU!$A$6:$A$95,A50,ROBA_U_DOLASKU!$H$6:$H$95,1)</f>
        <v>0</v>
      </c>
      <c r="L50" s="9" t="n">
        <f aca="false">SUMIFS(ROBA_U_DOLASKU!$C$6:$C$95,ROBA_U_DOLASKU!$A$6:$A$95,A50,ROBA_U_DOLASKU!$H$6:$H$95,2)</f>
        <v>0</v>
      </c>
      <c r="M50" s="9" t="n">
        <f aca="false">SUMIFS(ROBA_U_DOLASKU!$B$6:$B$95,ROBA_U_DOLASKU!$A$6:$A$95,A50,ROBA_U_DOLASKU!$H$6:$H$95,2)</f>
        <v>0</v>
      </c>
      <c r="N50" s="9" t="n">
        <f aca="false">SUMIFS(ROBA_U_DOLASKU!$C$6:$C$95,ROBA_U_DOLASKU!$A$6:$A$95,A50,ROBA_U_DOLASKU!$H$6:$H$95,3)</f>
        <v>0</v>
      </c>
      <c r="O50" s="9" t="n">
        <f aca="false">SUMIFS(ROBA_U_DOLASKU!$B$6:$B$95,ROBA_U_DOLASKU!$A$6:$A$95,A50,ROBA_U_DOLASKU!$H$6:$H$95,3)</f>
        <v>0</v>
      </c>
      <c r="P50" s="9" t="n">
        <f aca="false">IF(H50&lt;=0,999,IF(O50&gt;0,ROUND((F50-H50*N50+K50+M50+O50)/H50,1),IF(M50&gt;0,ROUND((F50-H50*L50+K50+M50)/H50,1),IF(K50&gt;0,ROUND((F50-H50*J50+K50)/H50,1),I50))))</f>
        <v>23.4</v>
      </c>
      <c r="Q50" s="22" t="str">
        <f aca="false">IF(H50&lt;=0,"Nema prodaje",IF(AND(K50=0,M50=0,O50=0),IF(I50&lt;POSTAVKE!$B$6,"Naruči odmah","Sve u redu"),IF(F50-H50*J50&lt;0,"Rupa za ~"&amp;TEXT(I50,"0.0")&amp;" mj.",IF(AND(M50&gt;0,F50-H50*L50+K50&lt;0),"Rupa nakon 1. dolaska",IF(AND(O50&gt;0,F50-H50*N50+K50+M50&lt;0),"Rupa nakon 2. dolaska",IF(P50&lt;POSTAVKE!$B$6,"Količina nije dovoljna",IF(I50&gt;=POSTAVKE!$B$6,"Sve u redu","Stiže na vrijeme")))))))</f>
        <v>Sve u redu</v>
      </c>
      <c r="S50" s="23" t="n">
        <f aca="false">IFERROR(INDEX(PODACI_PRODAJA!B:B,MATCH($A50,PODACI_PRODAJA!$A:$A,0)),0)</f>
        <v>18</v>
      </c>
      <c r="T50" s="23" t="n">
        <f aca="false">IFERROR(INDEX(PODACI_PRODAJA!C:C,MATCH($A50,PODACI_PRODAJA!$A:$A,0)),0)</f>
        <v>7</v>
      </c>
      <c r="U50" s="23" t="n">
        <f aca="false">IFERROR(INDEX(PODACI_PRODAJA!D:D,MATCH($A50,PODACI_PRODAJA!$A:$A,0)),0)</f>
        <v>26</v>
      </c>
      <c r="V50" s="23" t="n">
        <f aca="false">IFERROR(INDEX(PODACI_PRODAJA!E:E,MATCH($A50,PODACI_PRODAJA!$A:$A,0)),0)</f>
        <v>9</v>
      </c>
      <c r="W50" s="23" t="n">
        <f aca="false">IFERROR(INDEX(PODACI_PRODAJA!F:F,MATCH($A50,PODACI_PRODAJA!$A:$A,0)),0)</f>
        <v>0</v>
      </c>
      <c r="X50" s="23" t="n">
        <f aca="false">IFERROR(INDEX(PODACI_PRODAJA!G:G,MATCH($A50,PODACI_PRODAJA!$A:$A,0)),0)</f>
        <v>-1</v>
      </c>
      <c r="Y50" s="23" t="n">
        <f aca="false">IFERROR(INDEX(PODACI_PRODAJA!H:H,MATCH($A50,PODACI_PRODAJA!$A:$A,0)),0)</f>
        <v>-1</v>
      </c>
      <c r="Z50" s="23" t="n">
        <f aca="false">IFERROR(INDEX(PODACI_PRODAJA!I:I,MATCH($A50,PODACI_PRODAJA!$A:$A,0)),0)</f>
        <v>0</v>
      </c>
      <c r="AA50" s="23" t="n">
        <f aca="false">IFERROR(INDEX(PODACI_PRODAJA!J:J,MATCH($A50,PODACI_PRODAJA!$A:$A,0)),0)</f>
        <v>0</v>
      </c>
      <c r="AB50" s="23" t="n">
        <f aca="false">IFERROR(INDEX(PODACI_PRODAJA!K:K,MATCH($A50,PODACI_PRODAJA!$A:$A,0)),0)</f>
        <v>0</v>
      </c>
      <c r="AC50" s="23" t="n">
        <f aca="false">IFERROR(INDEX(PODACI_PRODAJA!L:L,MATCH($A50,PODACI_PRODAJA!$A:$A,0)),0)</f>
        <v>0</v>
      </c>
      <c r="AD50" s="23" t="n">
        <f aca="false">IFERROR(INDEX(PODACI_PRODAJA!M:M,MATCH($A50,PODACI_PRODAJA!$A:$A,0)),0)</f>
        <v>0</v>
      </c>
    </row>
    <row r="51" customFormat="false" ht="15" hidden="false" customHeight="false" outlineLevel="0" collapsed="false">
      <c r="A51" s="11" t="str">
        <f aca="false">PODACI_ZALIHE!A48</f>
        <v>046200</v>
      </c>
      <c r="B51" s="8" t="str">
        <f aca="false">PODACI_ZALIHE!B48</f>
        <v>ZELENA OBLOGA ZA ZID VERDE SELVA</v>
      </c>
      <c r="C51" s="9" t="str">
        <f aca="false">PODACI_ZALIHE!C48</f>
        <v>6931</v>
      </c>
      <c r="D51" s="8" t="str">
        <f aca="false">PODACI_ZALIHE!D48</f>
        <v>INTCO INTERNATIONAL (HK) CO., LIMITED</v>
      </c>
      <c r="E51" s="19" t="n">
        <f aca="false">IF(PODACI_ZALIHE!E48="","",PODACI_ZALIHE!E48)</f>
        <v>165</v>
      </c>
      <c r="F51" s="20" t="n">
        <f aca="false">PODACI_ZALIHE!F48</f>
        <v>165</v>
      </c>
      <c r="G51" s="19" t="n">
        <f aca="false">IF(E51="","",E51-F51)</f>
        <v>0</v>
      </c>
      <c r="H51" s="9" t="n">
        <f aca="false">PODACI_PRODAJA!N437</f>
        <v>1.63</v>
      </c>
      <c r="I51" s="21" t="n">
        <f aca="false">IF(H51&lt;=0,999,ROUND(F51/H51,1))</f>
        <v>101.2</v>
      </c>
      <c r="J51" s="9" t="n">
        <f aca="false">SUMIFS(ROBA_U_DOLASKU!$C$6:$C$95,ROBA_U_DOLASKU!$A$6:$A$95,A51,ROBA_U_DOLASKU!$H$6:$H$95,1)</f>
        <v>0</v>
      </c>
      <c r="K51" s="9" t="n">
        <f aca="false">SUMIFS(ROBA_U_DOLASKU!$B$6:$B$95,ROBA_U_DOLASKU!$A$6:$A$95,A51,ROBA_U_DOLASKU!$H$6:$H$95,1)</f>
        <v>0</v>
      </c>
      <c r="L51" s="9" t="n">
        <f aca="false">SUMIFS(ROBA_U_DOLASKU!$C$6:$C$95,ROBA_U_DOLASKU!$A$6:$A$95,A51,ROBA_U_DOLASKU!$H$6:$H$95,2)</f>
        <v>0</v>
      </c>
      <c r="M51" s="9" t="n">
        <f aca="false">SUMIFS(ROBA_U_DOLASKU!$B$6:$B$95,ROBA_U_DOLASKU!$A$6:$A$95,A51,ROBA_U_DOLASKU!$H$6:$H$95,2)</f>
        <v>0</v>
      </c>
      <c r="N51" s="9" t="n">
        <f aca="false">SUMIFS(ROBA_U_DOLASKU!$C$6:$C$95,ROBA_U_DOLASKU!$A$6:$A$95,A51,ROBA_U_DOLASKU!$H$6:$H$95,3)</f>
        <v>0</v>
      </c>
      <c r="O51" s="9" t="n">
        <f aca="false">SUMIFS(ROBA_U_DOLASKU!$B$6:$B$95,ROBA_U_DOLASKU!$A$6:$A$95,A51,ROBA_U_DOLASKU!$H$6:$H$95,3)</f>
        <v>0</v>
      </c>
      <c r="P51" s="9" t="n">
        <f aca="false">IF(H51&lt;=0,999,IF(O51&gt;0,ROUND((F51-H51*N51+K51+M51+O51)/H51,1),IF(M51&gt;0,ROUND((F51-H51*L51+K51+M51)/H51,1),IF(K51&gt;0,ROUND((F51-H51*J51+K51)/H51,1),I51))))</f>
        <v>101.2</v>
      </c>
      <c r="Q51" s="22" t="str">
        <f aca="false">IF(H51&lt;=0,"Nema prodaje",IF(AND(K51=0,M51=0,O51=0),IF(I51&lt;POSTAVKE!$B$6,"Naruči odmah","Sve u redu"),IF(F51-H51*J51&lt;0,"Rupa za ~"&amp;TEXT(I51,"0.0")&amp;" mj.",IF(AND(M51&gt;0,F51-H51*L51+K51&lt;0),"Rupa nakon 1. dolaska",IF(AND(O51&gt;0,F51-H51*N51+K51+M51&lt;0),"Rupa nakon 2. dolaska",IF(P51&lt;POSTAVKE!$B$6,"Količina nije dovoljna",IF(I51&gt;=POSTAVKE!$B$6,"Sve u redu","Stiže na vrijeme")))))))</f>
        <v>Sve u redu</v>
      </c>
      <c r="S51" s="23" t="n">
        <f aca="false">IFERROR(INDEX(PODACI_PRODAJA!B:B,MATCH($A51,PODACI_PRODAJA!$A:$A,0)),0)</f>
        <v>0</v>
      </c>
      <c r="T51" s="23" t="n">
        <f aca="false">IFERROR(INDEX(PODACI_PRODAJA!C:C,MATCH($A51,PODACI_PRODAJA!$A:$A,0)),0)</f>
        <v>0</v>
      </c>
      <c r="U51" s="23" t="n">
        <f aca="false">IFERROR(INDEX(PODACI_PRODAJA!D:D,MATCH($A51,PODACI_PRODAJA!$A:$A,0)),0)</f>
        <v>0</v>
      </c>
      <c r="V51" s="23" t="n">
        <f aca="false">IFERROR(INDEX(PODACI_PRODAJA!E:E,MATCH($A51,PODACI_PRODAJA!$A:$A,0)),0)</f>
        <v>0</v>
      </c>
      <c r="W51" s="23" t="n">
        <f aca="false">IFERROR(INDEX(PODACI_PRODAJA!F:F,MATCH($A51,PODACI_PRODAJA!$A:$A,0)),0)</f>
        <v>0</v>
      </c>
      <c r="X51" s="23" t="n">
        <f aca="false">IFERROR(INDEX(PODACI_PRODAJA!G:G,MATCH($A51,PODACI_PRODAJA!$A:$A,0)),0)</f>
        <v>0</v>
      </c>
      <c r="Y51" s="23" t="n">
        <f aca="false">IFERROR(INDEX(PODACI_PRODAJA!H:H,MATCH($A51,PODACI_PRODAJA!$A:$A,0)),0)</f>
        <v>13</v>
      </c>
      <c r="Z51" s="23" t="n">
        <f aca="false">IFERROR(INDEX(PODACI_PRODAJA!I:I,MATCH($A51,PODACI_PRODAJA!$A:$A,0)),0)</f>
        <v>0</v>
      </c>
      <c r="AA51" s="23" t="n">
        <f aca="false">IFERROR(INDEX(PODACI_PRODAJA!J:J,MATCH($A51,PODACI_PRODAJA!$A:$A,0)),0)</f>
        <v>0</v>
      </c>
      <c r="AB51" s="23" t="n">
        <f aca="false">IFERROR(INDEX(PODACI_PRODAJA!K:K,MATCH($A51,PODACI_PRODAJA!$A:$A,0)),0)</f>
        <v>0</v>
      </c>
      <c r="AC51" s="23" t="n">
        <f aca="false">IFERROR(INDEX(PODACI_PRODAJA!L:L,MATCH($A51,PODACI_PRODAJA!$A:$A,0)),0)</f>
        <v>0</v>
      </c>
      <c r="AD51" s="23" t="n">
        <f aca="false">IFERROR(INDEX(PODACI_PRODAJA!M:M,MATCH($A51,PODACI_PRODAJA!$A:$A,0)),0)</f>
        <v>0</v>
      </c>
    </row>
    <row r="52" customFormat="false" ht="15" hidden="false" customHeight="false" outlineLevel="0" collapsed="false">
      <c r="A52" s="11" t="str">
        <f aca="false">PODACI_ZALIHE!A49</f>
        <v>00897</v>
      </c>
      <c r="B52" s="8" t="str">
        <f aca="false">PODACI_ZALIHE!B49</f>
        <v>LYNN OGLEDALO S LED RASVJETOM 60x80 cm</v>
      </c>
      <c r="C52" s="9" t="str">
        <f aca="false">PODACI_ZALIHE!C49</f>
        <v>5720</v>
      </c>
      <c r="D52" s="8" t="str">
        <f aca="false">PODACI_ZALIHE!D49</f>
        <v>ZHEJIANG SUMMERSIDE SANITARY WARE TECHNOLOGY CO., LTD</v>
      </c>
      <c r="E52" s="19" t="n">
        <f aca="false">IF(PODACI_ZALIHE!E49="","",PODACI_ZALIHE!E49)</f>
        <v>169</v>
      </c>
      <c r="F52" s="20" t="n">
        <f aca="false">PODACI_ZALIHE!F49</f>
        <v>161</v>
      </c>
      <c r="G52" s="19" t="n">
        <f aca="false">IF(E52="","",E52-F52)</f>
        <v>8</v>
      </c>
      <c r="H52" s="9" t="n">
        <f aca="false">PODACI_PRODAJA!N30</f>
        <v>75.13</v>
      </c>
      <c r="I52" s="21" t="n">
        <f aca="false">IF(H52&lt;=0,999,ROUND(F52/H52,1))</f>
        <v>2.1</v>
      </c>
      <c r="J52" s="9" t="n">
        <f aca="false">SUMIFS(ROBA_U_DOLASKU!$C$6:$C$95,ROBA_U_DOLASKU!$A$6:$A$95,A52,ROBA_U_DOLASKU!$H$6:$H$95,1)</f>
        <v>2.2</v>
      </c>
      <c r="K52" s="9" t="n">
        <f aca="false">SUMIFS(ROBA_U_DOLASKU!$B$6:$B$95,ROBA_U_DOLASKU!$A$6:$A$95,A52,ROBA_U_DOLASKU!$H$6:$H$95,1)</f>
        <v>200</v>
      </c>
      <c r="L52" s="9" t="n">
        <f aca="false">SUMIFS(ROBA_U_DOLASKU!$C$6:$C$95,ROBA_U_DOLASKU!$A$6:$A$95,A52,ROBA_U_DOLASKU!$H$6:$H$95,2)</f>
        <v>0</v>
      </c>
      <c r="M52" s="9" t="n">
        <f aca="false">SUMIFS(ROBA_U_DOLASKU!$B$6:$B$95,ROBA_U_DOLASKU!$A$6:$A$95,A52,ROBA_U_DOLASKU!$H$6:$H$95,2)</f>
        <v>0</v>
      </c>
      <c r="N52" s="9" t="n">
        <f aca="false">SUMIFS(ROBA_U_DOLASKU!$C$6:$C$95,ROBA_U_DOLASKU!$A$6:$A$95,A52,ROBA_U_DOLASKU!$H$6:$H$95,3)</f>
        <v>0</v>
      </c>
      <c r="O52" s="9" t="n">
        <f aca="false">SUMIFS(ROBA_U_DOLASKU!$B$6:$B$95,ROBA_U_DOLASKU!$A$6:$A$95,A52,ROBA_U_DOLASKU!$H$6:$H$95,3)</f>
        <v>0</v>
      </c>
      <c r="P52" s="9" t="n">
        <f aca="false">IF(H52&lt;=0,999,IF(O52&gt;0,ROUND((F52-H52*N52+K52+M52+O52)/H52,1),IF(M52&gt;0,ROUND((F52-H52*L52+K52+M52)/H52,1),IF(K52&gt;0,ROUND((F52-H52*J52+K52)/H52,1),I52))))</f>
        <v>2.6</v>
      </c>
      <c r="Q52" s="22" t="str">
        <f aca="false">IF(H52&lt;=0,"Nema prodaje",IF(AND(K52=0,M52=0,O52=0),IF(I52&lt;POSTAVKE!$B$6,"Naruči odmah","Sve u redu"),IF(F52-H52*J52&lt;0,"Rupa za ~"&amp;TEXT(I52,"0.0")&amp;" mj.",IF(AND(M52&gt;0,F52-H52*L52+K52&lt;0),"Rupa nakon 1. dolaska",IF(AND(O52&gt;0,F52-H52*N52+K52+M52&lt;0),"Rupa nakon 2. dolaska",IF(P52&lt;POSTAVKE!$B$6,"Količina nije dovoljna",IF(I52&gt;=POSTAVKE!$B$6,"Sve u redu","Stiže na vrijeme")))))))</f>
        <v>Rupa za ~2.1 mj.</v>
      </c>
      <c r="S52" s="23" t="n">
        <f aca="false">IFERROR(INDEX(PODACI_PRODAJA!B:B,MATCH($A52,PODACI_PRODAJA!$A:$A,0)),0)</f>
        <v>29</v>
      </c>
      <c r="T52" s="23" t="n">
        <f aca="false">IFERROR(INDEX(PODACI_PRODAJA!C:C,MATCH($A52,PODACI_PRODAJA!$A:$A,0)),0)</f>
        <v>124</v>
      </c>
      <c r="U52" s="23" t="n">
        <f aca="false">IFERROR(INDEX(PODACI_PRODAJA!D:D,MATCH($A52,PODACI_PRODAJA!$A:$A,0)),0)</f>
        <v>81</v>
      </c>
      <c r="V52" s="23" t="n">
        <f aca="false">IFERROR(INDEX(PODACI_PRODAJA!E:E,MATCH($A52,PODACI_PRODAJA!$A:$A,0)),0)</f>
        <v>84</v>
      </c>
      <c r="W52" s="23" t="n">
        <f aca="false">IFERROR(INDEX(PODACI_PRODAJA!F:F,MATCH($A52,PODACI_PRODAJA!$A:$A,0)),0)</f>
        <v>98</v>
      </c>
      <c r="X52" s="23" t="n">
        <f aca="false">IFERROR(INDEX(PODACI_PRODAJA!G:G,MATCH($A52,PODACI_PRODAJA!$A:$A,0)),0)</f>
        <v>115</v>
      </c>
      <c r="Y52" s="23" t="n">
        <f aca="false">IFERROR(INDEX(PODACI_PRODAJA!H:H,MATCH($A52,PODACI_PRODAJA!$A:$A,0)),0)</f>
        <v>40</v>
      </c>
      <c r="Z52" s="23" t="n">
        <f aca="false">IFERROR(INDEX(PODACI_PRODAJA!I:I,MATCH($A52,PODACI_PRODAJA!$A:$A,0)),0)</f>
        <v>30</v>
      </c>
      <c r="AA52" s="23" t="n">
        <f aca="false">IFERROR(INDEX(PODACI_PRODAJA!J:J,MATCH($A52,PODACI_PRODAJA!$A:$A,0)),0)</f>
        <v>7</v>
      </c>
      <c r="AB52" s="23" t="n">
        <f aca="false">IFERROR(INDEX(PODACI_PRODAJA!K:K,MATCH($A52,PODACI_PRODAJA!$A:$A,0)),0)</f>
        <v>0</v>
      </c>
      <c r="AC52" s="23" t="n">
        <f aca="false">IFERROR(INDEX(PODACI_PRODAJA!L:L,MATCH($A52,PODACI_PRODAJA!$A:$A,0)),0)</f>
        <v>0</v>
      </c>
      <c r="AD52" s="23" t="n">
        <f aca="false">IFERROR(INDEX(PODACI_PRODAJA!M:M,MATCH($A52,PODACI_PRODAJA!$A:$A,0)),0)</f>
        <v>0</v>
      </c>
    </row>
    <row r="53" customFormat="false" ht="15" hidden="false" customHeight="false" outlineLevel="0" collapsed="false">
      <c r="A53" s="11" t="str">
        <f aca="false">PODACI_ZALIHE!A50</f>
        <v>16855</v>
      </c>
      <c r="B53" s="8" t="str">
        <f aca="false">PODACI_ZALIHE!B50</f>
        <v>MOHO WC MONOBLOK ZIDNI ODVOD 665x375x725 mm</v>
      </c>
      <c r="C53" s="9" t="n">
        <f aca="false">PODACI_ZALIHE!C50</f>
        <v>0</v>
      </c>
      <c r="D53" s="8" t="n">
        <f aca="false">PODACI_ZALIHE!D50</f>
        <v>0</v>
      </c>
      <c r="E53" s="19" t="n">
        <f aca="false">IF(PODACI_ZALIHE!E50="","",PODACI_ZALIHE!E50)</f>
        <v>161</v>
      </c>
      <c r="F53" s="20" t="n">
        <f aca="false">PODACI_ZALIHE!F50</f>
        <v>161</v>
      </c>
      <c r="G53" s="19" t="n">
        <f aca="false">IF(E53="","",E53-F53)</f>
        <v>0</v>
      </c>
      <c r="H53" s="9" t="n">
        <f aca="false">PODACI_PRODAJA!N14</f>
        <v>26</v>
      </c>
      <c r="I53" s="21" t="n">
        <f aca="false">IF(H53&lt;=0,999,ROUND(F53/H53,1))</f>
        <v>6.2</v>
      </c>
      <c r="J53" s="9" t="n">
        <f aca="false">SUMIFS(ROBA_U_DOLASKU!$C$6:$C$95,ROBA_U_DOLASKU!$A$6:$A$95,A53,ROBA_U_DOLASKU!$H$6:$H$95,1)</f>
        <v>0</v>
      </c>
      <c r="K53" s="9" t="n">
        <f aca="false">SUMIFS(ROBA_U_DOLASKU!$B$6:$B$95,ROBA_U_DOLASKU!$A$6:$A$95,A53,ROBA_U_DOLASKU!$H$6:$H$95,1)</f>
        <v>0</v>
      </c>
      <c r="L53" s="9" t="n">
        <f aca="false">SUMIFS(ROBA_U_DOLASKU!$C$6:$C$95,ROBA_U_DOLASKU!$A$6:$A$95,A53,ROBA_U_DOLASKU!$H$6:$H$95,2)</f>
        <v>0</v>
      </c>
      <c r="M53" s="9" t="n">
        <f aca="false">SUMIFS(ROBA_U_DOLASKU!$B$6:$B$95,ROBA_U_DOLASKU!$A$6:$A$95,A53,ROBA_U_DOLASKU!$H$6:$H$95,2)</f>
        <v>0</v>
      </c>
      <c r="N53" s="9" t="n">
        <f aca="false">SUMIFS(ROBA_U_DOLASKU!$C$6:$C$95,ROBA_U_DOLASKU!$A$6:$A$95,A53,ROBA_U_DOLASKU!$H$6:$H$95,3)</f>
        <v>0</v>
      </c>
      <c r="O53" s="9" t="n">
        <f aca="false">SUMIFS(ROBA_U_DOLASKU!$B$6:$B$95,ROBA_U_DOLASKU!$A$6:$A$95,A53,ROBA_U_DOLASKU!$H$6:$H$95,3)</f>
        <v>0</v>
      </c>
      <c r="P53" s="9" t="n">
        <f aca="false">IF(H53&lt;=0,999,IF(O53&gt;0,ROUND((F53-H53*N53+K53+M53+O53)/H53,1),IF(M53&gt;0,ROUND((F53-H53*L53+K53+M53)/H53,1),IF(K53&gt;0,ROUND((F53-H53*J53+K53)/H53,1),I53))))</f>
        <v>6.2</v>
      </c>
      <c r="Q53" s="22" t="str">
        <f aca="false">IF(H53&lt;=0,"Nema prodaje",IF(AND(K53=0,M53=0,O53=0),IF(I53&lt;POSTAVKE!$B$6,"Naruči odmah","Sve u redu"),IF(F53-H53*J53&lt;0,"Rupa za ~"&amp;TEXT(I53,"0.0")&amp;" mj.",IF(AND(M53&gt;0,F53-H53*L53+K53&lt;0),"Rupa nakon 1. dolaska",IF(AND(O53&gt;0,F53-H53*N53+K53+M53&lt;0),"Rupa nakon 2. dolaska",IF(P53&lt;POSTAVKE!$B$6,"Količina nije dovoljna",IF(I53&gt;=POSTAVKE!$B$6,"Sve u redu","Stiže na vrijeme")))))))</f>
        <v>Sve u redu</v>
      </c>
      <c r="S53" s="23" t="n">
        <f aca="false">IFERROR(INDEX(PODACI_PRODAJA!B:B,MATCH($A53,PODACI_PRODAJA!$A:$A,0)),0)</f>
        <v>60</v>
      </c>
      <c r="T53" s="23" t="n">
        <f aca="false">IFERROR(INDEX(PODACI_PRODAJA!C:C,MATCH($A53,PODACI_PRODAJA!$A:$A,0)),0)</f>
        <v>6</v>
      </c>
      <c r="U53" s="23" t="n">
        <f aca="false">IFERROR(INDEX(PODACI_PRODAJA!D:D,MATCH($A53,PODACI_PRODAJA!$A:$A,0)),0)</f>
        <v>30</v>
      </c>
      <c r="V53" s="23" t="n">
        <f aca="false">IFERROR(INDEX(PODACI_PRODAJA!E:E,MATCH($A53,PODACI_PRODAJA!$A:$A,0)),0)</f>
        <v>53</v>
      </c>
      <c r="W53" s="23" t="n">
        <f aca="false">IFERROR(INDEX(PODACI_PRODAJA!F:F,MATCH($A53,PODACI_PRODAJA!$A:$A,0)),0)</f>
        <v>21</v>
      </c>
      <c r="X53" s="23" t="n">
        <f aca="false">IFERROR(INDEX(PODACI_PRODAJA!G:G,MATCH($A53,PODACI_PRODAJA!$A:$A,0)),0)</f>
        <v>3</v>
      </c>
      <c r="Y53" s="23" t="n">
        <f aca="false">IFERROR(INDEX(PODACI_PRODAJA!H:H,MATCH($A53,PODACI_PRODAJA!$A:$A,0)),0)</f>
        <v>35</v>
      </c>
      <c r="Z53" s="23" t="n">
        <f aca="false">IFERROR(INDEX(PODACI_PRODAJA!I:I,MATCH($A53,PODACI_PRODAJA!$A:$A,0)),0)</f>
        <v>0</v>
      </c>
      <c r="AA53" s="23" t="n">
        <f aca="false">IFERROR(INDEX(PODACI_PRODAJA!J:J,MATCH($A53,PODACI_PRODAJA!$A:$A,0)),0)</f>
        <v>0</v>
      </c>
      <c r="AB53" s="23" t="n">
        <f aca="false">IFERROR(INDEX(PODACI_PRODAJA!K:K,MATCH($A53,PODACI_PRODAJA!$A:$A,0)),0)</f>
        <v>0</v>
      </c>
      <c r="AC53" s="23" t="n">
        <f aca="false">IFERROR(INDEX(PODACI_PRODAJA!L:L,MATCH($A53,PODACI_PRODAJA!$A:$A,0)),0)</f>
        <v>0</v>
      </c>
      <c r="AD53" s="23" t="n">
        <f aca="false">IFERROR(INDEX(PODACI_PRODAJA!M:M,MATCH($A53,PODACI_PRODAJA!$A:$A,0)),0)</f>
        <v>0</v>
      </c>
    </row>
    <row r="54" customFormat="false" ht="15" hidden="false" customHeight="false" outlineLevel="0" collapsed="false">
      <c r="A54" s="11" t="str">
        <f aca="false">PODACI_ZALIHE!A51</f>
        <v>18241</v>
      </c>
      <c r="B54" s="8" t="str">
        <f aca="false">PODACI_ZALIHE!B51</f>
        <v>GEA OGLEDALO D70 cm</v>
      </c>
      <c r="C54" s="9" t="str">
        <f aca="false">PODACI_ZALIHE!C51</f>
        <v>6032</v>
      </c>
      <c r="D54" s="8" t="str">
        <f aca="false">PODACI_ZALIHE!D51</f>
        <v>HANGZHOU ZIHAN MIRROR INDUSTRY CO., LTD.</v>
      </c>
      <c r="E54" s="19" t="n">
        <f aca="false">IF(PODACI_ZALIHE!E51="","",PODACI_ZALIHE!E51)</f>
        <v>170</v>
      </c>
      <c r="F54" s="20" t="n">
        <f aca="false">PODACI_ZALIHE!F51</f>
        <v>161</v>
      </c>
      <c r="G54" s="19" t="n">
        <f aca="false">IF(E54="","",E54-F54)</f>
        <v>9</v>
      </c>
      <c r="H54" s="9" t="n">
        <f aca="false">PODACI_PRODAJA!N43</f>
        <v>9.5</v>
      </c>
      <c r="I54" s="21" t="n">
        <f aca="false">IF(H54&lt;=0,999,ROUND(F54/H54,1))</f>
        <v>16.9</v>
      </c>
      <c r="J54" s="9" t="n">
        <f aca="false">SUMIFS(ROBA_U_DOLASKU!$C$6:$C$95,ROBA_U_DOLASKU!$A$6:$A$95,A54,ROBA_U_DOLASKU!$H$6:$H$95,1)</f>
        <v>0</v>
      </c>
      <c r="K54" s="9" t="n">
        <f aca="false">SUMIFS(ROBA_U_DOLASKU!$B$6:$B$95,ROBA_U_DOLASKU!$A$6:$A$95,A54,ROBA_U_DOLASKU!$H$6:$H$95,1)</f>
        <v>0</v>
      </c>
      <c r="L54" s="9" t="n">
        <f aca="false">SUMIFS(ROBA_U_DOLASKU!$C$6:$C$95,ROBA_U_DOLASKU!$A$6:$A$95,A54,ROBA_U_DOLASKU!$H$6:$H$95,2)</f>
        <v>0</v>
      </c>
      <c r="M54" s="9" t="n">
        <f aca="false">SUMIFS(ROBA_U_DOLASKU!$B$6:$B$95,ROBA_U_DOLASKU!$A$6:$A$95,A54,ROBA_U_DOLASKU!$H$6:$H$95,2)</f>
        <v>0</v>
      </c>
      <c r="N54" s="9" t="n">
        <f aca="false">SUMIFS(ROBA_U_DOLASKU!$C$6:$C$95,ROBA_U_DOLASKU!$A$6:$A$95,A54,ROBA_U_DOLASKU!$H$6:$H$95,3)</f>
        <v>0</v>
      </c>
      <c r="O54" s="9" t="n">
        <f aca="false">SUMIFS(ROBA_U_DOLASKU!$B$6:$B$95,ROBA_U_DOLASKU!$A$6:$A$95,A54,ROBA_U_DOLASKU!$H$6:$H$95,3)</f>
        <v>0</v>
      </c>
      <c r="P54" s="9" t="n">
        <f aca="false">IF(H54&lt;=0,999,IF(O54&gt;0,ROUND((F54-H54*N54+K54+M54+O54)/H54,1),IF(M54&gt;0,ROUND((F54-H54*L54+K54+M54)/H54,1),IF(K54&gt;0,ROUND((F54-H54*J54+K54)/H54,1),I54))))</f>
        <v>16.9</v>
      </c>
      <c r="Q54" s="22" t="str">
        <f aca="false">IF(H54&lt;=0,"Nema prodaje",IF(AND(K54=0,M54=0,O54=0),IF(I54&lt;POSTAVKE!$B$6,"Naruči odmah","Sve u redu"),IF(F54-H54*J54&lt;0,"Rupa za ~"&amp;TEXT(I54,"0.0")&amp;" mj.",IF(AND(M54&gt;0,F54-H54*L54+K54&lt;0),"Rupa nakon 1. dolaska",IF(AND(O54&gt;0,F54-H54*N54+K54+M54&lt;0),"Rupa nakon 2. dolaska",IF(P54&lt;POSTAVKE!$B$6,"Količina nije dovoljna",IF(I54&gt;=POSTAVKE!$B$6,"Sve u redu","Stiže na vrijeme")))))))</f>
        <v>Sve u redu</v>
      </c>
      <c r="S54" s="23" t="n">
        <f aca="false">IFERROR(INDEX(PODACI_PRODAJA!B:B,MATCH($A54,PODACI_PRODAJA!$A:$A,0)),0)</f>
        <v>21</v>
      </c>
      <c r="T54" s="23" t="n">
        <f aca="false">IFERROR(INDEX(PODACI_PRODAJA!C:C,MATCH($A54,PODACI_PRODAJA!$A:$A,0)),0)</f>
        <v>1</v>
      </c>
      <c r="U54" s="23" t="n">
        <f aca="false">IFERROR(INDEX(PODACI_PRODAJA!D:D,MATCH($A54,PODACI_PRODAJA!$A:$A,0)),0)</f>
        <v>48</v>
      </c>
      <c r="V54" s="23" t="n">
        <f aca="false">IFERROR(INDEX(PODACI_PRODAJA!E:E,MATCH($A54,PODACI_PRODAJA!$A:$A,0)),0)</f>
        <v>6</v>
      </c>
      <c r="W54" s="23" t="n">
        <f aca="false">IFERROR(INDEX(PODACI_PRODAJA!F:F,MATCH($A54,PODACI_PRODAJA!$A:$A,0)),0)</f>
        <v>0</v>
      </c>
      <c r="X54" s="23" t="n">
        <f aca="false">IFERROR(INDEX(PODACI_PRODAJA!G:G,MATCH($A54,PODACI_PRODAJA!$A:$A,0)),0)</f>
        <v>0</v>
      </c>
      <c r="Y54" s="23" t="n">
        <f aca="false">IFERROR(INDEX(PODACI_PRODAJA!H:H,MATCH($A54,PODACI_PRODAJA!$A:$A,0)),0)</f>
        <v>0</v>
      </c>
      <c r="Z54" s="23" t="n">
        <f aca="false">IFERROR(INDEX(PODACI_PRODAJA!I:I,MATCH($A54,PODACI_PRODAJA!$A:$A,0)),0)</f>
        <v>0</v>
      </c>
      <c r="AA54" s="23" t="n">
        <f aca="false">IFERROR(INDEX(PODACI_PRODAJA!J:J,MATCH($A54,PODACI_PRODAJA!$A:$A,0)),0)</f>
        <v>9</v>
      </c>
      <c r="AB54" s="23" t="n">
        <f aca="false">IFERROR(INDEX(PODACI_PRODAJA!K:K,MATCH($A54,PODACI_PRODAJA!$A:$A,0)),0)</f>
        <v>0</v>
      </c>
      <c r="AC54" s="23" t="n">
        <f aca="false">IFERROR(INDEX(PODACI_PRODAJA!L:L,MATCH($A54,PODACI_PRODAJA!$A:$A,0)),0)</f>
        <v>0</v>
      </c>
      <c r="AD54" s="23" t="n">
        <f aca="false">IFERROR(INDEX(PODACI_PRODAJA!M:M,MATCH($A54,PODACI_PRODAJA!$A:$A,0)),0)</f>
        <v>0</v>
      </c>
    </row>
    <row r="55" customFormat="false" ht="15" hidden="false" customHeight="false" outlineLevel="0" collapsed="false">
      <c r="A55" s="11" t="str">
        <f aca="false">PODACI_ZALIHE!A52</f>
        <v>003977</v>
      </c>
      <c r="B55" s="8" t="str">
        <f aca="false">PODACI_ZALIHE!B52</f>
        <v>VERONA 3u1 SET MIJEŠALICA</v>
      </c>
      <c r="C55" s="9" t="str">
        <f aca="false">PODACI_ZALIHE!C52</f>
        <v>4053</v>
      </c>
      <c r="D55" s="8" t="str">
        <f aca="false">PODACI_ZALIHE!D52</f>
        <v>TAIZHOU ZHENGSHING VALVE CO .,LTD</v>
      </c>
      <c r="E55" s="19" t="n">
        <f aca="false">IF(PODACI_ZALIHE!E52="","",PODACI_ZALIHE!E52)</f>
        <v>157</v>
      </c>
      <c r="F55" s="20" t="n">
        <f aca="false">PODACI_ZALIHE!F52</f>
        <v>157</v>
      </c>
      <c r="G55" s="19" t="n">
        <f aca="false">IF(E55="","",E55-F55)</f>
        <v>0</v>
      </c>
      <c r="H55" s="9" t="n">
        <f aca="false">PODACI_PRODAJA!N64</f>
        <v>8.13</v>
      </c>
      <c r="I55" s="21" t="n">
        <f aca="false">IF(H55&lt;=0,999,ROUND(F55/H55,1))</f>
        <v>19.3</v>
      </c>
      <c r="J55" s="9" t="n">
        <f aca="false">SUMIFS(ROBA_U_DOLASKU!$C$6:$C$95,ROBA_U_DOLASKU!$A$6:$A$95,A55,ROBA_U_DOLASKU!$H$6:$H$95,1)</f>
        <v>0</v>
      </c>
      <c r="K55" s="9" t="n">
        <f aca="false">SUMIFS(ROBA_U_DOLASKU!$B$6:$B$95,ROBA_U_DOLASKU!$A$6:$A$95,A55,ROBA_U_DOLASKU!$H$6:$H$95,1)</f>
        <v>0</v>
      </c>
      <c r="L55" s="9" t="n">
        <f aca="false">SUMIFS(ROBA_U_DOLASKU!$C$6:$C$95,ROBA_U_DOLASKU!$A$6:$A$95,A55,ROBA_U_DOLASKU!$H$6:$H$95,2)</f>
        <v>0</v>
      </c>
      <c r="M55" s="9" t="n">
        <f aca="false">SUMIFS(ROBA_U_DOLASKU!$B$6:$B$95,ROBA_U_DOLASKU!$A$6:$A$95,A55,ROBA_U_DOLASKU!$H$6:$H$95,2)</f>
        <v>0</v>
      </c>
      <c r="N55" s="9" t="n">
        <f aca="false">SUMIFS(ROBA_U_DOLASKU!$C$6:$C$95,ROBA_U_DOLASKU!$A$6:$A$95,A55,ROBA_U_DOLASKU!$H$6:$H$95,3)</f>
        <v>0</v>
      </c>
      <c r="O55" s="9" t="n">
        <f aca="false">SUMIFS(ROBA_U_DOLASKU!$B$6:$B$95,ROBA_U_DOLASKU!$A$6:$A$95,A55,ROBA_U_DOLASKU!$H$6:$H$95,3)</f>
        <v>0</v>
      </c>
      <c r="P55" s="9" t="n">
        <f aca="false">IF(H55&lt;=0,999,IF(O55&gt;0,ROUND((F55-H55*N55+K55+M55+O55)/H55,1),IF(M55&gt;0,ROUND((F55-H55*L55+K55+M55)/H55,1),IF(K55&gt;0,ROUND((F55-H55*J55+K55)/H55,1),I55))))</f>
        <v>19.3</v>
      </c>
      <c r="Q55" s="22" t="str">
        <f aca="false">IF(H55&lt;=0,"Nema prodaje",IF(AND(K55=0,M55=0,O55=0),IF(I55&lt;POSTAVKE!$B$6,"Naruči odmah","Sve u redu"),IF(F55-H55*J55&lt;0,"Rupa za ~"&amp;TEXT(I55,"0.0")&amp;" mj.",IF(AND(M55&gt;0,F55-H55*L55+K55&lt;0),"Rupa nakon 1. dolaska",IF(AND(O55&gt;0,F55-H55*N55+K55+M55&lt;0),"Rupa nakon 2. dolaska",IF(P55&lt;POSTAVKE!$B$6,"Količina nije dovoljna",IF(I55&gt;=POSTAVKE!$B$6,"Sve u redu","Stiže na vrijeme")))))))</f>
        <v>Sve u redu</v>
      </c>
      <c r="S55" s="23" t="n">
        <f aca="false">IFERROR(INDEX(PODACI_PRODAJA!B:B,MATCH($A55,PODACI_PRODAJA!$A:$A,0)),0)</f>
        <v>11</v>
      </c>
      <c r="T55" s="23" t="n">
        <f aca="false">IFERROR(INDEX(PODACI_PRODAJA!C:C,MATCH($A55,PODACI_PRODAJA!$A:$A,0)),0)</f>
        <v>10</v>
      </c>
      <c r="U55" s="23" t="n">
        <f aca="false">IFERROR(INDEX(PODACI_PRODAJA!D:D,MATCH($A55,PODACI_PRODAJA!$A:$A,0)),0)</f>
        <v>11</v>
      </c>
      <c r="V55" s="23" t="n">
        <f aca="false">IFERROR(INDEX(PODACI_PRODAJA!E:E,MATCH($A55,PODACI_PRODAJA!$A:$A,0)),0)</f>
        <v>2</v>
      </c>
      <c r="W55" s="23" t="n">
        <f aca="false">IFERROR(INDEX(PODACI_PRODAJA!F:F,MATCH($A55,PODACI_PRODAJA!$A:$A,0)),0)</f>
        <v>11</v>
      </c>
      <c r="X55" s="23" t="n">
        <f aca="false">IFERROR(INDEX(PODACI_PRODAJA!G:G,MATCH($A55,PODACI_PRODAJA!$A:$A,0)),0)</f>
        <v>0</v>
      </c>
      <c r="Y55" s="23" t="n">
        <f aca="false">IFERROR(INDEX(PODACI_PRODAJA!H:H,MATCH($A55,PODACI_PRODAJA!$A:$A,0)),0)</f>
        <v>11</v>
      </c>
      <c r="Z55" s="23" t="n">
        <f aca="false">IFERROR(INDEX(PODACI_PRODAJA!I:I,MATCH($A55,PODACI_PRODAJA!$A:$A,0)),0)</f>
        <v>9</v>
      </c>
      <c r="AA55" s="23" t="n">
        <f aca="false">IFERROR(INDEX(PODACI_PRODAJA!J:J,MATCH($A55,PODACI_PRODAJA!$A:$A,0)),0)</f>
        <v>0</v>
      </c>
      <c r="AB55" s="23" t="n">
        <f aca="false">IFERROR(INDEX(PODACI_PRODAJA!K:K,MATCH($A55,PODACI_PRODAJA!$A:$A,0)),0)</f>
        <v>0</v>
      </c>
      <c r="AC55" s="23" t="n">
        <f aca="false">IFERROR(INDEX(PODACI_PRODAJA!L:L,MATCH($A55,PODACI_PRODAJA!$A:$A,0)),0)</f>
        <v>0</v>
      </c>
      <c r="AD55" s="23" t="n">
        <f aca="false">IFERROR(INDEX(PODACI_PRODAJA!M:M,MATCH($A55,PODACI_PRODAJA!$A:$A,0)),0)</f>
        <v>0</v>
      </c>
    </row>
    <row r="56" customFormat="false" ht="15" hidden="false" customHeight="false" outlineLevel="0" collapsed="false">
      <c r="A56" s="11" t="str">
        <f aca="false">PODACI_ZALIHE!A53</f>
        <v>17180</v>
      </c>
      <c r="B56" s="8" t="str">
        <f aca="false">PODACI_ZALIHE!B53</f>
        <v>REFLECT  DRŽAČ TOALETNOG PAPIRA - KROM</v>
      </c>
      <c r="C56" s="9" t="str">
        <f aca="false">PODACI_ZALIHE!C53</f>
        <v>6458</v>
      </c>
      <c r="D56" s="8" t="str">
        <f aca="false">PODACI_ZALIHE!D53</f>
        <v>BOJIA TRADING LIMITED</v>
      </c>
      <c r="E56" s="19" t="n">
        <f aca="false">IF(PODACI_ZALIHE!E53="","",PODACI_ZALIHE!E53)</f>
        <v>149</v>
      </c>
      <c r="F56" s="20" t="n">
        <f aca="false">PODACI_ZALIHE!F53</f>
        <v>149</v>
      </c>
      <c r="G56" s="19" t="n">
        <f aca="false">IF(E56="","",E56-F56)</f>
        <v>0</v>
      </c>
      <c r="H56" s="9" t="n">
        <f aca="false">PODACI_PRODAJA!N597</f>
        <v>7.38</v>
      </c>
      <c r="I56" s="21" t="n">
        <f aca="false">IF(H56&lt;=0,999,ROUND(F56/H56,1))</f>
        <v>20.2</v>
      </c>
      <c r="J56" s="9" t="n">
        <f aca="false">SUMIFS(ROBA_U_DOLASKU!$C$6:$C$95,ROBA_U_DOLASKU!$A$6:$A$95,A56,ROBA_U_DOLASKU!$H$6:$H$95,1)</f>
        <v>0</v>
      </c>
      <c r="K56" s="9" t="n">
        <f aca="false">SUMIFS(ROBA_U_DOLASKU!$B$6:$B$95,ROBA_U_DOLASKU!$A$6:$A$95,A56,ROBA_U_DOLASKU!$H$6:$H$95,1)</f>
        <v>0</v>
      </c>
      <c r="L56" s="9" t="n">
        <f aca="false">SUMIFS(ROBA_U_DOLASKU!$C$6:$C$95,ROBA_U_DOLASKU!$A$6:$A$95,A56,ROBA_U_DOLASKU!$H$6:$H$95,2)</f>
        <v>0</v>
      </c>
      <c r="M56" s="9" t="n">
        <f aca="false">SUMIFS(ROBA_U_DOLASKU!$B$6:$B$95,ROBA_U_DOLASKU!$A$6:$A$95,A56,ROBA_U_DOLASKU!$H$6:$H$95,2)</f>
        <v>0</v>
      </c>
      <c r="N56" s="9" t="n">
        <f aca="false">SUMIFS(ROBA_U_DOLASKU!$C$6:$C$95,ROBA_U_DOLASKU!$A$6:$A$95,A56,ROBA_U_DOLASKU!$H$6:$H$95,3)</f>
        <v>0</v>
      </c>
      <c r="O56" s="9" t="n">
        <f aca="false">SUMIFS(ROBA_U_DOLASKU!$B$6:$B$95,ROBA_U_DOLASKU!$A$6:$A$95,A56,ROBA_U_DOLASKU!$H$6:$H$95,3)</f>
        <v>0</v>
      </c>
      <c r="P56" s="9" t="n">
        <f aca="false">IF(H56&lt;=0,999,IF(O56&gt;0,ROUND((F56-H56*N56+K56+M56+O56)/H56,1),IF(M56&gt;0,ROUND((F56-H56*L56+K56+M56)/H56,1),IF(K56&gt;0,ROUND((F56-H56*J56+K56)/H56,1),I56))))</f>
        <v>20.2</v>
      </c>
      <c r="Q56" s="22" t="str">
        <f aca="false">IF(H56&lt;=0,"Nema prodaje",IF(AND(K56=0,M56=0,O56=0),IF(I56&lt;POSTAVKE!$B$6,"Naruči odmah","Sve u redu"),IF(F56-H56*J56&lt;0,"Rupa za ~"&amp;TEXT(I56,"0.0")&amp;" mj.",IF(AND(M56&gt;0,F56-H56*L56+K56&lt;0),"Rupa nakon 1. dolaska",IF(AND(O56&gt;0,F56-H56*N56+K56+M56&lt;0),"Rupa nakon 2. dolaska",IF(P56&lt;POSTAVKE!$B$6,"Količina nije dovoljna",IF(I56&gt;=POSTAVKE!$B$6,"Sve u redu","Stiže na vrijeme")))))))</f>
        <v>Sve u redu</v>
      </c>
      <c r="S56" s="23" t="n">
        <f aca="false">IFERROR(INDEX(PODACI_PRODAJA!B:B,MATCH($A56,PODACI_PRODAJA!$A:$A,0)),0)</f>
        <v>0</v>
      </c>
      <c r="T56" s="23" t="n">
        <f aca="false">IFERROR(INDEX(PODACI_PRODAJA!C:C,MATCH($A56,PODACI_PRODAJA!$A:$A,0)),0)</f>
        <v>1</v>
      </c>
      <c r="U56" s="23" t="n">
        <f aca="false">IFERROR(INDEX(PODACI_PRODAJA!D:D,MATCH($A56,PODACI_PRODAJA!$A:$A,0)),0)</f>
        <v>21</v>
      </c>
      <c r="V56" s="23" t="n">
        <f aca="false">IFERROR(INDEX(PODACI_PRODAJA!E:E,MATCH($A56,PODACI_PRODAJA!$A:$A,0)),0)</f>
        <v>4</v>
      </c>
      <c r="W56" s="23" t="n">
        <f aca="false">IFERROR(INDEX(PODACI_PRODAJA!F:F,MATCH($A56,PODACI_PRODAJA!$A:$A,0)),0)</f>
        <v>5</v>
      </c>
      <c r="X56" s="23" t="n">
        <f aca="false">IFERROR(INDEX(PODACI_PRODAJA!G:G,MATCH($A56,PODACI_PRODAJA!$A:$A,0)),0)</f>
        <v>21</v>
      </c>
      <c r="Y56" s="23" t="n">
        <f aca="false">IFERROR(INDEX(PODACI_PRODAJA!H:H,MATCH($A56,PODACI_PRODAJA!$A:$A,0)),0)</f>
        <v>5</v>
      </c>
      <c r="Z56" s="23" t="n">
        <f aca="false">IFERROR(INDEX(PODACI_PRODAJA!I:I,MATCH($A56,PODACI_PRODAJA!$A:$A,0)),0)</f>
        <v>2</v>
      </c>
      <c r="AA56" s="23" t="n">
        <f aca="false">IFERROR(INDEX(PODACI_PRODAJA!J:J,MATCH($A56,PODACI_PRODAJA!$A:$A,0)),0)</f>
        <v>0</v>
      </c>
      <c r="AB56" s="23" t="n">
        <f aca="false">IFERROR(INDEX(PODACI_PRODAJA!K:K,MATCH($A56,PODACI_PRODAJA!$A:$A,0)),0)</f>
        <v>0</v>
      </c>
      <c r="AC56" s="23" t="n">
        <f aca="false">IFERROR(INDEX(PODACI_PRODAJA!L:L,MATCH($A56,PODACI_PRODAJA!$A:$A,0)),0)</f>
        <v>0</v>
      </c>
      <c r="AD56" s="23" t="n">
        <f aca="false">IFERROR(INDEX(PODACI_PRODAJA!M:M,MATCH($A56,PODACI_PRODAJA!$A:$A,0)),0)</f>
        <v>0</v>
      </c>
    </row>
    <row r="57" customFormat="false" ht="15" hidden="false" customHeight="false" outlineLevel="0" collapsed="false">
      <c r="A57" s="11" t="str">
        <f aca="false">PODACI_ZALIHE!A54</f>
        <v>18245</v>
      </c>
      <c r="B57" s="8" t="str">
        <f aca="false">PODACI_ZALIHE!B54</f>
        <v>ZOYA GOLD OGLEDALO R 60 cm</v>
      </c>
      <c r="C57" s="9" t="str">
        <f aca="false">PODACI_ZALIHE!C54</f>
        <v>6032</v>
      </c>
      <c r="D57" s="8" t="str">
        <f aca="false">PODACI_ZALIHE!D54</f>
        <v>HANGZHOU ZIHAN MIRROR INDUSTRY CO., LTD.</v>
      </c>
      <c r="E57" s="19" t="n">
        <f aca="false">IF(PODACI_ZALIHE!E54="","",PODACI_ZALIHE!E54)</f>
        <v>147</v>
      </c>
      <c r="F57" s="20" t="n">
        <f aca="false">PODACI_ZALIHE!F54</f>
        <v>146</v>
      </c>
      <c r="G57" s="19" t="n">
        <f aca="false">IF(E57="","",E57-F57)</f>
        <v>1</v>
      </c>
      <c r="H57" s="9" t="n">
        <f aca="false">PODACI_PRODAJA!N62</f>
        <v>11.25</v>
      </c>
      <c r="I57" s="21" t="n">
        <f aca="false">IF(H57&lt;=0,999,ROUND(F57/H57,1))</f>
        <v>13</v>
      </c>
      <c r="J57" s="9" t="n">
        <f aca="false">SUMIFS(ROBA_U_DOLASKU!$C$6:$C$95,ROBA_U_DOLASKU!$A$6:$A$95,A57,ROBA_U_DOLASKU!$H$6:$H$95,1)</f>
        <v>0</v>
      </c>
      <c r="K57" s="9" t="n">
        <f aca="false">SUMIFS(ROBA_U_DOLASKU!$B$6:$B$95,ROBA_U_DOLASKU!$A$6:$A$95,A57,ROBA_U_DOLASKU!$H$6:$H$95,1)</f>
        <v>0</v>
      </c>
      <c r="L57" s="9" t="n">
        <f aca="false">SUMIFS(ROBA_U_DOLASKU!$C$6:$C$95,ROBA_U_DOLASKU!$A$6:$A$95,A57,ROBA_U_DOLASKU!$H$6:$H$95,2)</f>
        <v>0</v>
      </c>
      <c r="M57" s="9" t="n">
        <f aca="false">SUMIFS(ROBA_U_DOLASKU!$B$6:$B$95,ROBA_U_DOLASKU!$A$6:$A$95,A57,ROBA_U_DOLASKU!$H$6:$H$95,2)</f>
        <v>0</v>
      </c>
      <c r="N57" s="9" t="n">
        <f aca="false">SUMIFS(ROBA_U_DOLASKU!$C$6:$C$95,ROBA_U_DOLASKU!$A$6:$A$95,A57,ROBA_U_DOLASKU!$H$6:$H$95,3)</f>
        <v>0</v>
      </c>
      <c r="O57" s="9" t="n">
        <f aca="false">SUMIFS(ROBA_U_DOLASKU!$B$6:$B$95,ROBA_U_DOLASKU!$A$6:$A$95,A57,ROBA_U_DOLASKU!$H$6:$H$95,3)</f>
        <v>0</v>
      </c>
      <c r="P57" s="9" t="n">
        <f aca="false">IF(H57&lt;=0,999,IF(O57&gt;0,ROUND((F57-H57*N57+K57+M57+O57)/H57,1),IF(M57&gt;0,ROUND((F57-H57*L57+K57+M57)/H57,1),IF(K57&gt;0,ROUND((F57-H57*J57+K57)/H57,1),I57))))</f>
        <v>13</v>
      </c>
      <c r="Q57" s="22" t="str">
        <f aca="false">IF(H57&lt;=0,"Nema prodaje",IF(AND(K57=0,M57=0,O57=0),IF(I57&lt;POSTAVKE!$B$6,"Naruči odmah","Sve u redu"),IF(F57-H57*J57&lt;0,"Rupa za ~"&amp;TEXT(I57,"0.0")&amp;" mj.",IF(AND(M57&gt;0,F57-H57*L57+K57&lt;0),"Rupa nakon 1. dolaska",IF(AND(O57&gt;0,F57-H57*N57+K57+M57&lt;0),"Rupa nakon 2. dolaska",IF(P57&lt;POSTAVKE!$B$6,"Količina nije dovoljna",IF(I57&gt;=POSTAVKE!$B$6,"Sve u redu","Stiže na vrijeme")))))))</f>
        <v>Sve u redu</v>
      </c>
      <c r="S57" s="23" t="n">
        <f aca="false">IFERROR(INDEX(PODACI_PRODAJA!B:B,MATCH($A57,PODACI_PRODAJA!$A:$A,0)),0)</f>
        <v>12</v>
      </c>
      <c r="T57" s="23" t="n">
        <f aca="false">IFERROR(INDEX(PODACI_PRODAJA!C:C,MATCH($A57,PODACI_PRODAJA!$A:$A,0)),0)</f>
        <v>6</v>
      </c>
      <c r="U57" s="23" t="n">
        <f aca="false">IFERROR(INDEX(PODACI_PRODAJA!D:D,MATCH($A57,PODACI_PRODAJA!$A:$A,0)),0)</f>
        <v>17</v>
      </c>
      <c r="V57" s="23" t="n">
        <f aca="false">IFERROR(INDEX(PODACI_PRODAJA!E:E,MATCH($A57,PODACI_PRODAJA!$A:$A,0)),0)</f>
        <v>15</v>
      </c>
      <c r="W57" s="23" t="n">
        <f aca="false">IFERROR(INDEX(PODACI_PRODAJA!F:F,MATCH($A57,PODACI_PRODAJA!$A:$A,0)),0)</f>
        <v>11</v>
      </c>
      <c r="X57" s="23" t="n">
        <f aca="false">IFERROR(INDEX(PODACI_PRODAJA!G:G,MATCH($A57,PODACI_PRODAJA!$A:$A,0)),0)</f>
        <v>4</v>
      </c>
      <c r="Y57" s="23" t="n">
        <f aca="false">IFERROR(INDEX(PODACI_PRODAJA!H:H,MATCH($A57,PODACI_PRODAJA!$A:$A,0)),0)</f>
        <v>11</v>
      </c>
      <c r="Z57" s="23" t="n">
        <f aca="false">IFERROR(INDEX(PODACI_PRODAJA!I:I,MATCH($A57,PODACI_PRODAJA!$A:$A,0)),0)</f>
        <v>14</v>
      </c>
      <c r="AA57" s="23" t="n">
        <f aca="false">IFERROR(INDEX(PODACI_PRODAJA!J:J,MATCH($A57,PODACI_PRODAJA!$A:$A,0)),0)</f>
        <v>0</v>
      </c>
      <c r="AB57" s="23" t="n">
        <f aca="false">IFERROR(INDEX(PODACI_PRODAJA!K:K,MATCH($A57,PODACI_PRODAJA!$A:$A,0)),0)</f>
        <v>0</v>
      </c>
      <c r="AC57" s="23" t="n">
        <f aca="false">IFERROR(INDEX(PODACI_PRODAJA!L:L,MATCH($A57,PODACI_PRODAJA!$A:$A,0)),0)</f>
        <v>0</v>
      </c>
      <c r="AD57" s="23" t="n">
        <f aca="false">IFERROR(INDEX(PODACI_PRODAJA!M:M,MATCH($A57,PODACI_PRODAJA!$A:$A,0)),0)</f>
        <v>0</v>
      </c>
    </row>
    <row r="58" customFormat="false" ht="15" hidden="false" customHeight="false" outlineLevel="0" collapsed="false">
      <c r="A58" s="11" t="str">
        <f aca="false">PODACI_ZALIHE!A55</f>
        <v>088941</v>
      </c>
      <c r="B58" s="8" t="str">
        <f aca="false">PODACI_ZALIHE!B55</f>
        <v>PILETA UNIVERZALNA CRNA 5/4</v>
      </c>
      <c r="C58" s="9" t="n">
        <f aca="false">PODACI_ZALIHE!C55</f>
        <v>0</v>
      </c>
      <c r="D58" s="8" t="n">
        <f aca="false">PODACI_ZALIHE!D55</f>
        <v>0</v>
      </c>
      <c r="E58" s="19" t="n">
        <f aca="false">IF(PODACI_ZALIHE!E55="","",PODACI_ZALIHE!E55)</f>
        <v>142</v>
      </c>
      <c r="F58" s="20" t="n">
        <f aca="false">PODACI_ZALIHE!F55</f>
        <v>142</v>
      </c>
      <c r="G58" s="19" t="n">
        <f aca="false">IF(E58="","",E58-F58)</f>
        <v>0</v>
      </c>
      <c r="H58" s="9" t="n">
        <f aca="false">PODACI_PRODAJA!N99</f>
        <v>20.63</v>
      </c>
      <c r="I58" s="21" t="n">
        <f aca="false">IF(H58&lt;=0,999,ROUND(F58/H58,1))</f>
        <v>6.9</v>
      </c>
      <c r="J58" s="9" t="n">
        <f aca="false">SUMIFS(ROBA_U_DOLASKU!$C$6:$C$95,ROBA_U_DOLASKU!$A$6:$A$95,A58,ROBA_U_DOLASKU!$H$6:$H$95,1)</f>
        <v>0</v>
      </c>
      <c r="K58" s="9" t="n">
        <f aca="false">SUMIFS(ROBA_U_DOLASKU!$B$6:$B$95,ROBA_U_DOLASKU!$A$6:$A$95,A58,ROBA_U_DOLASKU!$H$6:$H$95,1)</f>
        <v>0</v>
      </c>
      <c r="L58" s="9" t="n">
        <f aca="false">SUMIFS(ROBA_U_DOLASKU!$C$6:$C$95,ROBA_U_DOLASKU!$A$6:$A$95,A58,ROBA_U_DOLASKU!$H$6:$H$95,2)</f>
        <v>0</v>
      </c>
      <c r="M58" s="9" t="n">
        <f aca="false">SUMIFS(ROBA_U_DOLASKU!$B$6:$B$95,ROBA_U_DOLASKU!$A$6:$A$95,A58,ROBA_U_DOLASKU!$H$6:$H$95,2)</f>
        <v>0</v>
      </c>
      <c r="N58" s="9" t="n">
        <f aca="false">SUMIFS(ROBA_U_DOLASKU!$C$6:$C$95,ROBA_U_DOLASKU!$A$6:$A$95,A58,ROBA_U_DOLASKU!$H$6:$H$95,3)</f>
        <v>0</v>
      </c>
      <c r="O58" s="9" t="n">
        <f aca="false">SUMIFS(ROBA_U_DOLASKU!$B$6:$B$95,ROBA_U_DOLASKU!$A$6:$A$95,A58,ROBA_U_DOLASKU!$H$6:$H$95,3)</f>
        <v>0</v>
      </c>
      <c r="P58" s="9" t="n">
        <f aca="false">IF(H58&lt;=0,999,IF(O58&gt;0,ROUND((F58-H58*N58+K58+M58+O58)/H58,1),IF(M58&gt;0,ROUND((F58-H58*L58+K58+M58)/H58,1),IF(K58&gt;0,ROUND((F58-H58*J58+K58)/H58,1),I58))))</f>
        <v>6.9</v>
      </c>
      <c r="Q58" s="22" t="str">
        <f aca="false">IF(H58&lt;=0,"Nema prodaje",IF(AND(K58=0,M58=0,O58=0),IF(I58&lt;POSTAVKE!$B$6,"Naruči odmah","Sve u redu"),IF(F58-H58*J58&lt;0,"Rupa za ~"&amp;TEXT(I58,"0.0")&amp;" mj.",IF(AND(M58&gt;0,F58-H58*L58+K58&lt;0),"Rupa nakon 1. dolaska",IF(AND(O58&gt;0,F58-H58*N58+K58+M58&lt;0),"Rupa nakon 2. dolaska",IF(P58&lt;POSTAVKE!$B$6,"Količina nije dovoljna",IF(I58&gt;=POSTAVKE!$B$6,"Sve u redu","Stiže na vrijeme")))))))</f>
        <v>Sve u redu</v>
      </c>
      <c r="S58" s="23" t="n">
        <f aca="false">IFERROR(INDEX(PODACI_PRODAJA!B:B,MATCH($A58,PODACI_PRODAJA!$A:$A,0)),0)</f>
        <v>6</v>
      </c>
      <c r="T58" s="23" t="n">
        <f aca="false">IFERROR(INDEX(PODACI_PRODAJA!C:C,MATCH($A58,PODACI_PRODAJA!$A:$A,0)),0)</f>
        <v>3</v>
      </c>
      <c r="U58" s="23" t="n">
        <f aca="false">IFERROR(INDEX(PODACI_PRODAJA!D:D,MATCH($A58,PODACI_PRODAJA!$A:$A,0)),0)</f>
        <v>24</v>
      </c>
      <c r="V58" s="23" t="n">
        <f aca="false">IFERROR(INDEX(PODACI_PRODAJA!E:E,MATCH($A58,PODACI_PRODAJA!$A:$A,0)),0)</f>
        <v>23</v>
      </c>
      <c r="W58" s="23" t="n">
        <f aca="false">IFERROR(INDEX(PODACI_PRODAJA!F:F,MATCH($A58,PODACI_PRODAJA!$A:$A,0)),0)</f>
        <v>51</v>
      </c>
      <c r="X58" s="23" t="n">
        <f aca="false">IFERROR(INDEX(PODACI_PRODAJA!G:G,MATCH($A58,PODACI_PRODAJA!$A:$A,0)),0)</f>
        <v>6</v>
      </c>
      <c r="Y58" s="23" t="n">
        <f aca="false">IFERROR(INDEX(PODACI_PRODAJA!H:H,MATCH($A58,PODACI_PRODAJA!$A:$A,0)),0)</f>
        <v>14</v>
      </c>
      <c r="Z58" s="23" t="n">
        <f aca="false">IFERROR(INDEX(PODACI_PRODAJA!I:I,MATCH($A58,PODACI_PRODAJA!$A:$A,0)),0)</f>
        <v>38</v>
      </c>
      <c r="AA58" s="23" t="n">
        <f aca="false">IFERROR(INDEX(PODACI_PRODAJA!J:J,MATCH($A58,PODACI_PRODAJA!$A:$A,0)),0)</f>
        <v>0</v>
      </c>
      <c r="AB58" s="23" t="n">
        <f aca="false">IFERROR(INDEX(PODACI_PRODAJA!K:K,MATCH($A58,PODACI_PRODAJA!$A:$A,0)),0)</f>
        <v>0</v>
      </c>
      <c r="AC58" s="23" t="n">
        <f aca="false">IFERROR(INDEX(PODACI_PRODAJA!L:L,MATCH($A58,PODACI_PRODAJA!$A:$A,0)),0)</f>
        <v>0</v>
      </c>
      <c r="AD58" s="23" t="n">
        <f aca="false">IFERROR(INDEX(PODACI_PRODAJA!M:M,MATCH($A58,PODACI_PRODAJA!$A:$A,0)),0)</f>
        <v>0</v>
      </c>
    </row>
    <row r="59" customFormat="false" ht="15" hidden="false" customHeight="false" outlineLevel="0" collapsed="false">
      <c r="A59" s="11" t="str">
        <f aca="false">PODACI_ZALIHE!A56</f>
        <v>17192</v>
      </c>
      <c r="B59" s="8" t="str">
        <f aca="false">PODACI_ZALIHE!B56</f>
        <v>QUADRA VISEĆA ŠKOLJKA S DASKOM  RIMLESS 510x350x360 mm</v>
      </c>
      <c r="C59" s="9" t="n">
        <f aca="false">PODACI_ZALIHE!C56</f>
        <v>0</v>
      </c>
      <c r="D59" s="8" t="n">
        <f aca="false">PODACI_ZALIHE!D56</f>
        <v>0</v>
      </c>
      <c r="E59" s="19" t="n">
        <f aca="false">IF(PODACI_ZALIHE!E56="","",PODACI_ZALIHE!E56)</f>
        <v>141</v>
      </c>
      <c r="F59" s="20" t="n">
        <f aca="false">PODACI_ZALIHE!F56</f>
        <v>141</v>
      </c>
      <c r="G59" s="19" t="n">
        <f aca="false">IF(E59="","",E59-F59)</f>
        <v>0</v>
      </c>
      <c r="H59" s="9" t="n">
        <f aca="false">PODACI_PRODAJA!N211</f>
        <v>1.5</v>
      </c>
      <c r="I59" s="21" t="n">
        <f aca="false">IF(H59&lt;=0,999,ROUND(F59/H59,1))</f>
        <v>94</v>
      </c>
      <c r="J59" s="9" t="n">
        <f aca="false">SUMIFS(ROBA_U_DOLASKU!$C$6:$C$95,ROBA_U_DOLASKU!$A$6:$A$95,A59,ROBA_U_DOLASKU!$H$6:$H$95,1)</f>
        <v>0</v>
      </c>
      <c r="K59" s="9" t="n">
        <f aca="false">SUMIFS(ROBA_U_DOLASKU!$B$6:$B$95,ROBA_U_DOLASKU!$A$6:$A$95,A59,ROBA_U_DOLASKU!$H$6:$H$95,1)</f>
        <v>0</v>
      </c>
      <c r="L59" s="9" t="n">
        <f aca="false">SUMIFS(ROBA_U_DOLASKU!$C$6:$C$95,ROBA_U_DOLASKU!$A$6:$A$95,A59,ROBA_U_DOLASKU!$H$6:$H$95,2)</f>
        <v>0</v>
      </c>
      <c r="M59" s="9" t="n">
        <f aca="false">SUMIFS(ROBA_U_DOLASKU!$B$6:$B$95,ROBA_U_DOLASKU!$A$6:$A$95,A59,ROBA_U_DOLASKU!$H$6:$H$95,2)</f>
        <v>0</v>
      </c>
      <c r="N59" s="9" t="n">
        <f aca="false">SUMIFS(ROBA_U_DOLASKU!$C$6:$C$95,ROBA_U_DOLASKU!$A$6:$A$95,A59,ROBA_U_DOLASKU!$H$6:$H$95,3)</f>
        <v>0</v>
      </c>
      <c r="O59" s="9" t="n">
        <f aca="false">SUMIFS(ROBA_U_DOLASKU!$B$6:$B$95,ROBA_U_DOLASKU!$A$6:$A$95,A59,ROBA_U_DOLASKU!$H$6:$H$95,3)</f>
        <v>0</v>
      </c>
      <c r="P59" s="9" t="n">
        <f aca="false">IF(H59&lt;=0,999,IF(O59&gt;0,ROUND((F59-H59*N59+K59+M59+O59)/H59,1),IF(M59&gt;0,ROUND((F59-H59*L59+K59+M59)/H59,1),IF(K59&gt;0,ROUND((F59-H59*J59+K59)/H59,1),I59))))</f>
        <v>94</v>
      </c>
      <c r="Q59" s="22" t="str">
        <f aca="false">IF(H59&lt;=0,"Nema prodaje",IF(AND(K59=0,M59=0,O59=0),IF(I59&lt;POSTAVKE!$B$6,"Naruči odmah","Sve u redu"),IF(F59-H59*J59&lt;0,"Rupa za ~"&amp;TEXT(I59,"0.0")&amp;" mj.",IF(AND(M59&gt;0,F59-H59*L59+K59&lt;0),"Rupa nakon 1. dolaska",IF(AND(O59&gt;0,F59-H59*N59+K59+M59&lt;0),"Rupa nakon 2. dolaska",IF(P59&lt;POSTAVKE!$B$6,"Količina nije dovoljna",IF(I59&gt;=POSTAVKE!$B$6,"Sve u redu","Stiže na vrijeme")))))))</f>
        <v>Sve u redu</v>
      </c>
      <c r="S59" s="23" t="n">
        <f aca="false">IFERROR(INDEX(PODACI_PRODAJA!B:B,MATCH($A59,PODACI_PRODAJA!$A:$A,0)),0)</f>
        <v>2</v>
      </c>
      <c r="T59" s="23" t="n">
        <f aca="false">IFERROR(INDEX(PODACI_PRODAJA!C:C,MATCH($A59,PODACI_PRODAJA!$A:$A,0)),0)</f>
        <v>4</v>
      </c>
      <c r="U59" s="23" t="n">
        <f aca="false">IFERROR(INDEX(PODACI_PRODAJA!D:D,MATCH($A59,PODACI_PRODAJA!$A:$A,0)),0)</f>
        <v>2</v>
      </c>
      <c r="V59" s="23" t="n">
        <f aca="false">IFERROR(INDEX(PODACI_PRODAJA!E:E,MATCH($A59,PODACI_PRODAJA!$A:$A,0)),0)</f>
        <v>2</v>
      </c>
      <c r="W59" s="23" t="n">
        <f aca="false">IFERROR(INDEX(PODACI_PRODAJA!F:F,MATCH($A59,PODACI_PRODAJA!$A:$A,0)),0)</f>
        <v>1</v>
      </c>
      <c r="X59" s="23" t="n">
        <f aca="false">IFERROR(INDEX(PODACI_PRODAJA!G:G,MATCH($A59,PODACI_PRODAJA!$A:$A,0)),0)</f>
        <v>0</v>
      </c>
      <c r="Y59" s="23" t="n">
        <f aca="false">IFERROR(INDEX(PODACI_PRODAJA!H:H,MATCH($A59,PODACI_PRODAJA!$A:$A,0)),0)</f>
        <v>1</v>
      </c>
      <c r="Z59" s="23" t="n">
        <f aca="false">IFERROR(INDEX(PODACI_PRODAJA!I:I,MATCH($A59,PODACI_PRODAJA!$A:$A,0)),0)</f>
        <v>0</v>
      </c>
      <c r="AA59" s="23" t="n">
        <f aca="false">IFERROR(INDEX(PODACI_PRODAJA!J:J,MATCH($A59,PODACI_PRODAJA!$A:$A,0)),0)</f>
        <v>0</v>
      </c>
      <c r="AB59" s="23" t="n">
        <f aca="false">IFERROR(INDEX(PODACI_PRODAJA!K:K,MATCH($A59,PODACI_PRODAJA!$A:$A,0)),0)</f>
        <v>0</v>
      </c>
      <c r="AC59" s="23" t="n">
        <f aca="false">IFERROR(INDEX(PODACI_PRODAJA!L:L,MATCH($A59,PODACI_PRODAJA!$A:$A,0)),0)</f>
        <v>0</v>
      </c>
      <c r="AD59" s="23" t="n">
        <f aca="false">IFERROR(INDEX(PODACI_PRODAJA!M:M,MATCH($A59,PODACI_PRODAJA!$A:$A,0)),0)</f>
        <v>0</v>
      </c>
    </row>
    <row r="60" customFormat="false" ht="15" hidden="false" customHeight="false" outlineLevel="0" collapsed="false">
      <c r="A60" s="11" t="str">
        <f aca="false">PODACI_ZALIHE!A57</f>
        <v>042127C</v>
      </c>
      <c r="B60" s="8" t="str">
        <f aca="false">PODACI_ZALIHE!B57</f>
        <v>SHINE C DIA 60 cm LED OGLEDALO SA SENZOROM POKRETA</v>
      </c>
      <c r="C60" s="9" t="str">
        <f aca="false">PODACI_ZALIHE!C57</f>
        <v>6032</v>
      </c>
      <c r="D60" s="8" t="str">
        <f aca="false">PODACI_ZALIHE!D57</f>
        <v>HANGZHOU ZIHAN MIRROR INDUSTRY CO., LTD.</v>
      </c>
      <c r="E60" s="19" t="n">
        <f aca="false">IF(PODACI_ZALIHE!E57="","",PODACI_ZALIHE!E57)</f>
        <v>142</v>
      </c>
      <c r="F60" s="20" t="n">
        <f aca="false">PODACI_ZALIHE!F57</f>
        <v>140</v>
      </c>
      <c r="G60" s="19" t="n">
        <f aca="false">IF(E60="","",E60-F60)</f>
        <v>2</v>
      </c>
      <c r="H60" s="9" t="n">
        <f aca="false">PODACI_PRODAJA!N82</f>
        <v>10.75</v>
      </c>
      <c r="I60" s="21" t="n">
        <f aca="false">IF(H60&lt;=0,999,ROUND(F60/H60,1))</f>
        <v>13</v>
      </c>
      <c r="J60" s="9" t="n">
        <f aca="false">SUMIFS(ROBA_U_DOLASKU!$C$6:$C$95,ROBA_U_DOLASKU!$A$6:$A$95,A60,ROBA_U_DOLASKU!$H$6:$H$95,1)</f>
        <v>0</v>
      </c>
      <c r="K60" s="9" t="n">
        <f aca="false">SUMIFS(ROBA_U_DOLASKU!$B$6:$B$95,ROBA_U_DOLASKU!$A$6:$A$95,A60,ROBA_U_DOLASKU!$H$6:$H$95,1)</f>
        <v>0</v>
      </c>
      <c r="L60" s="9" t="n">
        <f aca="false">SUMIFS(ROBA_U_DOLASKU!$C$6:$C$95,ROBA_U_DOLASKU!$A$6:$A$95,A60,ROBA_U_DOLASKU!$H$6:$H$95,2)</f>
        <v>0</v>
      </c>
      <c r="M60" s="9" t="n">
        <f aca="false">SUMIFS(ROBA_U_DOLASKU!$B$6:$B$95,ROBA_U_DOLASKU!$A$6:$A$95,A60,ROBA_U_DOLASKU!$H$6:$H$95,2)</f>
        <v>0</v>
      </c>
      <c r="N60" s="9" t="n">
        <f aca="false">SUMIFS(ROBA_U_DOLASKU!$C$6:$C$95,ROBA_U_DOLASKU!$A$6:$A$95,A60,ROBA_U_DOLASKU!$H$6:$H$95,3)</f>
        <v>0</v>
      </c>
      <c r="O60" s="9" t="n">
        <f aca="false">SUMIFS(ROBA_U_DOLASKU!$B$6:$B$95,ROBA_U_DOLASKU!$A$6:$A$95,A60,ROBA_U_DOLASKU!$H$6:$H$95,3)</f>
        <v>0</v>
      </c>
      <c r="P60" s="9" t="n">
        <f aca="false">IF(H60&lt;=0,999,IF(O60&gt;0,ROUND((F60-H60*N60+K60+M60+O60)/H60,1),IF(M60&gt;0,ROUND((F60-H60*L60+K60+M60)/H60,1),IF(K60&gt;0,ROUND((F60-H60*J60+K60)/H60,1),I60))))</f>
        <v>13</v>
      </c>
      <c r="Q60" s="22" t="str">
        <f aca="false">IF(H60&lt;=0,"Nema prodaje",IF(AND(K60=0,M60=0,O60=0),IF(I60&lt;POSTAVKE!$B$6,"Naruči odmah","Sve u redu"),IF(F60-H60*J60&lt;0,"Rupa za ~"&amp;TEXT(I60,"0.0")&amp;" mj.",IF(AND(M60&gt;0,F60-H60*L60+K60&lt;0),"Rupa nakon 1. dolaska",IF(AND(O60&gt;0,F60-H60*N60+K60+M60&lt;0),"Rupa nakon 2. dolaska",IF(P60&lt;POSTAVKE!$B$6,"Količina nije dovoljna",IF(I60&gt;=POSTAVKE!$B$6,"Sve u redu","Stiže na vrijeme")))))))</f>
        <v>Sve u redu</v>
      </c>
      <c r="S60" s="23" t="n">
        <f aca="false">IFERROR(INDEX(PODACI_PRODAJA!B:B,MATCH($A60,PODACI_PRODAJA!$A:$A,0)),0)</f>
        <v>8</v>
      </c>
      <c r="T60" s="23" t="n">
        <f aca="false">IFERROR(INDEX(PODACI_PRODAJA!C:C,MATCH($A60,PODACI_PRODAJA!$A:$A,0)),0)</f>
        <v>12</v>
      </c>
      <c r="U60" s="23" t="n">
        <f aca="false">IFERROR(INDEX(PODACI_PRODAJA!D:D,MATCH($A60,PODACI_PRODAJA!$A:$A,0)),0)</f>
        <v>11</v>
      </c>
      <c r="V60" s="23" t="n">
        <f aca="false">IFERROR(INDEX(PODACI_PRODAJA!E:E,MATCH($A60,PODACI_PRODAJA!$A:$A,0)),0)</f>
        <v>13</v>
      </c>
      <c r="W60" s="23" t="n">
        <f aca="false">IFERROR(INDEX(PODACI_PRODAJA!F:F,MATCH($A60,PODACI_PRODAJA!$A:$A,0)),0)</f>
        <v>10</v>
      </c>
      <c r="X60" s="23" t="n">
        <f aca="false">IFERROR(INDEX(PODACI_PRODAJA!G:G,MATCH($A60,PODACI_PRODAJA!$A:$A,0)),0)</f>
        <v>4</v>
      </c>
      <c r="Y60" s="23" t="n">
        <f aca="false">IFERROR(INDEX(PODACI_PRODAJA!H:H,MATCH($A60,PODACI_PRODAJA!$A:$A,0)),0)</f>
        <v>21</v>
      </c>
      <c r="Z60" s="23" t="n">
        <f aca="false">IFERROR(INDEX(PODACI_PRODAJA!I:I,MATCH($A60,PODACI_PRODAJA!$A:$A,0)),0)</f>
        <v>7</v>
      </c>
      <c r="AA60" s="23" t="n">
        <f aca="false">IFERROR(INDEX(PODACI_PRODAJA!J:J,MATCH($A60,PODACI_PRODAJA!$A:$A,0)),0)</f>
        <v>2</v>
      </c>
      <c r="AB60" s="23" t="n">
        <f aca="false">IFERROR(INDEX(PODACI_PRODAJA!K:K,MATCH($A60,PODACI_PRODAJA!$A:$A,0)),0)</f>
        <v>0</v>
      </c>
      <c r="AC60" s="23" t="n">
        <f aca="false">IFERROR(INDEX(PODACI_PRODAJA!L:L,MATCH($A60,PODACI_PRODAJA!$A:$A,0)),0)</f>
        <v>0</v>
      </c>
      <c r="AD60" s="23" t="n">
        <f aca="false">IFERROR(INDEX(PODACI_PRODAJA!M:M,MATCH($A60,PODACI_PRODAJA!$A:$A,0)),0)</f>
        <v>0</v>
      </c>
    </row>
    <row r="61" customFormat="false" ht="15" hidden="false" customHeight="false" outlineLevel="0" collapsed="false">
      <c r="A61" s="11" t="str">
        <f aca="false">PODACI_ZALIHE!A58</f>
        <v>18732</v>
      </c>
      <c r="B61" s="8" t="str">
        <f aca="false">PODACI_ZALIHE!B58</f>
        <v>MONDO L VISEĆA ŠKOLJKA S DASKOM - VORTEX 520x360x350 mm</v>
      </c>
      <c r="C61" s="9" t="str">
        <f aca="false">PODACI_ZALIHE!C58</f>
        <v>7080</v>
      </c>
      <c r="D61" s="8" t="str">
        <f aca="false">PODACI_ZALIHE!D58</f>
        <v>TANGSHAN KARCENT CERAMIC CO.,LTD</v>
      </c>
      <c r="E61" s="19" t="n">
        <f aca="false">IF(PODACI_ZALIHE!E58="","",PODACI_ZALIHE!E58)</f>
        <v>137</v>
      </c>
      <c r="F61" s="20" t="n">
        <f aca="false">PODACI_ZALIHE!F58</f>
        <v>137</v>
      </c>
      <c r="G61" s="19" t="n">
        <f aca="false">IF(E61="","",E61-F61)</f>
        <v>0</v>
      </c>
      <c r="H61" s="9" t="n">
        <f aca="false">PODACI_PRODAJA!N700</f>
        <v>46.5</v>
      </c>
      <c r="I61" s="21" t="n">
        <f aca="false">IF(H61&lt;=0,999,ROUND(F61/H61,1))</f>
        <v>2.9</v>
      </c>
      <c r="J61" s="9" t="n">
        <f aca="false">SUMIFS(ROBA_U_DOLASKU!$C$6:$C$95,ROBA_U_DOLASKU!$A$6:$A$95,A61,ROBA_U_DOLASKU!$H$6:$H$95,1)</f>
        <v>0</v>
      </c>
      <c r="K61" s="9" t="n">
        <f aca="false">SUMIFS(ROBA_U_DOLASKU!$B$6:$B$95,ROBA_U_DOLASKU!$A$6:$A$95,A61,ROBA_U_DOLASKU!$H$6:$H$95,1)</f>
        <v>0</v>
      </c>
      <c r="L61" s="9" t="n">
        <f aca="false">SUMIFS(ROBA_U_DOLASKU!$C$6:$C$95,ROBA_U_DOLASKU!$A$6:$A$95,A61,ROBA_U_DOLASKU!$H$6:$H$95,2)</f>
        <v>0</v>
      </c>
      <c r="M61" s="9" t="n">
        <f aca="false">SUMIFS(ROBA_U_DOLASKU!$B$6:$B$95,ROBA_U_DOLASKU!$A$6:$A$95,A61,ROBA_U_DOLASKU!$H$6:$H$95,2)</f>
        <v>0</v>
      </c>
      <c r="N61" s="9" t="n">
        <f aca="false">SUMIFS(ROBA_U_DOLASKU!$C$6:$C$95,ROBA_U_DOLASKU!$A$6:$A$95,A61,ROBA_U_DOLASKU!$H$6:$H$95,3)</f>
        <v>0</v>
      </c>
      <c r="O61" s="9" t="n">
        <f aca="false">SUMIFS(ROBA_U_DOLASKU!$B$6:$B$95,ROBA_U_DOLASKU!$A$6:$A$95,A61,ROBA_U_DOLASKU!$H$6:$H$95,3)</f>
        <v>0</v>
      </c>
      <c r="P61" s="9" t="n">
        <f aca="false">IF(H61&lt;=0,999,IF(O61&gt;0,ROUND((F61-H61*N61+K61+M61+O61)/H61,1),IF(M61&gt;0,ROUND((F61-H61*L61+K61+M61)/H61,1),IF(K61&gt;0,ROUND((F61-H61*J61+K61)/H61,1),I61))))</f>
        <v>2.9</v>
      </c>
      <c r="Q61" s="22" t="str">
        <f aca="false">IF(H61&lt;=0,"Nema prodaje",IF(AND(K61=0,M61=0,O61=0),IF(I61&lt;POSTAVKE!$B$6,"Naruči odmah","Sve u redu"),IF(F61-H61*J61&lt;0,"Rupa za ~"&amp;TEXT(I61,"0.0")&amp;" mj.",IF(AND(M61&gt;0,F61-H61*L61+K61&lt;0),"Rupa nakon 1. dolaska",IF(AND(O61&gt;0,F61-H61*N61+K61+M61&lt;0),"Rupa nakon 2. dolaska",IF(P61&lt;POSTAVKE!$B$6,"Količina nije dovoljna",IF(I61&gt;=POSTAVKE!$B$6,"Sve u redu","Stiže na vrijeme")))))))</f>
        <v>Naruči odmah</v>
      </c>
      <c r="S61" s="23" t="n">
        <f aca="false">IFERROR(INDEX(PODACI_PRODAJA!B:B,MATCH($A61,PODACI_PRODAJA!$A:$A,0)),0)</f>
        <v>0</v>
      </c>
      <c r="T61" s="23" t="n">
        <f aca="false">IFERROR(INDEX(PODACI_PRODAJA!C:C,MATCH($A61,PODACI_PRODAJA!$A:$A,0)),0)</f>
        <v>0</v>
      </c>
      <c r="U61" s="23" t="n">
        <f aca="false">IFERROR(INDEX(PODACI_PRODAJA!D:D,MATCH($A61,PODACI_PRODAJA!$A:$A,0)),0)</f>
        <v>0</v>
      </c>
      <c r="V61" s="23" t="n">
        <f aca="false">IFERROR(INDEX(PODACI_PRODAJA!E:E,MATCH($A61,PODACI_PRODAJA!$A:$A,0)),0)</f>
        <v>13</v>
      </c>
      <c r="W61" s="23" t="n">
        <f aca="false">IFERROR(INDEX(PODACI_PRODAJA!F:F,MATCH($A61,PODACI_PRODAJA!$A:$A,0)),0)</f>
        <v>24</v>
      </c>
      <c r="X61" s="23" t="n">
        <f aca="false">IFERROR(INDEX(PODACI_PRODAJA!G:G,MATCH($A61,PODACI_PRODAJA!$A:$A,0)),0)</f>
        <v>21</v>
      </c>
      <c r="Y61" s="23" t="n">
        <f aca="false">IFERROR(INDEX(PODACI_PRODAJA!H:H,MATCH($A61,PODACI_PRODAJA!$A:$A,0)),0)</f>
        <v>125</v>
      </c>
      <c r="Z61" s="23" t="n">
        <f aca="false">IFERROR(INDEX(PODACI_PRODAJA!I:I,MATCH($A61,PODACI_PRODAJA!$A:$A,0)),0)</f>
        <v>189</v>
      </c>
      <c r="AA61" s="23" t="n">
        <f aca="false">IFERROR(INDEX(PODACI_PRODAJA!J:J,MATCH($A61,PODACI_PRODAJA!$A:$A,0)),0)</f>
        <v>0</v>
      </c>
      <c r="AB61" s="23" t="n">
        <f aca="false">IFERROR(INDEX(PODACI_PRODAJA!K:K,MATCH($A61,PODACI_PRODAJA!$A:$A,0)),0)</f>
        <v>0</v>
      </c>
      <c r="AC61" s="23" t="n">
        <f aca="false">IFERROR(INDEX(PODACI_PRODAJA!L:L,MATCH($A61,PODACI_PRODAJA!$A:$A,0)),0)</f>
        <v>0</v>
      </c>
      <c r="AD61" s="23" t="n">
        <f aca="false">IFERROR(INDEX(PODACI_PRODAJA!M:M,MATCH($A61,PODACI_PRODAJA!$A:$A,0)),0)</f>
        <v>0</v>
      </c>
    </row>
    <row r="62" customFormat="false" ht="15" hidden="false" customHeight="false" outlineLevel="0" collapsed="false">
      <c r="A62" s="11" t="str">
        <f aca="false">PODACI_ZALIHE!A59</f>
        <v>002337</v>
      </c>
      <c r="B62" s="8" t="str">
        <f aca="false">PODACI_ZALIHE!B59</f>
        <v>ESSEN MIJEŠALICA ZA KADU</v>
      </c>
      <c r="C62" s="9" t="str">
        <f aca="false">PODACI_ZALIHE!C59</f>
        <v>6022</v>
      </c>
      <c r="D62" s="8" t="str">
        <f aca="false">PODACI_ZALIHE!D59</f>
        <v>RUIAN HAIBA SANITARY CO.,LTD</v>
      </c>
      <c r="E62" s="19" t="n">
        <f aca="false">IF(PODACI_ZALIHE!E59="","",PODACI_ZALIHE!E59)</f>
        <v>133</v>
      </c>
      <c r="F62" s="20" t="n">
        <f aca="false">PODACI_ZALIHE!F59</f>
        <v>133</v>
      </c>
      <c r="G62" s="19" t="n">
        <f aca="false">IF(E62="","",E62-F62)</f>
        <v>0</v>
      </c>
      <c r="H62" s="9" t="n">
        <f aca="false">PODACI_PRODAJA!N94</f>
        <v>10.25</v>
      </c>
      <c r="I62" s="21" t="n">
        <f aca="false">IF(H62&lt;=0,999,ROUND(F62/H62,1))</f>
        <v>13</v>
      </c>
      <c r="J62" s="9" t="n">
        <f aca="false">SUMIFS(ROBA_U_DOLASKU!$C$6:$C$95,ROBA_U_DOLASKU!$A$6:$A$95,A62,ROBA_U_DOLASKU!$H$6:$H$95,1)</f>
        <v>0</v>
      </c>
      <c r="K62" s="9" t="n">
        <f aca="false">SUMIFS(ROBA_U_DOLASKU!$B$6:$B$95,ROBA_U_DOLASKU!$A$6:$A$95,A62,ROBA_U_DOLASKU!$H$6:$H$95,1)</f>
        <v>0</v>
      </c>
      <c r="L62" s="9" t="n">
        <f aca="false">SUMIFS(ROBA_U_DOLASKU!$C$6:$C$95,ROBA_U_DOLASKU!$A$6:$A$95,A62,ROBA_U_DOLASKU!$H$6:$H$95,2)</f>
        <v>0</v>
      </c>
      <c r="M62" s="9" t="n">
        <f aca="false">SUMIFS(ROBA_U_DOLASKU!$B$6:$B$95,ROBA_U_DOLASKU!$A$6:$A$95,A62,ROBA_U_DOLASKU!$H$6:$H$95,2)</f>
        <v>0</v>
      </c>
      <c r="N62" s="9" t="n">
        <f aca="false">SUMIFS(ROBA_U_DOLASKU!$C$6:$C$95,ROBA_U_DOLASKU!$A$6:$A$95,A62,ROBA_U_DOLASKU!$H$6:$H$95,3)</f>
        <v>0</v>
      </c>
      <c r="O62" s="9" t="n">
        <f aca="false">SUMIFS(ROBA_U_DOLASKU!$B$6:$B$95,ROBA_U_DOLASKU!$A$6:$A$95,A62,ROBA_U_DOLASKU!$H$6:$H$95,3)</f>
        <v>0</v>
      </c>
      <c r="P62" s="9" t="n">
        <f aca="false">IF(H62&lt;=0,999,IF(O62&gt;0,ROUND((F62-H62*N62+K62+M62+O62)/H62,1),IF(M62&gt;0,ROUND((F62-H62*L62+K62+M62)/H62,1),IF(K62&gt;0,ROUND((F62-H62*J62+K62)/H62,1),I62))))</f>
        <v>13</v>
      </c>
      <c r="Q62" s="22" t="str">
        <f aca="false">IF(H62&lt;=0,"Nema prodaje",IF(AND(K62=0,M62=0,O62=0),IF(I62&lt;POSTAVKE!$B$6,"Naruči odmah","Sve u redu"),IF(F62-H62*J62&lt;0,"Rupa za ~"&amp;TEXT(I62,"0.0")&amp;" mj.",IF(AND(M62&gt;0,F62-H62*L62+K62&lt;0),"Rupa nakon 1. dolaska",IF(AND(O62&gt;0,F62-H62*N62+K62+M62&lt;0),"Rupa nakon 2. dolaska",IF(P62&lt;POSTAVKE!$B$6,"Količina nije dovoljna",IF(I62&gt;=POSTAVKE!$B$6,"Sve u redu","Stiže na vrijeme")))))))</f>
        <v>Sve u redu</v>
      </c>
      <c r="S62" s="23" t="n">
        <f aca="false">IFERROR(INDEX(PODACI_PRODAJA!B:B,MATCH($A62,PODACI_PRODAJA!$A:$A,0)),0)</f>
        <v>6</v>
      </c>
      <c r="T62" s="23" t="n">
        <f aca="false">IFERROR(INDEX(PODACI_PRODAJA!C:C,MATCH($A62,PODACI_PRODAJA!$A:$A,0)),0)</f>
        <v>12</v>
      </c>
      <c r="U62" s="23" t="n">
        <f aca="false">IFERROR(INDEX(PODACI_PRODAJA!D:D,MATCH($A62,PODACI_PRODAJA!$A:$A,0)),0)</f>
        <v>9</v>
      </c>
      <c r="V62" s="23" t="n">
        <f aca="false">IFERROR(INDEX(PODACI_PRODAJA!E:E,MATCH($A62,PODACI_PRODAJA!$A:$A,0)),0)</f>
        <v>12</v>
      </c>
      <c r="W62" s="23" t="n">
        <f aca="false">IFERROR(INDEX(PODACI_PRODAJA!F:F,MATCH($A62,PODACI_PRODAJA!$A:$A,0)),0)</f>
        <v>15</v>
      </c>
      <c r="X62" s="23" t="n">
        <f aca="false">IFERROR(INDEX(PODACI_PRODAJA!G:G,MATCH($A62,PODACI_PRODAJA!$A:$A,0)),0)</f>
        <v>9</v>
      </c>
      <c r="Y62" s="23" t="n">
        <f aca="false">IFERROR(INDEX(PODACI_PRODAJA!H:H,MATCH($A62,PODACI_PRODAJA!$A:$A,0)),0)</f>
        <v>11</v>
      </c>
      <c r="Z62" s="23" t="n">
        <f aca="false">IFERROR(INDEX(PODACI_PRODAJA!I:I,MATCH($A62,PODACI_PRODAJA!$A:$A,0)),0)</f>
        <v>8</v>
      </c>
      <c r="AA62" s="23" t="n">
        <f aca="false">IFERROR(INDEX(PODACI_PRODAJA!J:J,MATCH($A62,PODACI_PRODAJA!$A:$A,0)),0)</f>
        <v>0</v>
      </c>
      <c r="AB62" s="23" t="n">
        <f aca="false">IFERROR(INDEX(PODACI_PRODAJA!K:K,MATCH($A62,PODACI_PRODAJA!$A:$A,0)),0)</f>
        <v>0</v>
      </c>
      <c r="AC62" s="23" t="n">
        <f aca="false">IFERROR(INDEX(PODACI_PRODAJA!L:L,MATCH($A62,PODACI_PRODAJA!$A:$A,0)),0)</f>
        <v>0</v>
      </c>
      <c r="AD62" s="23" t="n">
        <f aca="false">IFERROR(INDEX(PODACI_PRODAJA!M:M,MATCH($A62,PODACI_PRODAJA!$A:$A,0)),0)</f>
        <v>0</v>
      </c>
    </row>
    <row r="63" customFormat="false" ht="15" hidden="false" customHeight="false" outlineLevel="0" collapsed="false">
      <c r="A63" s="11" t="str">
        <f aca="false">PODACI_ZALIHE!A60</f>
        <v>002499</v>
      </c>
      <c r="B63" s="8" t="str">
        <f aca="false">PODACI_ZALIHE!B60</f>
        <v>PILETA 5/4 CLICKCLACK BEZ PRELJEVA</v>
      </c>
      <c r="C63" s="9" t="str">
        <f aca="false">PODACI_ZALIHE!C60</f>
        <v>5808</v>
      </c>
      <c r="D63" s="8" t="str">
        <f aca="false">PODACI_ZALIHE!D60</f>
        <v>TAIZHOU NIXI IMPORT &amp; EXPORT CO., LTD.</v>
      </c>
      <c r="E63" s="19" t="n">
        <f aca="false">IF(PODACI_ZALIHE!E60="","",PODACI_ZALIHE!E60)</f>
        <v>209</v>
      </c>
      <c r="F63" s="20" t="n">
        <f aca="false">PODACI_ZALIHE!F60</f>
        <v>133</v>
      </c>
      <c r="G63" s="19" t="n">
        <f aca="false">IF(E63="","",E63-F63)</f>
        <v>76</v>
      </c>
      <c r="H63" s="9" t="n">
        <f aca="false">PODACI_PRODAJA!N7</f>
        <v>112.13</v>
      </c>
      <c r="I63" s="21" t="n">
        <f aca="false">IF(H63&lt;=0,999,ROUND(F63/H63,1))</f>
        <v>1.2</v>
      </c>
      <c r="J63" s="9" t="n">
        <f aca="false">SUMIFS(ROBA_U_DOLASKU!$C$6:$C$95,ROBA_U_DOLASKU!$A$6:$A$95,A63,ROBA_U_DOLASKU!$H$6:$H$95,1)</f>
        <v>0</v>
      </c>
      <c r="K63" s="9" t="n">
        <f aca="false">SUMIFS(ROBA_U_DOLASKU!$B$6:$B$95,ROBA_U_DOLASKU!$A$6:$A$95,A63,ROBA_U_DOLASKU!$H$6:$H$95,1)</f>
        <v>0</v>
      </c>
      <c r="L63" s="9" t="n">
        <f aca="false">SUMIFS(ROBA_U_DOLASKU!$C$6:$C$95,ROBA_U_DOLASKU!$A$6:$A$95,A63,ROBA_U_DOLASKU!$H$6:$H$95,2)</f>
        <v>0</v>
      </c>
      <c r="M63" s="9" t="n">
        <f aca="false">SUMIFS(ROBA_U_DOLASKU!$B$6:$B$95,ROBA_U_DOLASKU!$A$6:$A$95,A63,ROBA_U_DOLASKU!$H$6:$H$95,2)</f>
        <v>0</v>
      </c>
      <c r="N63" s="9" t="n">
        <f aca="false">SUMIFS(ROBA_U_DOLASKU!$C$6:$C$95,ROBA_U_DOLASKU!$A$6:$A$95,A63,ROBA_U_DOLASKU!$H$6:$H$95,3)</f>
        <v>0</v>
      </c>
      <c r="O63" s="9" t="n">
        <f aca="false">SUMIFS(ROBA_U_DOLASKU!$B$6:$B$95,ROBA_U_DOLASKU!$A$6:$A$95,A63,ROBA_U_DOLASKU!$H$6:$H$95,3)</f>
        <v>0</v>
      </c>
      <c r="P63" s="9" t="n">
        <f aca="false">IF(H63&lt;=0,999,IF(O63&gt;0,ROUND((F63-H63*N63+K63+M63+O63)/H63,1),IF(M63&gt;0,ROUND((F63-H63*L63+K63+M63)/H63,1),IF(K63&gt;0,ROUND((F63-H63*J63+K63)/H63,1),I63))))</f>
        <v>1.2</v>
      </c>
      <c r="Q63" s="22" t="str">
        <f aca="false">IF(H63&lt;=0,"Nema prodaje",IF(AND(K63=0,M63=0,O63=0),IF(I63&lt;POSTAVKE!$B$6,"Naruči odmah","Sve u redu"),IF(F63-H63*J63&lt;0,"Rupa za ~"&amp;TEXT(I63,"0.0")&amp;" mj.",IF(AND(M63&gt;0,F63-H63*L63+K63&lt;0),"Rupa nakon 1. dolaska",IF(AND(O63&gt;0,F63-H63*N63+K63+M63&lt;0),"Rupa nakon 2. dolaska",IF(P63&lt;POSTAVKE!$B$6,"Količina nije dovoljna",IF(I63&gt;=POSTAVKE!$B$6,"Sve u redu","Stiže na vrijeme")))))))</f>
        <v>Naruči odmah</v>
      </c>
      <c r="S63" s="23" t="n">
        <f aca="false">IFERROR(INDEX(PODACI_PRODAJA!B:B,MATCH($A63,PODACI_PRODAJA!$A:$A,0)),0)</f>
        <v>100</v>
      </c>
      <c r="T63" s="23" t="n">
        <f aca="false">IFERROR(INDEX(PODACI_PRODAJA!C:C,MATCH($A63,PODACI_PRODAJA!$A:$A,0)),0)</f>
        <v>88</v>
      </c>
      <c r="U63" s="23" t="n">
        <f aca="false">IFERROR(INDEX(PODACI_PRODAJA!D:D,MATCH($A63,PODACI_PRODAJA!$A:$A,0)),0)</f>
        <v>145</v>
      </c>
      <c r="V63" s="23" t="n">
        <f aca="false">IFERROR(INDEX(PODACI_PRODAJA!E:E,MATCH($A63,PODACI_PRODAJA!$A:$A,0)),0)</f>
        <v>182</v>
      </c>
      <c r="W63" s="23" t="n">
        <f aca="false">IFERROR(INDEX(PODACI_PRODAJA!F:F,MATCH($A63,PODACI_PRODAJA!$A:$A,0)),0)</f>
        <v>76</v>
      </c>
      <c r="X63" s="23" t="n">
        <f aca="false">IFERROR(INDEX(PODACI_PRODAJA!G:G,MATCH($A63,PODACI_PRODAJA!$A:$A,0)),0)</f>
        <v>15</v>
      </c>
      <c r="Y63" s="23" t="n">
        <f aca="false">IFERROR(INDEX(PODACI_PRODAJA!H:H,MATCH($A63,PODACI_PRODAJA!$A:$A,0)),0)</f>
        <v>144</v>
      </c>
      <c r="Z63" s="23" t="n">
        <f aca="false">IFERROR(INDEX(PODACI_PRODAJA!I:I,MATCH($A63,PODACI_PRODAJA!$A:$A,0)),0)</f>
        <v>147</v>
      </c>
      <c r="AA63" s="23" t="n">
        <f aca="false">IFERROR(INDEX(PODACI_PRODAJA!J:J,MATCH($A63,PODACI_PRODAJA!$A:$A,0)),0)</f>
        <v>76</v>
      </c>
      <c r="AB63" s="23" t="n">
        <f aca="false">IFERROR(INDEX(PODACI_PRODAJA!K:K,MATCH($A63,PODACI_PRODAJA!$A:$A,0)),0)</f>
        <v>0</v>
      </c>
      <c r="AC63" s="23" t="n">
        <f aca="false">IFERROR(INDEX(PODACI_PRODAJA!L:L,MATCH($A63,PODACI_PRODAJA!$A:$A,0)),0)</f>
        <v>0</v>
      </c>
      <c r="AD63" s="23" t="n">
        <f aca="false">IFERROR(INDEX(PODACI_PRODAJA!M:M,MATCH($A63,PODACI_PRODAJA!$A:$A,0)),0)</f>
        <v>0</v>
      </c>
    </row>
    <row r="64" customFormat="false" ht="15" hidden="false" customHeight="false" outlineLevel="0" collapsed="false">
      <c r="A64" s="11" t="str">
        <f aca="false">PODACI_ZALIHE!A61</f>
        <v>17216</v>
      </c>
      <c r="B64" s="8" t="str">
        <f aca="false">PODACI_ZALIHE!B61</f>
        <v>IMOLA ZLATNA MIJEŠALICA ZA UMIVAONIK</v>
      </c>
      <c r="C64" s="9" t="n">
        <f aca="false">PODACI_ZALIHE!C61</f>
        <v>0</v>
      </c>
      <c r="D64" s="8" t="n">
        <f aca="false">PODACI_ZALIHE!D61</f>
        <v>0</v>
      </c>
      <c r="E64" s="19" t="n">
        <f aca="false">IF(PODACI_ZALIHE!E61="","",PODACI_ZALIHE!E61)</f>
        <v>131</v>
      </c>
      <c r="F64" s="20" t="n">
        <f aca="false">PODACI_ZALIHE!F61</f>
        <v>131</v>
      </c>
      <c r="G64" s="19" t="n">
        <f aca="false">IF(E64="","",E64-F64)</f>
        <v>0</v>
      </c>
      <c r="H64" s="9" t="n">
        <f aca="false">PODACI_PRODAJA!N606</f>
        <v>2</v>
      </c>
      <c r="I64" s="21" t="n">
        <f aca="false">IF(H64&lt;=0,999,ROUND(F64/H64,1))</f>
        <v>65.5</v>
      </c>
      <c r="J64" s="9" t="n">
        <f aca="false">SUMIFS(ROBA_U_DOLASKU!$C$6:$C$95,ROBA_U_DOLASKU!$A$6:$A$95,A64,ROBA_U_DOLASKU!$H$6:$H$95,1)</f>
        <v>0</v>
      </c>
      <c r="K64" s="9" t="n">
        <f aca="false">SUMIFS(ROBA_U_DOLASKU!$B$6:$B$95,ROBA_U_DOLASKU!$A$6:$A$95,A64,ROBA_U_DOLASKU!$H$6:$H$95,1)</f>
        <v>0</v>
      </c>
      <c r="L64" s="9" t="n">
        <f aca="false">SUMIFS(ROBA_U_DOLASKU!$C$6:$C$95,ROBA_U_DOLASKU!$A$6:$A$95,A64,ROBA_U_DOLASKU!$H$6:$H$95,2)</f>
        <v>0</v>
      </c>
      <c r="M64" s="9" t="n">
        <f aca="false">SUMIFS(ROBA_U_DOLASKU!$B$6:$B$95,ROBA_U_DOLASKU!$A$6:$A$95,A64,ROBA_U_DOLASKU!$H$6:$H$95,2)</f>
        <v>0</v>
      </c>
      <c r="N64" s="9" t="n">
        <f aca="false">SUMIFS(ROBA_U_DOLASKU!$C$6:$C$95,ROBA_U_DOLASKU!$A$6:$A$95,A64,ROBA_U_DOLASKU!$H$6:$H$95,3)</f>
        <v>0</v>
      </c>
      <c r="O64" s="9" t="n">
        <f aca="false">SUMIFS(ROBA_U_DOLASKU!$B$6:$B$95,ROBA_U_DOLASKU!$A$6:$A$95,A64,ROBA_U_DOLASKU!$H$6:$H$95,3)</f>
        <v>0</v>
      </c>
      <c r="P64" s="9" t="n">
        <f aca="false">IF(H64&lt;=0,999,IF(O64&gt;0,ROUND((F64-H64*N64+K64+M64+O64)/H64,1),IF(M64&gt;0,ROUND((F64-H64*L64+K64+M64)/H64,1),IF(K64&gt;0,ROUND((F64-H64*J64+K64)/H64,1),I64))))</f>
        <v>65.5</v>
      </c>
      <c r="Q64" s="22" t="str">
        <f aca="false">IF(H64&lt;=0,"Nema prodaje",IF(AND(K64=0,M64=0,O64=0),IF(I64&lt;POSTAVKE!$B$6,"Naruči odmah","Sve u redu"),IF(F64-H64*J64&lt;0,"Rupa za ~"&amp;TEXT(I64,"0.0")&amp;" mj.",IF(AND(M64&gt;0,F64-H64*L64+K64&lt;0),"Rupa nakon 1. dolaska",IF(AND(O64&gt;0,F64-H64*N64+K64+M64&lt;0),"Rupa nakon 2. dolaska",IF(P64&lt;POSTAVKE!$B$6,"Količina nije dovoljna",IF(I64&gt;=POSTAVKE!$B$6,"Sve u redu","Stiže na vrijeme")))))))</f>
        <v>Sve u redu</v>
      </c>
      <c r="S64" s="23" t="n">
        <f aca="false">IFERROR(INDEX(PODACI_PRODAJA!B:B,MATCH($A64,PODACI_PRODAJA!$A:$A,0)),0)</f>
        <v>0</v>
      </c>
      <c r="T64" s="23" t="n">
        <f aca="false">IFERROR(INDEX(PODACI_PRODAJA!C:C,MATCH($A64,PODACI_PRODAJA!$A:$A,0)),0)</f>
        <v>1</v>
      </c>
      <c r="U64" s="23" t="n">
        <f aca="false">IFERROR(INDEX(PODACI_PRODAJA!D:D,MATCH($A64,PODACI_PRODAJA!$A:$A,0)),0)</f>
        <v>0</v>
      </c>
      <c r="V64" s="23" t="n">
        <f aca="false">IFERROR(INDEX(PODACI_PRODAJA!E:E,MATCH($A64,PODACI_PRODAJA!$A:$A,0)),0)</f>
        <v>3</v>
      </c>
      <c r="W64" s="23" t="n">
        <f aca="false">IFERROR(INDEX(PODACI_PRODAJA!F:F,MATCH($A64,PODACI_PRODAJA!$A:$A,0)),0)</f>
        <v>9</v>
      </c>
      <c r="X64" s="23" t="n">
        <f aca="false">IFERROR(INDEX(PODACI_PRODAJA!G:G,MATCH($A64,PODACI_PRODAJA!$A:$A,0)),0)</f>
        <v>-1</v>
      </c>
      <c r="Y64" s="23" t="n">
        <f aca="false">IFERROR(INDEX(PODACI_PRODAJA!H:H,MATCH($A64,PODACI_PRODAJA!$A:$A,0)),0)</f>
        <v>2</v>
      </c>
      <c r="Z64" s="23" t="n">
        <f aca="false">IFERROR(INDEX(PODACI_PRODAJA!I:I,MATCH($A64,PODACI_PRODAJA!$A:$A,0)),0)</f>
        <v>2</v>
      </c>
      <c r="AA64" s="23" t="n">
        <f aca="false">IFERROR(INDEX(PODACI_PRODAJA!J:J,MATCH($A64,PODACI_PRODAJA!$A:$A,0)),0)</f>
        <v>0</v>
      </c>
      <c r="AB64" s="23" t="n">
        <f aca="false">IFERROR(INDEX(PODACI_PRODAJA!K:K,MATCH($A64,PODACI_PRODAJA!$A:$A,0)),0)</f>
        <v>0</v>
      </c>
      <c r="AC64" s="23" t="n">
        <f aca="false">IFERROR(INDEX(PODACI_PRODAJA!L:L,MATCH($A64,PODACI_PRODAJA!$A:$A,0)),0)</f>
        <v>0</v>
      </c>
      <c r="AD64" s="23" t="n">
        <f aca="false">IFERROR(INDEX(PODACI_PRODAJA!M:M,MATCH($A64,PODACI_PRODAJA!$A:$A,0)),0)</f>
        <v>0</v>
      </c>
    </row>
    <row r="65" customFormat="false" ht="15" hidden="false" customHeight="false" outlineLevel="0" collapsed="false">
      <c r="A65" s="11" t="str">
        <f aca="false">PODACI_ZALIHE!A62</f>
        <v>040113</v>
      </c>
      <c r="B65" s="8" t="str">
        <f aca="false">PODACI_ZALIHE!B62</f>
        <v>AOSTA  - MJEŠALICA ZA UMIVAONIK VISOKA</v>
      </c>
      <c r="C65" s="9" t="str">
        <f aca="false">PODACI_ZALIHE!C62</f>
        <v>4053</v>
      </c>
      <c r="D65" s="8" t="str">
        <f aca="false">PODACI_ZALIHE!D62</f>
        <v>TAIZHOU ZHENGSHING VALVE CO .,LTD</v>
      </c>
      <c r="E65" s="19" t="n">
        <f aca="false">IF(PODACI_ZALIHE!E62="","",PODACI_ZALIHE!E62)</f>
        <v>125</v>
      </c>
      <c r="F65" s="20" t="n">
        <f aca="false">PODACI_ZALIHE!F62</f>
        <v>125</v>
      </c>
      <c r="G65" s="19" t="n">
        <f aca="false">IF(E65="","",E65-F65)</f>
        <v>0</v>
      </c>
      <c r="H65" s="9" t="n">
        <f aca="false">PODACI_PRODAJA!N114</f>
        <v>7.38</v>
      </c>
      <c r="I65" s="21" t="n">
        <f aca="false">IF(H65&lt;=0,999,ROUND(F65/H65,1))</f>
        <v>16.9</v>
      </c>
      <c r="J65" s="9" t="n">
        <f aca="false">SUMIFS(ROBA_U_DOLASKU!$C$6:$C$95,ROBA_U_DOLASKU!$A$6:$A$95,A65,ROBA_U_DOLASKU!$H$6:$H$95,1)</f>
        <v>0</v>
      </c>
      <c r="K65" s="9" t="n">
        <f aca="false">SUMIFS(ROBA_U_DOLASKU!$B$6:$B$95,ROBA_U_DOLASKU!$A$6:$A$95,A65,ROBA_U_DOLASKU!$H$6:$H$95,1)</f>
        <v>0</v>
      </c>
      <c r="L65" s="9" t="n">
        <f aca="false">SUMIFS(ROBA_U_DOLASKU!$C$6:$C$95,ROBA_U_DOLASKU!$A$6:$A$95,A65,ROBA_U_DOLASKU!$H$6:$H$95,2)</f>
        <v>0</v>
      </c>
      <c r="M65" s="9" t="n">
        <f aca="false">SUMIFS(ROBA_U_DOLASKU!$B$6:$B$95,ROBA_U_DOLASKU!$A$6:$A$95,A65,ROBA_U_DOLASKU!$H$6:$H$95,2)</f>
        <v>0</v>
      </c>
      <c r="N65" s="9" t="n">
        <f aca="false">SUMIFS(ROBA_U_DOLASKU!$C$6:$C$95,ROBA_U_DOLASKU!$A$6:$A$95,A65,ROBA_U_DOLASKU!$H$6:$H$95,3)</f>
        <v>0</v>
      </c>
      <c r="O65" s="9" t="n">
        <f aca="false">SUMIFS(ROBA_U_DOLASKU!$B$6:$B$95,ROBA_U_DOLASKU!$A$6:$A$95,A65,ROBA_U_DOLASKU!$H$6:$H$95,3)</f>
        <v>0</v>
      </c>
      <c r="P65" s="9" t="n">
        <f aca="false">IF(H65&lt;=0,999,IF(O65&gt;0,ROUND((F65-H65*N65+K65+M65+O65)/H65,1),IF(M65&gt;0,ROUND((F65-H65*L65+K65+M65)/H65,1),IF(K65&gt;0,ROUND((F65-H65*J65+K65)/H65,1),I65))))</f>
        <v>16.9</v>
      </c>
      <c r="Q65" s="22" t="str">
        <f aca="false">IF(H65&lt;=0,"Nema prodaje",IF(AND(K65=0,M65=0,O65=0),IF(I65&lt;POSTAVKE!$B$6,"Naruči odmah","Sve u redu"),IF(F65-H65*J65&lt;0,"Rupa za ~"&amp;TEXT(I65,"0.0")&amp;" mj.",IF(AND(M65&gt;0,F65-H65*L65+K65&lt;0),"Rupa nakon 1. dolaska",IF(AND(O65&gt;0,F65-H65*N65+K65+M65&lt;0),"Rupa nakon 2. dolaska",IF(P65&lt;POSTAVKE!$B$6,"Količina nije dovoljna",IF(I65&gt;=POSTAVKE!$B$6,"Sve u redu","Stiže na vrijeme")))))))</f>
        <v>Sve u redu</v>
      </c>
      <c r="S65" s="23" t="n">
        <f aca="false">IFERROR(INDEX(PODACI_PRODAJA!B:B,MATCH($A65,PODACI_PRODAJA!$A:$A,0)),0)</f>
        <v>5</v>
      </c>
      <c r="T65" s="23" t="n">
        <f aca="false">IFERROR(INDEX(PODACI_PRODAJA!C:C,MATCH($A65,PODACI_PRODAJA!$A:$A,0)),0)</f>
        <v>8</v>
      </c>
      <c r="U65" s="23" t="n">
        <f aca="false">IFERROR(INDEX(PODACI_PRODAJA!D:D,MATCH($A65,PODACI_PRODAJA!$A:$A,0)),0)</f>
        <v>12</v>
      </c>
      <c r="V65" s="23" t="n">
        <f aca="false">IFERROR(INDEX(PODACI_PRODAJA!E:E,MATCH($A65,PODACI_PRODAJA!$A:$A,0)),0)</f>
        <v>5</v>
      </c>
      <c r="W65" s="23" t="n">
        <f aca="false">IFERROR(INDEX(PODACI_PRODAJA!F:F,MATCH($A65,PODACI_PRODAJA!$A:$A,0)),0)</f>
        <v>6</v>
      </c>
      <c r="X65" s="23" t="n">
        <f aca="false">IFERROR(INDEX(PODACI_PRODAJA!G:G,MATCH($A65,PODACI_PRODAJA!$A:$A,0)),0)</f>
        <v>8</v>
      </c>
      <c r="Y65" s="23" t="n">
        <f aca="false">IFERROR(INDEX(PODACI_PRODAJA!H:H,MATCH($A65,PODACI_PRODAJA!$A:$A,0)),0)</f>
        <v>9</v>
      </c>
      <c r="Z65" s="23" t="n">
        <f aca="false">IFERROR(INDEX(PODACI_PRODAJA!I:I,MATCH($A65,PODACI_PRODAJA!$A:$A,0)),0)</f>
        <v>6</v>
      </c>
      <c r="AA65" s="23" t="n">
        <f aca="false">IFERROR(INDEX(PODACI_PRODAJA!J:J,MATCH($A65,PODACI_PRODAJA!$A:$A,0)),0)</f>
        <v>0</v>
      </c>
      <c r="AB65" s="23" t="n">
        <f aca="false">IFERROR(INDEX(PODACI_PRODAJA!K:K,MATCH($A65,PODACI_PRODAJA!$A:$A,0)),0)</f>
        <v>0</v>
      </c>
      <c r="AC65" s="23" t="n">
        <f aca="false">IFERROR(INDEX(PODACI_PRODAJA!L:L,MATCH($A65,PODACI_PRODAJA!$A:$A,0)),0)</f>
        <v>0</v>
      </c>
      <c r="AD65" s="23" t="n">
        <f aca="false">IFERROR(INDEX(PODACI_PRODAJA!M:M,MATCH($A65,PODACI_PRODAJA!$A:$A,0)),0)</f>
        <v>0</v>
      </c>
    </row>
    <row r="66" customFormat="false" ht="15" hidden="false" customHeight="false" outlineLevel="0" collapsed="false">
      <c r="A66" s="11" t="str">
        <f aca="false">PODACI_ZALIHE!A63</f>
        <v>17208</v>
      </c>
      <c r="B66" s="8" t="str">
        <f aca="false">PODACI_ZALIHE!B63</f>
        <v>IMOLA KROM MIJEŠALICA ZA KADU</v>
      </c>
      <c r="C66" s="9" t="n">
        <f aca="false">PODACI_ZALIHE!C63</f>
        <v>0</v>
      </c>
      <c r="D66" s="8" t="n">
        <f aca="false">PODACI_ZALIHE!D63</f>
        <v>0</v>
      </c>
      <c r="E66" s="19" t="n">
        <f aca="false">IF(PODACI_ZALIHE!E63="","",PODACI_ZALIHE!E63)</f>
        <v>121</v>
      </c>
      <c r="F66" s="20" t="n">
        <f aca="false">PODACI_ZALIHE!F63</f>
        <v>121</v>
      </c>
      <c r="G66" s="19" t="n">
        <f aca="false">IF(E66="","",E66-F66)</f>
        <v>0</v>
      </c>
      <c r="H66" s="9" t="n">
        <f aca="false">PODACI_PRODAJA!N268</f>
        <v>1.38</v>
      </c>
      <c r="I66" s="21" t="n">
        <f aca="false">IF(H66&lt;=0,999,ROUND(F66/H66,1))</f>
        <v>87.7</v>
      </c>
      <c r="J66" s="9" t="n">
        <f aca="false">SUMIFS(ROBA_U_DOLASKU!$C$6:$C$95,ROBA_U_DOLASKU!$A$6:$A$95,A66,ROBA_U_DOLASKU!$H$6:$H$95,1)</f>
        <v>0</v>
      </c>
      <c r="K66" s="9" t="n">
        <f aca="false">SUMIFS(ROBA_U_DOLASKU!$B$6:$B$95,ROBA_U_DOLASKU!$A$6:$A$95,A66,ROBA_U_DOLASKU!$H$6:$H$95,1)</f>
        <v>0</v>
      </c>
      <c r="L66" s="9" t="n">
        <f aca="false">SUMIFS(ROBA_U_DOLASKU!$C$6:$C$95,ROBA_U_DOLASKU!$A$6:$A$95,A66,ROBA_U_DOLASKU!$H$6:$H$95,2)</f>
        <v>0</v>
      </c>
      <c r="M66" s="9" t="n">
        <f aca="false">SUMIFS(ROBA_U_DOLASKU!$B$6:$B$95,ROBA_U_DOLASKU!$A$6:$A$95,A66,ROBA_U_DOLASKU!$H$6:$H$95,2)</f>
        <v>0</v>
      </c>
      <c r="N66" s="9" t="n">
        <f aca="false">SUMIFS(ROBA_U_DOLASKU!$C$6:$C$95,ROBA_U_DOLASKU!$A$6:$A$95,A66,ROBA_U_DOLASKU!$H$6:$H$95,3)</f>
        <v>0</v>
      </c>
      <c r="O66" s="9" t="n">
        <f aca="false">SUMIFS(ROBA_U_DOLASKU!$B$6:$B$95,ROBA_U_DOLASKU!$A$6:$A$95,A66,ROBA_U_DOLASKU!$H$6:$H$95,3)</f>
        <v>0</v>
      </c>
      <c r="P66" s="9" t="n">
        <f aca="false">IF(H66&lt;=0,999,IF(O66&gt;0,ROUND((F66-H66*N66+K66+M66+O66)/H66,1),IF(M66&gt;0,ROUND((F66-H66*L66+K66+M66)/H66,1),IF(K66&gt;0,ROUND((F66-H66*J66+K66)/H66,1),I66))))</f>
        <v>87.7</v>
      </c>
      <c r="Q66" s="22" t="str">
        <f aca="false">IF(H66&lt;=0,"Nema prodaje",IF(AND(K66=0,M66=0,O66=0),IF(I66&lt;POSTAVKE!$B$6,"Naruči odmah","Sve u redu"),IF(F66-H66*J66&lt;0,"Rupa za ~"&amp;TEXT(I66,"0.0")&amp;" mj.",IF(AND(M66&gt;0,F66-H66*L66+K66&lt;0),"Rupa nakon 1. dolaska",IF(AND(O66&gt;0,F66-H66*N66+K66+M66&lt;0),"Rupa nakon 2. dolaska",IF(P66&lt;POSTAVKE!$B$6,"Količina nije dovoljna",IF(I66&gt;=POSTAVKE!$B$6,"Sve u redu","Stiže na vrijeme")))))))</f>
        <v>Sve u redu</v>
      </c>
      <c r="S66" s="23" t="n">
        <f aca="false">IFERROR(INDEX(PODACI_PRODAJA!B:B,MATCH($A66,PODACI_PRODAJA!$A:$A,0)),0)</f>
        <v>1</v>
      </c>
      <c r="T66" s="23" t="n">
        <f aca="false">IFERROR(INDEX(PODACI_PRODAJA!C:C,MATCH($A66,PODACI_PRODAJA!$A:$A,0)),0)</f>
        <v>0</v>
      </c>
      <c r="U66" s="23" t="n">
        <f aca="false">IFERROR(INDEX(PODACI_PRODAJA!D:D,MATCH($A66,PODACI_PRODAJA!$A:$A,0)),0)</f>
        <v>1</v>
      </c>
      <c r="V66" s="23" t="n">
        <f aca="false">IFERROR(INDEX(PODACI_PRODAJA!E:E,MATCH($A66,PODACI_PRODAJA!$A:$A,0)),0)</f>
        <v>1</v>
      </c>
      <c r="W66" s="23" t="n">
        <f aca="false">IFERROR(INDEX(PODACI_PRODAJA!F:F,MATCH($A66,PODACI_PRODAJA!$A:$A,0)),0)</f>
        <v>2</v>
      </c>
      <c r="X66" s="23" t="n">
        <f aca="false">IFERROR(INDEX(PODACI_PRODAJA!G:G,MATCH($A66,PODACI_PRODAJA!$A:$A,0)),0)</f>
        <v>5</v>
      </c>
      <c r="Y66" s="23" t="n">
        <f aca="false">IFERROR(INDEX(PODACI_PRODAJA!H:H,MATCH($A66,PODACI_PRODAJA!$A:$A,0)),0)</f>
        <v>1</v>
      </c>
      <c r="Z66" s="23" t="n">
        <f aca="false">IFERROR(INDEX(PODACI_PRODAJA!I:I,MATCH($A66,PODACI_PRODAJA!$A:$A,0)),0)</f>
        <v>0</v>
      </c>
      <c r="AA66" s="23" t="n">
        <f aca="false">IFERROR(INDEX(PODACI_PRODAJA!J:J,MATCH($A66,PODACI_PRODAJA!$A:$A,0)),0)</f>
        <v>0</v>
      </c>
      <c r="AB66" s="23" t="n">
        <f aca="false">IFERROR(INDEX(PODACI_PRODAJA!K:K,MATCH($A66,PODACI_PRODAJA!$A:$A,0)),0)</f>
        <v>0</v>
      </c>
      <c r="AC66" s="23" t="n">
        <f aca="false">IFERROR(INDEX(PODACI_PRODAJA!L:L,MATCH($A66,PODACI_PRODAJA!$A:$A,0)),0)</f>
        <v>0</v>
      </c>
      <c r="AD66" s="23" t="n">
        <f aca="false">IFERROR(INDEX(PODACI_PRODAJA!M:M,MATCH($A66,PODACI_PRODAJA!$A:$A,0)),0)</f>
        <v>0</v>
      </c>
    </row>
    <row r="67" customFormat="false" ht="15" hidden="false" customHeight="false" outlineLevel="0" collapsed="false">
      <c r="A67" s="11" t="str">
        <f aca="false">PODACI_ZALIHE!A64</f>
        <v>18006</v>
      </c>
      <c r="B67" s="8" t="str">
        <f aca="false">PODACI_ZALIHE!B64</f>
        <v>VETRO CR TRS 6mm ECO TUŠ STIJENA 140x200</v>
      </c>
      <c r="C67" s="9" t="str">
        <f aca="false">PODACI_ZALIHE!C64</f>
        <v>6762</v>
      </c>
      <c r="D67" s="8" t="str">
        <f aca="false">PODACI_ZALIHE!D64</f>
        <v>ZHEJIANG QUICKLINE SHOWERING CO., LTD.</v>
      </c>
      <c r="E67" s="19" t="n">
        <f aca="false">IF(PODACI_ZALIHE!E64="","",PODACI_ZALIHE!E64)</f>
        <v>121</v>
      </c>
      <c r="F67" s="20" t="n">
        <f aca="false">PODACI_ZALIHE!F64</f>
        <v>121</v>
      </c>
      <c r="G67" s="19" t="n">
        <f aca="false">IF(E67="","",E67-F67)</f>
        <v>0</v>
      </c>
      <c r="H67" s="9" t="n">
        <f aca="false">PODACI_PRODAJA!N647</f>
        <v>16.63</v>
      </c>
      <c r="I67" s="21" t="n">
        <f aca="false">IF(H67&lt;=0,999,ROUND(F67/H67,1))</f>
        <v>7.3</v>
      </c>
      <c r="J67" s="9" t="n">
        <f aca="false">SUMIFS(ROBA_U_DOLASKU!$C$6:$C$95,ROBA_U_DOLASKU!$A$6:$A$95,A67,ROBA_U_DOLASKU!$H$6:$H$95,1)</f>
        <v>0</v>
      </c>
      <c r="K67" s="9" t="n">
        <f aca="false">SUMIFS(ROBA_U_DOLASKU!$B$6:$B$95,ROBA_U_DOLASKU!$A$6:$A$95,A67,ROBA_U_DOLASKU!$H$6:$H$95,1)</f>
        <v>0</v>
      </c>
      <c r="L67" s="9" t="n">
        <f aca="false">SUMIFS(ROBA_U_DOLASKU!$C$6:$C$95,ROBA_U_DOLASKU!$A$6:$A$95,A67,ROBA_U_DOLASKU!$H$6:$H$95,2)</f>
        <v>0</v>
      </c>
      <c r="M67" s="9" t="n">
        <f aca="false">SUMIFS(ROBA_U_DOLASKU!$B$6:$B$95,ROBA_U_DOLASKU!$A$6:$A$95,A67,ROBA_U_DOLASKU!$H$6:$H$95,2)</f>
        <v>0</v>
      </c>
      <c r="N67" s="9" t="n">
        <f aca="false">SUMIFS(ROBA_U_DOLASKU!$C$6:$C$95,ROBA_U_DOLASKU!$A$6:$A$95,A67,ROBA_U_DOLASKU!$H$6:$H$95,3)</f>
        <v>0</v>
      </c>
      <c r="O67" s="9" t="n">
        <f aca="false">SUMIFS(ROBA_U_DOLASKU!$B$6:$B$95,ROBA_U_DOLASKU!$A$6:$A$95,A67,ROBA_U_DOLASKU!$H$6:$H$95,3)</f>
        <v>0</v>
      </c>
      <c r="P67" s="9" t="n">
        <f aca="false">IF(H67&lt;=0,999,IF(O67&gt;0,ROUND((F67-H67*N67+K67+M67+O67)/H67,1),IF(M67&gt;0,ROUND((F67-H67*L67+K67+M67)/H67,1),IF(K67&gt;0,ROUND((F67-H67*J67+K67)/H67,1),I67))))</f>
        <v>7.3</v>
      </c>
      <c r="Q67" s="22" t="str">
        <f aca="false">IF(H67&lt;=0,"Nema prodaje",IF(AND(K67=0,M67=0,O67=0),IF(I67&lt;POSTAVKE!$B$6,"Naruči odmah","Sve u redu"),IF(F67-H67*J67&lt;0,"Rupa za ~"&amp;TEXT(I67,"0.0")&amp;" mj.",IF(AND(M67&gt;0,F67-H67*L67+K67&lt;0),"Rupa nakon 1. dolaska",IF(AND(O67&gt;0,F67-H67*N67+K67+M67&lt;0),"Rupa nakon 2. dolaska",IF(P67&lt;POSTAVKE!$B$6,"Količina nije dovoljna",IF(I67&gt;=POSTAVKE!$B$6,"Sve u redu","Stiže na vrijeme")))))))</f>
        <v>Sve u redu</v>
      </c>
      <c r="S67" s="23" t="n">
        <f aca="false">IFERROR(INDEX(PODACI_PRODAJA!B:B,MATCH($A67,PODACI_PRODAJA!$A:$A,0)),0)</f>
        <v>0</v>
      </c>
      <c r="T67" s="23" t="n">
        <f aca="false">IFERROR(INDEX(PODACI_PRODAJA!C:C,MATCH($A67,PODACI_PRODAJA!$A:$A,0)),0)</f>
        <v>0</v>
      </c>
      <c r="U67" s="23" t="n">
        <f aca="false">IFERROR(INDEX(PODACI_PRODAJA!D:D,MATCH($A67,PODACI_PRODAJA!$A:$A,0)),0)</f>
        <v>35</v>
      </c>
      <c r="V67" s="23" t="n">
        <f aca="false">IFERROR(INDEX(PODACI_PRODAJA!E:E,MATCH($A67,PODACI_PRODAJA!$A:$A,0)),0)</f>
        <v>0</v>
      </c>
      <c r="W67" s="23" t="n">
        <f aca="false">IFERROR(INDEX(PODACI_PRODAJA!F:F,MATCH($A67,PODACI_PRODAJA!$A:$A,0)),0)</f>
        <v>30</v>
      </c>
      <c r="X67" s="23" t="n">
        <f aca="false">IFERROR(INDEX(PODACI_PRODAJA!G:G,MATCH($A67,PODACI_PRODAJA!$A:$A,0)),0)</f>
        <v>15</v>
      </c>
      <c r="Y67" s="23" t="n">
        <f aca="false">IFERROR(INDEX(PODACI_PRODAJA!H:H,MATCH($A67,PODACI_PRODAJA!$A:$A,0)),0)</f>
        <v>0</v>
      </c>
      <c r="Z67" s="23" t="n">
        <f aca="false">IFERROR(INDEX(PODACI_PRODAJA!I:I,MATCH($A67,PODACI_PRODAJA!$A:$A,0)),0)</f>
        <v>53</v>
      </c>
      <c r="AA67" s="23" t="n">
        <f aca="false">IFERROR(INDEX(PODACI_PRODAJA!J:J,MATCH($A67,PODACI_PRODAJA!$A:$A,0)),0)</f>
        <v>0</v>
      </c>
      <c r="AB67" s="23" t="n">
        <f aca="false">IFERROR(INDEX(PODACI_PRODAJA!K:K,MATCH($A67,PODACI_PRODAJA!$A:$A,0)),0)</f>
        <v>0</v>
      </c>
      <c r="AC67" s="23" t="n">
        <f aca="false">IFERROR(INDEX(PODACI_PRODAJA!L:L,MATCH($A67,PODACI_PRODAJA!$A:$A,0)),0)</f>
        <v>0</v>
      </c>
      <c r="AD67" s="23" t="n">
        <f aca="false">IFERROR(INDEX(PODACI_PRODAJA!M:M,MATCH($A67,PODACI_PRODAJA!$A:$A,0)),0)</f>
        <v>0</v>
      </c>
    </row>
    <row r="68" customFormat="false" ht="15" hidden="false" customHeight="false" outlineLevel="0" collapsed="false">
      <c r="A68" s="11" t="str">
        <f aca="false">PODACI_ZALIHE!A65</f>
        <v>002941</v>
      </c>
      <c r="B68" s="8" t="str">
        <f aca="false">PODACI_ZALIHE!B65</f>
        <v>PADOVA TUŠ SET S MIJEŠALICOM</v>
      </c>
      <c r="C68" s="9" t="str">
        <f aca="false">PODACI_ZALIHE!C65</f>
        <v>6022</v>
      </c>
      <c r="D68" s="8" t="str">
        <f aca="false">PODACI_ZALIHE!D65</f>
        <v>RUIAN HAIBA SANITARY CO.,LTD</v>
      </c>
      <c r="E68" s="19" t="n">
        <f aca="false">IF(PODACI_ZALIHE!E65="","",PODACI_ZALIHE!E65)</f>
        <v>121</v>
      </c>
      <c r="F68" s="20" t="n">
        <f aca="false">PODACI_ZALIHE!F65</f>
        <v>120</v>
      </c>
      <c r="G68" s="19" t="n">
        <f aca="false">IF(E68="","",E68-F68)</f>
        <v>1</v>
      </c>
      <c r="H68" s="9" t="n">
        <f aca="false">PODACI_PRODAJA!N25</f>
        <v>37</v>
      </c>
      <c r="I68" s="21" t="n">
        <f aca="false">IF(H68&lt;=0,999,ROUND(F68/H68,1))</f>
        <v>3.2</v>
      </c>
      <c r="J68" s="9" t="n">
        <f aca="false">SUMIFS(ROBA_U_DOLASKU!$C$6:$C$95,ROBA_U_DOLASKU!$A$6:$A$95,A68,ROBA_U_DOLASKU!$H$6:$H$95,1)</f>
        <v>2.2</v>
      </c>
      <c r="K68" s="9" t="n">
        <f aca="false">SUMIFS(ROBA_U_DOLASKU!$B$6:$B$95,ROBA_U_DOLASKU!$A$6:$A$95,A68,ROBA_U_DOLASKU!$H$6:$H$95,1)</f>
        <v>152</v>
      </c>
      <c r="L68" s="9" t="n">
        <f aca="false">SUMIFS(ROBA_U_DOLASKU!$C$6:$C$95,ROBA_U_DOLASKU!$A$6:$A$95,A68,ROBA_U_DOLASKU!$H$6:$H$95,2)</f>
        <v>0</v>
      </c>
      <c r="M68" s="9" t="n">
        <f aca="false">SUMIFS(ROBA_U_DOLASKU!$B$6:$B$95,ROBA_U_DOLASKU!$A$6:$A$95,A68,ROBA_U_DOLASKU!$H$6:$H$95,2)</f>
        <v>0</v>
      </c>
      <c r="N68" s="9" t="n">
        <f aca="false">SUMIFS(ROBA_U_DOLASKU!$C$6:$C$95,ROBA_U_DOLASKU!$A$6:$A$95,A68,ROBA_U_DOLASKU!$H$6:$H$95,3)</f>
        <v>0</v>
      </c>
      <c r="O68" s="9" t="n">
        <f aca="false">SUMIFS(ROBA_U_DOLASKU!$B$6:$B$95,ROBA_U_DOLASKU!$A$6:$A$95,A68,ROBA_U_DOLASKU!$H$6:$H$95,3)</f>
        <v>0</v>
      </c>
      <c r="P68" s="9" t="n">
        <f aca="false">IF(H68&lt;=0,999,IF(O68&gt;0,ROUND((F68-H68*N68+K68+M68+O68)/H68,1),IF(M68&gt;0,ROUND((F68-H68*L68+K68+M68)/H68,1),IF(K68&gt;0,ROUND((F68-H68*J68+K68)/H68,1),I68))))</f>
        <v>5.2</v>
      </c>
      <c r="Q68" s="22" t="str">
        <f aca="false">IF(H68&lt;=0,"Nema prodaje",IF(AND(K68=0,M68=0,O68=0),IF(I68&lt;POSTAVKE!$B$6,"Naruči odmah","Sve u redu"),IF(F68-H68*J68&lt;0,"Rupa za ~"&amp;TEXT(I68,"0.0")&amp;" mj.",IF(AND(M68&gt;0,F68-H68*L68+K68&lt;0),"Rupa nakon 1. dolaska",IF(AND(O68&gt;0,F68-H68*N68+K68+M68&lt;0),"Rupa nakon 2. dolaska",IF(P68&lt;POSTAVKE!$B$6,"Količina nije dovoljna",IF(I68&gt;=POSTAVKE!$B$6,"Sve u redu","Stiže na vrijeme")))))))</f>
        <v>Stiže na vrijeme</v>
      </c>
      <c r="S68" s="23" t="n">
        <f aca="false">IFERROR(INDEX(PODACI_PRODAJA!B:B,MATCH($A68,PODACI_PRODAJA!$A:$A,0)),0)</f>
        <v>33</v>
      </c>
      <c r="T68" s="23" t="n">
        <f aca="false">IFERROR(INDEX(PODACI_PRODAJA!C:C,MATCH($A68,PODACI_PRODAJA!$A:$A,0)),0)</f>
        <v>35</v>
      </c>
      <c r="U68" s="23" t="n">
        <f aca="false">IFERROR(INDEX(PODACI_PRODAJA!D:D,MATCH($A68,PODACI_PRODAJA!$A:$A,0)),0)</f>
        <v>42</v>
      </c>
      <c r="V68" s="23" t="n">
        <f aca="false">IFERROR(INDEX(PODACI_PRODAJA!E:E,MATCH($A68,PODACI_PRODAJA!$A:$A,0)),0)</f>
        <v>41</v>
      </c>
      <c r="W68" s="23" t="n">
        <f aca="false">IFERROR(INDEX(PODACI_PRODAJA!F:F,MATCH($A68,PODACI_PRODAJA!$A:$A,0)),0)</f>
        <v>41</v>
      </c>
      <c r="X68" s="23" t="n">
        <f aca="false">IFERROR(INDEX(PODACI_PRODAJA!G:G,MATCH($A68,PODACI_PRODAJA!$A:$A,0)),0)</f>
        <v>32</v>
      </c>
      <c r="Y68" s="23" t="n">
        <f aca="false">IFERROR(INDEX(PODACI_PRODAJA!H:H,MATCH($A68,PODACI_PRODAJA!$A:$A,0)),0)</f>
        <v>32</v>
      </c>
      <c r="Z68" s="23" t="n">
        <f aca="false">IFERROR(INDEX(PODACI_PRODAJA!I:I,MATCH($A68,PODACI_PRODAJA!$A:$A,0)),0)</f>
        <v>40</v>
      </c>
      <c r="AA68" s="23" t="n">
        <f aca="false">IFERROR(INDEX(PODACI_PRODAJA!J:J,MATCH($A68,PODACI_PRODAJA!$A:$A,0)),0)</f>
        <v>1</v>
      </c>
      <c r="AB68" s="23" t="n">
        <f aca="false">IFERROR(INDEX(PODACI_PRODAJA!K:K,MATCH($A68,PODACI_PRODAJA!$A:$A,0)),0)</f>
        <v>0</v>
      </c>
      <c r="AC68" s="23" t="n">
        <f aca="false">IFERROR(INDEX(PODACI_PRODAJA!L:L,MATCH($A68,PODACI_PRODAJA!$A:$A,0)),0)</f>
        <v>0</v>
      </c>
      <c r="AD68" s="23" t="n">
        <f aca="false">IFERROR(INDEX(PODACI_PRODAJA!M:M,MATCH($A68,PODACI_PRODAJA!$A:$A,0)),0)</f>
        <v>0</v>
      </c>
    </row>
    <row r="69" customFormat="false" ht="15" hidden="false" customHeight="false" outlineLevel="0" collapsed="false">
      <c r="A69" s="11" t="str">
        <f aca="false">PODACI_ZALIHE!A66</f>
        <v>15008</v>
      </c>
      <c r="B69" s="8" t="str">
        <f aca="false">PODACI_ZALIHE!B66</f>
        <v>ZAVRŠNI PROFIL ZA PANELE 10 mm</v>
      </c>
      <c r="C69" s="9" t="n">
        <f aca="false">PODACI_ZALIHE!C66</f>
        <v>0</v>
      </c>
      <c r="D69" s="8" t="n">
        <f aca="false">PODACI_ZALIHE!D66</f>
        <v>0</v>
      </c>
      <c r="E69" s="19" t="n">
        <f aca="false">IF(PODACI_ZALIHE!E66="","",PODACI_ZALIHE!E66)</f>
        <v>119</v>
      </c>
      <c r="F69" s="20" t="n">
        <f aca="false">PODACI_ZALIHE!F66</f>
        <v>119</v>
      </c>
      <c r="G69" s="19" t="n">
        <f aca="false">IF(E69="","",E69-F69)</f>
        <v>0</v>
      </c>
      <c r="H69" s="9" t="n">
        <v>0</v>
      </c>
      <c r="I69" s="21" t="n">
        <f aca="false">IF(H69&lt;=0,999,ROUND(F69/H69,1))</f>
        <v>999</v>
      </c>
      <c r="J69" s="9" t="n">
        <f aca="false">SUMIFS(ROBA_U_DOLASKU!$C$6:$C$95,ROBA_U_DOLASKU!$A$6:$A$95,A69,ROBA_U_DOLASKU!$H$6:$H$95,1)</f>
        <v>0</v>
      </c>
      <c r="K69" s="9" t="n">
        <f aca="false">SUMIFS(ROBA_U_DOLASKU!$B$6:$B$95,ROBA_U_DOLASKU!$A$6:$A$95,A69,ROBA_U_DOLASKU!$H$6:$H$95,1)</f>
        <v>0</v>
      </c>
      <c r="L69" s="9" t="n">
        <f aca="false">SUMIFS(ROBA_U_DOLASKU!$C$6:$C$95,ROBA_U_DOLASKU!$A$6:$A$95,A69,ROBA_U_DOLASKU!$H$6:$H$95,2)</f>
        <v>0</v>
      </c>
      <c r="M69" s="9" t="n">
        <f aca="false">SUMIFS(ROBA_U_DOLASKU!$B$6:$B$95,ROBA_U_DOLASKU!$A$6:$A$95,A69,ROBA_U_DOLASKU!$H$6:$H$95,2)</f>
        <v>0</v>
      </c>
      <c r="N69" s="9" t="n">
        <f aca="false">SUMIFS(ROBA_U_DOLASKU!$C$6:$C$95,ROBA_U_DOLASKU!$A$6:$A$95,A69,ROBA_U_DOLASKU!$H$6:$H$95,3)</f>
        <v>0</v>
      </c>
      <c r="O69" s="9" t="n">
        <f aca="false">SUMIFS(ROBA_U_DOLASKU!$B$6:$B$95,ROBA_U_DOLASKU!$A$6:$A$95,A69,ROBA_U_DOLASKU!$H$6:$H$95,3)</f>
        <v>0</v>
      </c>
      <c r="P69" s="9" t="n">
        <f aca="false">IF(H69&lt;=0,999,IF(O69&gt;0,ROUND((F69-H69*N69+K69+M69+O69)/H69,1),IF(M69&gt;0,ROUND((F69-H69*L69+K69+M69)/H69,1),IF(K69&gt;0,ROUND((F69-H69*J69+K69)/H69,1),I69))))</f>
        <v>999</v>
      </c>
      <c r="Q69" s="22" t="str">
        <f aca="false">IF(H69&lt;=0,"Nema prodaje",IF(AND(K69=0,M69=0,O69=0),IF(I69&lt;POSTAVKE!$B$6,"Naruči odmah","Sve u redu"),IF(F69-H69*J69&lt;0,"Rupa za ~"&amp;TEXT(I69,"0.0")&amp;" mj.",IF(AND(M69&gt;0,F69-H69*L69+K69&lt;0),"Rupa nakon 1. dolaska",IF(AND(O69&gt;0,F69-H69*N69+K69+M69&lt;0),"Rupa nakon 2. dolaska",IF(P69&lt;POSTAVKE!$B$6,"Količina nije dovoljna",IF(I69&gt;=POSTAVKE!$B$6,"Sve u redu","Stiže na vrijeme")))))))</f>
        <v>Nema prodaje</v>
      </c>
      <c r="S69" s="23" t="n">
        <f aca="false">IFERROR(INDEX(PODACI_PRODAJA!B:B,MATCH($A69,PODACI_PRODAJA!$A:$A,0)),0)</f>
        <v>0</v>
      </c>
      <c r="T69" s="23" t="n">
        <f aca="false">IFERROR(INDEX(PODACI_PRODAJA!C:C,MATCH($A69,PODACI_PRODAJA!$A:$A,0)),0)</f>
        <v>0</v>
      </c>
      <c r="U69" s="23" t="n">
        <f aca="false">IFERROR(INDEX(PODACI_PRODAJA!D:D,MATCH($A69,PODACI_PRODAJA!$A:$A,0)),0)</f>
        <v>0</v>
      </c>
      <c r="V69" s="23" t="n">
        <f aca="false">IFERROR(INDEX(PODACI_PRODAJA!E:E,MATCH($A69,PODACI_PRODAJA!$A:$A,0)),0)</f>
        <v>0</v>
      </c>
      <c r="W69" s="23" t="n">
        <f aca="false">IFERROR(INDEX(PODACI_PRODAJA!F:F,MATCH($A69,PODACI_PRODAJA!$A:$A,0)),0)</f>
        <v>0</v>
      </c>
      <c r="X69" s="23" t="n">
        <f aca="false">IFERROR(INDEX(PODACI_PRODAJA!G:G,MATCH($A69,PODACI_PRODAJA!$A:$A,0)),0)</f>
        <v>0</v>
      </c>
      <c r="Y69" s="23" t="n">
        <f aca="false">IFERROR(INDEX(PODACI_PRODAJA!H:H,MATCH($A69,PODACI_PRODAJA!$A:$A,0)),0)</f>
        <v>0</v>
      </c>
      <c r="Z69" s="23" t="n">
        <f aca="false">IFERROR(INDEX(PODACI_PRODAJA!I:I,MATCH($A69,PODACI_PRODAJA!$A:$A,0)),0)</f>
        <v>0</v>
      </c>
      <c r="AA69" s="23" t="n">
        <f aca="false">IFERROR(INDEX(PODACI_PRODAJA!J:J,MATCH($A69,PODACI_PRODAJA!$A:$A,0)),0)</f>
        <v>0</v>
      </c>
      <c r="AB69" s="23" t="n">
        <f aca="false">IFERROR(INDEX(PODACI_PRODAJA!K:K,MATCH($A69,PODACI_PRODAJA!$A:$A,0)),0)</f>
        <v>0</v>
      </c>
      <c r="AC69" s="23" t="n">
        <f aca="false">IFERROR(INDEX(PODACI_PRODAJA!L:L,MATCH($A69,PODACI_PRODAJA!$A:$A,0)),0)</f>
        <v>0</v>
      </c>
      <c r="AD69" s="23" t="n">
        <f aca="false">IFERROR(INDEX(PODACI_PRODAJA!M:M,MATCH($A69,PODACI_PRODAJA!$A:$A,0)),0)</f>
        <v>0</v>
      </c>
    </row>
    <row r="70" customFormat="false" ht="15" hidden="false" customHeight="false" outlineLevel="0" collapsed="false">
      <c r="A70" s="11" t="str">
        <f aca="false">PODACI_ZALIHE!A67</f>
        <v>16023</v>
      </c>
      <c r="B70" s="8" t="str">
        <f aca="false">PODACI_ZALIHE!B67</f>
        <v>TK RONDA 90 POLUKRUŽNA TUŠ KABINA 90x90x185 cm</v>
      </c>
      <c r="C70" s="9" t="str">
        <f aca="false">PODACI_ZALIHE!C67</f>
        <v>6163</v>
      </c>
      <c r="D70" s="8" t="str">
        <f aca="false">PODACI_ZALIHE!D67</f>
        <v>HANGZHOU TIANMEI INDUSTRY CO.,LTD</v>
      </c>
      <c r="E70" s="19" t="n">
        <f aca="false">IF(PODACI_ZALIHE!E67="","",PODACI_ZALIHE!E67)</f>
        <v>128</v>
      </c>
      <c r="F70" s="20" t="n">
        <f aca="false">PODACI_ZALIHE!F67</f>
        <v>119</v>
      </c>
      <c r="G70" s="19" t="n">
        <f aca="false">IF(E70="","",E70-F70)</f>
        <v>9</v>
      </c>
      <c r="H70" s="9" t="n">
        <f aca="false">PODACI_PRODAJA!N548</f>
        <v>0.25</v>
      </c>
      <c r="I70" s="21" t="n">
        <f aca="false">IF(H70&lt;=0,999,ROUND(F70/H70,1))</f>
        <v>476</v>
      </c>
      <c r="J70" s="9" t="n">
        <f aca="false">SUMIFS(ROBA_U_DOLASKU!$C$6:$C$95,ROBA_U_DOLASKU!$A$6:$A$95,A70,ROBA_U_DOLASKU!$H$6:$H$95,1)</f>
        <v>0</v>
      </c>
      <c r="K70" s="9" t="n">
        <f aca="false">SUMIFS(ROBA_U_DOLASKU!$B$6:$B$95,ROBA_U_DOLASKU!$A$6:$A$95,A70,ROBA_U_DOLASKU!$H$6:$H$95,1)</f>
        <v>0</v>
      </c>
      <c r="L70" s="9" t="n">
        <f aca="false">SUMIFS(ROBA_U_DOLASKU!$C$6:$C$95,ROBA_U_DOLASKU!$A$6:$A$95,A70,ROBA_U_DOLASKU!$H$6:$H$95,2)</f>
        <v>0</v>
      </c>
      <c r="M70" s="9" t="n">
        <f aca="false">SUMIFS(ROBA_U_DOLASKU!$B$6:$B$95,ROBA_U_DOLASKU!$A$6:$A$95,A70,ROBA_U_DOLASKU!$H$6:$H$95,2)</f>
        <v>0</v>
      </c>
      <c r="N70" s="9" t="n">
        <f aca="false">SUMIFS(ROBA_U_DOLASKU!$C$6:$C$95,ROBA_U_DOLASKU!$A$6:$A$95,A70,ROBA_U_DOLASKU!$H$6:$H$95,3)</f>
        <v>0</v>
      </c>
      <c r="O70" s="9" t="n">
        <f aca="false">SUMIFS(ROBA_U_DOLASKU!$B$6:$B$95,ROBA_U_DOLASKU!$A$6:$A$95,A70,ROBA_U_DOLASKU!$H$6:$H$95,3)</f>
        <v>0</v>
      </c>
      <c r="P70" s="9" t="n">
        <f aca="false">IF(H70&lt;=0,999,IF(O70&gt;0,ROUND((F70-H70*N70+K70+M70+O70)/H70,1),IF(M70&gt;0,ROUND((F70-H70*L70+K70+M70)/H70,1),IF(K70&gt;0,ROUND((F70-H70*J70+K70)/H70,1),I70))))</f>
        <v>476</v>
      </c>
      <c r="Q70" s="22" t="str">
        <f aca="false">IF(H70&lt;=0,"Nema prodaje",IF(AND(K70=0,M70=0,O70=0),IF(I70&lt;POSTAVKE!$B$6,"Naruči odmah","Sve u redu"),IF(F70-H70*J70&lt;0,"Rupa za ~"&amp;TEXT(I70,"0.0")&amp;" mj.",IF(AND(M70&gt;0,F70-H70*L70+K70&lt;0),"Rupa nakon 1. dolaska",IF(AND(O70&gt;0,F70-H70*N70+K70+M70&lt;0),"Rupa nakon 2. dolaska",IF(P70&lt;POSTAVKE!$B$6,"Količina nije dovoljna",IF(I70&gt;=POSTAVKE!$B$6,"Sve u redu","Stiže na vrijeme")))))))</f>
        <v>Sve u redu</v>
      </c>
      <c r="S70" s="23" t="n">
        <f aca="false">IFERROR(INDEX(PODACI_PRODAJA!B:B,MATCH($A70,PODACI_PRODAJA!$A:$A,0)),0)</f>
        <v>0</v>
      </c>
      <c r="T70" s="23" t="n">
        <f aca="false">IFERROR(INDEX(PODACI_PRODAJA!C:C,MATCH($A70,PODACI_PRODAJA!$A:$A,0)),0)</f>
        <v>0</v>
      </c>
      <c r="U70" s="23" t="n">
        <f aca="false">IFERROR(INDEX(PODACI_PRODAJA!D:D,MATCH($A70,PODACI_PRODAJA!$A:$A,0)),0)</f>
        <v>0</v>
      </c>
      <c r="V70" s="23" t="n">
        <f aca="false">IFERROR(INDEX(PODACI_PRODAJA!E:E,MATCH($A70,PODACI_PRODAJA!$A:$A,0)),0)</f>
        <v>0</v>
      </c>
      <c r="W70" s="23" t="n">
        <f aca="false">IFERROR(INDEX(PODACI_PRODAJA!F:F,MATCH($A70,PODACI_PRODAJA!$A:$A,0)),0)</f>
        <v>0</v>
      </c>
      <c r="X70" s="23" t="n">
        <f aca="false">IFERROR(INDEX(PODACI_PRODAJA!G:G,MATCH($A70,PODACI_PRODAJA!$A:$A,0)),0)</f>
        <v>0</v>
      </c>
      <c r="Y70" s="23" t="n">
        <f aca="false">IFERROR(INDEX(PODACI_PRODAJA!H:H,MATCH($A70,PODACI_PRODAJA!$A:$A,0)),0)</f>
        <v>0</v>
      </c>
      <c r="Z70" s="23" t="n">
        <f aca="false">IFERROR(INDEX(PODACI_PRODAJA!I:I,MATCH($A70,PODACI_PRODAJA!$A:$A,0)),0)</f>
        <v>2</v>
      </c>
      <c r="AA70" s="23" t="n">
        <f aca="false">IFERROR(INDEX(PODACI_PRODAJA!J:J,MATCH($A70,PODACI_PRODAJA!$A:$A,0)),0)</f>
        <v>0</v>
      </c>
      <c r="AB70" s="23" t="n">
        <f aca="false">IFERROR(INDEX(PODACI_PRODAJA!K:K,MATCH($A70,PODACI_PRODAJA!$A:$A,0)),0)</f>
        <v>0</v>
      </c>
      <c r="AC70" s="23" t="n">
        <f aca="false">IFERROR(INDEX(PODACI_PRODAJA!L:L,MATCH($A70,PODACI_PRODAJA!$A:$A,0)),0)</f>
        <v>0</v>
      </c>
      <c r="AD70" s="23" t="n">
        <f aca="false">IFERROR(INDEX(PODACI_PRODAJA!M:M,MATCH($A70,PODACI_PRODAJA!$A:$A,0)),0)</f>
        <v>0</v>
      </c>
    </row>
    <row r="71" customFormat="false" ht="15" hidden="false" customHeight="false" outlineLevel="0" collapsed="false">
      <c r="A71" s="11" t="str">
        <f aca="false">PODACI_ZALIHE!A68</f>
        <v>17206</v>
      </c>
      <c r="B71" s="8" t="str">
        <f aca="false">PODACI_ZALIHE!B68</f>
        <v>MESSINA VISOKA STOJEĆA MIJEŠALICA ZA SUDOPER</v>
      </c>
      <c r="C71" s="9" t="n">
        <f aca="false">PODACI_ZALIHE!C68</f>
        <v>0</v>
      </c>
      <c r="D71" s="8" t="n">
        <f aca="false">PODACI_ZALIHE!D68</f>
        <v>0</v>
      </c>
      <c r="E71" s="19" t="n">
        <f aca="false">IF(PODACI_ZALIHE!E68="","",PODACI_ZALIHE!E68)</f>
        <v>118</v>
      </c>
      <c r="F71" s="20" t="n">
        <f aca="false">PODACI_ZALIHE!F68</f>
        <v>118</v>
      </c>
      <c r="G71" s="19" t="n">
        <f aca="false">IF(E71="","",E71-F71)</f>
        <v>0</v>
      </c>
      <c r="H71" s="9" t="n">
        <f aca="false">PODACI_PRODAJA!N109</f>
        <v>4.25</v>
      </c>
      <c r="I71" s="21" t="n">
        <f aca="false">IF(H71&lt;=0,999,ROUND(F71/H71,1))</f>
        <v>27.8</v>
      </c>
      <c r="J71" s="9" t="n">
        <f aca="false">SUMIFS(ROBA_U_DOLASKU!$C$6:$C$95,ROBA_U_DOLASKU!$A$6:$A$95,A71,ROBA_U_DOLASKU!$H$6:$H$95,1)</f>
        <v>0</v>
      </c>
      <c r="K71" s="9" t="n">
        <f aca="false">SUMIFS(ROBA_U_DOLASKU!$B$6:$B$95,ROBA_U_DOLASKU!$A$6:$A$95,A71,ROBA_U_DOLASKU!$H$6:$H$95,1)</f>
        <v>0</v>
      </c>
      <c r="L71" s="9" t="n">
        <f aca="false">SUMIFS(ROBA_U_DOLASKU!$C$6:$C$95,ROBA_U_DOLASKU!$A$6:$A$95,A71,ROBA_U_DOLASKU!$H$6:$H$95,2)</f>
        <v>0</v>
      </c>
      <c r="M71" s="9" t="n">
        <f aca="false">SUMIFS(ROBA_U_DOLASKU!$B$6:$B$95,ROBA_U_DOLASKU!$A$6:$A$95,A71,ROBA_U_DOLASKU!$H$6:$H$95,2)</f>
        <v>0</v>
      </c>
      <c r="N71" s="9" t="n">
        <f aca="false">SUMIFS(ROBA_U_DOLASKU!$C$6:$C$95,ROBA_U_DOLASKU!$A$6:$A$95,A71,ROBA_U_DOLASKU!$H$6:$H$95,3)</f>
        <v>0</v>
      </c>
      <c r="O71" s="9" t="n">
        <f aca="false">SUMIFS(ROBA_U_DOLASKU!$B$6:$B$95,ROBA_U_DOLASKU!$A$6:$A$95,A71,ROBA_U_DOLASKU!$H$6:$H$95,3)</f>
        <v>0</v>
      </c>
      <c r="P71" s="9" t="n">
        <f aca="false">IF(H71&lt;=0,999,IF(O71&gt;0,ROUND((F71-H71*N71+K71+M71+O71)/H71,1),IF(M71&gt;0,ROUND((F71-H71*L71+K71+M71)/H71,1),IF(K71&gt;0,ROUND((F71-H71*J71+K71)/H71,1),I71))))</f>
        <v>27.8</v>
      </c>
      <c r="Q71" s="22" t="str">
        <f aca="false">IF(H71&lt;=0,"Nema prodaje",IF(AND(K71=0,M71=0,O71=0),IF(I71&lt;POSTAVKE!$B$6,"Naruči odmah","Sve u redu"),IF(F71-H71*J71&lt;0,"Rupa za ~"&amp;TEXT(I71,"0.0")&amp;" mj.",IF(AND(M71&gt;0,F71-H71*L71+K71&lt;0),"Rupa nakon 1. dolaska",IF(AND(O71&gt;0,F71-H71*N71+K71+M71&lt;0),"Rupa nakon 2. dolaska",IF(P71&lt;POSTAVKE!$B$6,"Količina nije dovoljna",IF(I71&gt;=POSTAVKE!$B$6,"Sve u redu","Stiže na vrijeme")))))))</f>
        <v>Sve u redu</v>
      </c>
      <c r="S71" s="23" t="n">
        <f aca="false">IFERROR(INDEX(PODACI_PRODAJA!B:B,MATCH($A71,PODACI_PRODAJA!$A:$A,0)),0)</f>
        <v>6</v>
      </c>
      <c r="T71" s="23" t="n">
        <f aca="false">IFERROR(INDEX(PODACI_PRODAJA!C:C,MATCH($A71,PODACI_PRODAJA!$A:$A,0)),0)</f>
        <v>0</v>
      </c>
      <c r="U71" s="23" t="n">
        <f aca="false">IFERROR(INDEX(PODACI_PRODAJA!D:D,MATCH($A71,PODACI_PRODAJA!$A:$A,0)),0)</f>
        <v>2</v>
      </c>
      <c r="V71" s="23" t="n">
        <f aca="false">IFERROR(INDEX(PODACI_PRODAJA!E:E,MATCH($A71,PODACI_PRODAJA!$A:$A,0)),0)</f>
        <v>3</v>
      </c>
      <c r="W71" s="23" t="n">
        <f aca="false">IFERROR(INDEX(PODACI_PRODAJA!F:F,MATCH($A71,PODACI_PRODAJA!$A:$A,0)),0)</f>
        <v>0</v>
      </c>
      <c r="X71" s="23" t="n">
        <f aca="false">IFERROR(INDEX(PODACI_PRODAJA!G:G,MATCH($A71,PODACI_PRODAJA!$A:$A,0)),0)</f>
        <v>6</v>
      </c>
      <c r="Y71" s="23" t="n">
        <f aca="false">IFERROR(INDEX(PODACI_PRODAJA!H:H,MATCH($A71,PODACI_PRODAJA!$A:$A,0)),0)</f>
        <v>14</v>
      </c>
      <c r="Z71" s="23" t="n">
        <f aca="false">IFERROR(INDEX(PODACI_PRODAJA!I:I,MATCH($A71,PODACI_PRODAJA!$A:$A,0)),0)</f>
        <v>3</v>
      </c>
      <c r="AA71" s="23" t="n">
        <f aca="false">IFERROR(INDEX(PODACI_PRODAJA!J:J,MATCH($A71,PODACI_PRODAJA!$A:$A,0)),0)</f>
        <v>0</v>
      </c>
      <c r="AB71" s="23" t="n">
        <f aca="false">IFERROR(INDEX(PODACI_PRODAJA!K:K,MATCH($A71,PODACI_PRODAJA!$A:$A,0)),0)</f>
        <v>0</v>
      </c>
      <c r="AC71" s="23" t="n">
        <f aca="false">IFERROR(INDEX(PODACI_PRODAJA!L:L,MATCH($A71,PODACI_PRODAJA!$A:$A,0)),0)</f>
        <v>0</v>
      </c>
      <c r="AD71" s="23" t="n">
        <f aca="false">IFERROR(INDEX(PODACI_PRODAJA!M:M,MATCH($A71,PODACI_PRODAJA!$A:$A,0)),0)</f>
        <v>0</v>
      </c>
    </row>
    <row r="72" customFormat="false" ht="15" hidden="false" customHeight="false" outlineLevel="0" collapsed="false">
      <c r="A72" s="11" t="str">
        <f aca="false">PODACI_ZALIHE!A69</f>
        <v>18253</v>
      </c>
      <c r="B72" s="8" t="str">
        <f aca="false">PODACI_ZALIHE!B69</f>
        <v>ATENA OGLEDALO S LED RASVJETOM D80 cm</v>
      </c>
      <c r="C72" s="9" t="str">
        <f aca="false">PODACI_ZALIHE!C69</f>
        <v>6032</v>
      </c>
      <c r="D72" s="8" t="str">
        <f aca="false">PODACI_ZALIHE!D69</f>
        <v>HANGZHOU ZIHAN MIRROR INDUSTRY CO., LTD.</v>
      </c>
      <c r="E72" s="19" t="n">
        <f aca="false">IF(PODACI_ZALIHE!E69="","",PODACI_ZALIHE!E69)</f>
        <v>115</v>
      </c>
      <c r="F72" s="20" t="n">
        <f aca="false">PODACI_ZALIHE!F69</f>
        <v>115</v>
      </c>
      <c r="G72" s="19" t="n">
        <f aca="false">IF(E72="","",E72-F72)</f>
        <v>0</v>
      </c>
      <c r="H72" s="9" t="n">
        <f aca="false">PODACI_PRODAJA!N48</f>
        <v>8.5</v>
      </c>
      <c r="I72" s="21" t="n">
        <f aca="false">IF(H72&lt;=0,999,ROUND(F72/H72,1))</f>
        <v>13.5</v>
      </c>
      <c r="J72" s="9" t="n">
        <f aca="false">SUMIFS(ROBA_U_DOLASKU!$C$6:$C$95,ROBA_U_DOLASKU!$A$6:$A$95,A72,ROBA_U_DOLASKU!$H$6:$H$95,1)</f>
        <v>0</v>
      </c>
      <c r="K72" s="9" t="n">
        <f aca="false">SUMIFS(ROBA_U_DOLASKU!$B$6:$B$95,ROBA_U_DOLASKU!$A$6:$A$95,A72,ROBA_U_DOLASKU!$H$6:$H$95,1)</f>
        <v>0</v>
      </c>
      <c r="L72" s="9" t="n">
        <f aca="false">SUMIFS(ROBA_U_DOLASKU!$C$6:$C$95,ROBA_U_DOLASKU!$A$6:$A$95,A72,ROBA_U_DOLASKU!$H$6:$H$95,2)</f>
        <v>0</v>
      </c>
      <c r="M72" s="9" t="n">
        <f aca="false">SUMIFS(ROBA_U_DOLASKU!$B$6:$B$95,ROBA_U_DOLASKU!$A$6:$A$95,A72,ROBA_U_DOLASKU!$H$6:$H$95,2)</f>
        <v>0</v>
      </c>
      <c r="N72" s="9" t="n">
        <f aca="false">SUMIFS(ROBA_U_DOLASKU!$C$6:$C$95,ROBA_U_DOLASKU!$A$6:$A$95,A72,ROBA_U_DOLASKU!$H$6:$H$95,3)</f>
        <v>0</v>
      </c>
      <c r="O72" s="9" t="n">
        <f aca="false">SUMIFS(ROBA_U_DOLASKU!$B$6:$B$95,ROBA_U_DOLASKU!$A$6:$A$95,A72,ROBA_U_DOLASKU!$H$6:$H$95,3)</f>
        <v>0</v>
      </c>
      <c r="P72" s="9" t="n">
        <f aca="false">IF(H72&lt;=0,999,IF(O72&gt;0,ROUND((F72-H72*N72+K72+M72+O72)/H72,1),IF(M72&gt;0,ROUND((F72-H72*L72+K72+M72)/H72,1),IF(K72&gt;0,ROUND((F72-H72*J72+K72)/H72,1),I72))))</f>
        <v>13.5</v>
      </c>
      <c r="Q72" s="22" t="str">
        <f aca="false">IF(H72&lt;=0,"Nema prodaje",IF(AND(K72=0,M72=0,O72=0),IF(I72&lt;POSTAVKE!$B$6,"Naruči odmah","Sve u redu"),IF(F72-H72*J72&lt;0,"Rupa za ~"&amp;TEXT(I72,"0.0")&amp;" mj.",IF(AND(M72&gt;0,F72-H72*L72+K72&lt;0),"Rupa nakon 1. dolaska",IF(AND(O72&gt;0,F72-H72*N72+K72+M72&lt;0),"Rupa nakon 2. dolaska",IF(P72&lt;POSTAVKE!$B$6,"Količina nije dovoljna",IF(I72&gt;=POSTAVKE!$B$6,"Sve u redu","Stiže na vrijeme")))))))</f>
        <v>Sve u redu</v>
      </c>
      <c r="S72" s="23" t="n">
        <f aca="false">IFERROR(INDEX(PODACI_PRODAJA!B:B,MATCH($A72,PODACI_PRODAJA!$A:$A,0)),0)</f>
        <v>19</v>
      </c>
      <c r="T72" s="23" t="n">
        <f aca="false">IFERROR(INDEX(PODACI_PRODAJA!C:C,MATCH($A72,PODACI_PRODAJA!$A:$A,0)),0)</f>
        <v>2</v>
      </c>
      <c r="U72" s="23" t="n">
        <f aca="false">IFERROR(INDEX(PODACI_PRODAJA!D:D,MATCH($A72,PODACI_PRODAJA!$A:$A,0)),0)</f>
        <v>19</v>
      </c>
      <c r="V72" s="23" t="n">
        <f aca="false">IFERROR(INDEX(PODACI_PRODAJA!E:E,MATCH($A72,PODACI_PRODAJA!$A:$A,0)),0)</f>
        <v>12</v>
      </c>
      <c r="W72" s="23" t="n">
        <f aca="false">IFERROR(INDEX(PODACI_PRODAJA!F:F,MATCH($A72,PODACI_PRODAJA!$A:$A,0)),0)</f>
        <v>8</v>
      </c>
      <c r="X72" s="23" t="n">
        <f aca="false">IFERROR(INDEX(PODACI_PRODAJA!G:G,MATCH($A72,PODACI_PRODAJA!$A:$A,0)),0)</f>
        <v>1</v>
      </c>
      <c r="Y72" s="23" t="n">
        <f aca="false">IFERROR(INDEX(PODACI_PRODAJA!H:H,MATCH($A72,PODACI_PRODAJA!$A:$A,0)),0)</f>
        <v>4</v>
      </c>
      <c r="Z72" s="23" t="n">
        <f aca="false">IFERROR(INDEX(PODACI_PRODAJA!I:I,MATCH($A72,PODACI_PRODAJA!$A:$A,0)),0)</f>
        <v>3</v>
      </c>
      <c r="AA72" s="23" t="n">
        <f aca="false">IFERROR(INDEX(PODACI_PRODAJA!J:J,MATCH($A72,PODACI_PRODAJA!$A:$A,0)),0)</f>
        <v>0</v>
      </c>
      <c r="AB72" s="23" t="n">
        <f aca="false">IFERROR(INDEX(PODACI_PRODAJA!K:K,MATCH($A72,PODACI_PRODAJA!$A:$A,0)),0)</f>
        <v>0</v>
      </c>
      <c r="AC72" s="23" t="n">
        <f aca="false">IFERROR(INDEX(PODACI_PRODAJA!L:L,MATCH($A72,PODACI_PRODAJA!$A:$A,0)),0)</f>
        <v>0</v>
      </c>
      <c r="AD72" s="23" t="n">
        <f aca="false">IFERROR(INDEX(PODACI_PRODAJA!M:M,MATCH($A72,PODACI_PRODAJA!$A:$A,0)),0)</f>
        <v>0</v>
      </c>
    </row>
    <row r="73" customFormat="false" ht="15" hidden="false" customHeight="false" outlineLevel="0" collapsed="false">
      <c r="A73" s="11" t="str">
        <f aca="false">PODACI_ZALIHE!A70</f>
        <v>16787</v>
      </c>
      <c r="B73" s="8" t="str">
        <f aca="false">PODACI_ZALIHE!B70</f>
        <v>AMELIA 120R HIDROMASAŽNA TUŠ KABINA 120x80x215cm (R)</v>
      </c>
      <c r="C73" s="9" t="str">
        <f aca="false">PODACI_ZALIHE!C70</f>
        <v>6163</v>
      </c>
      <c r="D73" s="8" t="str">
        <f aca="false">PODACI_ZALIHE!D70</f>
        <v>HANGZHOU TIANMEI INDUSTRY CO.,LTD</v>
      </c>
      <c r="E73" s="19" t="n">
        <f aca="false">IF(PODACI_ZALIHE!E70="","",PODACI_ZALIHE!E70)</f>
        <v>114</v>
      </c>
      <c r="F73" s="20" t="n">
        <f aca="false">PODACI_ZALIHE!F70</f>
        <v>112</v>
      </c>
      <c r="G73" s="19" t="n">
        <f aca="false">IF(E73="","",E73-F73)</f>
        <v>2</v>
      </c>
      <c r="H73" s="9" t="n">
        <f aca="false">PODACI_PRODAJA!N202</f>
        <v>5.63</v>
      </c>
      <c r="I73" s="21" t="n">
        <f aca="false">IF(H73&lt;=0,999,ROUND(F73/H73,1))</f>
        <v>19.9</v>
      </c>
      <c r="J73" s="9" t="n">
        <f aca="false">SUMIFS(ROBA_U_DOLASKU!$C$6:$C$95,ROBA_U_DOLASKU!$A$6:$A$95,A73,ROBA_U_DOLASKU!$H$6:$H$95,1)</f>
        <v>0</v>
      </c>
      <c r="K73" s="9" t="n">
        <f aca="false">SUMIFS(ROBA_U_DOLASKU!$B$6:$B$95,ROBA_U_DOLASKU!$A$6:$A$95,A73,ROBA_U_DOLASKU!$H$6:$H$95,1)</f>
        <v>0</v>
      </c>
      <c r="L73" s="9" t="n">
        <f aca="false">SUMIFS(ROBA_U_DOLASKU!$C$6:$C$95,ROBA_U_DOLASKU!$A$6:$A$95,A73,ROBA_U_DOLASKU!$H$6:$H$95,2)</f>
        <v>0</v>
      </c>
      <c r="M73" s="9" t="n">
        <f aca="false">SUMIFS(ROBA_U_DOLASKU!$B$6:$B$95,ROBA_U_DOLASKU!$A$6:$A$95,A73,ROBA_U_DOLASKU!$H$6:$H$95,2)</f>
        <v>0</v>
      </c>
      <c r="N73" s="9" t="n">
        <f aca="false">SUMIFS(ROBA_U_DOLASKU!$C$6:$C$95,ROBA_U_DOLASKU!$A$6:$A$95,A73,ROBA_U_DOLASKU!$H$6:$H$95,3)</f>
        <v>0</v>
      </c>
      <c r="O73" s="9" t="n">
        <f aca="false">SUMIFS(ROBA_U_DOLASKU!$B$6:$B$95,ROBA_U_DOLASKU!$A$6:$A$95,A73,ROBA_U_DOLASKU!$H$6:$H$95,3)</f>
        <v>0</v>
      </c>
      <c r="P73" s="9" t="n">
        <f aca="false">IF(H73&lt;=0,999,IF(O73&gt;0,ROUND((F73-H73*N73+K73+M73+O73)/H73,1),IF(M73&gt;0,ROUND((F73-H73*L73+K73+M73)/H73,1),IF(K73&gt;0,ROUND((F73-H73*J73+K73)/H73,1),I73))))</f>
        <v>19.9</v>
      </c>
      <c r="Q73" s="22" t="str">
        <f aca="false">IF(H73&lt;=0,"Nema prodaje",IF(AND(K73=0,M73=0,O73=0),IF(I73&lt;POSTAVKE!$B$6,"Naruči odmah","Sve u redu"),IF(F73-H73*J73&lt;0,"Rupa za ~"&amp;TEXT(I73,"0.0")&amp;" mj.",IF(AND(M73&gt;0,F73-H73*L73+K73&lt;0),"Rupa nakon 1. dolaska",IF(AND(O73&gt;0,F73-H73*N73+K73+M73&lt;0),"Rupa nakon 2. dolaska",IF(P73&lt;POSTAVKE!$B$6,"Količina nije dovoljna",IF(I73&gt;=POSTAVKE!$B$6,"Sve u redu","Stiže na vrijeme")))))))</f>
        <v>Sve u redu</v>
      </c>
      <c r="S73" s="23" t="n">
        <f aca="false">IFERROR(INDEX(PODACI_PRODAJA!B:B,MATCH($A73,PODACI_PRODAJA!$A:$A,0)),0)</f>
        <v>2</v>
      </c>
      <c r="T73" s="23" t="n">
        <f aca="false">IFERROR(INDEX(PODACI_PRODAJA!C:C,MATCH($A73,PODACI_PRODAJA!$A:$A,0)),0)</f>
        <v>4</v>
      </c>
      <c r="U73" s="23" t="n">
        <f aca="false">IFERROR(INDEX(PODACI_PRODAJA!D:D,MATCH($A73,PODACI_PRODAJA!$A:$A,0)),0)</f>
        <v>4</v>
      </c>
      <c r="V73" s="23" t="n">
        <f aca="false">IFERROR(INDEX(PODACI_PRODAJA!E:E,MATCH($A73,PODACI_PRODAJA!$A:$A,0)),0)</f>
        <v>8</v>
      </c>
      <c r="W73" s="23" t="n">
        <f aca="false">IFERROR(INDEX(PODACI_PRODAJA!F:F,MATCH($A73,PODACI_PRODAJA!$A:$A,0)),0)</f>
        <v>5</v>
      </c>
      <c r="X73" s="23" t="n">
        <f aca="false">IFERROR(INDEX(PODACI_PRODAJA!G:G,MATCH($A73,PODACI_PRODAJA!$A:$A,0)),0)</f>
        <v>8</v>
      </c>
      <c r="Y73" s="23" t="n">
        <f aca="false">IFERROR(INDEX(PODACI_PRODAJA!H:H,MATCH($A73,PODACI_PRODAJA!$A:$A,0)),0)</f>
        <v>9</v>
      </c>
      <c r="Z73" s="23" t="n">
        <f aca="false">IFERROR(INDEX(PODACI_PRODAJA!I:I,MATCH($A73,PODACI_PRODAJA!$A:$A,0)),0)</f>
        <v>5</v>
      </c>
      <c r="AA73" s="23" t="n">
        <f aca="false">IFERROR(INDEX(PODACI_PRODAJA!J:J,MATCH($A73,PODACI_PRODAJA!$A:$A,0)),0)</f>
        <v>2</v>
      </c>
      <c r="AB73" s="23" t="n">
        <f aca="false">IFERROR(INDEX(PODACI_PRODAJA!K:K,MATCH($A73,PODACI_PRODAJA!$A:$A,0)),0)</f>
        <v>0</v>
      </c>
      <c r="AC73" s="23" t="n">
        <f aca="false">IFERROR(INDEX(PODACI_PRODAJA!L:L,MATCH($A73,PODACI_PRODAJA!$A:$A,0)),0)</f>
        <v>0</v>
      </c>
      <c r="AD73" s="23" t="n">
        <f aca="false">IFERROR(INDEX(PODACI_PRODAJA!M:M,MATCH($A73,PODACI_PRODAJA!$A:$A,0)),0)</f>
        <v>0</v>
      </c>
    </row>
    <row r="74" customFormat="false" ht="15" hidden="false" customHeight="false" outlineLevel="0" collapsed="false">
      <c r="A74" s="11" t="str">
        <f aca="false">PODACI_ZALIHE!A71</f>
        <v>0002301</v>
      </c>
      <c r="B74" s="8" t="str">
        <f aca="false">PODACI_ZALIHE!B71</f>
        <v>DRŽAČ SAPUNA</v>
      </c>
      <c r="C74" s="9" t="str">
        <f aca="false">PODACI_ZALIHE!C71</f>
        <v>4539</v>
      </c>
      <c r="D74" s="8" t="str">
        <f aca="false">PODACI_ZALIHE!D71</f>
        <v>YUYAO ECHO SANITARY WARE CO.,LTD.</v>
      </c>
      <c r="E74" s="19" t="n">
        <f aca="false">IF(PODACI_ZALIHE!E71="","",PODACI_ZALIHE!E71)</f>
        <v>108</v>
      </c>
      <c r="F74" s="20" t="n">
        <f aca="false">PODACI_ZALIHE!F71</f>
        <v>108</v>
      </c>
      <c r="G74" s="19" t="n">
        <f aca="false">IF(E74="","",E74-F74)</f>
        <v>0</v>
      </c>
      <c r="H74" s="9" t="n">
        <v>0</v>
      </c>
      <c r="I74" s="21" t="n">
        <f aca="false">IF(H74&lt;=0,999,ROUND(F74/H74,1))</f>
        <v>999</v>
      </c>
      <c r="J74" s="9" t="n">
        <f aca="false">SUMIFS(ROBA_U_DOLASKU!$C$6:$C$95,ROBA_U_DOLASKU!$A$6:$A$95,A74,ROBA_U_DOLASKU!$H$6:$H$95,1)</f>
        <v>0</v>
      </c>
      <c r="K74" s="9" t="n">
        <f aca="false">SUMIFS(ROBA_U_DOLASKU!$B$6:$B$95,ROBA_U_DOLASKU!$A$6:$A$95,A74,ROBA_U_DOLASKU!$H$6:$H$95,1)</f>
        <v>0</v>
      </c>
      <c r="L74" s="9" t="n">
        <f aca="false">SUMIFS(ROBA_U_DOLASKU!$C$6:$C$95,ROBA_U_DOLASKU!$A$6:$A$95,A74,ROBA_U_DOLASKU!$H$6:$H$95,2)</f>
        <v>0</v>
      </c>
      <c r="M74" s="9" t="n">
        <f aca="false">SUMIFS(ROBA_U_DOLASKU!$B$6:$B$95,ROBA_U_DOLASKU!$A$6:$A$95,A74,ROBA_U_DOLASKU!$H$6:$H$95,2)</f>
        <v>0</v>
      </c>
      <c r="N74" s="9" t="n">
        <f aca="false">SUMIFS(ROBA_U_DOLASKU!$C$6:$C$95,ROBA_U_DOLASKU!$A$6:$A$95,A74,ROBA_U_DOLASKU!$H$6:$H$95,3)</f>
        <v>0</v>
      </c>
      <c r="O74" s="9" t="n">
        <f aca="false">SUMIFS(ROBA_U_DOLASKU!$B$6:$B$95,ROBA_U_DOLASKU!$A$6:$A$95,A74,ROBA_U_DOLASKU!$H$6:$H$95,3)</f>
        <v>0</v>
      </c>
      <c r="P74" s="9" t="n">
        <f aca="false">IF(H74&lt;=0,999,IF(O74&gt;0,ROUND((F74-H74*N74+K74+M74+O74)/H74,1),IF(M74&gt;0,ROUND((F74-H74*L74+K74+M74)/H74,1),IF(K74&gt;0,ROUND((F74-H74*J74+K74)/H74,1),I74))))</f>
        <v>999</v>
      </c>
      <c r="Q74" s="22" t="str">
        <f aca="false">IF(H74&lt;=0,"Nema prodaje",IF(AND(K74=0,M74=0,O74=0),IF(I74&lt;POSTAVKE!$B$6,"Naruči odmah","Sve u redu"),IF(F74-H74*J74&lt;0,"Rupa za ~"&amp;TEXT(I74,"0.0")&amp;" mj.",IF(AND(M74&gt;0,F74-H74*L74+K74&lt;0),"Rupa nakon 1. dolaska",IF(AND(O74&gt;0,F74-H74*N74+K74+M74&lt;0),"Rupa nakon 2. dolaska",IF(P74&lt;POSTAVKE!$B$6,"Količina nije dovoljna",IF(I74&gt;=POSTAVKE!$B$6,"Sve u redu","Stiže na vrijeme")))))))</f>
        <v>Nema prodaje</v>
      </c>
      <c r="S74" s="23" t="n">
        <f aca="false">IFERROR(INDEX(PODACI_PRODAJA!B:B,MATCH($A74,PODACI_PRODAJA!$A:$A,0)),0)</f>
        <v>0</v>
      </c>
      <c r="T74" s="23" t="n">
        <f aca="false">IFERROR(INDEX(PODACI_PRODAJA!C:C,MATCH($A74,PODACI_PRODAJA!$A:$A,0)),0)</f>
        <v>0</v>
      </c>
      <c r="U74" s="23" t="n">
        <f aca="false">IFERROR(INDEX(PODACI_PRODAJA!D:D,MATCH($A74,PODACI_PRODAJA!$A:$A,0)),0)</f>
        <v>0</v>
      </c>
      <c r="V74" s="23" t="n">
        <f aca="false">IFERROR(INDEX(PODACI_PRODAJA!E:E,MATCH($A74,PODACI_PRODAJA!$A:$A,0)),0)</f>
        <v>0</v>
      </c>
      <c r="W74" s="23" t="n">
        <f aca="false">IFERROR(INDEX(PODACI_PRODAJA!F:F,MATCH($A74,PODACI_PRODAJA!$A:$A,0)),0)</f>
        <v>0</v>
      </c>
      <c r="X74" s="23" t="n">
        <f aca="false">IFERROR(INDEX(PODACI_PRODAJA!G:G,MATCH($A74,PODACI_PRODAJA!$A:$A,0)),0)</f>
        <v>0</v>
      </c>
      <c r="Y74" s="23" t="n">
        <f aca="false">IFERROR(INDEX(PODACI_PRODAJA!H:H,MATCH($A74,PODACI_PRODAJA!$A:$A,0)),0)</f>
        <v>0</v>
      </c>
      <c r="Z74" s="23" t="n">
        <f aca="false">IFERROR(INDEX(PODACI_PRODAJA!I:I,MATCH($A74,PODACI_PRODAJA!$A:$A,0)),0)</f>
        <v>0</v>
      </c>
      <c r="AA74" s="23" t="n">
        <f aca="false">IFERROR(INDEX(PODACI_PRODAJA!J:J,MATCH($A74,PODACI_PRODAJA!$A:$A,0)),0)</f>
        <v>0</v>
      </c>
      <c r="AB74" s="23" t="n">
        <f aca="false">IFERROR(INDEX(PODACI_PRODAJA!K:K,MATCH($A74,PODACI_PRODAJA!$A:$A,0)),0)</f>
        <v>0</v>
      </c>
      <c r="AC74" s="23" t="n">
        <f aca="false">IFERROR(INDEX(PODACI_PRODAJA!L:L,MATCH($A74,PODACI_PRODAJA!$A:$A,0)),0)</f>
        <v>0</v>
      </c>
      <c r="AD74" s="23" t="n">
        <f aca="false">IFERROR(INDEX(PODACI_PRODAJA!M:M,MATCH($A74,PODACI_PRODAJA!$A:$A,0)),0)</f>
        <v>0</v>
      </c>
    </row>
    <row r="75" customFormat="false" ht="15" hidden="false" customHeight="false" outlineLevel="0" collapsed="false">
      <c r="A75" s="11" t="str">
        <f aca="false">PODACI_ZALIHE!A72</f>
        <v>044460</v>
      </c>
      <c r="B75" s="8" t="str">
        <f aca="false">PODACI_ZALIHE!B72</f>
        <v>PILETA ZA UMIVAONIK BEZ PRELJEVA 5/4 CRNA</v>
      </c>
      <c r="C75" s="9" t="str">
        <f aca="false">PODACI_ZALIHE!C72</f>
        <v>4826</v>
      </c>
      <c r="D75" s="8" t="str">
        <f aca="false">PODACI_ZALIHE!D72</f>
        <v>TAIZHOU NIXI SANITARY WARE CO.,LTD</v>
      </c>
      <c r="E75" s="19" t="n">
        <f aca="false">IF(PODACI_ZALIHE!E72="","",PODACI_ZALIHE!E72)</f>
        <v>108</v>
      </c>
      <c r="F75" s="20" t="n">
        <f aca="false">PODACI_ZALIHE!F72</f>
        <v>108</v>
      </c>
      <c r="G75" s="19" t="n">
        <f aca="false">IF(E75="","",E75-F75)</f>
        <v>0</v>
      </c>
      <c r="H75" s="9" t="n">
        <f aca="false">PODACI_PRODAJA!N21</f>
        <v>24.13</v>
      </c>
      <c r="I75" s="21" t="n">
        <f aca="false">IF(H75&lt;=0,999,ROUND(F75/H75,1))</f>
        <v>4.5</v>
      </c>
      <c r="J75" s="9" t="n">
        <f aca="false">SUMIFS(ROBA_U_DOLASKU!$C$6:$C$95,ROBA_U_DOLASKU!$A$6:$A$95,A75,ROBA_U_DOLASKU!$H$6:$H$95,1)</f>
        <v>0</v>
      </c>
      <c r="K75" s="9" t="n">
        <f aca="false">SUMIFS(ROBA_U_DOLASKU!$B$6:$B$95,ROBA_U_DOLASKU!$A$6:$A$95,A75,ROBA_U_DOLASKU!$H$6:$H$95,1)</f>
        <v>0</v>
      </c>
      <c r="L75" s="9" t="n">
        <f aca="false">SUMIFS(ROBA_U_DOLASKU!$C$6:$C$95,ROBA_U_DOLASKU!$A$6:$A$95,A75,ROBA_U_DOLASKU!$H$6:$H$95,2)</f>
        <v>0</v>
      </c>
      <c r="M75" s="9" t="n">
        <f aca="false">SUMIFS(ROBA_U_DOLASKU!$B$6:$B$95,ROBA_U_DOLASKU!$A$6:$A$95,A75,ROBA_U_DOLASKU!$H$6:$H$95,2)</f>
        <v>0</v>
      </c>
      <c r="N75" s="9" t="n">
        <f aca="false">SUMIFS(ROBA_U_DOLASKU!$C$6:$C$95,ROBA_U_DOLASKU!$A$6:$A$95,A75,ROBA_U_DOLASKU!$H$6:$H$95,3)</f>
        <v>0</v>
      </c>
      <c r="O75" s="9" t="n">
        <f aca="false">SUMIFS(ROBA_U_DOLASKU!$B$6:$B$95,ROBA_U_DOLASKU!$A$6:$A$95,A75,ROBA_U_DOLASKU!$H$6:$H$95,3)</f>
        <v>0</v>
      </c>
      <c r="P75" s="9" t="n">
        <f aca="false">IF(H75&lt;=0,999,IF(O75&gt;0,ROUND((F75-H75*N75+K75+M75+O75)/H75,1),IF(M75&gt;0,ROUND((F75-H75*L75+K75+M75)/H75,1),IF(K75&gt;0,ROUND((F75-H75*J75+K75)/H75,1),I75))))</f>
        <v>4.5</v>
      </c>
      <c r="Q75" s="22" t="str">
        <f aca="false">IF(H75&lt;=0,"Nema prodaje",IF(AND(K75=0,M75=0,O75=0),IF(I75&lt;POSTAVKE!$B$6,"Naruči odmah","Sve u redu"),IF(F75-H75*J75&lt;0,"Rupa za ~"&amp;TEXT(I75,"0.0")&amp;" mj.",IF(AND(M75&gt;0,F75-H75*L75+K75&lt;0),"Rupa nakon 1. dolaska",IF(AND(O75&gt;0,F75-H75*N75+K75+M75&lt;0),"Rupa nakon 2. dolaska",IF(P75&lt;POSTAVKE!$B$6,"Količina nije dovoljna",IF(I75&gt;=POSTAVKE!$B$6,"Sve u redu","Stiže na vrijeme")))))))</f>
        <v>Naruči odmah</v>
      </c>
      <c r="S75" s="23" t="n">
        <f aca="false">IFERROR(INDEX(PODACI_PRODAJA!B:B,MATCH($A75,PODACI_PRODAJA!$A:$A,0)),0)</f>
        <v>41</v>
      </c>
      <c r="T75" s="23" t="n">
        <f aca="false">IFERROR(INDEX(PODACI_PRODAJA!C:C,MATCH($A75,PODACI_PRODAJA!$A:$A,0)),0)</f>
        <v>29</v>
      </c>
      <c r="U75" s="23" t="n">
        <f aca="false">IFERROR(INDEX(PODACI_PRODAJA!D:D,MATCH($A75,PODACI_PRODAJA!$A:$A,0)),0)</f>
        <v>16</v>
      </c>
      <c r="V75" s="23" t="n">
        <f aca="false">IFERROR(INDEX(PODACI_PRODAJA!E:E,MATCH($A75,PODACI_PRODAJA!$A:$A,0)),0)</f>
        <v>28</v>
      </c>
      <c r="W75" s="23" t="n">
        <f aca="false">IFERROR(INDEX(PODACI_PRODAJA!F:F,MATCH($A75,PODACI_PRODAJA!$A:$A,0)),0)</f>
        <v>12</v>
      </c>
      <c r="X75" s="23" t="n">
        <f aca="false">IFERROR(INDEX(PODACI_PRODAJA!G:G,MATCH($A75,PODACI_PRODAJA!$A:$A,0)),0)</f>
        <v>27</v>
      </c>
      <c r="Y75" s="23" t="n">
        <f aca="false">IFERROR(INDEX(PODACI_PRODAJA!H:H,MATCH($A75,PODACI_PRODAJA!$A:$A,0)),0)</f>
        <v>30</v>
      </c>
      <c r="Z75" s="23" t="n">
        <f aca="false">IFERROR(INDEX(PODACI_PRODAJA!I:I,MATCH($A75,PODACI_PRODAJA!$A:$A,0)),0)</f>
        <v>10</v>
      </c>
      <c r="AA75" s="23" t="n">
        <f aca="false">IFERROR(INDEX(PODACI_PRODAJA!J:J,MATCH($A75,PODACI_PRODAJA!$A:$A,0)),0)</f>
        <v>0</v>
      </c>
      <c r="AB75" s="23" t="n">
        <f aca="false">IFERROR(INDEX(PODACI_PRODAJA!K:K,MATCH($A75,PODACI_PRODAJA!$A:$A,0)),0)</f>
        <v>0</v>
      </c>
      <c r="AC75" s="23" t="n">
        <f aca="false">IFERROR(INDEX(PODACI_PRODAJA!L:L,MATCH($A75,PODACI_PRODAJA!$A:$A,0)),0)</f>
        <v>0</v>
      </c>
      <c r="AD75" s="23" t="n">
        <f aca="false">IFERROR(INDEX(PODACI_PRODAJA!M:M,MATCH($A75,PODACI_PRODAJA!$A:$A,0)),0)</f>
        <v>0</v>
      </c>
    </row>
    <row r="76" customFormat="false" ht="15" hidden="false" customHeight="false" outlineLevel="0" collapsed="false">
      <c r="A76" s="11" t="str">
        <f aca="false">PODACI_ZALIHE!A73</f>
        <v>044470</v>
      </c>
      <c r="B76" s="8" t="str">
        <f aca="false">PODACI_ZALIHE!B73</f>
        <v>PILETA ZA UMIVAONIK BEZ PRELJEVA 5/4 BIJELA</v>
      </c>
      <c r="C76" s="9" t="str">
        <f aca="false">PODACI_ZALIHE!C73</f>
        <v>4826</v>
      </c>
      <c r="D76" s="8" t="str">
        <f aca="false">PODACI_ZALIHE!D73</f>
        <v>TAIZHOU NIXI SANITARY WARE CO.,LTD</v>
      </c>
      <c r="E76" s="19" t="n">
        <f aca="false">IF(PODACI_ZALIHE!E73="","",PODACI_ZALIHE!E73)</f>
        <v>108</v>
      </c>
      <c r="F76" s="20" t="n">
        <f aca="false">PODACI_ZALIHE!F73</f>
        <v>108</v>
      </c>
      <c r="G76" s="19" t="n">
        <f aca="false">IF(E76="","",E76-F76)</f>
        <v>0</v>
      </c>
      <c r="H76" s="9" t="n">
        <f aca="false">PODACI_PRODAJA!N15</f>
        <v>44.63</v>
      </c>
      <c r="I76" s="21" t="n">
        <f aca="false">IF(H76&lt;=0,999,ROUND(F76/H76,1))</f>
        <v>2.4</v>
      </c>
      <c r="J76" s="9" t="n">
        <f aca="false">SUMIFS(ROBA_U_DOLASKU!$C$6:$C$95,ROBA_U_DOLASKU!$A$6:$A$95,A76,ROBA_U_DOLASKU!$H$6:$H$95,1)</f>
        <v>0</v>
      </c>
      <c r="K76" s="9" t="n">
        <f aca="false">SUMIFS(ROBA_U_DOLASKU!$B$6:$B$95,ROBA_U_DOLASKU!$A$6:$A$95,A76,ROBA_U_DOLASKU!$H$6:$H$95,1)</f>
        <v>0</v>
      </c>
      <c r="L76" s="9" t="n">
        <f aca="false">SUMIFS(ROBA_U_DOLASKU!$C$6:$C$95,ROBA_U_DOLASKU!$A$6:$A$95,A76,ROBA_U_DOLASKU!$H$6:$H$95,2)</f>
        <v>0</v>
      </c>
      <c r="M76" s="9" t="n">
        <f aca="false">SUMIFS(ROBA_U_DOLASKU!$B$6:$B$95,ROBA_U_DOLASKU!$A$6:$A$95,A76,ROBA_U_DOLASKU!$H$6:$H$95,2)</f>
        <v>0</v>
      </c>
      <c r="N76" s="9" t="n">
        <f aca="false">SUMIFS(ROBA_U_DOLASKU!$C$6:$C$95,ROBA_U_DOLASKU!$A$6:$A$95,A76,ROBA_U_DOLASKU!$H$6:$H$95,3)</f>
        <v>0</v>
      </c>
      <c r="O76" s="9" t="n">
        <f aca="false">SUMIFS(ROBA_U_DOLASKU!$B$6:$B$95,ROBA_U_DOLASKU!$A$6:$A$95,A76,ROBA_U_DOLASKU!$H$6:$H$95,3)</f>
        <v>0</v>
      </c>
      <c r="P76" s="9" t="n">
        <f aca="false">IF(H76&lt;=0,999,IF(O76&gt;0,ROUND((F76-H76*N76+K76+M76+O76)/H76,1),IF(M76&gt;0,ROUND((F76-H76*L76+K76+M76)/H76,1),IF(K76&gt;0,ROUND((F76-H76*J76+K76)/H76,1),I76))))</f>
        <v>2.4</v>
      </c>
      <c r="Q76" s="22" t="str">
        <f aca="false">IF(H76&lt;=0,"Nema prodaje",IF(AND(K76=0,M76=0,O76=0),IF(I76&lt;POSTAVKE!$B$6,"Naruči odmah","Sve u redu"),IF(F76-H76*J76&lt;0,"Rupa za ~"&amp;TEXT(I76,"0.0")&amp;" mj.",IF(AND(M76&gt;0,F76-H76*L76+K76&lt;0),"Rupa nakon 1. dolaska",IF(AND(O76&gt;0,F76-H76*N76+K76+M76&lt;0),"Rupa nakon 2. dolaska",IF(P76&lt;POSTAVKE!$B$6,"Količina nije dovoljna",IF(I76&gt;=POSTAVKE!$B$6,"Sve u redu","Stiže na vrijeme")))))))</f>
        <v>Naruči odmah</v>
      </c>
      <c r="S76" s="23" t="n">
        <f aca="false">IFERROR(INDEX(PODACI_PRODAJA!B:B,MATCH($A76,PODACI_PRODAJA!$A:$A,0)),0)</f>
        <v>56</v>
      </c>
      <c r="T76" s="23" t="n">
        <f aca="false">IFERROR(INDEX(PODACI_PRODAJA!C:C,MATCH($A76,PODACI_PRODAJA!$A:$A,0)),0)</f>
        <v>66</v>
      </c>
      <c r="U76" s="23" t="n">
        <f aca="false">IFERROR(INDEX(PODACI_PRODAJA!D:D,MATCH($A76,PODACI_PRODAJA!$A:$A,0)),0)</f>
        <v>40</v>
      </c>
      <c r="V76" s="23" t="n">
        <f aca="false">IFERROR(INDEX(PODACI_PRODAJA!E:E,MATCH($A76,PODACI_PRODAJA!$A:$A,0)),0)</f>
        <v>63</v>
      </c>
      <c r="W76" s="23" t="n">
        <f aca="false">IFERROR(INDEX(PODACI_PRODAJA!F:F,MATCH($A76,PODACI_PRODAJA!$A:$A,0)),0)</f>
        <v>33</v>
      </c>
      <c r="X76" s="23" t="n">
        <f aca="false">IFERROR(INDEX(PODACI_PRODAJA!G:G,MATCH($A76,PODACI_PRODAJA!$A:$A,0)),0)</f>
        <v>29</v>
      </c>
      <c r="Y76" s="23" t="n">
        <f aca="false">IFERROR(INDEX(PODACI_PRODAJA!H:H,MATCH($A76,PODACI_PRODAJA!$A:$A,0)),0)</f>
        <v>25</v>
      </c>
      <c r="Z76" s="23" t="n">
        <f aca="false">IFERROR(INDEX(PODACI_PRODAJA!I:I,MATCH($A76,PODACI_PRODAJA!$A:$A,0)),0)</f>
        <v>45</v>
      </c>
      <c r="AA76" s="23" t="n">
        <f aca="false">IFERROR(INDEX(PODACI_PRODAJA!J:J,MATCH($A76,PODACI_PRODAJA!$A:$A,0)),0)</f>
        <v>0</v>
      </c>
      <c r="AB76" s="23" t="n">
        <f aca="false">IFERROR(INDEX(PODACI_PRODAJA!K:K,MATCH($A76,PODACI_PRODAJA!$A:$A,0)),0)</f>
        <v>0</v>
      </c>
      <c r="AC76" s="23" t="n">
        <f aca="false">IFERROR(INDEX(PODACI_PRODAJA!L:L,MATCH($A76,PODACI_PRODAJA!$A:$A,0)),0)</f>
        <v>0</v>
      </c>
      <c r="AD76" s="23" t="n">
        <f aca="false">IFERROR(INDEX(PODACI_PRODAJA!M:M,MATCH($A76,PODACI_PRODAJA!$A:$A,0)),0)</f>
        <v>0</v>
      </c>
    </row>
    <row r="77" customFormat="false" ht="15" hidden="false" customHeight="false" outlineLevel="0" collapsed="false">
      <c r="A77" s="11" t="str">
        <f aca="false">PODACI_ZALIHE!A74</f>
        <v>002515</v>
      </c>
      <c r="B77" s="8" t="str">
        <f aca="false">PODACI_ZALIHE!B74</f>
        <v>TK NORENA 90 KVADRATNA TUŠ KABINA 90x90x195 cm</v>
      </c>
      <c r="C77" s="9" t="str">
        <f aca="false">PODACI_ZALIHE!C74</f>
        <v>4328</v>
      </c>
      <c r="D77" s="8" t="str">
        <f aca="false">PODACI_ZALIHE!D74</f>
        <v>HANGZHOU DUHUI IMPORT AND EXPORT CO.,LTD</v>
      </c>
      <c r="E77" s="19" t="n">
        <f aca="false">IF(PODACI_ZALIHE!E74="","",PODACI_ZALIHE!E74)</f>
        <v>106</v>
      </c>
      <c r="F77" s="20" t="n">
        <f aca="false">PODACI_ZALIHE!F74</f>
        <v>106</v>
      </c>
      <c r="G77" s="19" t="n">
        <f aca="false">IF(E77="","",E77-F77)</f>
        <v>0</v>
      </c>
      <c r="H77" s="9" t="n">
        <f aca="false">PODACI_PRODAJA!N63</f>
        <v>11.5</v>
      </c>
      <c r="I77" s="21" t="n">
        <f aca="false">IF(H77&lt;=0,999,ROUND(F77/H77,1))</f>
        <v>9.2</v>
      </c>
      <c r="J77" s="9" t="n">
        <f aca="false">SUMIFS(ROBA_U_DOLASKU!$C$6:$C$95,ROBA_U_DOLASKU!$A$6:$A$95,A77,ROBA_U_DOLASKU!$H$6:$H$95,1)</f>
        <v>0</v>
      </c>
      <c r="K77" s="9" t="n">
        <f aca="false">SUMIFS(ROBA_U_DOLASKU!$B$6:$B$95,ROBA_U_DOLASKU!$A$6:$A$95,A77,ROBA_U_DOLASKU!$H$6:$H$95,1)</f>
        <v>0</v>
      </c>
      <c r="L77" s="9" t="n">
        <f aca="false">SUMIFS(ROBA_U_DOLASKU!$C$6:$C$95,ROBA_U_DOLASKU!$A$6:$A$95,A77,ROBA_U_DOLASKU!$H$6:$H$95,2)</f>
        <v>0</v>
      </c>
      <c r="M77" s="9" t="n">
        <f aca="false">SUMIFS(ROBA_U_DOLASKU!$B$6:$B$95,ROBA_U_DOLASKU!$A$6:$A$95,A77,ROBA_U_DOLASKU!$H$6:$H$95,2)</f>
        <v>0</v>
      </c>
      <c r="N77" s="9" t="n">
        <f aca="false">SUMIFS(ROBA_U_DOLASKU!$C$6:$C$95,ROBA_U_DOLASKU!$A$6:$A$95,A77,ROBA_U_DOLASKU!$H$6:$H$95,3)</f>
        <v>0</v>
      </c>
      <c r="O77" s="9" t="n">
        <f aca="false">SUMIFS(ROBA_U_DOLASKU!$B$6:$B$95,ROBA_U_DOLASKU!$A$6:$A$95,A77,ROBA_U_DOLASKU!$H$6:$H$95,3)</f>
        <v>0</v>
      </c>
      <c r="P77" s="9" t="n">
        <f aca="false">IF(H77&lt;=0,999,IF(O77&gt;0,ROUND((F77-H77*N77+K77+M77+O77)/H77,1),IF(M77&gt;0,ROUND((F77-H77*L77+K77+M77)/H77,1),IF(K77&gt;0,ROUND((F77-H77*J77+K77)/H77,1),I77))))</f>
        <v>9.2</v>
      </c>
      <c r="Q77" s="22" t="str">
        <f aca="false">IF(H77&lt;=0,"Nema prodaje",IF(AND(K77=0,M77=0,O77=0),IF(I77&lt;POSTAVKE!$B$6,"Naruči odmah","Sve u redu"),IF(F77-H77*J77&lt;0,"Rupa za ~"&amp;TEXT(I77,"0.0")&amp;" mj.",IF(AND(M77&gt;0,F77-H77*L77+K77&lt;0),"Rupa nakon 1. dolaska",IF(AND(O77&gt;0,F77-H77*N77+K77+M77&lt;0),"Rupa nakon 2. dolaska",IF(P77&lt;POSTAVKE!$B$6,"Količina nije dovoljna",IF(I77&gt;=POSTAVKE!$B$6,"Sve u redu","Stiže na vrijeme")))))))</f>
        <v>Sve u redu</v>
      </c>
      <c r="S77" s="23" t="n">
        <f aca="false">IFERROR(INDEX(PODACI_PRODAJA!B:B,MATCH($A77,PODACI_PRODAJA!$A:$A,0)),0)</f>
        <v>11</v>
      </c>
      <c r="T77" s="23" t="n">
        <f aca="false">IFERROR(INDEX(PODACI_PRODAJA!C:C,MATCH($A77,PODACI_PRODAJA!$A:$A,0)),0)</f>
        <v>9</v>
      </c>
      <c r="U77" s="23" t="n">
        <f aca="false">IFERROR(INDEX(PODACI_PRODAJA!D:D,MATCH($A77,PODACI_PRODAJA!$A:$A,0)),0)</f>
        <v>15</v>
      </c>
      <c r="V77" s="23" t="n">
        <f aca="false">IFERROR(INDEX(PODACI_PRODAJA!E:E,MATCH($A77,PODACI_PRODAJA!$A:$A,0)),0)</f>
        <v>13</v>
      </c>
      <c r="W77" s="23" t="n">
        <f aca="false">IFERROR(INDEX(PODACI_PRODAJA!F:F,MATCH($A77,PODACI_PRODAJA!$A:$A,0)),0)</f>
        <v>9</v>
      </c>
      <c r="X77" s="23" t="n">
        <f aca="false">IFERROR(INDEX(PODACI_PRODAJA!G:G,MATCH($A77,PODACI_PRODAJA!$A:$A,0)),0)</f>
        <v>10</v>
      </c>
      <c r="Y77" s="23" t="n">
        <f aca="false">IFERROR(INDEX(PODACI_PRODAJA!H:H,MATCH($A77,PODACI_PRODAJA!$A:$A,0)),0)</f>
        <v>17</v>
      </c>
      <c r="Z77" s="23" t="n">
        <f aca="false">IFERROR(INDEX(PODACI_PRODAJA!I:I,MATCH($A77,PODACI_PRODAJA!$A:$A,0)),0)</f>
        <v>8</v>
      </c>
      <c r="AA77" s="23" t="n">
        <f aca="false">IFERROR(INDEX(PODACI_PRODAJA!J:J,MATCH($A77,PODACI_PRODAJA!$A:$A,0)),0)</f>
        <v>0</v>
      </c>
      <c r="AB77" s="23" t="n">
        <f aca="false">IFERROR(INDEX(PODACI_PRODAJA!K:K,MATCH($A77,PODACI_PRODAJA!$A:$A,0)),0)</f>
        <v>0</v>
      </c>
      <c r="AC77" s="23" t="n">
        <f aca="false">IFERROR(INDEX(PODACI_PRODAJA!L:L,MATCH($A77,PODACI_PRODAJA!$A:$A,0)),0)</f>
        <v>0</v>
      </c>
      <c r="AD77" s="23" t="n">
        <f aca="false">IFERROR(INDEX(PODACI_PRODAJA!M:M,MATCH($A77,PODACI_PRODAJA!$A:$A,0)),0)</f>
        <v>0</v>
      </c>
    </row>
    <row r="78" customFormat="false" ht="15" hidden="false" customHeight="false" outlineLevel="0" collapsed="false">
      <c r="A78" s="11" t="str">
        <f aca="false">PODACI_ZALIHE!A75</f>
        <v>17213</v>
      </c>
      <c r="B78" s="8" t="str">
        <f aca="false">PODACI_ZALIHE!B75</f>
        <v>IMOLA BIJELA MIJEŠALICA ZA UMIVAONIK</v>
      </c>
      <c r="C78" s="9" t="n">
        <f aca="false">PODACI_ZALIHE!C75</f>
        <v>0</v>
      </c>
      <c r="D78" s="8" t="n">
        <f aca="false">PODACI_ZALIHE!D75</f>
        <v>0</v>
      </c>
      <c r="E78" s="19" t="n">
        <f aca="false">IF(PODACI_ZALIHE!E75="","",PODACI_ZALIHE!E75)</f>
        <v>106</v>
      </c>
      <c r="F78" s="20" t="n">
        <f aca="false">PODACI_ZALIHE!F75</f>
        <v>106</v>
      </c>
      <c r="G78" s="19" t="n">
        <f aca="false">IF(E78="","",E78-F78)</f>
        <v>0</v>
      </c>
      <c r="H78" s="9" t="n">
        <f aca="false">PODACI_PRODAJA!N162</f>
        <v>2.13</v>
      </c>
      <c r="I78" s="21" t="n">
        <f aca="false">IF(H78&lt;=0,999,ROUND(F78/H78,1))</f>
        <v>49.8</v>
      </c>
      <c r="J78" s="9" t="n">
        <f aca="false">SUMIFS(ROBA_U_DOLASKU!$C$6:$C$95,ROBA_U_DOLASKU!$A$6:$A$95,A78,ROBA_U_DOLASKU!$H$6:$H$95,1)</f>
        <v>0</v>
      </c>
      <c r="K78" s="9" t="n">
        <f aca="false">SUMIFS(ROBA_U_DOLASKU!$B$6:$B$95,ROBA_U_DOLASKU!$A$6:$A$95,A78,ROBA_U_DOLASKU!$H$6:$H$95,1)</f>
        <v>0</v>
      </c>
      <c r="L78" s="9" t="n">
        <f aca="false">SUMIFS(ROBA_U_DOLASKU!$C$6:$C$95,ROBA_U_DOLASKU!$A$6:$A$95,A78,ROBA_U_DOLASKU!$H$6:$H$95,2)</f>
        <v>0</v>
      </c>
      <c r="M78" s="9" t="n">
        <f aca="false">SUMIFS(ROBA_U_DOLASKU!$B$6:$B$95,ROBA_U_DOLASKU!$A$6:$A$95,A78,ROBA_U_DOLASKU!$H$6:$H$95,2)</f>
        <v>0</v>
      </c>
      <c r="N78" s="9" t="n">
        <f aca="false">SUMIFS(ROBA_U_DOLASKU!$C$6:$C$95,ROBA_U_DOLASKU!$A$6:$A$95,A78,ROBA_U_DOLASKU!$H$6:$H$95,3)</f>
        <v>0</v>
      </c>
      <c r="O78" s="9" t="n">
        <f aca="false">SUMIFS(ROBA_U_DOLASKU!$B$6:$B$95,ROBA_U_DOLASKU!$A$6:$A$95,A78,ROBA_U_DOLASKU!$H$6:$H$95,3)</f>
        <v>0</v>
      </c>
      <c r="P78" s="9" t="n">
        <f aca="false">IF(H78&lt;=0,999,IF(O78&gt;0,ROUND((F78-H78*N78+K78+M78+O78)/H78,1),IF(M78&gt;0,ROUND((F78-H78*L78+K78+M78)/H78,1),IF(K78&gt;0,ROUND((F78-H78*J78+K78)/H78,1),I78))))</f>
        <v>49.8</v>
      </c>
      <c r="Q78" s="22" t="str">
        <f aca="false">IF(H78&lt;=0,"Nema prodaje",IF(AND(K78=0,M78=0,O78=0),IF(I78&lt;POSTAVKE!$B$6,"Naruči odmah","Sve u redu"),IF(F78-H78*J78&lt;0,"Rupa za ~"&amp;TEXT(I78,"0.0")&amp;" mj.",IF(AND(M78&gt;0,F78-H78*L78+K78&lt;0),"Rupa nakon 1. dolaska",IF(AND(O78&gt;0,F78-H78*N78+K78+M78&lt;0),"Rupa nakon 2. dolaska",IF(P78&lt;POSTAVKE!$B$6,"Količina nije dovoljna",IF(I78&gt;=POSTAVKE!$B$6,"Sve u redu","Stiže na vrijeme")))))))</f>
        <v>Sve u redu</v>
      </c>
      <c r="S78" s="23" t="n">
        <f aca="false">IFERROR(INDEX(PODACI_PRODAJA!B:B,MATCH($A78,PODACI_PRODAJA!$A:$A,0)),0)</f>
        <v>3</v>
      </c>
      <c r="T78" s="23" t="n">
        <f aca="false">IFERROR(INDEX(PODACI_PRODAJA!C:C,MATCH($A78,PODACI_PRODAJA!$A:$A,0)),0)</f>
        <v>0</v>
      </c>
      <c r="U78" s="23" t="n">
        <f aca="false">IFERROR(INDEX(PODACI_PRODAJA!D:D,MATCH($A78,PODACI_PRODAJA!$A:$A,0)),0)</f>
        <v>0</v>
      </c>
      <c r="V78" s="23" t="n">
        <f aca="false">IFERROR(INDEX(PODACI_PRODAJA!E:E,MATCH($A78,PODACI_PRODAJA!$A:$A,0)),0)</f>
        <v>4</v>
      </c>
      <c r="W78" s="23" t="n">
        <f aca="false">IFERROR(INDEX(PODACI_PRODAJA!F:F,MATCH($A78,PODACI_PRODAJA!$A:$A,0)),0)</f>
        <v>0</v>
      </c>
      <c r="X78" s="23" t="n">
        <f aca="false">IFERROR(INDEX(PODACI_PRODAJA!G:G,MATCH($A78,PODACI_PRODAJA!$A:$A,0)),0)</f>
        <v>7</v>
      </c>
      <c r="Y78" s="23" t="n">
        <f aca="false">IFERROR(INDEX(PODACI_PRODAJA!H:H,MATCH($A78,PODACI_PRODAJA!$A:$A,0)),0)</f>
        <v>0</v>
      </c>
      <c r="Z78" s="23" t="n">
        <f aca="false">IFERROR(INDEX(PODACI_PRODAJA!I:I,MATCH($A78,PODACI_PRODAJA!$A:$A,0)),0)</f>
        <v>3</v>
      </c>
      <c r="AA78" s="23" t="n">
        <f aca="false">IFERROR(INDEX(PODACI_PRODAJA!J:J,MATCH($A78,PODACI_PRODAJA!$A:$A,0)),0)</f>
        <v>0</v>
      </c>
      <c r="AB78" s="23" t="n">
        <f aca="false">IFERROR(INDEX(PODACI_PRODAJA!K:K,MATCH($A78,PODACI_PRODAJA!$A:$A,0)),0)</f>
        <v>0</v>
      </c>
      <c r="AC78" s="23" t="n">
        <f aca="false">IFERROR(INDEX(PODACI_PRODAJA!L:L,MATCH($A78,PODACI_PRODAJA!$A:$A,0)),0)</f>
        <v>0</v>
      </c>
      <c r="AD78" s="23" t="n">
        <f aca="false">IFERROR(INDEX(PODACI_PRODAJA!M:M,MATCH($A78,PODACI_PRODAJA!$A:$A,0)),0)</f>
        <v>0</v>
      </c>
    </row>
    <row r="79" customFormat="false" ht="15" hidden="false" customHeight="false" outlineLevel="0" collapsed="false">
      <c r="A79" s="11" t="str">
        <f aca="false">PODACI_ZALIHE!A76</f>
        <v>00511</v>
      </c>
      <c r="B79" s="8" t="str">
        <f aca="false">PODACI_ZALIHE!B76</f>
        <v>OGLEDALO GLN07 90x65 cm</v>
      </c>
      <c r="C79" s="9" t="str">
        <f aca="false">PODACI_ZALIHE!C76</f>
        <v>2515</v>
      </c>
      <c r="D79" s="8" t="str">
        <f aca="false">PODACI_ZALIHE!D76</f>
        <v>HANGZHOU ZHUGELAI JINGYI CO., LTD.</v>
      </c>
      <c r="E79" s="19" t="n">
        <f aca="false">IF(PODACI_ZALIHE!E76="","",PODACI_ZALIHE!E76)</f>
        <v>104</v>
      </c>
      <c r="F79" s="20" t="n">
        <f aca="false">PODACI_ZALIHE!F76</f>
        <v>104</v>
      </c>
      <c r="G79" s="19" t="n">
        <f aca="false">IF(E79="","",E79-F79)</f>
        <v>0</v>
      </c>
      <c r="H79" s="9" t="n">
        <f aca="false">PODACI_PRODAJA!N379</f>
        <v>4.38</v>
      </c>
      <c r="I79" s="21" t="n">
        <f aca="false">IF(H79&lt;=0,999,ROUND(F79/H79,1))</f>
        <v>23.7</v>
      </c>
      <c r="J79" s="9" t="n">
        <f aca="false">SUMIFS(ROBA_U_DOLASKU!$C$6:$C$95,ROBA_U_DOLASKU!$A$6:$A$95,A79,ROBA_U_DOLASKU!$H$6:$H$95,1)</f>
        <v>0</v>
      </c>
      <c r="K79" s="9" t="n">
        <f aca="false">SUMIFS(ROBA_U_DOLASKU!$B$6:$B$95,ROBA_U_DOLASKU!$A$6:$A$95,A79,ROBA_U_DOLASKU!$H$6:$H$95,1)</f>
        <v>0</v>
      </c>
      <c r="L79" s="9" t="n">
        <f aca="false">SUMIFS(ROBA_U_DOLASKU!$C$6:$C$95,ROBA_U_DOLASKU!$A$6:$A$95,A79,ROBA_U_DOLASKU!$H$6:$H$95,2)</f>
        <v>0</v>
      </c>
      <c r="M79" s="9" t="n">
        <f aca="false">SUMIFS(ROBA_U_DOLASKU!$B$6:$B$95,ROBA_U_DOLASKU!$A$6:$A$95,A79,ROBA_U_DOLASKU!$H$6:$H$95,2)</f>
        <v>0</v>
      </c>
      <c r="N79" s="9" t="n">
        <f aca="false">SUMIFS(ROBA_U_DOLASKU!$C$6:$C$95,ROBA_U_DOLASKU!$A$6:$A$95,A79,ROBA_U_DOLASKU!$H$6:$H$95,3)</f>
        <v>0</v>
      </c>
      <c r="O79" s="9" t="n">
        <f aca="false">SUMIFS(ROBA_U_DOLASKU!$B$6:$B$95,ROBA_U_DOLASKU!$A$6:$A$95,A79,ROBA_U_DOLASKU!$H$6:$H$95,3)</f>
        <v>0</v>
      </c>
      <c r="P79" s="9" t="n">
        <f aca="false">IF(H79&lt;=0,999,IF(O79&gt;0,ROUND((F79-H79*N79+K79+M79+O79)/H79,1),IF(M79&gt;0,ROUND((F79-H79*L79+K79+M79)/H79,1),IF(K79&gt;0,ROUND((F79-H79*J79+K79)/H79,1),I79))))</f>
        <v>23.7</v>
      </c>
      <c r="Q79" s="22" t="str">
        <f aca="false">IF(H79&lt;=0,"Nema prodaje",IF(AND(K79=0,M79=0,O79=0),IF(I79&lt;POSTAVKE!$B$6,"Naruči odmah","Sve u redu"),IF(F79-H79*J79&lt;0,"Rupa za ~"&amp;TEXT(I79,"0.0")&amp;" mj.",IF(AND(M79&gt;0,F79-H79*L79+K79&lt;0),"Rupa nakon 1. dolaska",IF(AND(O79&gt;0,F79-H79*N79+K79+M79&lt;0),"Rupa nakon 2. dolaska",IF(P79&lt;POSTAVKE!$B$6,"Količina nije dovoljna",IF(I79&gt;=POSTAVKE!$B$6,"Sve u redu","Stiže na vrijeme")))))))</f>
        <v>Sve u redu</v>
      </c>
      <c r="S79" s="23" t="n">
        <f aca="false">IFERROR(INDEX(PODACI_PRODAJA!B:B,MATCH($A79,PODACI_PRODAJA!$A:$A,0)),0)</f>
        <v>0</v>
      </c>
      <c r="T79" s="23" t="n">
        <f aca="false">IFERROR(INDEX(PODACI_PRODAJA!C:C,MATCH($A79,PODACI_PRODAJA!$A:$A,0)),0)</f>
        <v>0</v>
      </c>
      <c r="U79" s="23" t="n">
        <f aca="false">IFERROR(INDEX(PODACI_PRODAJA!D:D,MATCH($A79,PODACI_PRODAJA!$A:$A,0)),0)</f>
        <v>5</v>
      </c>
      <c r="V79" s="23" t="n">
        <f aca="false">IFERROR(INDEX(PODACI_PRODAJA!E:E,MATCH($A79,PODACI_PRODAJA!$A:$A,0)),0)</f>
        <v>5</v>
      </c>
      <c r="W79" s="23" t="n">
        <f aca="false">IFERROR(INDEX(PODACI_PRODAJA!F:F,MATCH($A79,PODACI_PRODAJA!$A:$A,0)),0)</f>
        <v>10</v>
      </c>
      <c r="X79" s="23" t="n">
        <f aca="false">IFERROR(INDEX(PODACI_PRODAJA!G:G,MATCH($A79,PODACI_PRODAJA!$A:$A,0)),0)</f>
        <v>10</v>
      </c>
      <c r="Y79" s="23" t="n">
        <f aca="false">IFERROR(INDEX(PODACI_PRODAJA!H:H,MATCH($A79,PODACI_PRODAJA!$A:$A,0)),0)</f>
        <v>5</v>
      </c>
      <c r="Z79" s="23" t="n">
        <f aca="false">IFERROR(INDEX(PODACI_PRODAJA!I:I,MATCH($A79,PODACI_PRODAJA!$A:$A,0)),0)</f>
        <v>0</v>
      </c>
      <c r="AA79" s="23" t="n">
        <f aca="false">IFERROR(INDEX(PODACI_PRODAJA!J:J,MATCH($A79,PODACI_PRODAJA!$A:$A,0)),0)</f>
        <v>0</v>
      </c>
      <c r="AB79" s="23" t="n">
        <f aca="false">IFERROR(INDEX(PODACI_PRODAJA!K:K,MATCH($A79,PODACI_PRODAJA!$A:$A,0)),0)</f>
        <v>0</v>
      </c>
      <c r="AC79" s="23" t="n">
        <f aca="false">IFERROR(INDEX(PODACI_PRODAJA!L:L,MATCH($A79,PODACI_PRODAJA!$A:$A,0)),0)</f>
        <v>0</v>
      </c>
      <c r="AD79" s="23" t="n">
        <f aca="false">IFERROR(INDEX(PODACI_PRODAJA!M:M,MATCH($A79,PODACI_PRODAJA!$A:$A,0)),0)</f>
        <v>0</v>
      </c>
    </row>
    <row r="80" customFormat="false" ht="15" hidden="false" customHeight="false" outlineLevel="0" collapsed="false">
      <c r="A80" s="11" t="str">
        <f aca="false">PODACI_ZALIHE!A77</f>
        <v>16024</v>
      </c>
      <c r="B80" s="8" t="str">
        <f aca="false">PODACI_ZALIHE!B77</f>
        <v>TK RONDA 80 KVADRATNA TUŠ KABINA 80x80x185 cm</v>
      </c>
      <c r="C80" s="9" t="str">
        <f aca="false">PODACI_ZALIHE!C77</f>
        <v>6163</v>
      </c>
      <c r="D80" s="8" t="str">
        <f aca="false">PODACI_ZALIHE!D77</f>
        <v>HANGZHOU TIANMEI INDUSTRY CO.,LTD</v>
      </c>
      <c r="E80" s="19" t="n">
        <f aca="false">IF(PODACI_ZALIHE!E77="","",PODACI_ZALIHE!E77)</f>
        <v>100</v>
      </c>
      <c r="F80" s="20" t="n">
        <f aca="false">PODACI_ZALIHE!F77</f>
        <v>99</v>
      </c>
      <c r="G80" s="19" t="n">
        <f aca="false">IF(E80="","",E80-F80)</f>
        <v>1</v>
      </c>
      <c r="H80" s="9" t="n">
        <f aca="false">PODACI_PRODAJA!N549</f>
        <v>0.5</v>
      </c>
      <c r="I80" s="21" t="n">
        <f aca="false">IF(H80&lt;=0,999,ROUND(F80/H80,1))</f>
        <v>198</v>
      </c>
      <c r="J80" s="9" t="n">
        <f aca="false">SUMIFS(ROBA_U_DOLASKU!$C$6:$C$95,ROBA_U_DOLASKU!$A$6:$A$95,A80,ROBA_U_DOLASKU!$H$6:$H$95,1)</f>
        <v>0</v>
      </c>
      <c r="K80" s="9" t="n">
        <f aca="false">SUMIFS(ROBA_U_DOLASKU!$B$6:$B$95,ROBA_U_DOLASKU!$A$6:$A$95,A80,ROBA_U_DOLASKU!$H$6:$H$95,1)</f>
        <v>0</v>
      </c>
      <c r="L80" s="9" t="n">
        <f aca="false">SUMIFS(ROBA_U_DOLASKU!$C$6:$C$95,ROBA_U_DOLASKU!$A$6:$A$95,A80,ROBA_U_DOLASKU!$H$6:$H$95,2)</f>
        <v>0</v>
      </c>
      <c r="M80" s="9" t="n">
        <f aca="false">SUMIFS(ROBA_U_DOLASKU!$B$6:$B$95,ROBA_U_DOLASKU!$A$6:$A$95,A80,ROBA_U_DOLASKU!$H$6:$H$95,2)</f>
        <v>0</v>
      </c>
      <c r="N80" s="9" t="n">
        <f aca="false">SUMIFS(ROBA_U_DOLASKU!$C$6:$C$95,ROBA_U_DOLASKU!$A$6:$A$95,A80,ROBA_U_DOLASKU!$H$6:$H$95,3)</f>
        <v>0</v>
      </c>
      <c r="O80" s="9" t="n">
        <f aca="false">SUMIFS(ROBA_U_DOLASKU!$B$6:$B$95,ROBA_U_DOLASKU!$A$6:$A$95,A80,ROBA_U_DOLASKU!$H$6:$H$95,3)</f>
        <v>0</v>
      </c>
      <c r="P80" s="9" t="n">
        <f aca="false">IF(H80&lt;=0,999,IF(O80&gt;0,ROUND((F80-H80*N80+K80+M80+O80)/H80,1),IF(M80&gt;0,ROUND((F80-H80*L80+K80+M80)/H80,1),IF(K80&gt;0,ROUND((F80-H80*J80+K80)/H80,1),I80))))</f>
        <v>198</v>
      </c>
      <c r="Q80" s="22" t="str">
        <f aca="false">IF(H80&lt;=0,"Nema prodaje",IF(AND(K80=0,M80=0,O80=0),IF(I80&lt;POSTAVKE!$B$6,"Naruči odmah","Sve u redu"),IF(F80-H80*J80&lt;0,"Rupa za ~"&amp;TEXT(I80,"0.0")&amp;" mj.",IF(AND(M80&gt;0,F80-H80*L80+K80&lt;0),"Rupa nakon 1. dolaska",IF(AND(O80&gt;0,F80-H80*N80+K80+M80&lt;0),"Rupa nakon 2. dolaska",IF(P80&lt;POSTAVKE!$B$6,"Količina nije dovoljna",IF(I80&gt;=POSTAVKE!$B$6,"Sve u redu","Stiže na vrijeme")))))))</f>
        <v>Sve u redu</v>
      </c>
      <c r="S80" s="23" t="n">
        <f aca="false">IFERROR(INDEX(PODACI_PRODAJA!B:B,MATCH($A80,PODACI_PRODAJA!$A:$A,0)),0)</f>
        <v>0</v>
      </c>
      <c r="T80" s="23" t="n">
        <f aca="false">IFERROR(INDEX(PODACI_PRODAJA!C:C,MATCH($A80,PODACI_PRODAJA!$A:$A,0)),0)</f>
        <v>1</v>
      </c>
      <c r="U80" s="23" t="n">
        <f aca="false">IFERROR(INDEX(PODACI_PRODAJA!D:D,MATCH($A80,PODACI_PRODAJA!$A:$A,0)),0)</f>
        <v>0</v>
      </c>
      <c r="V80" s="23" t="n">
        <f aca="false">IFERROR(INDEX(PODACI_PRODAJA!E:E,MATCH($A80,PODACI_PRODAJA!$A:$A,0)),0)</f>
        <v>0</v>
      </c>
      <c r="W80" s="23" t="n">
        <f aca="false">IFERROR(INDEX(PODACI_PRODAJA!F:F,MATCH($A80,PODACI_PRODAJA!$A:$A,0)),0)</f>
        <v>2</v>
      </c>
      <c r="X80" s="23" t="n">
        <f aca="false">IFERROR(INDEX(PODACI_PRODAJA!G:G,MATCH($A80,PODACI_PRODAJA!$A:$A,0)),0)</f>
        <v>0</v>
      </c>
      <c r="Y80" s="23" t="n">
        <f aca="false">IFERROR(INDEX(PODACI_PRODAJA!H:H,MATCH($A80,PODACI_PRODAJA!$A:$A,0)),0)</f>
        <v>0</v>
      </c>
      <c r="Z80" s="23" t="n">
        <f aca="false">IFERROR(INDEX(PODACI_PRODAJA!I:I,MATCH($A80,PODACI_PRODAJA!$A:$A,0)),0)</f>
        <v>1</v>
      </c>
      <c r="AA80" s="23" t="n">
        <f aca="false">IFERROR(INDEX(PODACI_PRODAJA!J:J,MATCH($A80,PODACI_PRODAJA!$A:$A,0)),0)</f>
        <v>0</v>
      </c>
      <c r="AB80" s="23" t="n">
        <f aca="false">IFERROR(INDEX(PODACI_PRODAJA!K:K,MATCH($A80,PODACI_PRODAJA!$A:$A,0)),0)</f>
        <v>0</v>
      </c>
      <c r="AC80" s="23" t="n">
        <f aca="false">IFERROR(INDEX(PODACI_PRODAJA!L:L,MATCH($A80,PODACI_PRODAJA!$A:$A,0)),0)</f>
        <v>0</v>
      </c>
      <c r="AD80" s="23" t="n">
        <f aca="false">IFERROR(INDEX(PODACI_PRODAJA!M:M,MATCH($A80,PODACI_PRODAJA!$A:$A,0)),0)</f>
        <v>0</v>
      </c>
    </row>
    <row r="81" customFormat="false" ht="15" hidden="false" customHeight="false" outlineLevel="0" collapsed="false">
      <c r="A81" s="11" t="str">
        <f aca="false">PODACI_ZALIHE!A78</f>
        <v>002476</v>
      </c>
      <c r="B81" s="8" t="str">
        <f aca="false">PODACI_ZALIHE!B78</f>
        <v>VERONA MIJEŠALICA ZA SUDOPER 3C H 27,5 cm</v>
      </c>
      <c r="C81" s="9" t="str">
        <f aca="false">PODACI_ZALIHE!C78</f>
        <v>4053</v>
      </c>
      <c r="D81" s="8" t="str">
        <f aca="false">PODACI_ZALIHE!D78</f>
        <v>TAIZHOU ZHENGSHING VALVE CO .,LTD</v>
      </c>
      <c r="E81" s="19" t="n">
        <f aca="false">IF(PODACI_ZALIHE!E78="","",PODACI_ZALIHE!E78)</f>
        <v>94</v>
      </c>
      <c r="F81" s="20" t="n">
        <f aca="false">PODACI_ZALIHE!F78</f>
        <v>94</v>
      </c>
      <c r="G81" s="19" t="n">
        <f aca="false">IF(E81="","",E81-F81)</f>
        <v>0</v>
      </c>
      <c r="H81" s="9" t="n">
        <f aca="false">PODACI_PRODAJA!N356</f>
        <v>4.25</v>
      </c>
      <c r="I81" s="21" t="n">
        <f aca="false">IF(H81&lt;=0,999,ROUND(F81/H81,1))</f>
        <v>22.1</v>
      </c>
      <c r="J81" s="9" t="n">
        <f aca="false">SUMIFS(ROBA_U_DOLASKU!$C$6:$C$95,ROBA_U_DOLASKU!$A$6:$A$95,A81,ROBA_U_DOLASKU!$H$6:$H$95,1)</f>
        <v>0</v>
      </c>
      <c r="K81" s="9" t="n">
        <f aca="false">SUMIFS(ROBA_U_DOLASKU!$B$6:$B$95,ROBA_U_DOLASKU!$A$6:$A$95,A81,ROBA_U_DOLASKU!$H$6:$H$95,1)</f>
        <v>0</v>
      </c>
      <c r="L81" s="9" t="n">
        <f aca="false">SUMIFS(ROBA_U_DOLASKU!$C$6:$C$95,ROBA_U_DOLASKU!$A$6:$A$95,A81,ROBA_U_DOLASKU!$H$6:$H$95,2)</f>
        <v>0</v>
      </c>
      <c r="M81" s="9" t="n">
        <f aca="false">SUMIFS(ROBA_U_DOLASKU!$B$6:$B$95,ROBA_U_DOLASKU!$A$6:$A$95,A81,ROBA_U_DOLASKU!$H$6:$H$95,2)</f>
        <v>0</v>
      </c>
      <c r="N81" s="9" t="n">
        <f aca="false">SUMIFS(ROBA_U_DOLASKU!$C$6:$C$95,ROBA_U_DOLASKU!$A$6:$A$95,A81,ROBA_U_DOLASKU!$H$6:$H$95,3)</f>
        <v>0</v>
      </c>
      <c r="O81" s="9" t="n">
        <f aca="false">SUMIFS(ROBA_U_DOLASKU!$B$6:$B$95,ROBA_U_DOLASKU!$A$6:$A$95,A81,ROBA_U_DOLASKU!$H$6:$H$95,3)</f>
        <v>0</v>
      </c>
      <c r="P81" s="9" t="n">
        <f aca="false">IF(H81&lt;=0,999,IF(O81&gt;0,ROUND((F81-H81*N81+K81+M81+O81)/H81,1),IF(M81&gt;0,ROUND((F81-H81*L81+K81+M81)/H81,1),IF(K81&gt;0,ROUND((F81-H81*J81+K81)/H81,1),I81))))</f>
        <v>22.1</v>
      </c>
      <c r="Q81" s="22" t="str">
        <f aca="false">IF(H81&lt;=0,"Nema prodaje",IF(AND(K81=0,M81=0,O81=0),IF(I81&lt;POSTAVKE!$B$6,"Naruči odmah","Sve u redu"),IF(F81-H81*J81&lt;0,"Rupa za ~"&amp;TEXT(I81,"0.0")&amp;" mj.",IF(AND(M81&gt;0,F81-H81*L81+K81&lt;0),"Rupa nakon 1. dolaska",IF(AND(O81&gt;0,F81-H81*N81+K81+M81&lt;0),"Rupa nakon 2. dolaska",IF(P81&lt;POSTAVKE!$B$6,"Količina nije dovoljna",IF(I81&gt;=POSTAVKE!$B$6,"Sve u redu","Stiže na vrijeme")))))))</f>
        <v>Sve u redu</v>
      </c>
      <c r="S81" s="23" t="n">
        <f aca="false">IFERROR(INDEX(PODACI_PRODAJA!B:B,MATCH($A81,PODACI_PRODAJA!$A:$A,0)),0)</f>
        <v>0</v>
      </c>
      <c r="T81" s="23" t="n">
        <f aca="false">IFERROR(INDEX(PODACI_PRODAJA!C:C,MATCH($A81,PODACI_PRODAJA!$A:$A,0)),0)</f>
        <v>0</v>
      </c>
      <c r="U81" s="23" t="n">
        <f aca="false">IFERROR(INDEX(PODACI_PRODAJA!D:D,MATCH($A81,PODACI_PRODAJA!$A:$A,0)),0)</f>
        <v>5</v>
      </c>
      <c r="V81" s="23" t="n">
        <f aca="false">IFERROR(INDEX(PODACI_PRODAJA!E:E,MATCH($A81,PODACI_PRODAJA!$A:$A,0)),0)</f>
        <v>12</v>
      </c>
      <c r="W81" s="23" t="n">
        <f aca="false">IFERROR(INDEX(PODACI_PRODAJA!F:F,MATCH($A81,PODACI_PRODAJA!$A:$A,0)),0)</f>
        <v>0</v>
      </c>
      <c r="X81" s="23" t="n">
        <f aca="false">IFERROR(INDEX(PODACI_PRODAJA!G:G,MATCH($A81,PODACI_PRODAJA!$A:$A,0)),0)</f>
        <v>4</v>
      </c>
      <c r="Y81" s="23" t="n">
        <f aca="false">IFERROR(INDEX(PODACI_PRODAJA!H:H,MATCH($A81,PODACI_PRODAJA!$A:$A,0)),0)</f>
        <v>13</v>
      </c>
      <c r="Z81" s="23" t="n">
        <f aca="false">IFERROR(INDEX(PODACI_PRODAJA!I:I,MATCH($A81,PODACI_PRODAJA!$A:$A,0)),0)</f>
        <v>0</v>
      </c>
      <c r="AA81" s="23" t="n">
        <f aca="false">IFERROR(INDEX(PODACI_PRODAJA!J:J,MATCH($A81,PODACI_PRODAJA!$A:$A,0)),0)</f>
        <v>0</v>
      </c>
      <c r="AB81" s="23" t="n">
        <f aca="false">IFERROR(INDEX(PODACI_PRODAJA!K:K,MATCH($A81,PODACI_PRODAJA!$A:$A,0)),0)</f>
        <v>0</v>
      </c>
      <c r="AC81" s="23" t="n">
        <f aca="false">IFERROR(INDEX(PODACI_PRODAJA!L:L,MATCH($A81,PODACI_PRODAJA!$A:$A,0)),0)</f>
        <v>0</v>
      </c>
      <c r="AD81" s="23" t="n">
        <f aca="false">IFERROR(INDEX(PODACI_PRODAJA!M:M,MATCH($A81,PODACI_PRODAJA!$A:$A,0)),0)</f>
        <v>0</v>
      </c>
    </row>
    <row r="82" customFormat="false" ht="15" hidden="false" customHeight="false" outlineLevel="0" collapsed="false">
      <c r="A82" s="11" t="str">
        <f aca="false">PODACI_ZALIHE!A79</f>
        <v>16788</v>
      </c>
      <c r="B82" s="8" t="str">
        <f aca="false">PODACI_ZALIHE!B79</f>
        <v>AMELIA 90 HIDROMASAŽNA TUŠ KABINA 90x90x215cm</v>
      </c>
      <c r="C82" s="9" t="str">
        <f aca="false">PODACI_ZALIHE!C79</f>
        <v>6163</v>
      </c>
      <c r="D82" s="8" t="str">
        <f aca="false">PODACI_ZALIHE!D79</f>
        <v>HANGZHOU TIANMEI INDUSTRY CO.,LTD</v>
      </c>
      <c r="E82" s="19" t="n">
        <f aca="false">IF(PODACI_ZALIHE!E79="","",PODACI_ZALIHE!E79)</f>
        <v>95</v>
      </c>
      <c r="F82" s="20" t="n">
        <f aca="false">PODACI_ZALIHE!F79</f>
        <v>94</v>
      </c>
      <c r="G82" s="19" t="n">
        <f aca="false">IF(E82="","",E82-F82)</f>
        <v>1</v>
      </c>
      <c r="H82" s="9" t="n">
        <f aca="false">PODACI_PRODAJA!N49</f>
        <v>21.63</v>
      </c>
      <c r="I82" s="21" t="n">
        <f aca="false">IF(H82&lt;=0,999,ROUND(F82/H82,1))</f>
        <v>4.3</v>
      </c>
      <c r="J82" s="9" t="n">
        <f aca="false">SUMIFS(ROBA_U_DOLASKU!$C$6:$C$95,ROBA_U_DOLASKU!$A$6:$A$95,A82,ROBA_U_DOLASKU!$H$6:$H$95,1)</f>
        <v>0</v>
      </c>
      <c r="K82" s="9" t="n">
        <f aca="false">SUMIFS(ROBA_U_DOLASKU!$B$6:$B$95,ROBA_U_DOLASKU!$A$6:$A$95,A82,ROBA_U_DOLASKU!$H$6:$H$95,1)</f>
        <v>0</v>
      </c>
      <c r="L82" s="9" t="n">
        <f aca="false">SUMIFS(ROBA_U_DOLASKU!$C$6:$C$95,ROBA_U_DOLASKU!$A$6:$A$95,A82,ROBA_U_DOLASKU!$H$6:$H$95,2)</f>
        <v>0</v>
      </c>
      <c r="M82" s="9" t="n">
        <f aca="false">SUMIFS(ROBA_U_DOLASKU!$B$6:$B$95,ROBA_U_DOLASKU!$A$6:$A$95,A82,ROBA_U_DOLASKU!$H$6:$H$95,2)</f>
        <v>0</v>
      </c>
      <c r="N82" s="9" t="n">
        <f aca="false">SUMIFS(ROBA_U_DOLASKU!$C$6:$C$95,ROBA_U_DOLASKU!$A$6:$A$95,A82,ROBA_U_DOLASKU!$H$6:$H$95,3)</f>
        <v>0</v>
      </c>
      <c r="O82" s="9" t="n">
        <f aca="false">SUMIFS(ROBA_U_DOLASKU!$B$6:$B$95,ROBA_U_DOLASKU!$A$6:$A$95,A82,ROBA_U_DOLASKU!$H$6:$H$95,3)</f>
        <v>0</v>
      </c>
      <c r="P82" s="9" t="n">
        <f aca="false">IF(H82&lt;=0,999,IF(O82&gt;0,ROUND((F82-H82*N82+K82+M82+O82)/H82,1),IF(M82&gt;0,ROUND((F82-H82*L82+K82+M82)/H82,1),IF(K82&gt;0,ROUND((F82-H82*J82+K82)/H82,1),I82))))</f>
        <v>4.3</v>
      </c>
      <c r="Q82" s="22" t="str">
        <f aca="false">IF(H82&lt;=0,"Nema prodaje",IF(AND(K82=0,M82=0,O82=0),IF(I82&lt;POSTAVKE!$B$6,"Naruči odmah","Sve u redu"),IF(F82-H82*J82&lt;0,"Rupa za ~"&amp;TEXT(I82,"0.0")&amp;" mj.",IF(AND(M82&gt;0,F82-H82*L82+K82&lt;0),"Rupa nakon 1. dolaska",IF(AND(O82&gt;0,F82-H82*N82+K82+M82&lt;0),"Rupa nakon 2. dolaska",IF(P82&lt;POSTAVKE!$B$6,"Količina nije dovoljna",IF(I82&gt;=POSTAVKE!$B$6,"Sve u redu","Stiže na vrijeme")))))))</f>
        <v>Naruči odmah</v>
      </c>
      <c r="S82" s="23" t="n">
        <f aca="false">IFERROR(INDEX(PODACI_PRODAJA!B:B,MATCH($A82,PODACI_PRODAJA!$A:$A,0)),0)</f>
        <v>18</v>
      </c>
      <c r="T82" s="23" t="n">
        <f aca="false">IFERROR(INDEX(PODACI_PRODAJA!C:C,MATCH($A82,PODACI_PRODAJA!$A:$A,0)),0)</f>
        <v>12</v>
      </c>
      <c r="U82" s="23" t="n">
        <f aca="false">IFERROR(INDEX(PODACI_PRODAJA!D:D,MATCH($A82,PODACI_PRODAJA!$A:$A,0)),0)</f>
        <v>37</v>
      </c>
      <c r="V82" s="23" t="n">
        <f aca="false">IFERROR(INDEX(PODACI_PRODAJA!E:E,MATCH($A82,PODACI_PRODAJA!$A:$A,0)),0)</f>
        <v>18</v>
      </c>
      <c r="W82" s="23" t="n">
        <f aca="false">IFERROR(INDEX(PODACI_PRODAJA!F:F,MATCH($A82,PODACI_PRODAJA!$A:$A,0)),0)</f>
        <v>31</v>
      </c>
      <c r="X82" s="23" t="n">
        <f aca="false">IFERROR(INDEX(PODACI_PRODAJA!G:G,MATCH($A82,PODACI_PRODAJA!$A:$A,0)),0)</f>
        <v>11</v>
      </c>
      <c r="Y82" s="23" t="n">
        <f aca="false">IFERROR(INDEX(PODACI_PRODAJA!H:H,MATCH($A82,PODACI_PRODAJA!$A:$A,0)),0)</f>
        <v>38</v>
      </c>
      <c r="Z82" s="23" t="n">
        <f aca="false">IFERROR(INDEX(PODACI_PRODAJA!I:I,MATCH($A82,PODACI_PRODAJA!$A:$A,0)),0)</f>
        <v>8</v>
      </c>
      <c r="AA82" s="23" t="n">
        <f aca="false">IFERROR(INDEX(PODACI_PRODAJA!J:J,MATCH($A82,PODACI_PRODAJA!$A:$A,0)),0)</f>
        <v>1</v>
      </c>
      <c r="AB82" s="23" t="n">
        <f aca="false">IFERROR(INDEX(PODACI_PRODAJA!K:K,MATCH($A82,PODACI_PRODAJA!$A:$A,0)),0)</f>
        <v>0</v>
      </c>
      <c r="AC82" s="23" t="n">
        <f aca="false">IFERROR(INDEX(PODACI_PRODAJA!L:L,MATCH($A82,PODACI_PRODAJA!$A:$A,0)),0)</f>
        <v>0</v>
      </c>
      <c r="AD82" s="23" t="n">
        <f aca="false">IFERROR(INDEX(PODACI_PRODAJA!M:M,MATCH($A82,PODACI_PRODAJA!$A:$A,0)),0)</f>
        <v>0</v>
      </c>
    </row>
    <row r="83" customFormat="false" ht="15" hidden="false" customHeight="false" outlineLevel="0" collapsed="false">
      <c r="A83" s="11" t="str">
        <f aca="false">PODACI_ZALIHE!A80</f>
        <v>17207</v>
      </c>
      <c r="B83" s="8" t="str">
        <f aca="false">PODACI_ZALIHE!B80</f>
        <v>IMOLA KROM MIJEŠALICA ZA UMIVAONIK</v>
      </c>
      <c r="C83" s="9" t="n">
        <f aca="false">PODACI_ZALIHE!C80</f>
        <v>0</v>
      </c>
      <c r="D83" s="8" t="n">
        <f aca="false">PODACI_ZALIHE!D80</f>
        <v>0</v>
      </c>
      <c r="E83" s="19" t="n">
        <f aca="false">IF(PODACI_ZALIHE!E80="","",PODACI_ZALIHE!E80)</f>
        <v>94</v>
      </c>
      <c r="F83" s="20" t="n">
        <f aca="false">PODACI_ZALIHE!F80</f>
        <v>94</v>
      </c>
      <c r="G83" s="19" t="n">
        <f aca="false">IF(E83="","",E83-F83)</f>
        <v>0</v>
      </c>
      <c r="H83" s="9" t="n">
        <f aca="false">PODACI_PRODAJA!N267</f>
        <v>15.13</v>
      </c>
      <c r="I83" s="21" t="n">
        <f aca="false">IF(H83&lt;=0,999,ROUND(F83/H83,1))</f>
        <v>6.2</v>
      </c>
      <c r="J83" s="9" t="n">
        <f aca="false">SUMIFS(ROBA_U_DOLASKU!$C$6:$C$95,ROBA_U_DOLASKU!$A$6:$A$95,A83,ROBA_U_DOLASKU!$H$6:$H$95,1)</f>
        <v>0</v>
      </c>
      <c r="K83" s="9" t="n">
        <f aca="false">SUMIFS(ROBA_U_DOLASKU!$B$6:$B$95,ROBA_U_DOLASKU!$A$6:$A$95,A83,ROBA_U_DOLASKU!$H$6:$H$95,1)</f>
        <v>0</v>
      </c>
      <c r="L83" s="9" t="n">
        <f aca="false">SUMIFS(ROBA_U_DOLASKU!$C$6:$C$95,ROBA_U_DOLASKU!$A$6:$A$95,A83,ROBA_U_DOLASKU!$H$6:$H$95,2)</f>
        <v>0</v>
      </c>
      <c r="M83" s="9" t="n">
        <f aca="false">SUMIFS(ROBA_U_DOLASKU!$B$6:$B$95,ROBA_U_DOLASKU!$A$6:$A$95,A83,ROBA_U_DOLASKU!$H$6:$H$95,2)</f>
        <v>0</v>
      </c>
      <c r="N83" s="9" t="n">
        <f aca="false">SUMIFS(ROBA_U_DOLASKU!$C$6:$C$95,ROBA_U_DOLASKU!$A$6:$A$95,A83,ROBA_U_DOLASKU!$H$6:$H$95,3)</f>
        <v>0</v>
      </c>
      <c r="O83" s="9" t="n">
        <f aca="false">SUMIFS(ROBA_U_DOLASKU!$B$6:$B$95,ROBA_U_DOLASKU!$A$6:$A$95,A83,ROBA_U_DOLASKU!$H$6:$H$95,3)</f>
        <v>0</v>
      </c>
      <c r="P83" s="9" t="n">
        <f aca="false">IF(H83&lt;=0,999,IF(O83&gt;0,ROUND((F83-H83*N83+K83+M83+O83)/H83,1),IF(M83&gt;0,ROUND((F83-H83*L83+K83+M83)/H83,1),IF(K83&gt;0,ROUND((F83-H83*J83+K83)/H83,1),I83))))</f>
        <v>6.2</v>
      </c>
      <c r="Q83" s="22" t="str">
        <f aca="false">IF(H83&lt;=0,"Nema prodaje",IF(AND(K83=0,M83=0,O83=0),IF(I83&lt;POSTAVKE!$B$6,"Naruči odmah","Sve u redu"),IF(F83-H83*J83&lt;0,"Rupa za ~"&amp;TEXT(I83,"0.0")&amp;" mj.",IF(AND(M83&gt;0,F83-H83*L83+K83&lt;0),"Rupa nakon 1. dolaska",IF(AND(O83&gt;0,F83-H83*N83+K83+M83&lt;0),"Rupa nakon 2. dolaska",IF(P83&lt;POSTAVKE!$B$6,"Količina nije dovoljna",IF(I83&gt;=POSTAVKE!$B$6,"Sve u redu","Stiže na vrijeme")))))))</f>
        <v>Sve u redu</v>
      </c>
      <c r="S83" s="23" t="n">
        <f aca="false">IFERROR(INDEX(PODACI_PRODAJA!B:B,MATCH($A83,PODACI_PRODAJA!$A:$A,0)),0)</f>
        <v>1</v>
      </c>
      <c r="T83" s="23" t="n">
        <f aca="false">IFERROR(INDEX(PODACI_PRODAJA!C:C,MATCH($A83,PODACI_PRODAJA!$A:$A,0)),0)</f>
        <v>12</v>
      </c>
      <c r="U83" s="23" t="n">
        <f aca="false">IFERROR(INDEX(PODACI_PRODAJA!D:D,MATCH($A83,PODACI_PRODAJA!$A:$A,0)),0)</f>
        <v>1</v>
      </c>
      <c r="V83" s="23" t="n">
        <f aca="false">IFERROR(INDEX(PODACI_PRODAJA!E:E,MATCH($A83,PODACI_PRODAJA!$A:$A,0)),0)</f>
        <v>64</v>
      </c>
      <c r="W83" s="23" t="n">
        <f aca="false">IFERROR(INDEX(PODACI_PRODAJA!F:F,MATCH($A83,PODACI_PRODAJA!$A:$A,0)),0)</f>
        <v>1</v>
      </c>
      <c r="X83" s="23" t="n">
        <f aca="false">IFERROR(INDEX(PODACI_PRODAJA!G:G,MATCH($A83,PODACI_PRODAJA!$A:$A,0)),0)</f>
        <v>17</v>
      </c>
      <c r="Y83" s="23" t="n">
        <f aca="false">IFERROR(INDEX(PODACI_PRODAJA!H:H,MATCH($A83,PODACI_PRODAJA!$A:$A,0)),0)</f>
        <v>23</v>
      </c>
      <c r="Z83" s="23" t="n">
        <f aca="false">IFERROR(INDEX(PODACI_PRODAJA!I:I,MATCH($A83,PODACI_PRODAJA!$A:$A,0)),0)</f>
        <v>2</v>
      </c>
      <c r="AA83" s="23" t="n">
        <f aca="false">IFERROR(INDEX(PODACI_PRODAJA!J:J,MATCH($A83,PODACI_PRODAJA!$A:$A,0)),0)</f>
        <v>0</v>
      </c>
      <c r="AB83" s="23" t="n">
        <f aca="false">IFERROR(INDEX(PODACI_PRODAJA!K:K,MATCH($A83,PODACI_PRODAJA!$A:$A,0)),0)</f>
        <v>0</v>
      </c>
      <c r="AC83" s="23" t="n">
        <f aca="false">IFERROR(INDEX(PODACI_PRODAJA!L:L,MATCH($A83,PODACI_PRODAJA!$A:$A,0)),0)</f>
        <v>0</v>
      </c>
      <c r="AD83" s="23" t="n">
        <f aca="false">IFERROR(INDEX(PODACI_PRODAJA!M:M,MATCH($A83,PODACI_PRODAJA!$A:$A,0)),0)</f>
        <v>0</v>
      </c>
    </row>
    <row r="84" customFormat="false" ht="15" hidden="false" customHeight="false" outlineLevel="0" collapsed="false">
      <c r="A84" s="11" t="str">
        <f aca="false">PODACI_ZALIHE!A81</f>
        <v>00635Y</v>
      </c>
      <c r="B84" s="8" t="str">
        <f aca="false">PODACI_ZALIHE!B81</f>
        <v>TK9078B TUŠ KABINA (7890)x(7890)x185 cm</v>
      </c>
      <c r="C84" s="9" t="str">
        <f aca="false">PODACI_ZALIHE!C81</f>
        <v>5590</v>
      </c>
      <c r="D84" s="8" t="str">
        <f aca="false">PODACI_ZALIHE!D81</f>
        <v>PINGHU YINUO SANITARY WARE CO.,LTD</v>
      </c>
      <c r="E84" s="19" t="n">
        <f aca="false">IF(PODACI_ZALIHE!E81="","",PODACI_ZALIHE!E81)</f>
        <v>100</v>
      </c>
      <c r="F84" s="20" t="n">
        <f aca="false">PODACI_ZALIHE!F81</f>
        <v>92</v>
      </c>
      <c r="G84" s="19" t="n">
        <f aca="false">IF(E84="","",E84-F84)</f>
        <v>8</v>
      </c>
      <c r="H84" s="9" t="n">
        <f aca="false">PODACI_PRODAJA!N61</f>
        <v>21.25</v>
      </c>
      <c r="I84" s="21" t="n">
        <f aca="false">IF(H84&lt;=0,999,ROUND(F84/H84,1))</f>
        <v>4.3</v>
      </c>
      <c r="J84" s="9" t="n">
        <f aca="false">SUMIFS(ROBA_U_DOLASKU!$C$6:$C$95,ROBA_U_DOLASKU!$A$6:$A$95,A84,ROBA_U_DOLASKU!$H$6:$H$95,1)</f>
        <v>0</v>
      </c>
      <c r="K84" s="9" t="n">
        <f aca="false">SUMIFS(ROBA_U_DOLASKU!$B$6:$B$95,ROBA_U_DOLASKU!$A$6:$A$95,A84,ROBA_U_DOLASKU!$H$6:$H$95,1)</f>
        <v>0</v>
      </c>
      <c r="L84" s="9" t="n">
        <f aca="false">SUMIFS(ROBA_U_DOLASKU!$C$6:$C$95,ROBA_U_DOLASKU!$A$6:$A$95,A84,ROBA_U_DOLASKU!$H$6:$H$95,2)</f>
        <v>0</v>
      </c>
      <c r="M84" s="9" t="n">
        <f aca="false">SUMIFS(ROBA_U_DOLASKU!$B$6:$B$95,ROBA_U_DOLASKU!$A$6:$A$95,A84,ROBA_U_DOLASKU!$H$6:$H$95,2)</f>
        <v>0</v>
      </c>
      <c r="N84" s="9" t="n">
        <f aca="false">SUMIFS(ROBA_U_DOLASKU!$C$6:$C$95,ROBA_U_DOLASKU!$A$6:$A$95,A84,ROBA_U_DOLASKU!$H$6:$H$95,3)</f>
        <v>0</v>
      </c>
      <c r="O84" s="9" t="n">
        <f aca="false">SUMIFS(ROBA_U_DOLASKU!$B$6:$B$95,ROBA_U_DOLASKU!$A$6:$A$95,A84,ROBA_U_DOLASKU!$H$6:$H$95,3)</f>
        <v>0</v>
      </c>
      <c r="P84" s="9" t="n">
        <f aca="false">IF(H84&lt;=0,999,IF(O84&gt;0,ROUND((F84-H84*N84+K84+M84+O84)/H84,1),IF(M84&gt;0,ROUND((F84-H84*L84+K84+M84)/H84,1),IF(K84&gt;0,ROUND((F84-H84*J84+K84)/H84,1),I84))))</f>
        <v>4.3</v>
      </c>
      <c r="Q84" s="22" t="str">
        <f aca="false">IF(H84&lt;=0,"Nema prodaje",IF(AND(K84=0,M84=0,O84=0),IF(I84&lt;POSTAVKE!$B$6,"Naruči odmah","Sve u redu"),IF(F84-H84*J84&lt;0,"Rupa za ~"&amp;TEXT(I84,"0.0")&amp;" mj.",IF(AND(M84&gt;0,F84-H84*L84+K84&lt;0),"Rupa nakon 1. dolaska",IF(AND(O84&gt;0,F84-H84*N84+K84+M84&lt;0),"Rupa nakon 2. dolaska",IF(P84&lt;POSTAVKE!$B$6,"Količina nije dovoljna",IF(I84&gt;=POSTAVKE!$B$6,"Sve u redu","Stiže na vrijeme")))))))</f>
        <v>Naruči odmah</v>
      </c>
      <c r="S84" s="23" t="n">
        <f aca="false">IFERROR(INDEX(PODACI_PRODAJA!B:B,MATCH($A84,PODACI_PRODAJA!$A:$A,0)),0)</f>
        <v>12</v>
      </c>
      <c r="T84" s="23" t="n">
        <f aca="false">IFERROR(INDEX(PODACI_PRODAJA!C:C,MATCH($A84,PODACI_PRODAJA!$A:$A,0)),0)</f>
        <v>20</v>
      </c>
      <c r="U84" s="23" t="n">
        <f aca="false">IFERROR(INDEX(PODACI_PRODAJA!D:D,MATCH($A84,PODACI_PRODAJA!$A:$A,0)),0)</f>
        <v>17</v>
      </c>
      <c r="V84" s="23" t="n">
        <f aca="false">IFERROR(INDEX(PODACI_PRODAJA!E:E,MATCH($A84,PODACI_PRODAJA!$A:$A,0)),0)</f>
        <v>24</v>
      </c>
      <c r="W84" s="23" t="n">
        <f aca="false">IFERROR(INDEX(PODACI_PRODAJA!F:F,MATCH($A84,PODACI_PRODAJA!$A:$A,0)),0)</f>
        <v>5</v>
      </c>
      <c r="X84" s="23" t="n">
        <f aca="false">IFERROR(INDEX(PODACI_PRODAJA!G:G,MATCH($A84,PODACI_PRODAJA!$A:$A,0)),0)</f>
        <v>44</v>
      </c>
      <c r="Y84" s="23" t="n">
        <f aca="false">IFERROR(INDEX(PODACI_PRODAJA!H:H,MATCH($A84,PODACI_PRODAJA!$A:$A,0)),0)</f>
        <v>21</v>
      </c>
      <c r="Z84" s="23" t="n">
        <f aca="false">IFERROR(INDEX(PODACI_PRODAJA!I:I,MATCH($A84,PODACI_PRODAJA!$A:$A,0)),0)</f>
        <v>27</v>
      </c>
      <c r="AA84" s="23" t="n">
        <f aca="false">IFERROR(INDEX(PODACI_PRODAJA!J:J,MATCH($A84,PODACI_PRODAJA!$A:$A,0)),0)</f>
        <v>8</v>
      </c>
      <c r="AB84" s="23" t="n">
        <f aca="false">IFERROR(INDEX(PODACI_PRODAJA!K:K,MATCH($A84,PODACI_PRODAJA!$A:$A,0)),0)</f>
        <v>0</v>
      </c>
      <c r="AC84" s="23" t="n">
        <f aca="false">IFERROR(INDEX(PODACI_PRODAJA!L:L,MATCH($A84,PODACI_PRODAJA!$A:$A,0)),0)</f>
        <v>0</v>
      </c>
      <c r="AD84" s="23" t="n">
        <f aca="false">IFERROR(INDEX(PODACI_PRODAJA!M:M,MATCH($A84,PODACI_PRODAJA!$A:$A,0)),0)</f>
        <v>0</v>
      </c>
    </row>
    <row r="85" customFormat="false" ht="15" hidden="false" customHeight="false" outlineLevel="0" collapsed="false">
      <c r="A85" s="11" t="str">
        <f aca="false">PODACI_ZALIHE!A82</f>
        <v>18015</v>
      </c>
      <c r="B85" s="8" t="str">
        <f aca="false">PODACI_ZALIHE!B82</f>
        <v>VETRO BL TRS 6mm ECO TUŠ STIJENA 140x200</v>
      </c>
      <c r="C85" s="9" t="str">
        <f aca="false">PODACI_ZALIHE!C82</f>
        <v>6762</v>
      </c>
      <c r="D85" s="8" t="str">
        <f aca="false">PODACI_ZALIHE!D82</f>
        <v>ZHEJIANG QUICKLINE SHOWERING CO., LTD.</v>
      </c>
      <c r="E85" s="19" t="n">
        <f aca="false">IF(PODACI_ZALIHE!E82="","",PODACI_ZALIHE!E82)</f>
        <v>92</v>
      </c>
      <c r="F85" s="20" t="n">
        <f aca="false">PODACI_ZALIHE!F82</f>
        <v>92</v>
      </c>
      <c r="G85" s="19" t="n">
        <f aca="false">IF(E85="","",E85-F85)</f>
        <v>0</v>
      </c>
      <c r="H85" s="9" t="n">
        <f aca="false">PODACI_PRODAJA!N656</f>
        <v>13.5</v>
      </c>
      <c r="I85" s="21" t="n">
        <f aca="false">IF(H85&lt;=0,999,ROUND(F85/H85,1))</f>
        <v>6.8</v>
      </c>
      <c r="J85" s="9" t="n">
        <f aca="false">SUMIFS(ROBA_U_DOLASKU!$C$6:$C$95,ROBA_U_DOLASKU!$A$6:$A$95,A85,ROBA_U_DOLASKU!$H$6:$H$95,1)</f>
        <v>0</v>
      </c>
      <c r="K85" s="9" t="n">
        <f aca="false">SUMIFS(ROBA_U_DOLASKU!$B$6:$B$95,ROBA_U_DOLASKU!$A$6:$A$95,A85,ROBA_U_DOLASKU!$H$6:$H$95,1)</f>
        <v>0</v>
      </c>
      <c r="L85" s="9" t="n">
        <f aca="false">SUMIFS(ROBA_U_DOLASKU!$C$6:$C$95,ROBA_U_DOLASKU!$A$6:$A$95,A85,ROBA_U_DOLASKU!$H$6:$H$95,2)</f>
        <v>0</v>
      </c>
      <c r="M85" s="9" t="n">
        <f aca="false">SUMIFS(ROBA_U_DOLASKU!$B$6:$B$95,ROBA_U_DOLASKU!$A$6:$A$95,A85,ROBA_U_DOLASKU!$H$6:$H$95,2)</f>
        <v>0</v>
      </c>
      <c r="N85" s="9" t="n">
        <f aca="false">SUMIFS(ROBA_U_DOLASKU!$C$6:$C$95,ROBA_U_DOLASKU!$A$6:$A$95,A85,ROBA_U_DOLASKU!$H$6:$H$95,3)</f>
        <v>0</v>
      </c>
      <c r="O85" s="9" t="n">
        <f aca="false">SUMIFS(ROBA_U_DOLASKU!$B$6:$B$95,ROBA_U_DOLASKU!$A$6:$A$95,A85,ROBA_U_DOLASKU!$H$6:$H$95,3)</f>
        <v>0</v>
      </c>
      <c r="P85" s="9" t="n">
        <f aca="false">IF(H85&lt;=0,999,IF(O85&gt;0,ROUND((F85-H85*N85+K85+M85+O85)/H85,1),IF(M85&gt;0,ROUND((F85-H85*L85+K85+M85)/H85,1),IF(K85&gt;0,ROUND((F85-H85*J85+K85)/H85,1),I85))))</f>
        <v>6.8</v>
      </c>
      <c r="Q85" s="22" t="str">
        <f aca="false">IF(H85&lt;=0,"Nema prodaje",IF(AND(K85=0,M85=0,O85=0),IF(I85&lt;POSTAVKE!$B$6,"Naruči odmah","Sve u redu"),IF(F85-H85*J85&lt;0,"Rupa za ~"&amp;TEXT(I85,"0.0")&amp;" mj.",IF(AND(M85&gt;0,F85-H85*L85+K85&lt;0),"Rupa nakon 1. dolaska",IF(AND(O85&gt;0,F85-H85*N85+K85+M85&lt;0),"Rupa nakon 2. dolaska",IF(P85&lt;POSTAVKE!$B$6,"Količina nije dovoljna",IF(I85&gt;=POSTAVKE!$B$6,"Sve u redu","Stiže na vrijeme")))))))</f>
        <v>Sve u redu</v>
      </c>
      <c r="S85" s="23" t="n">
        <f aca="false">IFERROR(INDEX(PODACI_PRODAJA!B:B,MATCH($A85,PODACI_PRODAJA!$A:$A,0)),0)</f>
        <v>0</v>
      </c>
      <c r="T85" s="23" t="n">
        <f aca="false">IFERROR(INDEX(PODACI_PRODAJA!C:C,MATCH($A85,PODACI_PRODAJA!$A:$A,0)),0)</f>
        <v>0</v>
      </c>
      <c r="U85" s="23" t="n">
        <f aca="false">IFERROR(INDEX(PODACI_PRODAJA!D:D,MATCH($A85,PODACI_PRODAJA!$A:$A,0)),0)</f>
        <v>65</v>
      </c>
      <c r="V85" s="23" t="n">
        <f aca="false">IFERROR(INDEX(PODACI_PRODAJA!E:E,MATCH($A85,PODACI_PRODAJA!$A:$A,0)),0)</f>
        <v>0</v>
      </c>
      <c r="W85" s="23" t="n">
        <f aca="false">IFERROR(INDEX(PODACI_PRODAJA!F:F,MATCH($A85,PODACI_PRODAJA!$A:$A,0)),0)</f>
        <v>5</v>
      </c>
      <c r="X85" s="23" t="n">
        <f aca="false">IFERROR(INDEX(PODACI_PRODAJA!G:G,MATCH($A85,PODACI_PRODAJA!$A:$A,0)),0)</f>
        <v>3</v>
      </c>
      <c r="Y85" s="23" t="n">
        <f aca="false">IFERROR(INDEX(PODACI_PRODAJA!H:H,MATCH($A85,PODACI_PRODAJA!$A:$A,0)),0)</f>
        <v>0</v>
      </c>
      <c r="Z85" s="23" t="n">
        <f aca="false">IFERROR(INDEX(PODACI_PRODAJA!I:I,MATCH($A85,PODACI_PRODAJA!$A:$A,0)),0)</f>
        <v>35</v>
      </c>
      <c r="AA85" s="23" t="n">
        <f aca="false">IFERROR(INDEX(PODACI_PRODAJA!J:J,MATCH($A85,PODACI_PRODAJA!$A:$A,0)),0)</f>
        <v>0</v>
      </c>
      <c r="AB85" s="23" t="n">
        <f aca="false">IFERROR(INDEX(PODACI_PRODAJA!K:K,MATCH($A85,PODACI_PRODAJA!$A:$A,0)),0)</f>
        <v>0</v>
      </c>
      <c r="AC85" s="23" t="n">
        <f aca="false">IFERROR(INDEX(PODACI_PRODAJA!L:L,MATCH($A85,PODACI_PRODAJA!$A:$A,0)),0)</f>
        <v>0</v>
      </c>
      <c r="AD85" s="23" t="n">
        <f aca="false">IFERROR(INDEX(PODACI_PRODAJA!M:M,MATCH($A85,PODACI_PRODAJA!$A:$A,0)),0)</f>
        <v>0</v>
      </c>
    </row>
    <row r="86" customFormat="false" ht="15" hidden="false" customHeight="false" outlineLevel="0" collapsed="false">
      <c r="A86" s="11" t="str">
        <f aca="false">PODACI_ZALIHE!A83</f>
        <v>16025</v>
      </c>
      <c r="B86" s="8" t="str">
        <f aca="false">PODACI_ZALIHE!B83</f>
        <v>TK RONDA 90 KVADRATNA TUŠ KABINA 90x90x185 cm</v>
      </c>
      <c r="C86" s="9" t="str">
        <f aca="false">PODACI_ZALIHE!C83</f>
        <v>6163</v>
      </c>
      <c r="D86" s="8" t="str">
        <f aca="false">PODACI_ZALIHE!D83</f>
        <v>HANGZHOU TIANMEI INDUSTRY CO.,LTD</v>
      </c>
      <c r="E86" s="19" t="n">
        <f aca="false">IF(PODACI_ZALIHE!E83="","",PODACI_ZALIHE!E83)</f>
        <v>91</v>
      </c>
      <c r="F86" s="20" t="n">
        <f aca="false">PODACI_ZALIHE!F83</f>
        <v>91</v>
      </c>
      <c r="G86" s="19" t="n">
        <f aca="false">IF(E86="","",E86-F86)</f>
        <v>0</v>
      </c>
      <c r="H86" s="9" t="n">
        <f aca="false">PODACI_PRODAJA!N550</f>
        <v>0.25</v>
      </c>
      <c r="I86" s="21" t="n">
        <f aca="false">IF(H86&lt;=0,999,ROUND(F86/H86,1))</f>
        <v>364</v>
      </c>
      <c r="J86" s="9" t="n">
        <f aca="false">SUMIFS(ROBA_U_DOLASKU!$C$6:$C$95,ROBA_U_DOLASKU!$A$6:$A$95,A86,ROBA_U_DOLASKU!$H$6:$H$95,1)</f>
        <v>0</v>
      </c>
      <c r="K86" s="9" t="n">
        <f aca="false">SUMIFS(ROBA_U_DOLASKU!$B$6:$B$95,ROBA_U_DOLASKU!$A$6:$A$95,A86,ROBA_U_DOLASKU!$H$6:$H$95,1)</f>
        <v>0</v>
      </c>
      <c r="L86" s="9" t="n">
        <f aca="false">SUMIFS(ROBA_U_DOLASKU!$C$6:$C$95,ROBA_U_DOLASKU!$A$6:$A$95,A86,ROBA_U_DOLASKU!$H$6:$H$95,2)</f>
        <v>0</v>
      </c>
      <c r="M86" s="9" t="n">
        <f aca="false">SUMIFS(ROBA_U_DOLASKU!$B$6:$B$95,ROBA_U_DOLASKU!$A$6:$A$95,A86,ROBA_U_DOLASKU!$H$6:$H$95,2)</f>
        <v>0</v>
      </c>
      <c r="N86" s="9" t="n">
        <f aca="false">SUMIFS(ROBA_U_DOLASKU!$C$6:$C$95,ROBA_U_DOLASKU!$A$6:$A$95,A86,ROBA_U_DOLASKU!$H$6:$H$95,3)</f>
        <v>0</v>
      </c>
      <c r="O86" s="9" t="n">
        <f aca="false">SUMIFS(ROBA_U_DOLASKU!$B$6:$B$95,ROBA_U_DOLASKU!$A$6:$A$95,A86,ROBA_U_DOLASKU!$H$6:$H$95,3)</f>
        <v>0</v>
      </c>
      <c r="P86" s="9" t="n">
        <f aca="false">IF(H86&lt;=0,999,IF(O86&gt;0,ROUND((F86-H86*N86+K86+M86+O86)/H86,1),IF(M86&gt;0,ROUND((F86-H86*L86+K86+M86)/H86,1),IF(K86&gt;0,ROUND((F86-H86*J86+K86)/H86,1),I86))))</f>
        <v>364</v>
      </c>
      <c r="Q86" s="22" t="str">
        <f aca="false">IF(H86&lt;=0,"Nema prodaje",IF(AND(K86=0,M86=0,O86=0),IF(I86&lt;POSTAVKE!$B$6,"Naruči odmah","Sve u redu"),IF(F86-H86*J86&lt;0,"Rupa za ~"&amp;TEXT(I86,"0.0")&amp;" mj.",IF(AND(M86&gt;0,F86-H86*L86+K86&lt;0),"Rupa nakon 1. dolaska",IF(AND(O86&gt;0,F86-H86*N86+K86+M86&lt;0),"Rupa nakon 2. dolaska",IF(P86&lt;POSTAVKE!$B$6,"Količina nije dovoljna",IF(I86&gt;=POSTAVKE!$B$6,"Sve u redu","Stiže na vrijeme")))))))</f>
        <v>Sve u redu</v>
      </c>
      <c r="S86" s="23" t="n">
        <f aca="false">IFERROR(INDEX(PODACI_PRODAJA!B:B,MATCH($A86,PODACI_PRODAJA!$A:$A,0)),0)</f>
        <v>0</v>
      </c>
      <c r="T86" s="23" t="n">
        <f aca="false">IFERROR(INDEX(PODACI_PRODAJA!C:C,MATCH($A86,PODACI_PRODAJA!$A:$A,0)),0)</f>
        <v>0</v>
      </c>
      <c r="U86" s="23" t="n">
        <f aca="false">IFERROR(INDEX(PODACI_PRODAJA!D:D,MATCH($A86,PODACI_PRODAJA!$A:$A,0)),0)</f>
        <v>1</v>
      </c>
      <c r="V86" s="23" t="n">
        <f aca="false">IFERROR(INDEX(PODACI_PRODAJA!E:E,MATCH($A86,PODACI_PRODAJA!$A:$A,0)),0)</f>
        <v>0</v>
      </c>
      <c r="W86" s="23" t="n">
        <f aca="false">IFERROR(INDEX(PODACI_PRODAJA!F:F,MATCH($A86,PODACI_PRODAJA!$A:$A,0)),0)</f>
        <v>1</v>
      </c>
      <c r="X86" s="23" t="n">
        <f aca="false">IFERROR(INDEX(PODACI_PRODAJA!G:G,MATCH($A86,PODACI_PRODAJA!$A:$A,0)),0)</f>
        <v>0</v>
      </c>
      <c r="Y86" s="23" t="n">
        <f aca="false">IFERROR(INDEX(PODACI_PRODAJA!H:H,MATCH($A86,PODACI_PRODAJA!$A:$A,0)),0)</f>
        <v>0</v>
      </c>
      <c r="Z86" s="23" t="n">
        <f aca="false">IFERROR(INDEX(PODACI_PRODAJA!I:I,MATCH($A86,PODACI_PRODAJA!$A:$A,0)),0)</f>
        <v>0</v>
      </c>
      <c r="AA86" s="23" t="n">
        <f aca="false">IFERROR(INDEX(PODACI_PRODAJA!J:J,MATCH($A86,PODACI_PRODAJA!$A:$A,0)),0)</f>
        <v>0</v>
      </c>
      <c r="AB86" s="23" t="n">
        <f aca="false">IFERROR(INDEX(PODACI_PRODAJA!K:K,MATCH($A86,PODACI_PRODAJA!$A:$A,0)),0)</f>
        <v>0</v>
      </c>
      <c r="AC86" s="23" t="n">
        <f aca="false">IFERROR(INDEX(PODACI_PRODAJA!L:L,MATCH($A86,PODACI_PRODAJA!$A:$A,0)),0)</f>
        <v>0</v>
      </c>
      <c r="AD86" s="23" t="n">
        <f aca="false">IFERROR(INDEX(PODACI_PRODAJA!M:M,MATCH($A86,PODACI_PRODAJA!$A:$A,0)),0)</f>
        <v>0</v>
      </c>
    </row>
    <row r="87" customFormat="false" ht="15" hidden="false" customHeight="false" outlineLevel="0" collapsed="false">
      <c r="A87" s="11" t="str">
        <f aca="false">PODACI_ZALIHE!A84</f>
        <v>002514</v>
      </c>
      <c r="B87" s="8" t="str">
        <f aca="false">PODACI_ZALIHE!B84</f>
        <v>JEDNORUČNA MJEŠALICA ZA HLADNU VODU</v>
      </c>
      <c r="C87" s="9" t="str">
        <f aca="false">PODACI_ZALIHE!C84</f>
        <v>2974</v>
      </c>
      <c r="D87" s="8" t="str">
        <f aca="false">PODACI_ZALIHE!D84</f>
        <v>TAIZHOU MINUOTE SANITARY WARES CO.,LTD.</v>
      </c>
      <c r="E87" s="19" t="n">
        <f aca="false">IF(PODACI_ZALIHE!E84="","",PODACI_ZALIHE!E84)</f>
        <v>100</v>
      </c>
      <c r="F87" s="20" t="n">
        <f aca="false">PODACI_ZALIHE!F84</f>
        <v>89</v>
      </c>
      <c r="G87" s="19" t="n">
        <f aca="false">IF(E87="","",E87-F87)</f>
        <v>11</v>
      </c>
      <c r="H87" s="9" t="n">
        <f aca="false">PODACI_PRODAJA!N29</f>
        <v>29.88</v>
      </c>
      <c r="I87" s="21" t="n">
        <f aca="false">IF(H87&lt;=0,999,ROUND(F87/H87,1))</f>
        <v>3</v>
      </c>
      <c r="J87" s="9" t="n">
        <f aca="false">SUMIFS(ROBA_U_DOLASKU!$C$6:$C$95,ROBA_U_DOLASKU!$A$6:$A$95,A87,ROBA_U_DOLASKU!$H$6:$H$95,1)</f>
        <v>0</v>
      </c>
      <c r="K87" s="9" t="n">
        <f aca="false">SUMIFS(ROBA_U_DOLASKU!$B$6:$B$95,ROBA_U_DOLASKU!$A$6:$A$95,A87,ROBA_U_DOLASKU!$H$6:$H$95,1)</f>
        <v>0</v>
      </c>
      <c r="L87" s="9" t="n">
        <f aca="false">SUMIFS(ROBA_U_DOLASKU!$C$6:$C$95,ROBA_U_DOLASKU!$A$6:$A$95,A87,ROBA_U_DOLASKU!$H$6:$H$95,2)</f>
        <v>0</v>
      </c>
      <c r="M87" s="9" t="n">
        <f aca="false">SUMIFS(ROBA_U_DOLASKU!$B$6:$B$95,ROBA_U_DOLASKU!$A$6:$A$95,A87,ROBA_U_DOLASKU!$H$6:$H$95,2)</f>
        <v>0</v>
      </c>
      <c r="N87" s="9" t="n">
        <f aca="false">SUMIFS(ROBA_U_DOLASKU!$C$6:$C$95,ROBA_U_DOLASKU!$A$6:$A$95,A87,ROBA_U_DOLASKU!$H$6:$H$95,3)</f>
        <v>0</v>
      </c>
      <c r="O87" s="9" t="n">
        <f aca="false">SUMIFS(ROBA_U_DOLASKU!$B$6:$B$95,ROBA_U_DOLASKU!$A$6:$A$95,A87,ROBA_U_DOLASKU!$H$6:$H$95,3)</f>
        <v>0</v>
      </c>
      <c r="P87" s="9" t="n">
        <f aca="false">IF(H87&lt;=0,999,IF(O87&gt;0,ROUND((F87-H87*N87+K87+M87+O87)/H87,1),IF(M87&gt;0,ROUND((F87-H87*L87+K87+M87)/H87,1),IF(K87&gt;0,ROUND((F87-H87*J87+K87)/H87,1),I87))))</f>
        <v>3</v>
      </c>
      <c r="Q87" s="22" t="str">
        <f aca="false">IF(H87&lt;=0,"Nema prodaje",IF(AND(K87=0,M87=0,O87=0),IF(I87&lt;POSTAVKE!$B$6,"Naruči odmah","Sve u redu"),IF(F87-H87*J87&lt;0,"Rupa za ~"&amp;TEXT(I87,"0.0")&amp;" mj.",IF(AND(M87&gt;0,F87-H87*L87+K87&lt;0),"Rupa nakon 1. dolaska",IF(AND(O87&gt;0,F87-H87*N87+K87+M87&lt;0),"Rupa nakon 2. dolaska",IF(P87&lt;POSTAVKE!$B$6,"Količina nije dovoljna",IF(I87&gt;=POSTAVKE!$B$6,"Sve u redu","Stiže na vrijeme")))))))</f>
        <v>Naruči odmah</v>
      </c>
      <c r="S87" s="23" t="n">
        <f aca="false">IFERROR(INDEX(PODACI_PRODAJA!B:B,MATCH($A87,PODACI_PRODAJA!$A:$A,0)),0)</f>
        <v>29</v>
      </c>
      <c r="T87" s="23" t="n">
        <f aca="false">IFERROR(INDEX(PODACI_PRODAJA!C:C,MATCH($A87,PODACI_PRODAJA!$A:$A,0)),0)</f>
        <v>33</v>
      </c>
      <c r="U87" s="23" t="n">
        <f aca="false">IFERROR(INDEX(PODACI_PRODAJA!D:D,MATCH($A87,PODACI_PRODAJA!$A:$A,0)),0)</f>
        <v>32</v>
      </c>
      <c r="V87" s="23" t="n">
        <f aca="false">IFERROR(INDEX(PODACI_PRODAJA!E:E,MATCH($A87,PODACI_PRODAJA!$A:$A,0)),0)</f>
        <v>25</v>
      </c>
      <c r="W87" s="23" t="n">
        <f aca="false">IFERROR(INDEX(PODACI_PRODAJA!F:F,MATCH($A87,PODACI_PRODAJA!$A:$A,0)),0)</f>
        <v>12</v>
      </c>
      <c r="X87" s="23" t="n">
        <f aca="false">IFERROR(INDEX(PODACI_PRODAJA!G:G,MATCH($A87,PODACI_PRODAJA!$A:$A,0)),0)</f>
        <v>25</v>
      </c>
      <c r="Y87" s="23" t="n">
        <f aca="false">IFERROR(INDEX(PODACI_PRODAJA!H:H,MATCH($A87,PODACI_PRODAJA!$A:$A,0)),0)</f>
        <v>23</v>
      </c>
      <c r="Z87" s="23" t="n">
        <f aca="false">IFERROR(INDEX(PODACI_PRODAJA!I:I,MATCH($A87,PODACI_PRODAJA!$A:$A,0)),0)</f>
        <v>60</v>
      </c>
      <c r="AA87" s="23" t="n">
        <f aca="false">IFERROR(INDEX(PODACI_PRODAJA!J:J,MATCH($A87,PODACI_PRODAJA!$A:$A,0)),0)</f>
        <v>11</v>
      </c>
      <c r="AB87" s="23" t="n">
        <f aca="false">IFERROR(INDEX(PODACI_PRODAJA!K:K,MATCH($A87,PODACI_PRODAJA!$A:$A,0)),0)</f>
        <v>0</v>
      </c>
      <c r="AC87" s="23" t="n">
        <f aca="false">IFERROR(INDEX(PODACI_PRODAJA!L:L,MATCH($A87,PODACI_PRODAJA!$A:$A,0)),0)</f>
        <v>0</v>
      </c>
      <c r="AD87" s="23" t="n">
        <f aca="false">IFERROR(INDEX(PODACI_PRODAJA!M:M,MATCH($A87,PODACI_PRODAJA!$A:$A,0)),0)</f>
        <v>0</v>
      </c>
    </row>
    <row r="88" customFormat="false" ht="15" hidden="false" customHeight="false" outlineLevel="0" collapsed="false">
      <c r="A88" s="11" t="str">
        <f aca="false">PODACI_ZALIHE!A85</f>
        <v>00522</v>
      </c>
      <c r="B88" s="8" t="str">
        <f aca="false">PODACI_ZALIHE!B85</f>
        <v>OGLEDALO GLS5070 70x50 cm</v>
      </c>
      <c r="C88" s="9" t="str">
        <f aca="false">PODACI_ZALIHE!C85</f>
        <v>2515</v>
      </c>
      <c r="D88" s="8" t="str">
        <f aca="false">PODACI_ZALIHE!D85</f>
        <v>HANGZHOU ZHUGELAI JINGYI CO., LTD.</v>
      </c>
      <c r="E88" s="19" t="n">
        <f aca="false">IF(PODACI_ZALIHE!E85="","",PODACI_ZALIHE!E85)</f>
        <v>94</v>
      </c>
      <c r="F88" s="20" t="n">
        <f aca="false">PODACI_ZALIHE!F85</f>
        <v>89</v>
      </c>
      <c r="G88" s="19" t="n">
        <f aca="false">IF(E88="","",E88-F88)</f>
        <v>5</v>
      </c>
      <c r="H88" s="9" t="n">
        <f aca="false">PODACI_PRODAJA!N825</f>
        <v>53</v>
      </c>
      <c r="I88" s="21" t="n">
        <f aca="false">IF(H88&lt;=0,999,ROUND(F88/H88,1))</f>
        <v>1.7</v>
      </c>
      <c r="J88" s="9" t="n">
        <f aca="false">SUMIFS(ROBA_U_DOLASKU!$C$6:$C$95,ROBA_U_DOLASKU!$A$6:$A$95,A88,ROBA_U_DOLASKU!$H$6:$H$95,1)</f>
        <v>0</v>
      </c>
      <c r="K88" s="9" t="n">
        <f aca="false">SUMIFS(ROBA_U_DOLASKU!$B$6:$B$95,ROBA_U_DOLASKU!$A$6:$A$95,A88,ROBA_U_DOLASKU!$H$6:$H$95,1)</f>
        <v>0</v>
      </c>
      <c r="L88" s="9" t="n">
        <f aca="false">SUMIFS(ROBA_U_DOLASKU!$C$6:$C$95,ROBA_U_DOLASKU!$A$6:$A$95,A88,ROBA_U_DOLASKU!$H$6:$H$95,2)</f>
        <v>0</v>
      </c>
      <c r="M88" s="9" t="n">
        <f aca="false">SUMIFS(ROBA_U_DOLASKU!$B$6:$B$95,ROBA_U_DOLASKU!$A$6:$A$95,A88,ROBA_U_DOLASKU!$H$6:$H$95,2)</f>
        <v>0</v>
      </c>
      <c r="N88" s="9" t="n">
        <f aca="false">SUMIFS(ROBA_U_DOLASKU!$C$6:$C$95,ROBA_U_DOLASKU!$A$6:$A$95,A88,ROBA_U_DOLASKU!$H$6:$H$95,3)</f>
        <v>0</v>
      </c>
      <c r="O88" s="9" t="n">
        <f aca="false">SUMIFS(ROBA_U_DOLASKU!$B$6:$B$95,ROBA_U_DOLASKU!$A$6:$A$95,A88,ROBA_U_DOLASKU!$H$6:$H$95,3)</f>
        <v>0</v>
      </c>
      <c r="P88" s="9" t="n">
        <f aca="false">IF(H88&lt;=0,999,IF(O88&gt;0,ROUND((F88-H88*N88+K88+M88+O88)/H88,1),IF(M88&gt;0,ROUND((F88-H88*L88+K88+M88)/H88,1),IF(K88&gt;0,ROUND((F88-H88*J88+K88)/H88,1),I88))))</f>
        <v>1.7</v>
      </c>
      <c r="Q88" s="22" t="str">
        <f aca="false">IF(H88&lt;=0,"Nema prodaje",IF(AND(K88=0,M88=0,O88=0),IF(I88&lt;POSTAVKE!$B$6,"Naruči odmah","Sve u redu"),IF(F88-H88*J88&lt;0,"Rupa za ~"&amp;TEXT(I88,"0.0")&amp;" mj.",IF(AND(M88&gt;0,F88-H88*L88+K88&lt;0),"Rupa nakon 1. dolaska",IF(AND(O88&gt;0,F88-H88*N88+K88+M88&lt;0),"Rupa nakon 2. dolaska",IF(P88&lt;POSTAVKE!$B$6,"Količina nije dovoljna",IF(I88&gt;=POSTAVKE!$B$6,"Sve u redu","Stiže na vrijeme")))))))</f>
        <v>Naruči odmah</v>
      </c>
      <c r="S88" s="23" t="n">
        <f aca="false">IFERROR(INDEX(PODACI_PRODAJA!B:B,MATCH($A88,PODACI_PRODAJA!$A:$A,0)),0)</f>
        <v>-1</v>
      </c>
      <c r="T88" s="23" t="n">
        <f aca="false">IFERROR(INDEX(PODACI_PRODAJA!C:C,MATCH($A88,PODACI_PRODAJA!$A:$A,0)),0)</f>
        <v>145</v>
      </c>
      <c r="U88" s="23" t="n">
        <f aca="false">IFERROR(INDEX(PODACI_PRODAJA!D:D,MATCH($A88,PODACI_PRODAJA!$A:$A,0)),0)</f>
        <v>65</v>
      </c>
      <c r="V88" s="23" t="n">
        <f aca="false">IFERROR(INDEX(PODACI_PRODAJA!E:E,MATCH($A88,PODACI_PRODAJA!$A:$A,0)),0)</f>
        <v>44</v>
      </c>
      <c r="W88" s="23" t="n">
        <f aca="false">IFERROR(INDEX(PODACI_PRODAJA!F:F,MATCH($A88,PODACI_PRODAJA!$A:$A,0)),0)</f>
        <v>41</v>
      </c>
      <c r="X88" s="23" t="n">
        <f aca="false">IFERROR(INDEX(PODACI_PRODAJA!G:G,MATCH($A88,PODACI_PRODAJA!$A:$A,0)),0)</f>
        <v>60</v>
      </c>
      <c r="Y88" s="23" t="n">
        <f aca="false">IFERROR(INDEX(PODACI_PRODAJA!H:H,MATCH($A88,PODACI_PRODAJA!$A:$A,0)),0)</f>
        <v>25</v>
      </c>
      <c r="Z88" s="23" t="n">
        <f aca="false">IFERROR(INDEX(PODACI_PRODAJA!I:I,MATCH($A88,PODACI_PRODAJA!$A:$A,0)),0)</f>
        <v>45</v>
      </c>
      <c r="AA88" s="23" t="n">
        <f aca="false">IFERROR(INDEX(PODACI_PRODAJA!J:J,MATCH($A88,PODACI_PRODAJA!$A:$A,0)),0)</f>
        <v>5</v>
      </c>
      <c r="AB88" s="23" t="n">
        <f aca="false">IFERROR(INDEX(PODACI_PRODAJA!K:K,MATCH($A88,PODACI_PRODAJA!$A:$A,0)),0)</f>
        <v>0</v>
      </c>
      <c r="AC88" s="23" t="n">
        <f aca="false">IFERROR(INDEX(PODACI_PRODAJA!L:L,MATCH($A88,PODACI_PRODAJA!$A:$A,0)),0)</f>
        <v>0</v>
      </c>
      <c r="AD88" s="23" t="n">
        <f aca="false">IFERROR(INDEX(PODACI_PRODAJA!M:M,MATCH($A88,PODACI_PRODAJA!$A:$A,0)),0)</f>
        <v>0</v>
      </c>
    </row>
    <row r="89" customFormat="false" ht="15" hidden="false" customHeight="false" outlineLevel="0" collapsed="false">
      <c r="A89" s="11" t="str">
        <f aca="false">PODACI_ZALIHE!A86</f>
        <v>15473</v>
      </c>
      <c r="B89" s="8" t="str">
        <f aca="false">PODACI_ZALIHE!B86</f>
        <v>PERLA MIJEŠALICA ZA UMIVAONIK VISOKA</v>
      </c>
      <c r="C89" s="9" t="str">
        <f aca="false">PODACI_ZALIHE!C86</f>
        <v>5150</v>
      </c>
      <c r="D89" s="8" t="str">
        <f aca="false">PODACI_ZALIHE!D86</f>
        <v>ZHEJIANG VOLONG SANITARY WARES CO.,LTD.</v>
      </c>
      <c r="E89" s="19" t="n">
        <f aca="false">IF(PODACI_ZALIHE!E86="","",PODACI_ZALIHE!E86)</f>
        <v>89</v>
      </c>
      <c r="F89" s="20" t="n">
        <f aca="false">PODACI_ZALIHE!F86</f>
        <v>89</v>
      </c>
      <c r="G89" s="19" t="n">
        <f aca="false">IF(E89="","",E89-F89)</f>
        <v>0</v>
      </c>
      <c r="H89" s="9" t="n">
        <f aca="false">PODACI_PRODAJA!N477</f>
        <v>0.38</v>
      </c>
      <c r="I89" s="21" t="n">
        <f aca="false">IF(H89&lt;=0,999,ROUND(F89/H89,1))</f>
        <v>234.2</v>
      </c>
      <c r="J89" s="9" t="n">
        <f aca="false">SUMIFS(ROBA_U_DOLASKU!$C$6:$C$95,ROBA_U_DOLASKU!$A$6:$A$95,A89,ROBA_U_DOLASKU!$H$6:$H$95,1)</f>
        <v>0</v>
      </c>
      <c r="K89" s="9" t="n">
        <f aca="false">SUMIFS(ROBA_U_DOLASKU!$B$6:$B$95,ROBA_U_DOLASKU!$A$6:$A$95,A89,ROBA_U_DOLASKU!$H$6:$H$95,1)</f>
        <v>0</v>
      </c>
      <c r="L89" s="9" t="n">
        <f aca="false">SUMIFS(ROBA_U_DOLASKU!$C$6:$C$95,ROBA_U_DOLASKU!$A$6:$A$95,A89,ROBA_U_DOLASKU!$H$6:$H$95,2)</f>
        <v>0</v>
      </c>
      <c r="M89" s="9" t="n">
        <f aca="false">SUMIFS(ROBA_U_DOLASKU!$B$6:$B$95,ROBA_U_DOLASKU!$A$6:$A$95,A89,ROBA_U_DOLASKU!$H$6:$H$95,2)</f>
        <v>0</v>
      </c>
      <c r="N89" s="9" t="n">
        <f aca="false">SUMIFS(ROBA_U_DOLASKU!$C$6:$C$95,ROBA_U_DOLASKU!$A$6:$A$95,A89,ROBA_U_DOLASKU!$H$6:$H$95,3)</f>
        <v>0</v>
      </c>
      <c r="O89" s="9" t="n">
        <f aca="false">SUMIFS(ROBA_U_DOLASKU!$B$6:$B$95,ROBA_U_DOLASKU!$A$6:$A$95,A89,ROBA_U_DOLASKU!$H$6:$H$95,3)</f>
        <v>0</v>
      </c>
      <c r="P89" s="9" t="n">
        <f aca="false">IF(H89&lt;=0,999,IF(O89&gt;0,ROUND((F89-H89*N89+K89+M89+O89)/H89,1),IF(M89&gt;0,ROUND((F89-H89*L89+K89+M89)/H89,1),IF(K89&gt;0,ROUND((F89-H89*J89+K89)/H89,1),I89))))</f>
        <v>234.2</v>
      </c>
      <c r="Q89" s="22" t="str">
        <f aca="false">IF(H89&lt;=0,"Nema prodaje",IF(AND(K89=0,M89=0,O89=0),IF(I89&lt;POSTAVKE!$B$6,"Naruči odmah","Sve u redu"),IF(F89-H89*J89&lt;0,"Rupa za ~"&amp;TEXT(I89,"0.0")&amp;" mj.",IF(AND(M89&gt;0,F89-H89*L89+K89&lt;0),"Rupa nakon 1. dolaska",IF(AND(O89&gt;0,F89-H89*N89+K89+M89&lt;0),"Rupa nakon 2. dolaska",IF(P89&lt;POSTAVKE!$B$6,"Količina nije dovoljna",IF(I89&gt;=POSTAVKE!$B$6,"Sve u redu","Stiže na vrijeme")))))))</f>
        <v>Sve u redu</v>
      </c>
      <c r="S89" s="23" t="n">
        <f aca="false">IFERROR(INDEX(PODACI_PRODAJA!B:B,MATCH($A89,PODACI_PRODAJA!$A:$A,0)),0)</f>
        <v>0</v>
      </c>
      <c r="T89" s="23" t="n">
        <f aca="false">IFERROR(INDEX(PODACI_PRODAJA!C:C,MATCH($A89,PODACI_PRODAJA!$A:$A,0)),0)</f>
        <v>0</v>
      </c>
      <c r="U89" s="23" t="n">
        <f aca="false">IFERROR(INDEX(PODACI_PRODAJA!D:D,MATCH($A89,PODACI_PRODAJA!$A:$A,0)),0)</f>
        <v>0</v>
      </c>
      <c r="V89" s="23" t="n">
        <f aca="false">IFERROR(INDEX(PODACI_PRODAJA!E:E,MATCH($A89,PODACI_PRODAJA!$A:$A,0)),0)</f>
        <v>0</v>
      </c>
      <c r="W89" s="23" t="n">
        <f aca="false">IFERROR(INDEX(PODACI_PRODAJA!F:F,MATCH($A89,PODACI_PRODAJA!$A:$A,0)),0)</f>
        <v>0</v>
      </c>
      <c r="X89" s="23" t="n">
        <f aca="false">IFERROR(INDEX(PODACI_PRODAJA!G:G,MATCH($A89,PODACI_PRODAJA!$A:$A,0)),0)</f>
        <v>3</v>
      </c>
      <c r="Y89" s="23" t="n">
        <f aca="false">IFERROR(INDEX(PODACI_PRODAJA!H:H,MATCH($A89,PODACI_PRODAJA!$A:$A,0)),0)</f>
        <v>0</v>
      </c>
      <c r="Z89" s="23" t="n">
        <f aca="false">IFERROR(INDEX(PODACI_PRODAJA!I:I,MATCH($A89,PODACI_PRODAJA!$A:$A,0)),0)</f>
        <v>0</v>
      </c>
      <c r="AA89" s="23" t="n">
        <f aca="false">IFERROR(INDEX(PODACI_PRODAJA!J:J,MATCH($A89,PODACI_PRODAJA!$A:$A,0)),0)</f>
        <v>0</v>
      </c>
      <c r="AB89" s="23" t="n">
        <f aca="false">IFERROR(INDEX(PODACI_PRODAJA!K:K,MATCH($A89,PODACI_PRODAJA!$A:$A,0)),0)</f>
        <v>0</v>
      </c>
      <c r="AC89" s="23" t="n">
        <f aca="false">IFERROR(INDEX(PODACI_PRODAJA!L:L,MATCH($A89,PODACI_PRODAJA!$A:$A,0)),0)</f>
        <v>0</v>
      </c>
      <c r="AD89" s="23" t="n">
        <f aca="false">IFERROR(INDEX(PODACI_PRODAJA!M:M,MATCH($A89,PODACI_PRODAJA!$A:$A,0)),0)</f>
        <v>0</v>
      </c>
    </row>
    <row r="90" customFormat="false" ht="15" hidden="false" customHeight="false" outlineLevel="0" collapsed="false">
      <c r="A90" s="11" t="str">
        <f aca="false">PODACI_ZALIHE!A87</f>
        <v>17215</v>
      </c>
      <c r="B90" s="8" t="str">
        <f aca="false">PODACI_ZALIHE!B87</f>
        <v>IMOLA BIJELA MIJEŠALICA ZA TUŠ</v>
      </c>
      <c r="C90" s="9" t="n">
        <f aca="false">PODACI_ZALIHE!C87</f>
        <v>0</v>
      </c>
      <c r="D90" s="8" t="n">
        <f aca="false">PODACI_ZALIHE!D87</f>
        <v>0</v>
      </c>
      <c r="E90" s="19" t="n">
        <f aca="false">IF(PODACI_ZALIHE!E87="","",PODACI_ZALIHE!E87)</f>
        <v>88</v>
      </c>
      <c r="F90" s="20" t="n">
        <f aca="false">PODACI_ZALIHE!F87</f>
        <v>88</v>
      </c>
      <c r="G90" s="19" t="n">
        <f aca="false">IF(E90="","",E90-F90)</f>
        <v>0</v>
      </c>
      <c r="H90" s="9" t="n">
        <f aca="false">PODACI_PRODAJA!N270</f>
        <v>0</v>
      </c>
      <c r="I90" s="21" t="n">
        <f aca="false">IF(H90&lt;=0,999,ROUND(F90/H90,1))</f>
        <v>999</v>
      </c>
      <c r="J90" s="9" t="n">
        <f aca="false">SUMIFS(ROBA_U_DOLASKU!$C$6:$C$95,ROBA_U_DOLASKU!$A$6:$A$95,A90,ROBA_U_DOLASKU!$H$6:$H$95,1)</f>
        <v>0</v>
      </c>
      <c r="K90" s="9" t="n">
        <f aca="false">SUMIFS(ROBA_U_DOLASKU!$B$6:$B$95,ROBA_U_DOLASKU!$A$6:$A$95,A90,ROBA_U_DOLASKU!$H$6:$H$95,1)</f>
        <v>0</v>
      </c>
      <c r="L90" s="9" t="n">
        <f aca="false">SUMIFS(ROBA_U_DOLASKU!$C$6:$C$95,ROBA_U_DOLASKU!$A$6:$A$95,A90,ROBA_U_DOLASKU!$H$6:$H$95,2)</f>
        <v>0</v>
      </c>
      <c r="M90" s="9" t="n">
        <f aca="false">SUMIFS(ROBA_U_DOLASKU!$B$6:$B$95,ROBA_U_DOLASKU!$A$6:$A$95,A90,ROBA_U_DOLASKU!$H$6:$H$95,2)</f>
        <v>0</v>
      </c>
      <c r="N90" s="9" t="n">
        <f aca="false">SUMIFS(ROBA_U_DOLASKU!$C$6:$C$95,ROBA_U_DOLASKU!$A$6:$A$95,A90,ROBA_U_DOLASKU!$H$6:$H$95,3)</f>
        <v>0</v>
      </c>
      <c r="O90" s="9" t="n">
        <f aca="false">SUMIFS(ROBA_U_DOLASKU!$B$6:$B$95,ROBA_U_DOLASKU!$A$6:$A$95,A90,ROBA_U_DOLASKU!$H$6:$H$95,3)</f>
        <v>0</v>
      </c>
      <c r="P90" s="9" t="n">
        <f aca="false">IF(H90&lt;=0,999,IF(O90&gt;0,ROUND((F90-H90*N90+K90+M90+O90)/H90,1),IF(M90&gt;0,ROUND((F90-H90*L90+K90+M90)/H90,1),IF(K90&gt;0,ROUND((F90-H90*J90+K90)/H90,1),I90))))</f>
        <v>999</v>
      </c>
      <c r="Q90" s="22" t="str">
        <f aca="false">IF(H90&lt;=0,"Nema prodaje",IF(AND(K90=0,M90=0,O90=0),IF(I90&lt;POSTAVKE!$B$6,"Naruči odmah","Sve u redu"),IF(F90-H90*J90&lt;0,"Rupa za ~"&amp;TEXT(I90,"0.0")&amp;" mj.",IF(AND(M90&gt;0,F90-H90*L90+K90&lt;0),"Rupa nakon 1. dolaska",IF(AND(O90&gt;0,F90-H90*N90+K90+M90&lt;0),"Rupa nakon 2. dolaska",IF(P90&lt;POSTAVKE!$B$6,"Količina nije dovoljna",IF(I90&gt;=POSTAVKE!$B$6,"Sve u redu","Stiže na vrijeme")))))))</f>
        <v>Nema prodaje</v>
      </c>
      <c r="S90" s="23" t="n">
        <f aca="false">IFERROR(INDEX(PODACI_PRODAJA!B:B,MATCH($A90,PODACI_PRODAJA!$A:$A,0)),0)</f>
        <v>1</v>
      </c>
      <c r="T90" s="23" t="n">
        <f aca="false">IFERROR(INDEX(PODACI_PRODAJA!C:C,MATCH($A90,PODACI_PRODAJA!$A:$A,0)),0)</f>
        <v>0</v>
      </c>
      <c r="U90" s="23" t="n">
        <f aca="false">IFERROR(INDEX(PODACI_PRODAJA!D:D,MATCH($A90,PODACI_PRODAJA!$A:$A,0)),0)</f>
        <v>0</v>
      </c>
      <c r="V90" s="23" t="n">
        <f aca="false">IFERROR(INDEX(PODACI_PRODAJA!E:E,MATCH($A90,PODACI_PRODAJA!$A:$A,0)),0)</f>
        <v>0</v>
      </c>
      <c r="W90" s="23" t="n">
        <f aca="false">IFERROR(INDEX(PODACI_PRODAJA!F:F,MATCH($A90,PODACI_PRODAJA!$A:$A,0)),0)</f>
        <v>0</v>
      </c>
      <c r="X90" s="23" t="n">
        <f aca="false">IFERROR(INDEX(PODACI_PRODAJA!G:G,MATCH($A90,PODACI_PRODAJA!$A:$A,0)),0)</f>
        <v>-1</v>
      </c>
      <c r="Y90" s="23" t="n">
        <f aca="false">IFERROR(INDEX(PODACI_PRODAJA!H:H,MATCH($A90,PODACI_PRODAJA!$A:$A,0)),0)</f>
        <v>0</v>
      </c>
      <c r="Z90" s="23" t="n">
        <f aca="false">IFERROR(INDEX(PODACI_PRODAJA!I:I,MATCH($A90,PODACI_PRODAJA!$A:$A,0)),0)</f>
        <v>0</v>
      </c>
      <c r="AA90" s="23" t="n">
        <f aca="false">IFERROR(INDEX(PODACI_PRODAJA!J:J,MATCH($A90,PODACI_PRODAJA!$A:$A,0)),0)</f>
        <v>0</v>
      </c>
      <c r="AB90" s="23" t="n">
        <f aca="false">IFERROR(INDEX(PODACI_PRODAJA!K:K,MATCH($A90,PODACI_PRODAJA!$A:$A,0)),0)</f>
        <v>0</v>
      </c>
      <c r="AC90" s="23" t="n">
        <f aca="false">IFERROR(INDEX(PODACI_PRODAJA!L:L,MATCH($A90,PODACI_PRODAJA!$A:$A,0)),0)</f>
        <v>0</v>
      </c>
      <c r="AD90" s="23" t="n">
        <f aca="false">IFERROR(INDEX(PODACI_PRODAJA!M:M,MATCH($A90,PODACI_PRODAJA!$A:$A,0)),0)</f>
        <v>0</v>
      </c>
    </row>
    <row r="91" customFormat="false" ht="15" hidden="false" customHeight="false" outlineLevel="0" collapsed="false">
      <c r="A91" s="11" t="str">
        <f aca="false">PODACI_ZALIHE!A88</f>
        <v>17218</v>
      </c>
      <c r="B91" s="8" t="str">
        <f aca="false">PODACI_ZALIHE!B88</f>
        <v>IMOLA ZLATNA MIJEŠALICA ZA TUŠ</v>
      </c>
      <c r="C91" s="9" t="n">
        <f aca="false">PODACI_ZALIHE!C88</f>
        <v>0</v>
      </c>
      <c r="D91" s="8" t="n">
        <f aca="false">PODACI_ZALIHE!D88</f>
        <v>0</v>
      </c>
      <c r="E91" s="19" t="n">
        <f aca="false">IF(PODACI_ZALIHE!E88="","",PODACI_ZALIHE!E88)</f>
        <v>88</v>
      </c>
      <c r="F91" s="20" t="n">
        <f aca="false">PODACI_ZALIHE!F88</f>
        <v>88</v>
      </c>
      <c r="G91" s="19" t="n">
        <f aca="false">IF(E91="","",E91-F91)</f>
        <v>0</v>
      </c>
      <c r="H91" s="9" t="n">
        <f aca="false">PODACI_PRODAJA!N607</f>
        <v>0.13</v>
      </c>
      <c r="I91" s="21" t="n">
        <f aca="false">IF(H91&lt;=0,999,ROUND(F91/H91,1))</f>
        <v>676.9</v>
      </c>
      <c r="J91" s="9" t="n">
        <f aca="false">SUMIFS(ROBA_U_DOLASKU!$C$6:$C$95,ROBA_U_DOLASKU!$A$6:$A$95,A91,ROBA_U_DOLASKU!$H$6:$H$95,1)</f>
        <v>0</v>
      </c>
      <c r="K91" s="9" t="n">
        <f aca="false">SUMIFS(ROBA_U_DOLASKU!$B$6:$B$95,ROBA_U_DOLASKU!$A$6:$A$95,A91,ROBA_U_DOLASKU!$H$6:$H$95,1)</f>
        <v>0</v>
      </c>
      <c r="L91" s="9" t="n">
        <f aca="false">SUMIFS(ROBA_U_DOLASKU!$C$6:$C$95,ROBA_U_DOLASKU!$A$6:$A$95,A91,ROBA_U_DOLASKU!$H$6:$H$95,2)</f>
        <v>0</v>
      </c>
      <c r="M91" s="9" t="n">
        <f aca="false">SUMIFS(ROBA_U_DOLASKU!$B$6:$B$95,ROBA_U_DOLASKU!$A$6:$A$95,A91,ROBA_U_DOLASKU!$H$6:$H$95,2)</f>
        <v>0</v>
      </c>
      <c r="N91" s="9" t="n">
        <f aca="false">SUMIFS(ROBA_U_DOLASKU!$C$6:$C$95,ROBA_U_DOLASKU!$A$6:$A$95,A91,ROBA_U_DOLASKU!$H$6:$H$95,3)</f>
        <v>0</v>
      </c>
      <c r="O91" s="9" t="n">
        <f aca="false">SUMIFS(ROBA_U_DOLASKU!$B$6:$B$95,ROBA_U_DOLASKU!$A$6:$A$95,A91,ROBA_U_DOLASKU!$H$6:$H$95,3)</f>
        <v>0</v>
      </c>
      <c r="P91" s="9" t="n">
        <f aca="false">IF(H91&lt;=0,999,IF(O91&gt;0,ROUND((F91-H91*N91+K91+M91+O91)/H91,1),IF(M91&gt;0,ROUND((F91-H91*L91+K91+M91)/H91,1),IF(K91&gt;0,ROUND((F91-H91*J91+K91)/H91,1),I91))))</f>
        <v>676.9</v>
      </c>
      <c r="Q91" s="22" t="str">
        <f aca="false">IF(H91&lt;=0,"Nema prodaje",IF(AND(K91=0,M91=0,O91=0),IF(I91&lt;POSTAVKE!$B$6,"Naruči odmah","Sve u redu"),IF(F91-H91*J91&lt;0,"Rupa za ~"&amp;TEXT(I91,"0.0")&amp;" mj.",IF(AND(M91&gt;0,F91-H91*L91+K91&lt;0),"Rupa nakon 1. dolaska",IF(AND(O91&gt;0,F91-H91*N91+K91+M91&lt;0),"Rupa nakon 2. dolaska",IF(P91&lt;POSTAVKE!$B$6,"Količina nije dovoljna",IF(I91&gt;=POSTAVKE!$B$6,"Sve u redu","Stiže na vrijeme")))))))</f>
        <v>Sve u redu</v>
      </c>
      <c r="S91" s="23" t="n">
        <f aca="false">IFERROR(INDEX(PODACI_PRODAJA!B:B,MATCH($A91,PODACI_PRODAJA!$A:$A,0)),0)</f>
        <v>0</v>
      </c>
      <c r="T91" s="23" t="n">
        <f aca="false">IFERROR(INDEX(PODACI_PRODAJA!C:C,MATCH($A91,PODACI_PRODAJA!$A:$A,0)),0)</f>
        <v>0</v>
      </c>
      <c r="U91" s="23" t="n">
        <f aca="false">IFERROR(INDEX(PODACI_PRODAJA!D:D,MATCH($A91,PODACI_PRODAJA!$A:$A,0)),0)</f>
        <v>0</v>
      </c>
      <c r="V91" s="23" t="n">
        <f aca="false">IFERROR(INDEX(PODACI_PRODAJA!E:E,MATCH($A91,PODACI_PRODAJA!$A:$A,0)),0)</f>
        <v>0</v>
      </c>
      <c r="W91" s="23" t="n">
        <f aca="false">IFERROR(INDEX(PODACI_PRODAJA!F:F,MATCH($A91,PODACI_PRODAJA!$A:$A,0)),0)</f>
        <v>0</v>
      </c>
      <c r="X91" s="23" t="n">
        <f aca="false">IFERROR(INDEX(PODACI_PRODAJA!G:G,MATCH($A91,PODACI_PRODAJA!$A:$A,0)),0)</f>
        <v>1</v>
      </c>
      <c r="Y91" s="23" t="n">
        <f aca="false">IFERROR(INDEX(PODACI_PRODAJA!H:H,MATCH($A91,PODACI_PRODAJA!$A:$A,0)),0)</f>
        <v>0</v>
      </c>
      <c r="Z91" s="23" t="n">
        <f aca="false">IFERROR(INDEX(PODACI_PRODAJA!I:I,MATCH($A91,PODACI_PRODAJA!$A:$A,0)),0)</f>
        <v>0</v>
      </c>
      <c r="AA91" s="23" t="n">
        <f aca="false">IFERROR(INDEX(PODACI_PRODAJA!J:J,MATCH($A91,PODACI_PRODAJA!$A:$A,0)),0)</f>
        <v>0</v>
      </c>
      <c r="AB91" s="23" t="n">
        <f aca="false">IFERROR(INDEX(PODACI_PRODAJA!K:K,MATCH($A91,PODACI_PRODAJA!$A:$A,0)),0)</f>
        <v>0</v>
      </c>
      <c r="AC91" s="23" t="n">
        <f aca="false">IFERROR(INDEX(PODACI_PRODAJA!L:L,MATCH($A91,PODACI_PRODAJA!$A:$A,0)),0)</f>
        <v>0</v>
      </c>
      <c r="AD91" s="23" t="n">
        <f aca="false">IFERROR(INDEX(PODACI_PRODAJA!M:M,MATCH($A91,PODACI_PRODAJA!$A:$A,0)),0)</f>
        <v>0</v>
      </c>
    </row>
    <row r="92" customFormat="false" ht="15" hidden="false" customHeight="false" outlineLevel="0" collapsed="false">
      <c r="A92" s="11" t="str">
        <f aca="false">PODACI_ZALIHE!A89</f>
        <v>00898</v>
      </c>
      <c r="B92" s="8" t="str">
        <f aca="false">PODACI_ZALIHE!B89</f>
        <v>TIFFANY OGLEDALO S LED RASVJETOM 60x80 cm</v>
      </c>
      <c r="C92" s="9" t="str">
        <f aca="false">PODACI_ZALIHE!C89</f>
        <v>5720</v>
      </c>
      <c r="D92" s="8" t="str">
        <f aca="false">PODACI_ZALIHE!D89</f>
        <v>ZHEJIANG SUMMERSIDE SANITARY WARE TECHNOLOGY CO., LTD</v>
      </c>
      <c r="E92" s="19" t="n">
        <f aca="false">IF(PODACI_ZALIHE!E89="","",PODACI_ZALIHE!E89)</f>
        <v>86</v>
      </c>
      <c r="F92" s="20" t="n">
        <f aca="false">PODACI_ZALIHE!F89</f>
        <v>85</v>
      </c>
      <c r="G92" s="19" t="n">
        <f aca="false">IF(E92="","",E92-F92)</f>
        <v>1</v>
      </c>
      <c r="H92" s="9" t="n">
        <f aca="false">PODACI_PRODAJA!N37</f>
        <v>23.5</v>
      </c>
      <c r="I92" s="21" t="n">
        <f aca="false">IF(H92&lt;=0,999,ROUND(F92/H92,1))</f>
        <v>3.6</v>
      </c>
      <c r="J92" s="9" t="n">
        <f aca="false">SUMIFS(ROBA_U_DOLASKU!$C$6:$C$95,ROBA_U_DOLASKU!$A$6:$A$95,A92,ROBA_U_DOLASKU!$H$6:$H$95,1)</f>
        <v>2.2</v>
      </c>
      <c r="K92" s="9" t="n">
        <f aca="false">SUMIFS(ROBA_U_DOLASKU!$B$6:$B$95,ROBA_U_DOLASKU!$A$6:$A$95,A92,ROBA_U_DOLASKU!$H$6:$H$95,1)</f>
        <v>80</v>
      </c>
      <c r="L92" s="9" t="n">
        <f aca="false">SUMIFS(ROBA_U_DOLASKU!$C$6:$C$95,ROBA_U_DOLASKU!$A$6:$A$95,A92,ROBA_U_DOLASKU!$H$6:$H$95,2)</f>
        <v>0</v>
      </c>
      <c r="M92" s="9" t="n">
        <f aca="false">SUMIFS(ROBA_U_DOLASKU!$B$6:$B$95,ROBA_U_DOLASKU!$A$6:$A$95,A92,ROBA_U_DOLASKU!$H$6:$H$95,2)</f>
        <v>0</v>
      </c>
      <c r="N92" s="9" t="n">
        <f aca="false">SUMIFS(ROBA_U_DOLASKU!$C$6:$C$95,ROBA_U_DOLASKU!$A$6:$A$95,A92,ROBA_U_DOLASKU!$H$6:$H$95,3)</f>
        <v>0</v>
      </c>
      <c r="O92" s="9" t="n">
        <f aca="false">SUMIFS(ROBA_U_DOLASKU!$B$6:$B$95,ROBA_U_DOLASKU!$A$6:$A$95,A92,ROBA_U_DOLASKU!$H$6:$H$95,3)</f>
        <v>0</v>
      </c>
      <c r="P92" s="9" t="n">
        <f aca="false">IF(H92&lt;=0,999,IF(O92&gt;0,ROUND((F92-H92*N92+K92+M92+O92)/H92,1),IF(M92&gt;0,ROUND((F92-H92*L92+K92+M92)/H92,1),IF(K92&gt;0,ROUND((F92-H92*J92+K92)/H92,1),I92))))</f>
        <v>4.8</v>
      </c>
      <c r="Q92" s="22" t="str">
        <f aca="false">IF(H92&lt;=0,"Nema prodaje",IF(AND(K92=0,M92=0,O92=0),IF(I92&lt;POSTAVKE!$B$6,"Naruči odmah","Sve u redu"),IF(F92-H92*J92&lt;0,"Rupa za ~"&amp;TEXT(I92,"0.0")&amp;" mj.",IF(AND(M92&gt;0,F92-H92*L92+K92&lt;0),"Rupa nakon 1. dolaska",IF(AND(O92&gt;0,F92-H92*N92+K92+M92&lt;0),"Rupa nakon 2. dolaska",IF(P92&lt;POSTAVKE!$B$6,"Količina nije dovoljna",IF(I92&gt;=POSTAVKE!$B$6,"Sve u redu","Stiže na vrijeme")))))))</f>
        <v>Količina nije dovoljna</v>
      </c>
      <c r="S92" s="23" t="n">
        <f aca="false">IFERROR(INDEX(PODACI_PRODAJA!B:B,MATCH($A92,PODACI_PRODAJA!$A:$A,0)),0)</f>
        <v>25</v>
      </c>
      <c r="T92" s="23" t="n">
        <f aca="false">IFERROR(INDEX(PODACI_PRODAJA!C:C,MATCH($A92,PODACI_PRODAJA!$A:$A,0)),0)</f>
        <v>25</v>
      </c>
      <c r="U92" s="23" t="n">
        <f aca="false">IFERROR(INDEX(PODACI_PRODAJA!D:D,MATCH($A92,PODACI_PRODAJA!$A:$A,0)),0)</f>
        <v>28</v>
      </c>
      <c r="V92" s="23" t="n">
        <f aca="false">IFERROR(INDEX(PODACI_PRODAJA!E:E,MATCH($A92,PODACI_PRODAJA!$A:$A,0)),0)</f>
        <v>23</v>
      </c>
      <c r="W92" s="23" t="n">
        <f aca="false">IFERROR(INDEX(PODACI_PRODAJA!F:F,MATCH($A92,PODACI_PRODAJA!$A:$A,0)),0)</f>
        <v>21</v>
      </c>
      <c r="X92" s="23" t="n">
        <f aca="false">IFERROR(INDEX(PODACI_PRODAJA!G:G,MATCH($A92,PODACI_PRODAJA!$A:$A,0)),0)</f>
        <v>29</v>
      </c>
      <c r="Y92" s="23" t="n">
        <f aca="false">IFERROR(INDEX(PODACI_PRODAJA!H:H,MATCH($A92,PODACI_PRODAJA!$A:$A,0)),0)</f>
        <v>20</v>
      </c>
      <c r="Z92" s="23" t="n">
        <f aca="false">IFERROR(INDEX(PODACI_PRODAJA!I:I,MATCH($A92,PODACI_PRODAJA!$A:$A,0)),0)</f>
        <v>17</v>
      </c>
      <c r="AA92" s="23" t="n">
        <f aca="false">IFERROR(INDEX(PODACI_PRODAJA!J:J,MATCH($A92,PODACI_PRODAJA!$A:$A,0)),0)</f>
        <v>0</v>
      </c>
      <c r="AB92" s="23" t="n">
        <f aca="false">IFERROR(INDEX(PODACI_PRODAJA!K:K,MATCH($A92,PODACI_PRODAJA!$A:$A,0)),0)</f>
        <v>0</v>
      </c>
      <c r="AC92" s="23" t="n">
        <f aca="false">IFERROR(INDEX(PODACI_PRODAJA!L:L,MATCH($A92,PODACI_PRODAJA!$A:$A,0)),0)</f>
        <v>0</v>
      </c>
      <c r="AD92" s="23" t="n">
        <f aca="false">IFERROR(INDEX(PODACI_PRODAJA!M:M,MATCH($A92,PODACI_PRODAJA!$A:$A,0)),0)</f>
        <v>0</v>
      </c>
    </row>
    <row r="93" customFormat="false" ht="15" hidden="false" customHeight="false" outlineLevel="0" collapsed="false">
      <c r="A93" s="11" t="str">
        <f aca="false">PODACI_ZALIHE!A90</f>
        <v>18438</v>
      </c>
      <c r="B93" s="8" t="str">
        <f aca="false">PODACI_ZALIHE!B90</f>
        <v>ILLUMEA LED OGLEDALO 80x120 cm CCT 3000/4000/5000K</v>
      </c>
      <c r="C93" s="9" t="str">
        <f aca="false">PODACI_ZALIHE!C90</f>
        <v>6032</v>
      </c>
      <c r="D93" s="8" t="str">
        <f aca="false">PODACI_ZALIHE!D90</f>
        <v>HANGZHOU ZIHAN MIRROR INDUSTRY CO., LTD.</v>
      </c>
      <c r="E93" s="19" t="n">
        <f aca="false">IF(PODACI_ZALIHE!E90="","",PODACI_ZALIHE!E90)</f>
        <v>85</v>
      </c>
      <c r="F93" s="20" t="n">
        <f aca="false">PODACI_ZALIHE!F90</f>
        <v>85</v>
      </c>
      <c r="G93" s="19" t="n">
        <f aca="false">IF(E93="","",E93-F93)</f>
        <v>0</v>
      </c>
      <c r="H93" s="9" t="n">
        <f aca="false">PODACI_PRODAJA!N26</f>
        <v>4.25</v>
      </c>
      <c r="I93" s="21" t="n">
        <f aca="false">IF(H93&lt;=0,999,ROUND(F93/H93,1))</f>
        <v>20</v>
      </c>
      <c r="J93" s="9" t="n">
        <f aca="false">SUMIFS(ROBA_U_DOLASKU!$C$6:$C$95,ROBA_U_DOLASKU!$A$6:$A$95,A93,ROBA_U_DOLASKU!$H$6:$H$95,1)</f>
        <v>2.2</v>
      </c>
      <c r="K93" s="9" t="n">
        <f aca="false">SUMIFS(ROBA_U_DOLASKU!$B$6:$B$95,ROBA_U_DOLASKU!$A$6:$A$95,A93,ROBA_U_DOLASKU!$H$6:$H$95,1)</f>
        <v>80</v>
      </c>
      <c r="L93" s="9" t="n">
        <f aca="false">SUMIFS(ROBA_U_DOLASKU!$C$6:$C$95,ROBA_U_DOLASKU!$A$6:$A$95,A93,ROBA_U_DOLASKU!$H$6:$H$95,2)</f>
        <v>0</v>
      </c>
      <c r="M93" s="9" t="n">
        <f aca="false">SUMIFS(ROBA_U_DOLASKU!$B$6:$B$95,ROBA_U_DOLASKU!$A$6:$A$95,A93,ROBA_U_DOLASKU!$H$6:$H$95,2)</f>
        <v>0</v>
      </c>
      <c r="N93" s="9" t="n">
        <f aca="false">SUMIFS(ROBA_U_DOLASKU!$C$6:$C$95,ROBA_U_DOLASKU!$A$6:$A$95,A93,ROBA_U_DOLASKU!$H$6:$H$95,3)</f>
        <v>0</v>
      </c>
      <c r="O93" s="9" t="n">
        <f aca="false">SUMIFS(ROBA_U_DOLASKU!$B$6:$B$95,ROBA_U_DOLASKU!$A$6:$A$95,A93,ROBA_U_DOLASKU!$H$6:$H$95,3)</f>
        <v>0</v>
      </c>
      <c r="P93" s="9" t="n">
        <f aca="false">IF(H93&lt;=0,999,IF(O93&gt;0,ROUND((F93-H93*N93+K93+M93+O93)/H93,1),IF(M93&gt;0,ROUND((F93-H93*L93+K93+M93)/H93,1),IF(K93&gt;0,ROUND((F93-H93*J93+K93)/H93,1),I93))))</f>
        <v>36.6</v>
      </c>
      <c r="Q93" s="22" t="str">
        <f aca="false">IF(H93&lt;=0,"Nema prodaje",IF(AND(K93=0,M93=0,O93=0),IF(I93&lt;POSTAVKE!$B$6,"Naruči odmah","Sve u redu"),IF(F93-H93*J93&lt;0,"Rupa za ~"&amp;TEXT(I93,"0.0")&amp;" mj.",IF(AND(M93&gt;0,F93-H93*L93+K93&lt;0),"Rupa nakon 1. dolaska",IF(AND(O93&gt;0,F93-H93*N93+K93+M93&lt;0),"Rupa nakon 2. dolaska",IF(P93&lt;POSTAVKE!$B$6,"Količina nije dovoljna",IF(I93&gt;=POSTAVKE!$B$6,"Sve u redu","Stiže na vrijeme")))))))</f>
        <v>Sve u redu</v>
      </c>
      <c r="S93" s="23" t="n">
        <f aca="false">IFERROR(INDEX(PODACI_PRODAJA!B:B,MATCH($A93,PODACI_PRODAJA!$A:$A,0)),0)</f>
        <v>31</v>
      </c>
      <c r="T93" s="23" t="n">
        <f aca="false">IFERROR(INDEX(PODACI_PRODAJA!C:C,MATCH($A93,PODACI_PRODAJA!$A:$A,0)),0)</f>
        <v>0</v>
      </c>
      <c r="U93" s="23" t="n">
        <f aca="false">IFERROR(INDEX(PODACI_PRODAJA!D:D,MATCH($A93,PODACI_PRODAJA!$A:$A,0)),0)</f>
        <v>0</v>
      </c>
      <c r="V93" s="23" t="n">
        <f aca="false">IFERROR(INDEX(PODACI_PRODAJA!E:E,MATCH($A93,PODACI_PRODAJA!$A:$A,0)),0)</f>
        <v>0</v>
      </c>
      <c r="W93" s="23" t="n">
        <f aca="false">IFERROR(INDEX(PODACI_PRODAJA!F:F,MATCH($A93,PODACI_PRODAJA!$A:$A,0)),0)</f>
        <v>0</v>
      </c>
      <c r="X93" s="23" t="n">
        <f aca="false">IFERROR(INDEX(PODACI_PRODAJA!G:G,MATCH($A93,PODACI_PRODAJA!$A:$A,0)),0)</f>
        <v>1</v>
      </c>
      <c r="Y93" s="23" t="n">
        <f aca="false">IFERROR(INDEX(PODACI_PRODAJA!H:H,MATCH($A93,PODACI_PRODAJA!$A:$A,0)),0)</f>
        <v>1</v>
      </c>
      <c r="Z93" s="23" t="n">
        <f aca="false">IFERROR(INDEX(PODACI_PRODAJA!I:I,MATCH($A93,PODACI_PRODAJA!$A:$A,0)),0)</f>
        <v>1</v>
      </c>
      <c r="AA93" s="23" t="n">
        <f aca="false">IFERROR(INDEX(PODACI_PRODAJA!J:J,MATCH($A93,PODACI_PRODAJA!$A:$A,0)),0)</f>
        <v>0</v>
      </c>
      <c r="AB93" s="23" t="n">
        <f aca="false">IFERROR(INDEX(PODACI_PRODAJA!K:K,MATCH($A93,PODACI_PRODAJA!$A:$A,0)),0)</f>
        <v>0</v>
      </c>
      <c r="AC93" s="23" t="n">
        <f aca="false">IFERROR(INDEX(PODACI_PRODAJA!L:L,MATCH($A93,PODACI_PRODAJA!$A:$A,0)),0)</f>
        <v>0</v>
      </c>
      <c r="AD93" s="23" t="n">
        <f aca="false">IFERROR(INDEX(PODACI_PRODAJA!M:M,MATCH($A93,PODACI_PRODAJA!$A:$A,0)),0)</f>
        <v>0</v>
      </c>
    </row>
    <row r="94" customFormat="false" ht="15" hidden="false" customHeight="false" outlineLevel="0" collapsed="false">
      <c r="A94" s="11" t="str">
        <f aca="false">PODACI_ZALIHE!A91</f>
        <v>17214</v>
      </c>
      <c r="B94" s="8" t="str">
        <f aca="false">PODACI_ZALIHE!B91</f>
        <v>IMOLA BIJELA MIJEŠALICA ZA KADU</v>
      </c>
      <c r="C94" s="9" t="n">
        <f aca="false">PODACI_ZALIHE!C91</f>
        <v>0</v>
      </c>
      <c r="D94" s="8" t="n">
        <f aca="false">PODACI_ZALIHE!D91</f>
        <v>0</v>
      </c>
      <c r="E94" s="19" t="n">
        <f aca="false">IF(PODACI_ZALIHE!E91="","",PODACI_ZALIHE!E91)</f>
        <v>84</v>
      </c>
      <c r="F94" s="20" t="n">
        <f aca="false">PODACI_ZALIHE!F91</f>
        <v>84</v>
      </c>
      <c r="G94" s="19" t="n">
        <f aca="false">IF(E94="","",E94-F94)</f>
        <v>0</v>
      </c>
      <c r="H94" s="9" t="n">
        <f aca="false">PODACI_PRODAJA!N269</f>
        <v>0.25</v>
      </c>
      <c r="I94" s="21" t="n">
        <f aca="false">IF(H94&lt;=0,999,ROUND(F94/H94,1))</f>
        <v>336</v>
      </c>
      <c r="J94" s="9" t="n">
        <f aca="false">SUMIFS(ROBA_U_DOLASKU!$C$6:$C$95,ROBA_U_DOLASKU!$A$6:$A$95,A94,ROBA_U_DOLASKU!$H$6:$H$95,1)</f>
        <v>0</v>
      </c>
      <c r="K94" s="9" t="n">
        <f aca="false">SUMIFS(ROBA_U_DOLASKU!$B$6:$B$95,ROBA_U_DOLASKU!$A$6:$A$95,A94,ROBA_U_DOLASKU!$H$6:$H$95,1)</f>
        <v>0</v>
      </c>
      <c r="L94" s="9" t="n">
        <f aca="false">SUMIFS(ROBA_U_DOLASKU!$C$6:$C$95,ROBA_U_DOLASKU!$A$6:$A$95,A94,ROBA_U_DOLASKU!$H$6:$H$95,2)</f>
        <v>0</v>
      </c>
      <c r="M94" s="9" t="n">
        <f aca="false">SUMIFS(ROBA_U_DOLASKU!$B$6:$B$95,ROBA_U_DOLASKU!$A$6:$A$95,A94,ROBA_U_DOLASKU!$H$6:$H$95,2)</f>
        <v>0</v>
      </c>
      <c r="N94" s="9" t="n">
        <f aca="false">SUMIFS(ROBA_U_DOLASKU!$C$6:$C$95,ROBA_U_DOLASKU!$A$6:$A$95,A94,ROBA_U_DOLASKU!$H$6:$H$95,3)</f>
        <v>0</v>
      </c>
      <c r="O94" s="9" t="n">
        <f aca="false">SUMIFS(ROBA_U_DOLASKU!$B$6:$B$95,ROBA_U_DOLASKU!$A$6:$A$95,A94,ROBA_U_DOLASKU!$H$6:$H$95,3)</f>
        <v>0</v>
      </c>
      <c r="P94" s="9" t="n">
        <f aca="false">IF(H94&lt;=0,999,IF(O94&gt;0,ROUND((F94-H94*N94+K94+M94+O94)/H94,1),IF(M94&gt;0,ROUND((F94-H94*L94+K94+M94)/H94,1),IF(K94&gt;0,ROUND((F94-H94*J94+K94)/H94,1),I94))))</f>
        <v>336</v>
      </c>
      <c r="Q94" s="22" t="str">
        <f aca="false">IF(H94&lt;=0,"Nema prodaje",IF(AND(K94=0,M94=0,O94=0),IF(I94&lt;POSTAVKE!$B$6,"Naruči odmah","Sve u redu"),IF(F94-H94*J94&lt;0,"Rupa za ~"&amp;TEXT(I94,"0.0")&amp;" mj.",IF(AND(M94&gt;0,F94-H94*L94+K94&lt;0),"Rupa nakon 1. dolaska",IF(AND(O94&gt;0,F94-H94*N94+K94+M94&lt;0),"Rupa nakon 2. dolaska",IF(P94&lt;POSTAVKE!$B$6,"Količina nije dovoljna",IF(I94&gt;=POSTAVKE!$B$6,"Sve u redu","Stiže na vrijeme")))))))</f>
        <v>Sve u redu</v>
      </c>
      <c r="S94" s="23" t="n">
        <f aca="false">IFERROR(INDEX(PODACI_PRODAJA!B:B,MATCH($A94,PODACI_PRODAJA!$A:$A,0)),0)</f>
        <v>1</v>
      </c>
      <c r="T94" s="23" t="n">
        <f aca="false">IFERROR(INDEX(PODACI_PRODAJA!C:C,MATCH($A94,PODACI_PRODAJA!$A:$A,0)),0)</f>
        <v>0</v>
      </c>
      <c r="U94" s="23" t="n">
        <f aca="false">IFERROR(INDEX(PODACI_PRODAJA!D:D,MATCH($A94,PODACI_PRODAJA!$A:$A,0)),0)</f>
        <v>0</v>
      </c>
      <c r="V94" s="23" t="n">
        <f aca="false">IFERROR(INDEX(PODACI_PRODAJA!E:E,MATCH($A94,PODACI_PRODAJA!$A:$A,0)),0)</f>
        <v>0</v>
      </c>
      <c r="W94" s="23" t="n">
        <f aca="false">IFERROR(INDEX(PODACI_PRODAJA!F:F,MATCH($A94,PODACI_PRODAJA!$A:$A,0)),0)</f>
        <v>0</v>
      </c>
      <c r="X94" s="23" t="n">
        <f aca="false">IFERROR(INDEX(PODACI_PRODAJA!G:G,MATCH($A94,PODACI_PRODAJA!$A:$A,0)),0)</f>
        <v>1</v>
      </c>
      <c r="Y94" s="23" t="n">
        <f aca="false">IFERROR(INDEX(PODACI_PRODAJA!H:H,MATCH($A94,PODACI_PRODAJA!$A:$A,0)),0)</f>
        <v>0</v>
      </c>
      <c r="Z94" s="23" t="n">
        <f aca="false">IFERROR(INDEX(PODACI_PRODAJA!I:I,MATCH($A94,PODACI_PRODAJA!$A:$A,0)),0)</f>
        <v>0</v>
      </c>
      <c r="AA94" s="23" t="n">
        <f aca="false">IFERROR(INDEX(PODACI_PRODAJA!J:J,MATCH($A94,PODACI_PRODAJA!$A:$A,0)),0)</f>
        <v>0</v>
      </c>
      <c r="AB94" s="23" t="n">
        <f aca="false">IFERROR(INDEX(PODACI_PRODAJA!K:K,MATCH($A94,PODACI_PRODAJA!$A:$A,0)),0)</f>
        <v>0</v>
      </c>
      <c r="AC94" s="23" t="n">
        <f aca="false">IFERROR(INDEX(PODACI_PRODAJA!L:L,MATCH($A94,PODACI_PRODAJA!$A:$A,0)),0)</f>
        <v>0</v>
      </c>
      <c r="AD94" s="23" t="n">
        <f aca="false">IFERROR(INDEX(PODACI_PRODAJA!M:M,MATCH($A94,PODACI_PRODAJA!$A:$A,0)),0)</f>
        <v>0</v>
      </c>
    </row>
    <row r="95" customFormat="false" ht="15" hidden="false" customHeight="false" outlineLevel="0" collapsed="false">
      <c r="A95" s="11" t="str">
        <f aca="false">PODACI_ZALIHE!A92</f>
        <v>002504</v>
      </c>
      <c r="B95" s="8" t="str">
        <f aca="false">PODACI_ZALIHE!B92</f>
        <v>ČEPASTA GUMA MONDO 2899</v>
      </c>
      <c r="C95" s="9" t="str">
        <f aca="false">PODACI_ZALIHE!C92</f>
        <v>1181</v>
      </c>
      <c r="D95" s="8" t="str">
        <f aca="false">PODACI_ZALIHE!D92</f>
        <v>PRIALPAS</v>
      </c>
      <c r="E95" s="19" t="n">
        <f aca="false">IF(PODACI_ZALIHE!E92="","",PODACI_ZALIHE!E92)</f>
        <v>82.5</v>
      </c>
      <c r="F95" s="20" t="n">
        <f aca="false">PODACI_ZALIHE!F92</f>
        <v>82.5</v>
      </c>
      <c r="G95" s="19" t="n">
        <f aca="false">IF(E95="","",E95-F95)</f>
        <v>0</v>
      </c>
      <c r="H95" s="9" t="n">
        <v>0</v>
      </c>
      <c r="I95" s="21" t="n">
        <f aca="false">IF(H95&lt;=0,999,ROUND(F95/H95,1))</f>
        <v>999</v>
      </c>
      <c r="J95" s="9" t="n">
        <f aca="false">SUMIFS(ROBA_U_DOLASKU!$C$6:$C$95,ROBA_U_DOLASKU!$A$6:$A$95,A95,ROBA_U_DOLASKU!$H$6:$H$95,1)</f>
        <v>0</v>
      </c>
      <c r="K95" s="9" t="n">
        <f aca="false">SUMIFS(ROBA_U_DOLASKU!$B$6:$B$95,ROBA_U_DOLASKU!$A$6:$A$95,A95,ROBA_U_DOLASKU!$H$6:$H$95,1)</f>
        <v>0</v>
      </c>
      <c r="L95" s="9" t="n">
        <f aca="false">SUMIFS(ROBA_U_DOLASKU!$C$6:$C$95,ROBA_U_DOLASKU!$A$6:$A$95,A95,ROBA_U_DOLASKU!$H$6:$H$95,2)</f>
        <v>0</v>
      </c>
      <c r="M95" s="9" t="n">
        <f aca="false">SUMIFS(ROBA_U_DOLASKU!$B$6:$B$95,ROBA_U_DOLASKU!$A$6:$A$95,A95,ROBA_U_DOLASKU!$H$6:$H$95,2)</f>
        <v>0</v>
      </c>
      <c r="N95" s="9" t="n">
        <f aca="false">SUMIFS(ROBA_U_DOLASKU!$C$6:$C$95,ROBA_U_DOLASKU!$A$6:$A$95,A95,ROBA_U_DOLASKU!$H$6:$H$95,3)</f>
        <v>0</v>
      </c>
      <c r="O95" s="9" t="n">
        <f aca="false">SUMIFS(ROBA_U_DOLASKU!$B$6:$B$95,ROBA_U_DOLASKU!$A$6:$A$95,A95,ROBA_U_DOLASKU!$H$6:$H$95,3)</f>
        <v>0</v>
      </c>
      <c r="P95" s="9" t="n">
        <f aca="false">IF(H95&lt;=0,999,IF(O95&gt;0,ROUND((F95-H95*N95+K95+M95+O95)/H95,1),IF(M95&gt;0,ROUND((F95-H95*L95+K95+M95)/H95,1),IF(K95&gt;0,ROUND((F95-H95*J95+K95)/H95,1),I95))))</f>
        <v>999</v>
      </c>
      <c r="Q95" s="22" t="str">
        <f aca="false">IF(H95&lt;=0,"Nema prodaje",IF(AND(K95=0,M95=0,O95=0),IF(I95&lt;POSTAVKE!$B$6,"Naruči odmah","Sve u redu"),IF(F95-H95*J95&lt;0,"Rupa za ~"&amp;TEXT(I95,"0.0")&amp;" mj.",IF(AND(M95&gt;0,F95-H95*L95+K95&lt;0),"Rupa nakon 1. dolaska",IF(AND(O95&gt;0,F95-H95*N95+K95+M95&lt;0),"Rupa nakon 2. dolaska",IF(P95&lt;POSTAVKE!$B$6,"Količina nije dovoljna",IF(I95&gt;=POSTAVKE!$B$6,"Sve u redu","Stiže na vrijeme")))))))</f>
        <v>Nema prodaje</v>
      </c>
      <c r="S95" s="23" t="n">
        <f aca="false">IFERROR(INDEX(PODACI_PRODAJA!B:B,MATCH($A95,PODACI_PRODAJA!$A:$A,0)),0)</f>
        <v>0</v>
      </c>
      <c r="T95" s="23" t="n">
        <f aca="false">IFERROR(INDEX(PODACI_PRODAJA!C:C,MATCH($A95,PODACI_PRODAJA!$A:$A,0)),0)</f>
        <v>0</v>
      </c>
      <c r="U95" s="23" t="n">
        <f aca="false">IFERROR(INDEX(PODACI_PRODAJA!D:D,MATCH($A95,PODACI_PRODAJA!$A:$A,0)),0)</f>
        <v>0</v>
      </c>
      <c r="V95" s="23" t="n">
        <f aca="false">IFERROR(INDEX(PODACI_PRODAJA!E:E,MATCH($A95,PODACI_PRODAJA!$A:$A,0)),0)</f>
        <v>0</v>
      </c>
      <c r="W95" s="23" t="n">
        <f aca="false">IFERROR(INDEX(PODACI_PRODAJA!F:F,MATCH($A95,PODACI_PRODAJA!$A:$A,0)),0)</f>
        <v>0</v>
      </c>
      <c r="X95" s="23" t="n">
        <f aca="false">IFERROR(INDEX(PODACI_PRODAJA!G:G,MATCH($A95,PODACI_PRODAJA!$A:$A,0)),0)</f>
        <v>0</v>
      </c>
      <c r="Y95" s="23" t="n">
        <f aca="false">IFERROR(INDEX(PODACI_PRODAJA!H:H,MATCH($A95,PODACI_PRODAJA!$A:$A,0)),0)</f>
        <v>0</v>
      </c>
      <c r="Z95" s="23" t="n">
        <f aca="false">IFERROR(INDEX(PODACI_PRODAJA!I:I,MATCH($A95,PODACI_PRODAJA!$A:$A,0)),0)</f>
        <v>0</v>
      </c>
      <c r="AA95" s="23" t="n">
        <f aca="false">IFERROR(INDEX(PODACI_PRODAJA!J:J,MATCH($A95,PODACI_PRODAJA!$A:$A,0)),0)</f>
        <v>0</v>
      </c>
      <c r="AB95" s="23" t="n">
        <f aca="false">IFERROR(INDEX(PODACI_PRODAJA!K:K,MATCH($A95,PODACI_PRODAJA!$A:$A,0)),0)</f>
        <v>0</v>
      </c>
      <c r="AC95" s="23" t="n">
        <f aca="false">IFERROR(INDEX(PODACI_PRODAJA!L:L,MATCH($A95,PODACI_PRODAJA!$A:$A,0)),0)</f>
        <v>0</v>
      </c>
      <c r="AD95" s="23" t="n">
        <f aca="false">IFERROR(INDEX(PODACI_PRODAJA!M:M,MATCH($A95,PODACI_PRODAJA!$A:$A,0)),0)</f>
        <v>0</v>
      </c>
    </row>
    <row r="96" customFormat="false" ht="15" hidden="false" customHeight="false" outlineLevel="0" collapsed="false">
      <c r="A96" s="11" t="str">
        <f aca="false">PODACI_ZALIHE!A93</f>
        <v>002338</v>
      </c>
      <c r="B96" s="8" t="str">
        <f aca="false">PODACI_ZALIHE!B93</f>
        <v>ESSEN MIJEŠALICA ZA SUDOPER H 29 cm</v>
      </c>
      <c r="C96" s="9" t="str">
        <f aca="false">PODACI_ZALIHE!C93</f>
        <v>6022</v>
      </c>
      <c r="D96" s="8" t="str">
        <f aca="false">PODACI_ZALIHE!D93</f>
        <v>RUIAN HAIBA SANITARY CO.,LTD</v>
      </c>
      <c r="E96" s="19" t="n">
        <f aca="false">IF(PODACI_ZALIHE!E93="","",PODACI_ZALIHE!E93)</f>
        <v>82</v>
      </c>
      <c r="F96" s="20" t="n">
        <f aca="false">PODACI_ZALIHE!F93</f>
        <v>82</v>
      </c>
      <c r="G96" s="19" t="n">
        <f aca="false">IF(E96="","",E96-F96)</f>
        <v>0</v>
      </c>
      <c r="H96" s="9" t="n">
        <f aca="false">PODACI_PRODAJA!N355</f>
        <v>1.38</v>
      </c>
      <c r="I96" s="21" t="n">
        <f aca="false">IF(H96&lt;=0,999,ROUND(F96/H96,1))</f>
        <v>59.4</v>
      </c>
      <c r="J96" s="9" t="n">
        <f aca="false">SUMIFS(ROBA_U_DOLASKU!$C$6:$C$95,ROBA_U_DOLASKU!$A$6:$A$95,A96,ROBA_U_DOLASKU!$H$6:$H$95,1)</f>
        <v>0</v>
      </c>
      <c r="K96" s="9" t="n">
        <f aca="false">SUMIFS(ROBA_U_DOLASKU!$B$6:$B$95,ROBA_U_DOLASKU!$A$6:$A$95,A96,ROBA_U_DOLASKU!$H$6:$H$95,1)</f>
        <v>0</v>
      </c>
      <c r="L96" s="9" t="n">
        <f aca="false">SUMIFS(ROBA_U_DOLASKU!$C$6:$C$95,ROBA_U_DOLASKU!$A$6:$A$95,A96,ROBA_U_DOLASKU!$H$6:$H$95,2)</f>
        <v>0</v>
      </c>
      <c r="M96" s="9" t="n">
        <f aca="false">SUMIFS(ROBA_U_DOLASKU!$B$6:$B$95,ROBA_U_DOLASKU!$A$6:$A$95,A96,ROBA_U_DOLASKU!$H$6:$H$95,2)</f>
        <v>0</v>
      </c>
      <c r="N96" s="9" t="n">
        <f aca="false">SUMIFS(ROBA_U_DOLASKU!$C$6:$C$95,ROBA_U_DOLASKU!$A$6:$A$95,A96,ROBA_U_DOLASKU!$H$6:$H$95,3)</f>
        <v>0</v>
      </c>
      <c r="O96" s="9" t="n">
        <f aca="false">SUMIFS(ROBA_U_DOLASKU!$B$6:$B$95,ROBA_U_DOLASKU!$A$6:$A$95,A96,ROBA_U_DOLASKU!$H$6:$H$95,3)</f>
        <v>0</v>
      </c>
      <c r="P96" s="9" t="n">
        <f aca="false">IF(H96&lt;=0,999,IF(O96&gt;0,ROUND((F96-H96*N96+K96+M96+O96)/H96,1),IF(M96&gt;0,ROUND((F96-H96*L96+K96+M96)/H96,1),IF(K96&gt;0,ROUND((F96-H96*J96+K96)/H96,1),I96))))</f>
        <v>59.4</v>
      </c>
      <c r="Q96" s="22" t="str">
        <f aca="false">IF(H96&lt;=0,"Nema prodaje",IF(AND(K96=0,M96=0,O96=0),IF(I96&lt;POSTAVKE!$B$6,"Naruči odmah","Sve u redu"),IF(F96-H96*J96&lt;0,"Rupa za ~"&amp;TEXT(I96,"0.0")&amp;" mj.",IF(AND(M96&gt;0,F96-H96*L96+K96&lt;0),"Rupa nakon 1. dolaska",IF(AND(O96&gt;0,F96-H96*N96+K96+M96&lt;0),"Rupa nakon 2. dolaska",IF(P96&lt;POSTAVKE!$B$6,"Količina nije dovoljna",IF(I96&gt;=POSTAVKE!$B$6,"Sve u redu","Stiže na vrijeme")))))))</f>
        <v>Sve u redu</v>
      </c>
      <c r="S96" s="23" t="n">
        <f aca="false">IFERROR(INDEX(PODACI_PRODAJA!B:B,MATCH($A96,PODACI_PRODAJA!$A:$A,0)),0)</f>
        <v>0</v>
      </c>
      <c r="T96" s="23" t="n">
        <f aca="false">IFERROR(INDEX(PODACI_PRODAJA!C:C,MATCH($A96,PODACI_PRODAJA!$A:$A,0)),0)</f>
        <v>3</v>
      </c>
      <c r="U96" s="23" t="n">
        <f aca="false">IFERROR(INDEX(PODACI_PRODAJA!D:D,MATCH($A96,PODACI_PRODAJA!$A:$A,0)),0)</f>
        <v>0</v>
      </c>
      <c r="V96" s="23" t="n">
        <f aca="false">IFERROR(INDEX(PODACI_PRODAJA!E:E,MATCH($A96,PODACI_PRODAJA!$A:$A,0)),0)</f>
        <v>2</v>
      </c>
      <c r="W96" s="23" t="n">
        <f aca="false">IFERROR(INDEX(PODACI_PRODAJA!F:F,MATCH($A96,PODACI_PRODAJA!$A:$A,0)),0)</f>
        <v>0</v>
      </c>
      <c r="X96" s="23" t="n">
        <f aca="false">IFERROR(INDEX(PODACI_PRODAJA!G:G,MATCH($A96,PODACI_PRODAJA!$A:$A,0)),0)</f>
        <v>5</v>
      </c>
      <c r="Y96" s="23" t="n">
        <f aca="false">IFERROR(INDEX(PODACI_PRODAJA!H:H,MATCH($A96,PODACI_PRODAJA!$A:$A,0)),0)</f>
        <v>1</v>
      </c>
      <c r="Z96" s="23" t="n">
        <f aca="false">IFERROR(INDEX(PODACI_PRODAJA!I:I,MATCH($A96,PODACI_PRODAJA!$A:$A,0)),0)</f>
        <v>0</v>
      </c>
      <c r="AA96" s="23" t="n">
        <f aca="false">IFERROR(INDEX(PODACI_PRODAJA!J:J,MATCH($A96,PODACI_PRODAJA!$A:$A,0)),0)</f>
        <v>0</v>
      </c>
      <c r="AB96" s="23" t="n">
        <f aca="false">IFERROR(INDEX(PODACI_PRODAJA!K:K,MATCH($A96,PODACI_PRODAJA!$A:$A,0)),0)</f>
        <v>0</v>
      </c>
      <c r="AC96" s="23" t="n">
        <f aca="false">IFERROR(INDEX(PODACI_PRODAJA!L:L,MATCH($A96,PODACI_PRODAJA!$A:$A,0)),0)</f>
        <v>0</v>
      </c>
      <c r="AD96" s="23" t="n">
        <f aca="false">IFERROR(INDEX(PODACI_PRODAJA!M:M,MATCH($A96,PODACI_PRODAJA!$A:$A,0)),0)</f>
        <v>0</v>
      </c>
    </row>
    <row r="97" customFormat="false" ht="15" hidden="false" customHeight="false" outlineLevel="0" collapsed="false">
      <c r="A97" s="11" t="str">
        <f aca="false">PODACI_ZALIHE!A94</f>
        <v>16934</v>
      </c>
      <c r="B97" s="8" t="str">
        <f aca="false">PODACI_ZALIHE!B94</f>
        <v>FRAME OVAL B5080 OGLEDALO S LED RASVJETOM 50x80 cm</v>
      </c>
      <c r="C97" s="9" t="str">
        <f aca="false">PODACI_ZALIHE!C94</f>
        <v>6032</v>
      </c>
      <c r="D97" s="8" t="str">
        <f aca="false">PODACI_ZALIHE!D94</f>
        <v>HANGZHOU ZIHAN MIRROR INDUSTRY CO., LTD.</v>
      </c>
      <c r="E97" s="19" t="n">
        <f aca="false">IF(PODACI_ZALIHE!E94="","",PODACI_ZALIHE!E94)</f>
        <v>87</v>
      </c>
      <c r="F97" s="20" t="n">
        <f aca="false">PODACI_ZALIHE!F94</f>
        <v>81</v>
      </c>
      <c r="G97" s="19" t="n">
        <f aca="false">IF(E97="","",E97-F97)</f>
        <v>6</v>
      </c>
      <c r="H97" s="9" t="n">
        <f aca="false">PODACI_PRODAJA!N59</f>
        <v>10.13</v>
      </c>
      <c r="I97" s="21" t="n">
        <f aca="false">IF(H97&lt;=0,999,ROUND(F97/H97,1))</f>
        <v>8</v>
      </c>
      <c r="J97" s="9" t="n">
        <f aca="false">SUMIFS(ROBA_U_DOLASKU!$C$6:$C$95,ROBA_U_DOLASKU!$A$6:$A$95,A97,ROBA_U_DOLASKU!$H$6:$H$95,1)</f>
        <v>0</v>
      </c>
      <c r="K97" s="9" t="n">
        <f aca="false">SUMIFS(ROBA_U_DOLASKU!$B$6:$B$95,ROBA_U_DOLASKU!$A$6:$A$95,A97,ROBA_U_DOLASKU!$H$6:$H$95,1)</f>
        <v>0</v>
      </c>
      <c r="L97" s="9" t="n">
        <f aca="false">SUMIFS(ROBA_U_DOLASKU!$C$6:$C$95,ROBA_U_DOLASKU!$A$6:$A$95,A97,ROBA_U_DOLASKU!$H$6:$H$95,2)</f>
        <v>0</v>
      </c>
      <c r="M97" s="9" t="n">
        <f aca="false">SUMIFS(ROBA_U_DOLASKU!$B$6:$B$95,ROBA_U_DOLASKU!$A$6:$A$95,A97,ROBA_U_DOLASKU!$H$6:$H$95,2)</f>
        <v>0</v>
      </c>
      <c r="N97" s="9" t="n">
        <f aca="false">SUMIFS(ROBA_U_DOLASKU!$C$6:$C$95,ROBA_U_DOLASKU!$A$6:$A$95,A97,ROBA_U_DOLASKU!$H$6:$H$95,3)</f>
        <v>0</v>
      </c>
      <c r="O97" s="9" t="n">
        <f aca="false">SUMIFS(ROBA_U_DOLASKU!$B$6:$B$95,ROBA_U_DOLASKU!$A$6:$A$95,A97,ROBA_U_DOLASKU!$H$6:$H$95,3)</f>
        <v>0</v>
      </c>
      <c r="P97" s="9" t="n">
        <f aca="false">IF(H97&lt;=0,999,IF(O97&gt;0,ROUND((F97-H97*N97+K97+M97+O97)/H97,1),IF(M97&gt;0,ROUND((F97-H97*L97+K97+M97)/H97,1),IF(K97&gt;0,ROUND((F97-H97*J97+K97)/H97,1),I97))))</f>
        <v>8</v>
      </c>
      <c r="Q97" s="22" t="str">
        <f aca="false">IF(H97&lt;=0,"Nema prodaje",IF(AND(K97=0,M97=0,O97=0),IF(I97&lt;POSTAVKE!$B$6,"Naruči odmah","Sve u redu"),IF(F97-H97*J97&lt;0,"Rupa za ~"&amp;TEXT(I97,"0.0")&amp;" mj.",IF(AND(M97&gt;0,F97-H97*L97+K97&lt;0),"Rupa nakon 1. dolaska",IF(AND(O97&gt;0,F97-H97*N97+K97+M97&lt;0),"Rupa nakon 2. dolaska",IF(P97&lt;POSTAVKE!$B$6,"Količina nije dovoljna",IF(I97&gt;=POSTAVKE!$B$6,"Sve u redu","Stiže na vrijeme")))))))</f>
        <v>Sve u redu</v>
      </c>
      <c r="S97" s="23" t="n">
        <f aca="false">IFERROR(INDEX(PODACI_PRODAJA!B:B,MATCH($A97,PODACI_PRODAJA!$A:$A,0)),0)</f>
        <v>14</v>
      </c>
      <c r="T97" s="23" t="n">
        <f aca="false">IFERROR(INDEX(PODACI_PRODAJA!C:C,MATCH($A97,PODACI_PRODAJA!$A:$A,0)),0)</f>
        <v>2</v>
      </c>
      <c r="U97" s="23" t="n">
        <f aca="false">IFERROR(INDEX(PODACI_PRODAJA!D:D,MATCH($A97,PODACI_PRODAJA!$A:$A,0)),0)</f>
        <v>17</v>
      </c>
      <c r="V97" s="23" t="n">
        <f aca="false">IFERROR(INDEX(PODACI_PRODAJA!E:E,MATCH($A97,PODACI_PRODAJA!$A:$A,0)),0)</f>
        <v>19</v>
      </c>
      <c r="W97" s="23" t="n">
        <f aca="false">IFERROR(INDEX(PODACI_PRODAJA!F:F,MATCH($A97,PODACI_PRODAJA!$A:$A,0)),0)</f>
        <v>13</v>
      </c>
      <c r="X97" s="23" t="n">
        <f aca="false">IFERROR(INDEX(PODACI_PRODAJA!G:G,MATCH($A97,PODACI_PRODAJA!$A:$A,0)),0)</f>
        <v>1</v>
      </c>
      <c r="Y97" s="23" t="n">
        <f aca="false">IFERROR(INDEX(PODACI_PRODAJA!H:H,MATCH($A97,PODACI_PRODAJA!$A:$A,0)),0)</f>
        <v>12</v>
      </c>
      <c r="Z97" s="23" t="n">
        <f aca="false">IFERROR(INDEX(PODACI_PRODAJA!I:I,MATCH($A97,PODACI_PRODAJA!$A:$A,0)),0)</f>
        <v>3</v>
      </c>
      <c r="AA97" s="23" t="n">
        <f aca="false">IFERROR(INDEX(PODACI_PRODAJA!J:J,MATCH($A97,PODACI_PRODAJA!$A:$A,0)),0)</f>
        <v>5</v>
      </c>
      <c r="AB97" s="23" t="n">
        <f aca="false">IFERROR(INDEX(PODACI_PRODAJA!K:K,MATCH($A97,PODACI_PRODAJA!$A:$A,0)),0)</f>
        <v>0</v>
      </c>
      <c r="AC97" s="23" t="n">
        <f aca="false">IFERROR(INDEX(PODACI_PRODAJA!L:L,MATCH($A97,PODACI_PRODAJA!$A:$A,0)),0)</f>
        <v>0</v>
      </c>
      <c r="AD97" s="23" t="n">
        <f aca="false">IFERROR(INDEX(PODACI_PRODAJA!M:M,MATCH($A97,PODACI_PRODAJA!$A:$A,0)),0)</f>
        <v>0</v>
      </c>
    </row>
    <row r="98" customFormat="false" ht="15" hidden="false" customHeight="false" outlineLevel="0" collapsed="false">
      <c r="A98" s="11" t="str">
        <f aca="false">PODACI_ZALIHE!A95</f>
        <v>16781</v>
      </c>
      <c r="B98" s="8" t="str">
        <f aca="false">PODACI_ZALIHE!B95</f>
        <v>TK BRIGHT 90 POLUKRUŽNA TUŠ KABINA 90x90x180 cm</v>
      </c>
      <c r="C98" s="9" t="str">
        <f aca="false">PODACI_ZALIHE!C95</f>
        <v>6163</v>
      </c>
      <c r="D98" s="8" t="str">
        <f aca="false">PODACI_ZALIHE!D95</f>
        <v>HANGZHOU TIANMEI INDUSTRY CO.,LTD</v>
      </c>
      <c r="E98" s="19" t="n">
        <f aca="false">IF(PODACI_ZALIHE!E95="","",PODACI_ZALIHE!E95)</f>
        <v>91</v>
      </c>
      <c r="F98" s="20" t="n">
        <f aca="false">PODACI_ZALIHE!F95</f>
        <v>80</v>
      </c>
      <c r="G98" s="19" t="n">
        <f aca="false">IF(E98="","",E98-F98)</f>
        <v>11</v>
      </c>
      <c r="H98" s="9" t="n">
        <f aca="false">PODACI_PRODAJA!N200</f>
        <v>1.88</v>
      </c>
      <c r="I98" s="21" t="n">
        <f aca="false">IF(H98&lt;=0,999,ROUND(F98/H98,1))</f>
        <v>42.6</v>
      </c>
      <c r="J98" s="9" t="n">
        <f aca="false">SUMIFS(ROBA_U_DOLASKU!$C$6:$C$95,ROBA_U_DOLASKU!$A$6:$A$95,A98,ROBA_U_DOLASKU!$H$6:$H$95,1)</f>
        <v>0</v>
      </c>
      <c r="K98" s="9" t="n">
        <f aca="false">SUMIFS(ROBA_U_DOLASKU!$B$6:$B$95,ROBA_U_DOLASKU!$A$6:$A$95,A98,ROBA_U_DOLASKU!$H$6:$H$95,1)</f>
        <v>0</v>
      </c>
      <c r="L98" s="9" t="n">
        <f aca="false">SUMIFS(ROBA_U_DOLASKU!$C$6:$C$95,ROBA_U_DOLASKU!$A$6:$A$95,A98,ROBA_U_DOLASKU!$H$6:$H$95,2)</f>
        <v>0</v>
      </c>
      <c r="M98" s="9" t="n">
        <f aca="false">SUMIFS(ROBA_U_DOLASKU!$B$6:$B$95,ROBA_U_DOLASKU!$A$6:$A$95,A98,ROBA_U_DOLASKU!$H$6:$H$95,2)</f>
        <v>0</v>
      </c>
      <c r="N98" s="9" t="n">
        <f aca="false">SUMIFS(ROBA_U_DOLASKU!$C$6:$C$95,ROBA_U_DOLASKU!$A$6:$A$95,A98,ROBA_U_DOLASKU!$H$6:$H$95,3)</f>
        <v>0</v>
      </c>
      <c r="O98" s="9" t="n">
        <f aca="false">SUMIFS(ROBA_U_DOLASKU!$B$6:$B$95,ROBA_U_DOLASKU!$A$6:$A$95,A98,ROBA_U_DOLASKU!$H$6:$H$95,3)</f>
        <v>0</v>
      </c>
      <c r="P98" s="9" t="n">
        <f aca="false">IF(H98&lt;=0,999,IF(O98&gt;0,ROUND((F98-H98*N98+K98+M98+O98)/H98,1),IF(M98&gt;0,ROUND((F98-H98*L98+K98+M98)/H98,1),IF(K98&gt;0,ROUND((F98-H98*J98+K98)/H98,1),I98))))</f>
        <v>42.6</v>
      </c>
      <c r="Q98" s="22" t="str">
        <f aca="false">IF(H98&lt;=0,"Nema prodaje",IF(AND(K98=0,M98=0,O98=0),IF(I98&lt;POSTAVKE!$B$6,"Naruči odmah","Sve u redu"),IF(F98-H98*J98&lt;0,"Rupa za ~"&amp;TEXT(I98,"0.0")&amp;" mj.",IF(AND(M98&gt;0,F98-H98*L98+K98&lt;0),"Rupa nakon 1. dolaska",IF(AND(O98&gt;0,F98-H98*N98+K98+M98&lt;0),"Rupa nakon 2. dolaska",IF(P98&lt;POSTAVKE!$B$6,"Količina nije dovoljna",IF(I98&gt;=POSTAVKE!$B$6,"Sve u redu","Stiže na vrijeme")))))))</f>
        <v>Sve u redu</v>
      </c>
      <c r="S98" s="23" t="n">
        <f aca="false">IFERROR(INDEX(PODACI_PRODAJA!B:B,MATCH($A98,PODACI_PRODAJA!$A:$A,0)),0)</f>
        <v>2</v>
      </c>
      <c r="T98" s="23" t="n">
        <f aca="false">IFERROR(INDEX(PODACI_PRODAJA!C:C,MATCH($A98,PODACI_PRODAJA!$A:$A,0)),0)</f>
        <v>2</v>
      </c>
      <c r="U98" s="23" t="n">
        <f aca="false">IFERROR(INDEX(PODACI_PRODAJA!D:D,MATCH($A98,PODACI_PRODAJA!$A:$A,0)),0)</f>
        <v>2</v>
      </c>
      <c r="V98" s="23" t="n">
        <f aca="false">IFERROR(INDEX(PODACI_PRODAJA!E:E,MATCH($A98,PODACI_PRODAJA!$A:$A,0)),0)</f>
        <v>2</v>
      </c>
      <c r="W98" s="23" t="n">
        <f aca="false">IFERROR(INDEX(PODACI_PRODAJA!F:F,MATCH($A98,PODACI_PRODAJA!$A:$A,0)),0)</f>
        <v>0</v>
      </c>
      <c r="X98" s="23" t="n">
        <f aca="false">IFERROR(INDEX(PODACI_PRODAJA!G:G,MATCH($A98,PODACI_PRODAJA!$A:$A,0)),0)</f>
        <v>1</v>
      </c>
      <c r="Y98" s="23" t="n">
        <f aca="false">IFERROR(INDEX(PODACI_PRODAJA!H:H,MATCH($A98,PODACI_PRODAJA!$A:$A,0)),0)</f>
        <v>5</v>
      </c>
      <c r="Z98" s="23" t="n">
        <f aca="false">IFERROR(INDEX(PODACI_PRODAJA!I:I,MATCH($A98,PODACI_PRODAJA!$A:$A,0)),0)</f>
        <v>1</v>
      </c>
      <c r="AA98" s="23" t="n">
        <f aca="false">IFERROR(INDEX(PODACI_PRODAJA!J:J,MATCH($A98,PODACI_PRODAJA!$A:$A,0)),0)</f>
        <v>0</v>
      </c>
      <c r="AB98" s="23" t="n">
        <f aca="false">IFERROR(INDEX(PODACI_PRODAJA!K:K,MATCH($A98,PODACI_PRODAJA!$A:$A,0)),0)</f>
        <v>0</v>
      </c>
      <c r="AC98" s="23" t="n">
        <f aca="false">IFERROR(INDEX(PODACI_PRODAJA!L:L,MATCH($A98,PODACI_PRODAJA!$A:$A,0)),0)</f>
        <v>0</v>
      </c>
      <c r="AD98" s="23" t="n">
        <f aca="false">IFERROR(INDEX(PODACI_PRODAJA!M:M,MATCH($A98,PODACI_PRODAJA!$A:$A,0)),0)</f>
        <v>0</v>
      </c>
    </row>
    <row r="99" customFormat="false" ht="15" hidden="false" customHeight="false" outlineLevel="0" collapsed="false">
      <c r="A99" s="11" t="str">
        <f aca="false">PODACI_ZALIHE!A96</f>
        <v>17217</v>
      </c>
      <c r="B99" s="8" t="str">
        <f aca="false">PODACI_ZALIHE!B96</f>
        <v>IMOLA ZLATNA MIJEŠALICA ZA KADU</v>
      </c>
      <c r="C99" s="9" t="n">
        <f aca="false">PODACI_ZALIHE!C96</f>
        <v>0</v>
      </c>
      <c r="D99" s="8" t="n">
        <f aca="false">PODACI_ZALIHE!D96</f>
        <v>0</v>
      </c>
      <c r="E99" s="19" t="n">
        <f aca="false">IF(PODACI_ZALIHE!E96="","",PODACI_ZALIHE!E96)</f>
        <v>80</v>
      </c>
      <c r="F99" s="20" t="n">
        <f aca="false">PODACI_ZALIHE!F96</f>
        <v>80</v>
      </c>
      <c r="G99" s="19" t="n">
        <f aca="false">IF(E99="","",E99-F99)</f>
        <v>0</v>
      </c>
      <c r="H99" s="9" t="n">
        <v>0</v>
      </c>
      <c r="I99" s="21" t="n">
        <f aca="false">IF(H99&lt;=0,999,ROUND(F99/H99,1))</f>
        <v>999</v>
      </c>
      <c r="J99" s="9" t="n">
        <f aca="false">SUMIFS(ROBA_U_DOLASKU!$C$6:$C$95,ROBA_U_DOLASKU!$A$6:$A$95,A99,ROBA_U_DOLASKU!$H$6:$H$95,1)</f>
        <v>0</v>
      </c>
      <c r="K99" s="9" t="n">
        <f aca="false">SUMIFS(ROBA_U_DOLASKU!$B$6:$B$95,ROBA_U_DOLASKU!$A$6:$A$95,A99,ROBA_U_DOLASKU!$H$6:$H$95,1)</f>
        <v>0</v>
      </c>
      <c r="L99" s="9" t="n">
        <f aca="false">SUMIFS(ROBA_U_DOLASKU!$C$6:$C$95,ROBA_U_DOLASKU!$A$6:$A$95,A99,ROBA_U_DOLASKU!$H$6:$H$95,2)</f>
        <v>0</v>
      </c>
      <c r="M99" s="9" t="n">
        <f aca="false">SUMIFS(ROBA_U_DOLASKU!$B$6:$B$95,ROBA_U_DOLASKU!$A$6:$A$95,A99,ROBA_U_DOLASKU!$H$6:$H$95,2)</f>
        <v>0</v>
      </c>
      <c r="N99" s="9" t="n">
        <f aca="false">SUMIFS(ROBA_U_DOLASKU!$C$6:$C$95,ROBA_U_DOLASKU!$A$6:$A$95,A99,ROBA_U_DOLASKU!$H$6:$H$95,3)</f>
        <v>0</v>
      </c>
      <c r="O99" s="9" t="n">
        <f aca="false">SUMIFS(ROBA_U_DOLASKU!$B$6:$B$95,ROBA_U_DOLASKU!$A$6:$A$95,A99,ROBA_U_DOLASKU!$H$6:$H$95,3)</f>
        <v>0</v>
      </c>
      <c r="P99" s="9" t="n">
        <f aca="false">IF(H99&lt;=0,999,IF(O99&gt;0,ROUND((F99-H99*N99+K99+M99+O99)/H99,1),IF(M99&gt;0,ROUND((F99-H99*L99+K99+M99)/H99,1),IF(K99&gt;0,ROUND((F99-H99*J99+K99)/H99,1),I99))))</f>
        <v>999</v>
      </c>
      <c r="Q99" s="22" t="str">
        <f aca="false">IF(H99&lt;=0,"Nema prodaje",IF(AND(K99=0,M99=0,O99=0),IF(I99&lt;POSTAVKE!$B$6,"Naruči odmah","Sve u redu"),IF(F99-H99*J99&lt;0,"Rupa za ~"&amp;TEXT(I99,"0.0")&amp;" mj.",IF(AND(M99&gt;0,F99-H99*L99+K99&lt;0),"Rupa nakon 1. dolaska",IF(AND(O99&gt;0,F99-H99*N99+K99+M99&lt;0),"Rupa nakon 2. dolaska",IF(P99&lt;POSTAVKE!$B$6,"Količina nije dovoljna",IF(I99&gt;=POSTAVKE!$B$6,"Sve u redu","Stiže na vrijeme")))))))</f>
        <v>Nema prodaje</v>
      </c>
      <c r="S99" s="23" t="n">
        <f aca="false">IFERROR(INDEX(PODACI_PRODAJA!B:B,MATCH($A99,PODACI_PRODAJA!$A:$A,0)),0)</f>
        <v>0</v>
      </c>
      <c r="T99" s="23" t="n">
        <f aca="false">IFERROR(INDEX(PODACI_PRODAJA!C:C,MATCH($A99,PODACI_PRODAJA!$A:$A,0)),0)</f>
        <v>0</v>
      </c>
      <c r="U99" s="23" t="n">
        <f aca="false">IFERROR(INDEX(PODACI_PRODAJA!D:D,MATCH($A99,PODACI_PRODAJA!$A:$A,0)),0)</f>
        <v>0</v>
      </c>
      <c r="V99" s="23" t="n">
        <f aca="false">IFERROR(INDEX(PODACI_PRODAJA!E:E,MATCH($A99,PODACI_PRODAJA!$A:$A,0)),0)</f>
        <v>0</v>
      </c>
      <c r="W99" s="23" t="n">
        <f aca="false">IFERROR(INDEX(PODACI_PRODAJA!F:F,MATCH($A99,PODACI_PRODAJA!$A:$A,0)),0)</f>
        <v>0</v>
      </c>
      <c r="X99" s="23" t="n">
        <f aca="false">IFERROR(INDEX(PODACI_PRODAJA!G:G,MATCH($A99,PODACI_PRODAJA!$A:$A,0)),0)</f>
        <v>0</v>
      </c>
      <c r="Y99" s="23" t="n">
        <f aca="false">IFERROR(INDEX(PODACI_PRODAJA!H:H,MATCH($A99,PODACI_PRODAJA!$A:$A,0)),0)</f>
        <v>0</v>
      </c>
      <c r="Z99" s="23" t="n">
        <f aca="false">IFERROR(INDEX(PODACI_PRODAJA!I:I,MATCH($A99,PODACI_PRODAJA!$A:$A,0)),0)</f>
        <v>0</v>
      </c>
      <c r="AA99" s="23" t="n">
        <f aca="false">IFERROR(INDEX(PODACI_PRODAJA!J:J,MATCH($A99,PODACI_PRODAJA!$A:$A,0)),0)</f>
        <v>0</v>
      </c>
      <c r="AB99" s="23" t="n">
        <f aca="false">IFERROR(INDEX(PODACI_PRODAJA!K:K,MATCH($A99,PODACI_PRODAJA!$A:$A,0)),0)</f>
        <v>0</v>
      </c>
      <c r="AC99" s="23" t="n">
        <f aca="false">IFERROR(INDEX(PODACI_PRODAJA!L:L,MATCH($A99,PODACI_PRODAJA!$A:$A,0)),0)</f>
        <v>0</v>
      </c>
      <c r="AD99" s="23" t="n">
        <f aca="false">IFERROR(INDEX(PODACI_PRODAJA!M:M,MATCH($A99,PODACI_PRODAJA!$A:$A,0)),0)</f>
        <v>0</v>
      </c>
    </row>
    <row r="100" customFormat="false" ht="15" hidden="false" customHeight="false" outlineLevel="0" collapsed="false">
      <c r="A100" s="11" t="str">
        <f aca="false">PODACI_ZALIHE!A97</f>
        <v>172600</v>
      </c>
      <c r="B100" s="8" t="str">
        <f aca="false">PODACI_ZALIHE!B97</f>
        <v>TK VIGO CHROME PRAVOKUTNA TUŠ KABINA 78-90x70-90x200 cm</v>
      </c>
      <c r="C100" s="9" t="str">
        <f aca="false">PODACI_ZALIHE!C97</f>
        <v>6762</v>
      </c>
      <c r="D100" s="8" t="str">
        <f aca="false">PODACI_ZALIHE!D97</f>
        <v>ZHEJIANG QUICKLINE SHOWERING CO., LTD.</v>
      </c>
      <c r="E100" s="19" t="n">
        <f aca="false">IF(PODACI_ZALIHE!E97="","",PODACI_ZALIHE!E97)</f>
        <v>97</v>
      </c>
      <c r="F100" s="20" t="n">
        <f aca="false">PODACI_ZALIHE!F97</f>
        <v>80</v>
      </c>
      <c r="G100" s="19" t="n">
        <f aca="false">IF(E100="","",E100-F100)</f>
        <v>17</v>
      </c>
      <c r="H100" s="9" t="n">
        <f aca="false">PODACI_PRODAJA!N632</f>
        <v>0.25</v>
      </c>
      <c r="I100" s="21" t="n">
        <f aca="false">IF(H100&lt;=0,999,ROUND(F100/H100,1))</f>
        <v>320</v>
      </c>
      <c r="J100" s="9" t="n">
        <f aca="false">SUMIFS(ROBA_U_DOLASKU!$C$6:$C$95,ROBA_U_DOLASKU!$A$6:$A$95,A100,ROBA_U_DOLASKU!$H$6:$H$95,1)</f>
        <v>0</v>
      </c>
      <c r="K100" s="9" t="n">
        <f aca="false">SUMIFS(ROBA_U_DOLASKU!$B$6:$B$95,ROBA_U_DOLASKU!$A$6:$A$95,A100,ROBA_U_DOLASKU!$H$6:$H$95,1)</f>
        <v>0</v>
      </c>
      <c r="L100" s="9" t="n">
        <f aca="false">SUMIFS(ROBA_U_DOLASKU!$C$6:$C$95,ROBA_U_DOLASKU!$A$6:$A$95,A100,ROBA_U_DOLASKU!$H$6:$H$95,2)</f>
        <v>0</v>
      </c>
      <c r="M100" s="9" t="n">
        <f aca="false">SUMIFS(ROBA_U_DOLASKU!$B$6:$B$95,ROBA_U_DOLASKU!$A$6:$A$95,A100,ROBA_U_DOLASKU!$H$6:$H$95,2)</f>
        <v>0</v>
      </c>
      <c r="N100" s="9" t="n">
        <f aca="false">SUMIFS(ROBA_U_DOLASKU!$C$6:$C$95,ROBA_U_DOLASKU!$A$6:$A$95,A100,ROBA_U_DOLASKU!$H$6:$H$95,3)</f>
        <v>0</v>
      </c>
      <c r="O100" s="9" t="n">
        <f aca="false">SUMIFS(ROBA_U_DOLASKU!$B$6:$B$95,ROBA_U_DOLASKU!$A$6:$A$95,A100,ROBA_U_DOLASKU!$H$6:$H$95,3)</f>
        <v>0</v>
      </c>
      <c r="P100" s="9" t="n">
        <f aca="false">IF(H100&lt;=0,999,IF(O100&gt;0,ROUND((F100-H100*N100+K100+M100+O100)/H100,1),IF(M100&gt;0,ROUND((F100-H100*L100+K100+M100)/H100,1),IF(K100&gt;0,ROUND((F100-H100*J100+K100)/H100,1),I100))))</f>
        <v>320</v>
      </c>
      <c r="Q100" s="22" t="str">
        <f aca="false">IF(H100&lt;=0,"Nema prodaje",IF(AND(K100=0,M100=0,O100=0),IF(I100&lt;POSTAVKE!$B$6,"Naruči odmah","Sve u redu"),IF(F100-H100*J100&lt;0,"Rupa za ~"&amp;TEXT(I100,"0.0")&amp;" mj.",IF(AND(M100&gt;0,F100-H100*L100+K100&lt;0),"Rupa nakon 1. dolaska",IF(AND(O100&gt;0,F100-H100*N100+K100+M100&lt;0),"Rupa nakon 2. dolaska",IF(P100&lt;POSTAVKE!$B$6,"Količina nije dovoljna",IF(I100&gt;=POSTAVKE!$B$6,"Sve u redu","Stiže na vrijeme")))))))</f>
        <v>Sve u redu</v>
      </c>
      <c r="S100" s="23" t="n">
        <f aca="false">IFERROR(INDEX(PODACI_PRODAJA!B:B,MATCH($A100,PODACI_PRODAJA!$A:$A,0)),0)</f>
        <v>0</v>
      </c>
      <c r="T100" s="23" t="n">
        <f aca="false">IFERROR(INDEX(PODACI_PRODAJA!C:C,MATCH($A100,PODACI_PRODAJA!$A:$A,0)),0)</f>
        <v>0</v>
      </c>
      <c r="U100" s="23" t="n">
        <f aca="false">IFERROR(INDEX(PODACI_PRODAJA!D:D,MATCH($A100,PODACI_PRODAJA!$A:$A,0)),0)</f>
        <v>0</v>
      </c>
      <c r="V100" s="23" t="n">
        <f aca="false">IFERROR(INDEX(PODACI_PRODAJA!E:E,MATCH($A100,PODACI_PRODAJA!$A:$A,0)),0)</f>
        <v>0</v>
      </c>
      <c r="W100" s="23" t="n">
        <f aca="false">IFERROR(INDEX(PODACI_PRODAJA!F:F,MATCH($A100,PODACI_PRODAJA!$A:$A,0)),0)</f>
        <v>0</v>
      </c>
      <c r="X100" s="23" t="n">
        <f aca="false">IFERROR(INDEX(PODACI_PRODAJA!G:G,MATCH($A100,PODACI_PRODAJA!$A:$A,0)),0)</f>
        <v>0</v>
      </c>
      <c r="Y100" s="23" t="n">
        <f aca="false">IFERROR(INDEX(PODACI_PRODAJA!H:H,MATCH($A100,PODACI_PRODAJA!$A:$A,0)),0)</f>
        <v>0</v>
      </c>
      <c r="Z100" s="23" t="n">
        <f aca="false">IFERROR(INDEX(PODACI_PRODAJA!I:I,MATCH($A100,PODACI_PRODAJA!$A:$A,0)),0)</f>
        <v>2</v>
      </c>
      <c r="AA100" s="23" t="n">
        <f aca="false">IFERROR(INDEX(PODACI_PRODAJA!J:J,MATCH($A100,PODACI_PRODAJA!$A:$A,0)),0)</f>
        <v>13</v>
      </c>
      <c r="AB100" s="23" t="n">
        <f aca="false">IFERROR(INDEX(PODACI_PRODAJA!K:K,MATCH($A100,PODACI_PRODAJA!$A:$A,0)),0)</f>
        <v>0</v>
      </c>
      <c r="AC100" s="23" t="n">
        <f aca="false">IFERROR(INDEX(PODACI_PRODAJA!L:L,MATCH($A100,PODACI_PRODAJA!$A:$A,0)),0)</f>
        <v>0</v>
      </c>
      <c r="AD100" s="23" t="n">
        <f aca="false">IFERROR(INDEX(PODACI_PRODAJA!M:M,MATCH($A100,PODACI_PRODAJA!$A:$A,0)),0)</f>
        <v>0</v>
      </c>
    </row>
    <row r="101" customFormat="false" ht="15" hidden="false" customHeight="false" outlineLevel="0" collapsed="false">
      <c r="A101" s="11" t="str">
        <f aca="false">PODACI_ZALIHE!A98</f>
        <v>18252</v>
      </c>
      <c r="B101" s="8" t="str">
        <f aca="false">PODACI_ZALIHE!B98</f>
        <v>ATENA OGLEDALO S LED RASVJETOM D70 cm</v>
      </c>
      <c r="C101" s="9" t="str">
        <f aca="false">PODACI_ZALIHE!C98</f>
        <v>6032</v>
      </c>
      <c r="D101" s="8" t="str">
        <f aca="false">PODACI_ZALIHE!D98</f>
        <v>HANGZHOU ZIHAN MIRROR INDUSTRY CO., LTD.</v>
      </c>
      <c r="E101" s="19" t="n">
        <f aca="false">IF(PODACI_ZALIHE!E98="","",PODACI_ZALIHE!E98)</f>
        <v>80</v>
      </c>
      <c r="F101" s="20" t="n">
        <f aca="false">PODACI_ZALIHE!F98</f>
        <v>80</v>
      </c>
      <c r="G101" s="19" t="n">
        <f aca="false">IF(E101="","",E101-F101)</f>
        <v>0</v>
      </c>
      <c r="H101" s="9" t="n">
        <f aca="false">PODACI_PRODAJA!N57</f>
        <v>11</v>
      </c>
      <c r="I101" s="21" t="n">
        <f aca="false">IF(H101&lt;=0,999,ROUND(F101/H101,1))</f>
        <v>7.3</v>
      </c>
      <c r="J101" s="9" t="n">
        <f aca="false">SUMIFS(ROBA_U_DOLASKU!$C$6:$C$95,ROBA_U_DOLASKU!$A$6:$A$95,A101,ROBA_U_DOLASKU!$H$6:$H$95,1)</f>
        <v>0</v>
      </c>
      <c r="K101" s="9" t="n">
        <f aca="false">SUMIFS(ROBA_U_DOLASKU!$B$6:$B$95,ROBA_U_DOLASKU!$A$6:$A$95,A101,ROBA_U_DOLASKU!$H$6:$H$95,1)</f>
        <v>0</v>
      </c>
      <c r="L101" s="9" t="n">
        <f aca="false">SUMIFS(ROBA_U_DOLASKU!$C$6:$C$95,ROBA_U_DOLASKU!$A$6:$A$95,A101,ROBA_U_DOLASKU!$H$6:$H$95,2)</f>
        <v>0</v>
      </c>
      <c r="M101" s="9" t="n">
        <f aca="false">SUMIFS(ROBA_U_DOLASKU!$B$6:$B$95,ROBA_U_DOLASKU!$A$6:$A$95,A101,ROBA_U_DOLASKU!$H$6:$H$95,2)</f>
        <v>0</v>
      </c>
      <c r="N101" s="9" t="n">
        <f aca="false">SUMIFS(ROBA_U_DOLASKU!$C$6:$C$95,ROBA_U_DOLASKU!$A$6:$A$95,A101,ROBA_U_DOLASKU!$H$6:$H$95,3)</f>
        <v>0</v>
      </c>
      <c r="O101" s="9" t="n">
        <f aca="false">SUMIFS(ROBA_U_DOLASKU!$B$6:$B$95,ROBA_U_DOLASKU!$A$6:$A$95,A101,ROBA_U_DOLASKU!$H$6:$H$95,3)</f>
        <v>0</v>
      </c>
      <c r="P101" s="9" t="n">
        <f aca="false">IF(H101&lt;=0,999,IF(O101&gt;0,ROUND((F101-H101*N101+K101+M101+O101)/H101,1),IF(M101&gt;0,ROUND((F101-H101*L101+K101+M101)/H101,1),IF(K101&gt;0,ROUND((F101-H101*J101+K101)/H101,1),I101))))</f>
        <v>7.3</v>
      </c>
      <c r="Q101" s="22" t="str">
        <f aca="false">IF(H101&lt;=0,"Nema prodaje",IF(AND(K101=0,M101=0,O101=0),IF(I101&lt;POSTAVKE!$B$6,"Naruči odmah","Sve u redu"),IF(F101-H101*J101&lt;0,"Rupa za ~"&amp;TEXT(I101,"0.0")&amp;" mj.",IF(AND(M101&gt;0,F101-H101*L101+K101&lt;0),"Rupa nakon 1. dolaska",IF(AND(O101&gt;0,F101-H101*N101+K101+M101&lt;0),"Rupa nakon 2. dolaska",IF(P101&lt;POSTAVKE!$B$6,"Količina nije dovoljna",IF(I101&gt;=POSTAVKE!$B$6,"Sve u redu","Stiže na vrijeme")))))))</f>
        <v>Sve u redu</v>
      </c>
      <c r="S101" s="23" t="n">
        <f aca="false">IFERROR(INDEX(PODACI_PRODAJA!B:B,MATCH($A101,PODACI_PRODAJA!$A:$A,0)),0)</f>
        <v>15</v>
      </c>
      <c r="T101" s="23" t="n">
        <f aca="false">IFERROR(INDEX(PODACI_PRODAJA!C:C,MATCH($A101,PODACI_PRODAJA!$A:$A,0)),0)</f>
        <v>4</v>
      </c>
      <c r="U101" s="23" t="n">
        <f aca="false">IFERROR(INDEX(PODACI_PRODAJA!D:D,MATCH($A101,PODACI_PRODAJA!$A:$A,0)),0)</f>
        <v>16</v>
      </c>
      <c r="V101" s="23" t="n">
        <f aca="false">IFERROR(INDEX(PODACI_PRODAJA!E:E,MATCH($A101,PODACI_PRODAJA!$A:$A,0)),0)</f>
        <v>8</v>
      </c>
      <c r="W101" s="23" t="n">
        <f aca="false">IFERROR(INDEX(PODACI_PRODAJA!F:F,MATCH($A101,PODACI_PRODAJA!$A:$A,0)),0)</f>
        <v>26</v>
      </c>
      <c r="X101" s="23" t="n">
        <f aca="false">IFERROR(INDEX(PODACI_PRODAJA!G:G,MATCH($A101,PODACI_PRODAJA!$A:$A,0)),0)</f>
        <v>8</v>
      </c>
      <c r="Y101" s="23" t="n">
        <f aca="false">IFERROR(INDEX(PODACI_PRODAJA!H:H,MATCH($A101,PODACI_PRODAJA!$A:$A,0)),0)</f>
        <v>7</v>
      </c>
      <c r="Z101" s="23" t="n">
        <f aca="false">IFERROR(INDEX(PODACI_PRODAJA!I:I,MATCH($A101,PODACI_PRODAJA!$A:$A,0)),0)</f>
        <v>4</v>
      </c>
      <c r="AA101" s="23" t="n">
        <f aca="false">IFERROR(INDEX(PODACI_PRODAJA!J:J,MATCH($A101,PODACI_PRODAJA!$A:$A,0)),0)</f>
        <v>0</v>
      </c>
      <c r="AB101" s="23" t="n">
        <f aca="false">IFERROR(INDEX(PODACI_PRODAJA!K:K,MATCH($A101,PODACI_PRODAJA!$A:$A,0)),0)</f>
        <v>0</v>
      </c>
      <c r="AC101" s="23" t="n">
        <f aca="false">IFERROR(INDEX(PODACI_PRODAJA!L:L,MATCH($A101,PODACI_PRODAJA!$A:$A,0)),0)</f>
        <v>0</v>
      </c>
      <c r="AD101" s="23" t="n">
        <f aca="false">IFERROR(INDEX(PODACI_PRODAJA!M:M,MATCH($A101,PODACI_PRODAJA!$A:$A,0)),0)</f>
        <v>0</v>
      </c>
    </row>
    <row r="102" customFormat="false" ht="15" hidden="false" customHeight="false" outlineLevel="0" collapsed="false">
      <c r="A102" s="11" t="str">
        <f aca="false">PODACI_ZALIHE!A99</f>
        <v>00697</v>
      </c>
      <c r="B102" s="8" t="str">
        <f aca="false">PODACI_ZALIHE!B99</f>
        <v>NIKTA JEDNORUČNA SLAVINA ZA HLADNU VODU</v>
      </c>
      <c r="C102" s="9" t="str">
        <f aca="false">PODACI_ZALIHE!C99</f>
        <v>2974</v>
      </c>
      <c r="D102" s="8" t="str">
        <f aca="false">PODACI_ZALIHE!D99</f>
        <v>TAIZHOU MINUOTE SANITARY WARES CO.,LTD.</v>
      </c>
      <c r="E102" s="19" t="n">
        <f aca="false">IF(PODACI_ZALIHE!E99="","",PODACI_ZALIHE!E99)</f>
        <v>79</v>
      </c>
      <c r="F102" s="20" t="n">
        <f aca="false">PODACI_ZALIHE!F99</f>
        <v>79</v>
      </c>
      <c r="G102" s="19" t="n">
        <f aca="false">IF(E102="","",E102-F102)</f>
        <v>0</v>
      </c>
      <c r="H102" s="9" t="n">
        <f aca="false">PODACI_PRODAJA!N394</f>
        <v>0.38</v>
      </c>
      <c r="I102" s="21" t="n">
        <f aca="false">IF(H102&lt;=0,999,ROUND(F102/H102,1))</f>
        <v>207.9</v>
      </c>
      <c r="J102" s="9" t="n">
        <f aca="false">SUMIFS(ROBA_U_DOLASKU!$C$6:$C$95,ROBA_U_DOLASKU!$A$6:$A$95,A102,ROBA_U_DOLASKU!$H$6:$H$95,1)</f>
        <v>0</v>
      </c>
      <c r="K102" s="9" t="n">
        <f aca="false">SUMIFS(ROBA_U_DOLASKU!$B$6:$B$95,ROBA_U_DOLASKU!$A$6:$A$95,A102,ROBA_U_DOLASKU!$H$6:$H$95,1)</f>
        <v>0</v>
      </c>
      <c r="L102" s="9" t="n">
        <f aca="false">SUMIFS(ROBA_U_DOLASKU!$C$6:$C$95,ROBA_U_DOLASKU!$A$6:$A$95,A102,ROBA_U_DOLASKU!$H$6:$H$95,2)</f>
        <v>0</v>
      </c>
      <c r="M102" s="9" t="n">
        <f aca="false">SUMIFS(ROBA_U_DOLASKU!$B$6:$B$95,ROBA_U_DOLASKU!$A$6:$A$95,A102,ROBA_U_DOLASKU!$H$6:$H$95,2)</f>
        <v>0</v>
      </c>
      <c r="N102" s="9" t="n">
        <f aca="false">SUMIFS(ROBA_U_DOLASKU!$C$6:$C$95,ROBA_U_DOLASKU!$A$6:$A$95,A102,ROBA_U_DOLASKU!$H$6:$H$95,3)</f>
        <v>0</v>
      </c>
      <c r="O102" s="9" t="n">
        <f aca="false">SUMIFS(ROBA_U_DOLASKU!$B$6:$B$95,ROBA_U_DOLASKU!$A$6:$A$95,A102,ROBA_U_DOLASKU!$H$6:$H$95,3)</f>
        <v>0</v>
      </c>
      <c r="P102" s="9" t="n">
        <f aca="false">IF(H102&lt;=0,999,IF(O102&gt;0,ROUND((F102-H102*N102+K102+M102+O102)/H102,1),IF(M102&gt;0,ROUND((F102-H102*L102+K102+M102)/H102,1),IF(K102&gt;0,ROUND((F102-H102*J102+K102)/H102,1),I102))))</f>
        <v>207.9</v>
      </c>
      <c r="Q102" s="22" t="str">
        <f aca="false">IF(H102&lt;=0,"Nema prodaje",IF(AND(K102=0,M102=0,O102=0),IF(I102&lt;POSTAVKE!$B$6,"Naruči odmah","Sve u redu"),IF(F102-H102*J102&lt;0,"Rupa za ~"&amp;TEXT(I102,"0.0")&amp;" mj.",IF(AND(M102&gt;0,F102-H102*L102+K102&lt;0),"Rupa nakon 1. dolaska",IF(AND(O102&gt;0,F102-H102*N102+K102+M102&lt;0),"Rupa nakon 2. dolaska",IF(P102&lt;POSTAVKE!$B$6,"Količina nije dovoljna",IF(I102&gt;=POSTAVKE!$B$6,"Sve u redu","Stiže na vrijeme")))))))</f>
        <v>Sve u redu</v>
      </c>
      <c r="S102" s="23" t="n">
        <f aca="false">IFERROR(INDEX(PODACI_PRODAJA!B:B,MATCH($A102,PODACI_PRODAJA!$A:$A,0)),0)</f>
        <v>0</v>
      </c>
      <c r="T102" s="23" t="n">
        <f aca="false">IFERROR(INDEX(PODACI_PRODAJA!C:C,MATCH($A102,PODACI_PRODAJA!$A:$A,0)),0)</f>
        <v>0</v>
      </c>
      <c r="U102" s="23" t="n">
        <f aca="false">IFERROR(INDEX(PODACI_PRODAJA!D:D,MATCH($A102,PODACI_PRODAJA!$A:$A,0)),0)</f>
        <v>0</v>
      </c>
      <c r="V102" s="23" t="n">
        <f aca="false">IFERROR(INDEX(PODACI_PRODAJA!E:E,MATCH($A102,PODACI_PRODAJA!$A:$A,0)),0)</f>
        <v>0</v>
      </c>
      <c r="W102" s="23" t="n">
        <f aca="false">IFERROR(INDEX(PODACI_PRODAJA!F:F,MATCH($A102,PODACI_PRODAJA!$A:$A,0)),0)</f>
        <v>0</v>
      </c>
      <c r="X102" s="23" t="n">
        <f aca="false">IFERROR(INDEX(PODACI_PRODAJA!G:G,MATCH($A102,PODACI_PRODAJA!$A:$A,0)),0)</f>
        <v>0</v>
      </c>
      <c r="Y102" s="23" t="n">
        <f aca="false">IFERROR(INDEX(PODACI_PRODAJA!H:H,MATCH($A102,PODACI_PRODAJA!$A:$A,0)),0)</f>
        <v>0</v>
      </c>
      <c r="Z102" s="23" t="n">
        <f aca="false">IFERROR(INDEX(PODACI_PRODAJA!I:I,MATCH($A102,PODACI_PRODAJA!$A:$A,0)),0)</f>
        <v>3</v>
      </c>
      <c r="AA102" s="23" t="n">
        <f aca="false">IFERROR(INDEX(PODACI_PRODAJA!J:J,MATCH($A102,PODACI_PRODAJA!$A:$A,0)),0)</f>
        <v>0</v>
      </c>
      <c r="AB102" s="23" t="n">
        <f aca="false">IFERROR(INDEX(PODACI_PRODAJA!K:K,MATCH($A102,PODACI_PRODAJA!$A:$A,0)),0)</f>
        <v>0</v>
      </c>
      <c r="AC102" s="23" t="n">
        <f aca="false">IFERROR(INDEX(PODACI_PRODAJA!L:L,MATCH($A102,PODACI_PRODAJA!$A:$A,0)),0)</f>
        <v>0</v>
      </c>
      <c r="AD102" s="23" t="n">
        <f aca="false">IFERROR(INDEX(PODACI_PRODAJA!M:M,MATCH($A102,PODACI_PRODAJA!$A:$A,0)),0)</f>
        <v>0</v>
      </c>
    </row>
    <row r="103" customFormat="false" ht="15" hidden="false" customHeight="false" outlineLevel="0" collapsed="false">
      <c r="A103" s="11" t="str">
        <f aca="false">PODACI_ZALIHE!A100</f>
        <v>16088</v>
      </c>
      <c r="B103" s="8" t="str">
        <f aca="false">PODACI_ZALIHE!B100</f>
        <v>IMPULSE LED OGLEDALO 120x80 cm</v>
      </c>
      <c r="C103" s="9" t="str">
        <f aca="false">PODACI_ZALIHE!C100</f>
        <v>2515</v>
      </c>
      <c r="D103" s="8" t="str">
        <f aca="false">PODACI_ZALIHE!D100</f>
        <v>HANGZHOU ZHUGELAI JINGYI CO., LTD.</v>
      </c>
      <c r="E103" s="19" t="n">
        <f aca="false">IF(PODACI_ZALIHE!E100="","",PODACI_ZALIHE!E100)</f>
        <v>80</v>
      </c>
      <c r="F103" s="20" t="n">
        <f aca="false">PODACI_ZALIHE!F100</f>
        <v>79</v>
      </c>
      <c r="G103" s="19" t="n">
        <f aca="false">IF(E103="","",E103-F103)</f>
        <v>1</v>
      </c>
      <c r="H103" s="9" t="n">
        <f aca="false">PODACI_PRODAJA!N193</f>
        <v>3.13</v>
      </c>
      <c r="I103" s="21" t="n">
        <f aca="false">IF(H103&lt;=0,999,ROUND(F103/H103,1))</f>
        <v>25.2</v>
      </c>
      <c r="J103" s="9" t="n">
        <f aca="false">SUMIFS(ROBA_U_DOLASKU!$C$6:$C$95,ROBA_U_DOLASKU!$A$6:$A$95,A103,ROBA_U_DOLASKU!$H$6:$H$95,1)</f>
        <v>0</v>
      </c>
      <c r="K103" s="9" t="n">
        <f aca="false">SUMIFS(ROBA_U_DOLASKU!$B$6:$B$95,ROBA_U_DOLASKU!$A$6:$A$95,A103,ROBA_U_DOLASKU!$H$6:$H$95,1)</f>
        <v>0</v>
      </c>
      <c r="L103" s="9" t="n">
        <f aca="false">SUMIFS(ROBA_U_DOLASKU!$C$6:$C$95,ROBA_U_DOLASKU!$A$6:$A$95,A103,ROBA_U_DOLASKU!$H$6:$H$95,2)</f>
        <v>0</v>
      </c>
      <c r="M103" s="9" t="n">
        <f aca="false">SUMIFS(ROBA_U_DOLASKU!$B$6:$B$95,ROBA_U_DOLASKU!$A$6:$A$95,A103,ROBA_U_DOLASKU!$H$6:$H$95,2)</f>
        <v>0</v>
      </c>
      <c r="N103" s="9" t="n">
        <f aca="false">SUMIFS(ROBA_U_DOLASKU!$C$6:$C$95,ROBA_U_DOLASKU!$A$6:$A$95,A103,ROBA_U_DOLASKU!$H$6:$H$95,3)</f>
        <v>0</v>
      </c>
      <c r="O103" s="9" t="n">
        <f aca="false">SUMIFS(ROBA_U_DOLASKU!$B$6:$B$95,ROBA_U_DOLASKU!$A$6:$A$95,A103,ROBA_U_DOLASKU!$H$6:$H$95,3)</f>
        <v>0</v>
      </c>
      <c r="P103" s="9" t="n">
        <f aca="false">IF(H103&lt;=0,999,IF(O103&gt;0,ROUND((F103-H103*N103+K103+M103+O103)/H103,1),IF(M103&gt;0,ROUND((F103-H103*L103+K103+M103)/H103,1),IF(K103&gt;0,ROUND((F103-H103*J103+K103)/H103,1),I103))))</f>
        <v>25.2</v>
      </c>
      <c r="Q103" s="22" t="str">
        <f aca="false">IF(H103&lt;=0,"Nema prodaje",IF(AND(K103=0,M103=0,O103=0),IF(I103&lt;POSTAVKE!$B$6,"Naruči odmah","Sve u redu"),IF(F103-H103*J103&lt;0,"Rupa za ~"&amp;TEXT(I103,"0.0")&amp;" mj.",IF(AND(M103&gt;0,F103-H103*L103+K103&lt;0),"Rupa nakon 1. dolaska",IF(AND(O103&gt;0,F103-H103*N103+K103+M103&lt;0),"Rupa nakon 2. dolaska",IF(P103&lt;POSTAVKE!$B$6,"Količina nije dovoljna",IF(I103&gt;=POSTAVKE!$B$6,"Sve u redu","Stiže na vrijeme")))))))</f>
        <v>Sve u redu</v>
      </c>
      <c r="S103" s="23" t="n">
        <f aca="false">IFERROR(INDEX(PODACI_PRODAJA!B:B,MATCH($A103,PODACI_PRODAJA!$A:$A,0)),0)</f>
        <v>2</v>
      </c>
      <c r="T103" s="23" t="n">
        <f aca="false">IFERROR(INDEX(PODACI_PRODAJA!C:C,MATCH($A103,PODACI_PRODAJA!$A:$A,0)),0)</f>
        <v>2</v>
      </c>
      <c r="U103" s="23" t="n">
        <f aca="false">IFERROR(INDEX(PODACI_PRODAJA!D:D,MATCH($A103,PODACI_PRODAJA!$A:$A,0)),0)</f>
        <v>3</v>
      </c>
      <c r="V103" s="23" t="n">
        <f aca="false">IFERROR(INDEX(PODACI_PRODAJA!E:E,MATCH($A103,PODACI_PRODAJA!$A:$A,0)),0)</f>
        <v>1</v>
      </c>
      <c r="W103" s="23" t="n">
        <f aca="false">IFERROR(INDEX(PODACI_PRODAJA!F:F,MATCH($A103,PODACI_PRODAJA!$A:$A,0)),0)</f>
        <v>8</v>
      </c>
      <c r="X103" s="23" t="n">
        <f aca="false">IFERROR(INDEX(PODACI_PRODAJA!G:G,MATCH($A103,PODACI_PRODAJA!$A:$A,0)),0)</f>
        <v>4</v>
      </c>
      <c r="Y103" s="23" t="n">
        <f aca="false">IFERROR(INDEX(PODACI_PRODAJA!H:H,MATCH($A103,PODACI_PRODAJA!$A:$A,0)),0)</f>
        <v>3</v>
      </c>
      <c r="Z103" s="23" t="n">
        <f aca="false">IFERROR(INDEX(PODACI_PRODAJA!I:I,MATCH($A103,PODACI_PRODAJA!$A:$A,0)),0)</f>
        <v>2</v>
      </c>
      <c r="AA103" s="23" t="n">
        <f aca="false">IFERROR(INDEX(PODACI_PRODAJA!J:J,MATCH($A103,PODACI_PRODAJA!$A:$A,0)),0)</f>
        <v>0</v>
      </c>
      <c r="AB103" s="23" t="n">
        <f aca="false">IFERROR(INDEX(PODACI_PRODAJA!K:K,MATCH($A103,PODACI_PRODAJA!$A:$A,0)),0)</f>
        <v>0</v>
      </c>
      <c r="AC103" s="23" t="n">
        <f aca="false">IFERROR(INDEX(PODACI_PRODAJA!L:L,MATCH($A103,PODACI_PRODAJA!$A:$A,0)),0)</f>
        <v>0</v>
      </c>
      <c r="AD103" s="23" t="n">
        <f aca="false">IFERROR(INDEX(PODACI_PRODAJA!M:M,MATCH($A103,PODACI_PRODAJA!$A:$A,0)),0)</f>
        <v>0</v>
      </c>
    </row>
    <row r="104" customFormat="false" ht="15" hidden="false" customHeight="false" outlineLevel="0" collapsed="false">
      <c r="A104" s="11" t="str">
        <f aca="false">PODACI_ZALIHE!A101</f>
        <v>17202</v>
      </c>
      <c r="B104" s="8" t="str">
        <f aca="false">PODACI_ZALIHE!B101</f>
        <v>SIMPLE MIJEŠALICA ZA BIDE</v>
      </c>
      <c r="C104" s="9" t="n">
        <f aca="false">PODACI_ZALIHE!C101</f>
        <v>0</v>
      </c>
      <c r="D104" s="8" t="n">
        <f aca="false">PODACI_ZALIHE!D101</f>
        <v>0</v>
      </c>
      <c r="E104" s="19" t="n">
        <f aca="false">IF(PODACI_ZALIHE!E101="","",PODACI_ZALIHE!E101)</f>
        <v>79</v>
      </c>
      <c r="F104" s="20" t="n">
        <f aca="false">PODACI_ZALIHE!F101</f>
        <v>79</v>
      </c>
      <c r="G104" s="19" t="n">
        <f aca="false">IF(E104="","",E104-F104)</f>
        <v>0</v>
      </c>
      <c r="H104" s="9" t="n">
        <f aca="false">PODACI_PRODAJA!N602</f>
        <v>0.13</v>
      </c>
      <c r="I104" s="21" t="n">
        <f aca="false">IF(H104&lt;=0,999,ROUND(F104/H104,1))</f>
        <v>607.7</v>
      </c>
      <c r="J104" s="9" t="n">
        <f aca="false">SUMIFS(ROBA_U_DOLASKU!$C$6:$C$95,ROBA_U_DOLASKU!$A$6:$A$95,A104,ROBA_U_DOLASKU!$H$6:$H$95,1)</f>
        <v>0</v>
      </c>
      <c r="K104" s="9" t="n">
        <f aca="false">SUMIFS(ROBA_U_DOLASKU!$B$6:$B$95,ROBA_U_DOLASKU!$A$6:$A$95,A104,ROBA_U_DOLASKU!$H$6:$H$95,1)</f>
        <v>0</v>
      </c>
      <c r="L104" s="9" t="n">
        <f aca="false">SUMIFS(ROBA_U_DOLASKU!$C$6:$C$95,ROBA_U_DOLASKU!$A$6:$A$95,A104,ROBA_U_DOLASKU!$H$6:$H$95,2)</f>
        <v>0</v>
      </c>
      <c r="M104" s="9" t="n">
        <f aca="false">SUMIFS(ROBA_U_DOLASKU!$B$6:$B$95,ROBA_U_DOLASKU!$A$6:$A$95,A104,ROBA_U_DOLASKU!$H$6:$H$95,2)</f>
        <v>0</v>
      </c>
      <c r="N104" s="9" t="n">
        <f aca="false">SUMIFS(ROBA_U_DOLASKU!$C$6:$C$95,ROBA_U_DOLASKU!$A$6:$A$95,A104,ROBA_U_DOLASKU!$H$6:$H$95,3)</f>
        <v>0</v>
      </c>
      <c r="O104" s="9" t="n">
        <f aca="false">SUMIFS(ROBA_U_DOLASKU!$B$6:$B$95,ROBA_U_DOLASKU!$A$6:$A$95,A104,ROBA_U_DOLASKU!$H$6:$H$95,3)</f>
        <v>0</v>
      </c>
      <c r="P104" s="9" t="n">
        <f aca="false">IF(H104&lt;=0,999,IF(O104&gt;0,ROUND((F104-H104*N104+K104+M104+O104)/H104,1),IF(M104&gt;0,ROUND((F104-H104*L104+K104+M104)/H104,1),IF(K104&gt;0,ROUND((F104-H104*J104+K104)/H104,1),I104))))</f>
        <v>607.7</v>
      </c>
      <c r="Q104" s="22" t="str">
        <f aca="false">IF(H104&lt;=0,"Nema prodaje",IF(AND(K104=0,M104=0,O104=0),IF(I104&lt;POSTAVKE!$B$6,"Naruči odmah","Sve u redu"),IF(F104-H104*J104&lt;0,"Rupa za ~"&amp;TEXT(I104,"0.0")&amp;" mj.",IF(AND(M104&gt;0,F104-H104*L104+K104&lt;0),"Rupa nakon 1. dolaska",IF(AND(O104&gt;0,F104-H104*N104+K104+M104&lt;0),"Rupa nakon 2. dolaska",IF(P104&lt;POSTAVKE!$B$6,"Količina nije dovoljna",IF(I104&gt;=POSTAVKE!$B$6,"Sve u redu","Stiže na vrijeme")))))))</f>
        <v>Sve u redu</v>
      </c>
      <c r="S104" s="23" t="n">
        <f aca="false">IFERROR(INDEX(PODACI_PRODAJA!B:B,MATCH($A104,PODACI_PRODAJA!$A:$A,0)),0)</f>
        <v>0</v>
      </c>
      <c r="T104" s="23" t="n">
        <f aca="false">IFERROR(INDEX(PODACI_PRODAJA!C:C,MATCH($A104,PODACI_PRODAJA!$A:$A,0)),0)</f>
        <v>0</v>
      </c>
      <c r="U104" s="23" t="n">
        <f aca="false">IFERROR(INDEX(PODACI_PRODAJA!D:D,MATCH($A104,PODACI_PRODAJA!$A:$A,0)),0)</f>
        <v>1</v>
      </c>
      <c r="V104" s="23" t="n">
        <f aca="false">IFERROR(INDEX(PODACI_PRODAJA!E:E,MATCH($A104,PODACI_PRODAJA!$A:$A,0)),0)</f>
        <v>0</v>
      </c>
      <c r="W104" s="23" t="n">
        <f aca="false">IFERROR(INDEX(PODACI_PRODAJA!F:F,MATCH($A104,PODACI_PRODAJA!$A:$A,0)),0)</f>
        <v>0</v>
      </c>
      <c r="X104" s="23" t="n">
        <f aca="false">IFERROR(INDEX(PODACI_PRODAJA!G:G,MATCH($A104,PODACI_PRODAJA!$A:$A,0)),0)</f>
        <v>0</v>
      </c>
      <c r="Y104" s="23" t="n">
        <f aca="false">IFERROR(INDEX(PODACI_PRODAJA!H:H,MATCH($A104,PODACI_PRODAJA!$A:$A,0)),0)</f>
        <v>0</v>
      </c>
      <c r="Z104" s="23" t="n">
        <f aca="false">IFERROR(INDEX(PODACI_PRODAJA!I:I,MATCH($A104,PODACI_PRODAJA!$A:$A,0)),0)</f>
        <v>0</v>
      </c>
      <c r="AA104" s="23" t="n">
        <f aca="false">IFERROR(INDEX(PODACI_PRODAJA!J:J,MATCH($A104,PODACI_PRODAJA!$A:$A,0)),0)</f>
        <v>0</v>
      </c>
      <c r="AB104" s="23" t="n">
        <f aca="false">IFERROR(INDEX(PODACI_PRODAJA!K:K,MATCH($A104,PODACI_PRODAJA!$A:$A,0)),0)</f>
        <v>0</v>
      </c>
      <c r="AC104" s="23" t="n">
        <f aca="false">IFERROR(INDEX(PODACI_PRODAJA!L:L,MATCH($A104,PODACI_PRODAJA!$A:$A,0)),0)</f>
        <v>0</v>
      </c>
      <c r="AD104" s="23" t="n">
        <f aca="false">IFERROR(INDEX(PODACI_PRODAJA!M:M,MATCH($A104,PODACI_PRODAJA!$A:$A,0)),0)</f>
        <v>0</v>
      </c>
    </row>
    <row r="105" customFormat="false" ht="15" hidden="false" customHeight="false" outlineLevel="0" collapsed="false">
      <c r="A105" s="11" t="str">
        <f aca="false">PODACI_ZALIHE!A102</f>
        <v>17212</v>
      </c>
      <c r="B105" s="8" t="str">
        <f aca="false">PODACI_ZALIHE!B102</f>
        <v>IMOLA CRNA MIJEŠALICA ZA TUŠ</v>
      </c>
      <c r="C105" s="9" t="n">
        <f aca="false">PODACI_ZALIHE!C102</f>
        <v>0</v>
      </c>
      <c r="D105" s="8" t="n">
        <f aca="false">PODACI_ZALIHE!D102</f>
        <v>0</v>
      </c>
      <c r="E105" s="19" t="n">
        <f aca="false">IF(PODACI_ZALIHE!E102="","",PODACI_ZALIHE!E102)</f>
        <v>79</v>
      </c>
      <c r="F105" s="20" t="n">
        <f aca="false">PODACI_ZALIHE!F102</f>
        <v>79</v>
      </c>
      <c r="G105" s="19" t="n">
        <f aca="false">IF(E105="","",E105-F105)</f>
        <v>0</v>
      </c>
      <c r="H105" s="9" t="n">
        <f aca="false">PODACI_PRODAJA!N605</f>
        <v>0.25</v>
      </c>
      <c r="I105" s="21" t="n">
        <f aca="false">IF(H105&lt;=0,999,ROUND(F105/H105,1))</f>
        <v>316</v>
      </c>
      <c r="J105" s="9" t="n">
        <f aca="false">SUMIFS(ROBA_U_DOLASKU!$C$6:$C$95,ROBA_U_DOLASKU!$A$6:$A$95,A105,ROBA_U_DOLASKU!$H$6:$H$95,1)</f>
        <v>0</v>
      </c>
      <c r="K105" s="9" t="n">
        <f aca="false">SUMIFS(ROBA_U_DOLASKU!$B$6:$B$95,ROBA_U_DOLASKU!$A$6:$A$95,A105,ROBA_U_DOLASKU!$H$6:$H$95,1)</f>
        <v>0</v>
      </c>
      <c r="L105" s="9" t="n">
        <f aca="false">SUMIFS(ROBA_U_DOLASKU!$C$6:$C$95,ROBA_U_DOLASKU!$A$6:$A$95,A105,ROBA_U_DOLASKU!$H$6:$H$95,2)</f>
        <v>0</v>
      </c>
      <c r="M105" s="9" t="n">
        <f aca="false">SUMIFS(ROBA_U_DOLASKU!$B$6:$B$95,ROBA_U_DOLASKU!$A$6:$A$95,A105,ROBA_U_DOLASKU!$H$6:$H$95,2)</f>
        <v>0</v>
      </c>
      <c r="N105" s="9" t="n">
        <f aca="false">SUMIFS(ROBA_U_DOLASKU!$C$6:$C$95,ROBA_U_DOLASKU!$A$6:$A$95,A105,ROBA_U_DOLASKU!$H$6:$H$95,3)</f>
        <v>0</v>
      </c>
      <c r="O105" s="9" t="n">
        <f aca="false">SUMIFS(ROBA_U_DOLASKU!$B$6:$B$95,ROBA_U_DOLASKU!$A$6:$A$95,A105,ROBA_U_DOLASKU!$H$6:$H$95,3)</f>
        <v>0</v>
      </c>
      <c r="P105" s="9" t="n">
        <f aca="false">IF(H105&lt;=0,999,IF(O105&gt;0,ROUND((F105-H105*N105+K105+M105+O105)/H105,1),IF(M105&gt;0,ROUND((F105-H105*L105+K105+M105)/H105,1),IF(K105&gt;0,ROUND((F105-H105*J105+K105)/H105,1),I105))))</f>
        <v>316</v>
      </c>
      <c r="Q105" s="22" t="str">
        <f aca="false">IF(H105&lt;=0,"Nema prodaje",IF(AND(K105=0,M105=0,O105=0),IF(I105&lt;POSTAVKE!$B$6,"Naruči odmah","Sve u redu"),IF(F105-H105*J105&lt;0,"Rupa za ~"&amp;TEXT(I105,"0.0")&amp;" mj.",IF(AND(M105&gt;0,F105-H105*L105+K105&lt;0),"Rupa nakon 1. dolaska",IF(AND(O105&gt;0,F105-H105*N105+K105+M105&lt;0),"Rupa nakon 2. dolaska",IF(P105&lt;POSTAVKE!$B$6,"Količina nije dovoljna",IF(I105&gt;=POSTAVKE!$B$6,"Sve u redu","Stiže na vrijeme")))))))</f>
        <v>Sve u redu</v>
      </c>
      <c r="S105" s="23" t="n">
        <f aca="false">IFERROR(INDEX(PODACI_PRODAJA!B:B,MATCH($A105,PODACI_PRODAJA!$A:$A,0)),0)</f>
        <v>0</v>
      </c>
      <c r="T105" s="23" t="n">
        <f aca="false">IFERROR(INDEX(PODACI_PRODAJA!C:C,MATCH($A105,PODACI_PRODAJA!$A:$A,0)),0)</f>
        <v>0</v>
      </c>
      <c r="U105" s="23" t="n">
        <f aca="false">IFERROR(INDEX(PODACI_PRODAJA!D:D,MATCH($A105,PODACI_PRODAJA!$A:$A,0)),0)</f>
        <v>0</v>
      </c>
      <c r="V105" s="23" t="n">
        <f aca="false">IFERROR(INDEX(PODACI_PRODAJA!E:E,MATCH($A105,PODACI_PRODAJA!$A:$A,0)),0)</f>
        <v>0</v>
      </c>
      <c r="W105" s="23" t="n">
        <f aca="false">IFERROR(INDEX(PODACI_PRODAJA!F:F,MATCH($A105,PODACI_PRODAJA!$A:$A,0)),0)</f>
        <v>1</v>
      </c>
      <c r="X105" s="23" t="n">
        <f aca="false">IFERROR(INDEX(PODACI_PRODAJA!G:G,MATCH($A105,PODACI_PRODAJA!$A:$A,0)),0)</f>
        <v>0</v>
      </c>
      <c r="Y105" s="23" t="n">
        <f aca="false">IFERROR(INDEX(PODACI_PRODAJA!H:H,MATCH($A105,PODACI_PRODAJA!$A:$A,0)),0)</f>
        <v>1</v>
      </c>
      <c r="Z105" s="23" t="n">
        <f aca="false">IFERROR(INDEX(PODACI_PRODAJA!I:I,MATCH($A105,PODACI_PRODAJA!$A:$A,0)),0)</f>
        <v>0</v>
      </c>
      <c r="AA105" s="23" t="n">
        <f aca="false">IFERROR(INDEX(PODACI_PRODAJA!J:J,MATCH($A105,PODACI_PRODAJA!$A:$A,0)),0)</f>
        <v>0</v>
      </c>
      <c r="AB105" s="23" t="n">
        <f aca="false">IFERROR(INDEX(PODACI_PRODAJA!K:K,MATCH($A105,PODACI_PRODAJA!$A:$A,0)),0)</f>
        <v>0</v>
      </c>
      <c r="AC105" s="23" t="n">
        <f aca="false">IFERROR(INDEX(PODACI_PRODAJA!L:L,MATCH($A105,PODACI_PRODAJA!$A:$A,0)),0)</f>
        <v>0</v>
      </c>
      <c r="AD105" s="23" t="n">
        <f aca="false">IFERROR(INDEX(PODACI_PRODAJA!M:M,MATCH($A105,PODACI_PRODAJA!$A:$A,0)),0)</f>
        <v>0</v>
      </c>
    </row>
    <row r="106" customFormat="false" ht="15" hidden="false" customHeight="false" outlineLevel="0" collapsed="false">
      <c r="A106" s="11" t="str">
        <f aca="false">PODACI_ZALIHE!A103</f>
        <v>18244</v>
      </c>
      <c r="B106" s="8" t="str">
        <f aca="false">PODACI_ZALIHE!B103</f>
        <v>ZOYA BLACK OGLEDALO R 60 cm</v>
      </c>
      <c r="C106" s="9" t="str">
        <f aca="false">PODACI_ZALIHE!C103</f>
        <v>6032</v>
      </c>
      <c r="D106" s="8" t="str">
        <f aca="false">PODACI_ZALIHE!D103</f>
        <v>HANGZHOU ZIHAN MIRROR INDUSTRY CO., LTD.</v>
      </c>
      <c r="E106" s="19" t="n">
        <f aca="false">IF(PODACI_ZALIHE!E103="","",PODACI_ZALIHE!E103)</f>
        <v>87</v>
      </c>
      <c r="F106" s="20" t="n">
        <f aca="false">PODACI_ZALIHE!F103</f>
        <v>78</v>
      </c>
      <c r="G106" s="19" t="n">
        <f aca="false">IF(E106="","",E106-F106)</f>
        <v>9</v>
      </c>
      <c r="H106" s="9" t="n">
        <f aca="false">PODACI_PRODAJA!N23</f>
        <v>30.5</v>
      </c>
      <c r="I106" s="21" t="n">
        <f aca="false">IF(H106&lt;=0,999,ROUND(F106/H106,1))</f>
        <v>2.6</v>
      </c>
      <c r="J106" s="9" t="n">
        <f aca="false">SUMIFS(ROBA_U_DOLASKU!$C$6:$C$95,ROBA_U_DOLASKU!$A$6:$A$95,A106,ROBA_U_DOLASKU!$H$6:$H$95,1)</f>
        <v>2.2</v>
      </c>
      <c r="K106" s="9" t="n">
        <f aca="false">SUMIFS(ROBA_U_DOLASKU!$B$6:$B$95,ROBA_U_DOLASKU!$A$6:$A$95,A106,ROBA_U_DOLASKU!$H$6:$H$95,1)</f>
        <v>100</v>
      </c>
      <c r="L106" s="9" t="n">
        <f aca="false">SUMIFS(ROBA_U_DOLASKU!$C$6:$C$95,ROBA_U_DOLASKU!$A$6:$A$95,A106,ROBA_U_DOLASKU!$H$6:$H$95,2)</f>
        <v>0</v>
      </c>
      <c r="M106" s="9" t="n">
        <f aca="false">SUMIFS(ROBA_U_DOLASKU!$B$6:$B$95,ROBA_U_DOLASKU!$A$6:$A$95,A106,ROBA_U_DOLASKU!$H$6:$H$95,2)</f>
        <v>0</v>
      </c>
      <c r="N106" s="9" t="n">
        <f aca="false">SUMIFS(ROBA_U_DOLASKU!$C$6:$C$95,ROBA_U_DOLASKU!$A$6:$A$95,A106,ROBA_U_DOLASKU!$H$6:$H$95,3)</f>
        <v>0</v>
      </c>
      <c r="O106" s="9" t="n">
        <f aca="false">SUMIFS(ROBA_U_DOLASKU!$B$6:$B$95,ROBA_U_DOLASKU!$A$6:$A$95,A106,ROBA_U_DOLASKU!$H$6:$H$95,3)</f>
        <v>0</v>
      </c>
      <c r="P106" s="9" t="n">
        <f aca="false">IF(H106&lt;=0,999,IF(O106&gt;0,ROUND((F106-H106*N106+K106+M106+O106)/H106,1),IF(M106&gt;0,ROUND((F106-H106*L106+K106+M106)/H106,1),IF(K106&gt;0,ROUND((F106-H106*J106+K106)/H106,1),I106))))</f>
        <v>3.6</v>
      </c>
      <c r="Q106" s="22" t="str">
        <f aca="false">IF(H106&lt;=0,"Nema prodaje",IF(AND(K106=0,M106=0,O106=0),IF(I106&lt;POSTAVKE!$B$6,"Naruči odmah","Sve u redu"),IF(F106-H106*J106&lt;0,"Rupa za ~"&amp;TEXT(I106,"0.0")&amp;" mj.",IF(AND(M106&gt;0,F106-H106*L106+K106&lt;0),"Rupa nakon 1. dolaska",IF(AND(O106&gt;0,F106-H106*N106+K106+M106&lt;0),"Rupa nakon 2. dolaska",IF(P106&lt;POSTAVKE!$B$6,"Količina nije dovoljna",IF(I106&gt;=POSTAVKE!$B$6,"Sve u redu","Stiže na vrijeme")))))))</f>
        <v>Količina nije dovoljna</v>
      </c>
      <c r="S106" s="23" t="n">
        <f aca="false">IFERROR(INDEX(PODACI_PRODAJA!B:B,MATCH($A106,PODACI_PRODAJA!$A:$A,0)),0)</f>
        <v>38</v>
      </c>
      <c r="T106" s="23" t="n">
        <f aca="false">IFERROR(INDEX(PODACI_PRODAJA!C:C,MATCH($A106,PODACI_PRODAJA!$A:$A,0)),0)</f>
        <v>44</v>
      </c>
      <c r="U106" s="23" t="n">
        <f aca="false">IFERROR(INDEX(PODACI_PRODAJA!D:D,MATCH($A106,PODACI_PRODAJA!$A:$A,0)),0)</f>
        <v>22</v>
      </c>
      <c r="V106" s="23" t="n">
        <f aca="false">IFERROR(INDEX(PODACI_PRODAJA!E:E,MATCH($A106,PODACI_PRODAJA!$A:$A,0)),0)</f>
        <v>44</v>
      </c>
      <c r="W106" s="23" t="n">
        <f aca="false">IFERROR(INDEX(PODACI_PRODAJA!F:F,MATCH($A106,PODACI_PRODAJA!$A:$A,0)),0)</f>
        <v>50</v>
      </c>
      <c r="X106" s="23" t="n">
        <f aca="false">IFERROR(INDEX(PODACI_PRODAJA!G:G,MATCH($A106,PODACI_PRODAJA!$A:$A,0)),0)</f>
        <v>3</v>
      </c>
      <c r="Y106" s="23" t="n">
        <f aca="false">IFERROR(INDEX(PODACI_PRODAJA!H:H,MATCH($A106,PODACI_PRODAJA!$A:$A,0)),0)</f>
        <v>0</v>
      </c>
      <c r="Z106" s="23" t="n">
        <f aca="false">IFERROR(INDEX(PODACI_PRODAJA!I:I,MATCH($A106,PODACI_PRODAJA!$A:$A,0)),0)</f>
        <v>43</v>
      </c>
      <c r="AA106" s="23" t="n">
        <f aca="false">IFERROR(INDEX(PODACI_PRODAJA!J:J,MATCH($A106,PODACI_PRODAJA!$A:$A,0)),0)</f>
        <v>7</v>
      </c>
      <c r="AB106" s="23" t="n">
        <f aca="false">IFERROR(INDEX(PODACI_PRODAJA!K:K,MATCH($A106,PODACI_PRODAJA!$A:$A,0)),0)</f>
        <v>0</v>
      </c>
      <c r="AC106" s="23" t="n">
        <f aca="false">IFERROR(INDEX(PODACI_PRODAJA!L:L,MATCH($A106,PODACI_PRODAJA!$A:$A,0)),0)</f>
        <v>0</v>
      </c>
      <c r="AD106" s="23" t="n">
        <f aca="false">IFERROR(INDEX(PODACI_PRODAJA!M:M,MATCH($A106,PODACI_PRODAJA!$A:$A,0)),0)</f>
        <v>0</v>
      </c>
    </row>
    <row r="107" customFormat="false" ht="15" hidden="false" customHeight="false" outlineLevel="0" collapsed="false">
      <c r="A107" s="11" t="str">
        <f aca="false">PODACI_ZALIHE!A104</f>
        <v>003908</v>
      </c>
      <c r="B107" s="8" t="str">
        <f aca="false">PODACI_ZALIHE!B104</f>
        <v>SIENA MJEŠALICA ZA KADU</v>
      </c>
      <c r="C107" s="9" t="str">
        <f aca="false">PODACI_ZALIHE!C104</f>
        <v>4053</v>
      </c>
      <c r="D107" s="8" t="str">
        <f aca="false">PODACI_ZALIHE!D104</f>
        <v>TAIZHOU ZHENGSHING VALVE CO .,LTD</v>
      </c>
      <c r="E107" s="19" t="n">
        <f aca="false">IF(PODACI_ZALIHE!E104="","",PODACI_ZALIHE!E104)</f>
        <v>77</v>
      </c>
      <c r="F107" s="20" t="n">
        <f aca="false">PODACI_ZALIHE!F104</f>
        <v>77</v>
      </c>
      <c r="G107" s="19" t="n">
        <f aca="false">IF(E107="","",E107-F107)</f>
        <v>0</v>
      </c>
      <c r="H107" s="9" t="n">
        <f aca="false">PODACI_PRODAJA!N68</f>
        <v>14.25</v>
      </c>
      <c r="I107" s="21" t="n">
        <f aca="false">IF(H107&lt;=0,999,ROUND(F107/H107,1))</f>
        <v>5.4</v>
      </c>
      <c r="J107" s="9" t="n">
        <f aca="false">SUMIFS(ROBA_U_DOLASKU!$C$6:$C$95,ROBA_U_DOLASKU!$A$6:$A$95,A107,ROBA_U_DOLASKU!$H$6:$H$95,1)</f>
        <v>0</v>
      </c>
      <c r="K107" s="9" t="n">
        <f aca="false">SUMIFS(ROBA_U_DOLASKU!$B$6:$B$95,ROBA_U_DOLASKU!$A$6:$A$95,A107,ROBA_U_DOLASKU!$H$6:$H$95,1)</f>
        <v>0</v>
      </c>
      <c r="L107" s="9" t="n">
        <f aca="false">SUMIFS(ROBA_U_DOLASKU!$C$6:$C$95,ROBA_U_DOLASKU!$A$6:$A$95,A107,ROBA_U_DOLASKU!$H$6:$H$95,2)</f>
        <v>0</v>
      </c>
      <c r="M107" s="9" t="n">
        <f aca="false">SUMIFS(ROBA_U_DOLASKU!$B$6:$B$95,ROBA_U_DOLASKU!$A$6:$A$95,A107,ROBA_U_DOLASKU!$H$6:$H$95,2)</f>
        <v>0</v>
      </c>
      <c r="N107" s="9" t="n">
        <f aca="false">SUMIFS(ROBA_U_DOLASKU!$C$6:$C$95,ROBA_U_DOLASKU!$A$6:$A$95,A107,ROBA_U_DOLASKU!$H$6:$H$95,3)</f>
        <v>0</v>
      </c>
      <c r="O107" s="9" t="n">
        <f aca="false">SUMIFS(ROBA_U_DOLASKU!$B$6:$B$95,ROBA_U_DOLASKU!$A$6:$A$95,A107,ROBA_U_DOLASKU!$H$6:$H$95,3)</f>
        <v>0</v>
      </c>
      <c r="P107" s="9" t="n">
        <f aca="false">IF(H107&lt;=0,999,IF(O107&gt;0,ROUND((F107-H107*N107+K107+M107+O107)/H107,1),IF(M107&gt;0,ROUND((F107-H107*L107+K107+M107)/H107,1),IF(K107&gt;0,ROUND((F107-H107*J107+K107)/H107,1),I107))))</f>
        <v>5.4</v>
      </c>
      <c r="Q107" s="22" t="str">
        <f aca="false">IF(H107&lt;=0,"Nema prodaje",IF(AND(K107=0,M107=0,O107=0),IF(I107&lt;POSTAVKE!$B$6,"Naruči odmah","Sve u redu"),IF(F107-H107*J107&lt;0,"Rupa za ~"&amp;TEXT(I107,"0.0")&amp;" mj.",IF(AND(M107&gt;0,F107-H107*L107+K107&lt;0),"Rupa nakon 1. dolaska",IF(AND(O107&gt;0,F107-H107*N107+K107+M107&lt;0),"Rupa nakon 2. dolaska",IF(P107&lt;POSTAVKE!$B$6,"Količina nije dovoljna",IF(I107&gt;=POSTAVKE!$B$6,"Sve u redu","Stiže na vrijeme")))))))</f>
        <v>Sve u redu</v>
      </c>
      <c r="S107" s="23" t="n">
        <f aca="false">IFERROR(INDEX(PODACI_PRODAJA!B:B,MATCH($A107,PODACI_PRODAJA!$A:$A,0)),0)</f>
        <v>10</v>
      </c>
      <c r="T107" s="23" t="n">
        <f aca="false">IFERROR(INDEX(PODACI_PRODAJA!C:C,MATCH($A107,PODACI_PRODAJA!$A:$A,0)),0)</f>
        <v>11</v>
      </c>
      <c r="U107" s="23" t="n">
        <f aca="false">IFERROR(INDEX(PODACI_PRODAJA!D:D,MATCH($A107,PODACI_PRODAJA!$A:$A,0)),0)</f>
        <v>13</v>
      </c>
      <c r="V107" s="23" t="n">
        <f aca="false">IFERROR(INDEX(PODACI_PRODAJA!E:E,MATCH($A107,PODACI_PRODAJA!$A:$A,0)),0)</f>
        <v>18</v>
      </c>
      <c r="W107" s="23" t="n">
        <f aca="false">IFERROR(INDEX(PODACI_PRODAJA!F:F,MATCH($A107,PODACI_PRODAJA!$A:$A,0)),0)</f>
        <v>10</v>
      </c>
      <c r="X107" s="23" t="n">
        <f aca="false">IFERROR(INDEX(PODACI_PRODAJA!G:G,MATCH($A107,PODACI_PRODAJA!$A:$A,0)),0)</f>
        <v>19</v>
      </c>
      <c r="Y107" s="23" t="n">
        <f aca="false">IFERROR(INDEX(PODACI_PRODAJA!H:H,MATCH($A107,PODACI_PRODAJA!$A:$A,0)),0)</f>
        <v>26</v>
      </c>
      <c r="Z107" s="23" t="n">
        <f aca="false">IFERROR(INDEX(PODACI_PRODAJA!I:I,MATCH($A107,PODACI_PRODAJA!$A:$A,0)),0)</f>
        <v>7</v>
      </c>
      <c r="AA107" s="23" t="n">
        <f aca="false">IFERROR(INDEX(PODACI_PRODAJA!J:J,MATCH($A107,PODACI_PRODAJA!$A:$A,0)),0)</f>
        <v>0</v>
      </c>
      <c r="AB107" s="23" t="n">
        <f aca="false">IFERROR(INDEX(PODACI_PRODAJA!K:K,MATCH($A107,PODACI_PRODAJA!$A:$A,0)),0)</f>
        <v>0</v>
      </c>
      <c r="AC107" s="23" t="n">
        <f aca="false">IFERROR(INDEX(PODACI_PRODAJA!L:L,MATCH($A107,PODACI_PRODAJA!$A:$A,0)),0)</f>
        <v>0</v>
      </c>
      <c r="AD107" s="23" t="n">
        <f aca="false">IFERROR(INDEX(PODACI_PRODAJA!M:M,MATCH($A107,PODACI_PRODAJA!$A:$A,0)),0)</f>
        <v>0</v>
      </c>
    </row>
    <row r="108" customFormat="false" ht="15" hidden="false" customHeight="false" outlineLevel="0" collapsed="false">
      <c r="A108" s="11" t="str">
        <f aca="false">PODACI_ZALIHE!A105</f>
        <v>16059</v>
      </c>
      <c r="B108" s="8" t="str">
        <f aca="false">PODACI_ZALIHE!B105</f>
        <v>TK SPRING 90 POLUKRUŽNA TUŠ KABINA 90x90x180 cm</v>
      </c>
      <c r="C108" s="9" t="str">
        <f aca="false">PODACI_ZALIHE!C105</f>
        <v>2515</v>
      </c>
      <c r="D108" s="8" t="str">
        <f aca="false">PODACI_ZALIHE!D105</f>
        <v>HANGZHOU ZHUGELAI JINGYI CO., LTD.</v>
      </c>
      <c r="E108" s="19" t="n">
        <f aca="false">IF(PODACI_ZALIHE!E105="","",PODACI_ZALIHE!E105)</f>
        <v>79</v>
      </c>
      <c r="F108" s="20" t="n">
        <f aca="false">PODACI_ZALIHE!F105</f>
        <v>77</v>
      </c>
      <c r="G108" s="19" t="n">
        <f aca="false">IF(E108="","",E108-F108)</f>
        <v>2</v>
      </c>
      <c r="H108" s="9" t="n">
        <f aca="false">PODACI_PRODAJA!N554</f>
        <v>2</v>
      </c>
      <c r="I108" s="21" t="n">
        <f aca="false">IF(H108&lt;=0,999,ROUND(F108/H108,1))</f>
        <v>38.5</v>
      </c>
      <c r="J108" s="9" t="n">
        <f aca="false">SUMIFS(ROBA_U_DOLASKU!$C$6:$C$95,ROBA_U_DOLASKU!$A$6:$A$95,A108,ROBA_U_DOLASKU!$H$6:$H$95,1)</f>
        <v>0</v>
      </c>
      <c r="K108" s="9" t="n">
        <f aca="false">SUMIFS(ROBA_U_DOLASKU!$B$6:$B$95,ROBA_U_DOLASKU!$A$6:$A$95,A108,ROBA_U_DOLASKU!$H$6:$H$95,1)</f>
        <v>0</v>
      </c>
      <c r="L108" s="9" t="n">
        <f aca="false">SUMIFS(ROBA_U_DOLASKU!$C$6:$C$95,ROBA_U_DOLASKU!$A$6:$A$95,A108,ROBA_U_DOLASKU!$H$6:$H$95,2)</f>
        <v>0</v>
      </c>
      <c r="M108" s="9" t="n">
        <f aca="false">SUMIFS(ROBA_U_DOLASKU!$B$6:$B$95,ROBA_U_DOLASKU!$A$6:$A$95,A108,ROBA_U_DOLASKU!$H$6:$H$95,2)</f>
        <v>0</v>
      </c>
      <c r="N108" s="9" t="n">
        <f aca="false">SUMIFS(ROBA_U_DOLASKU!$C$6:$C$95,ROBA_U_DOLASKU!$A$6:$A$95,A108,ROBA_U_DOLASKU!$H$6:$H$95,3)</f>
        <v>0</v>
      </c>
      <c r="O108" s="9" t="n">
        <f aca="false">SUMIFS(ROBA_U_DOLASKU!$B$6:$B$95,ROBA_U_DOLASKU!$A$6:$A$95,A108,ROBA_U_DOLASKU!$H$6:$H$95,3)</f>
        <v>0</v>
      </c>
      <c r="P108" s="9" t="n">
        <f aca="false">IF(H108&lt;=0,999,IF(O108&gt;0,ROUND((F108-H108*N108+K108+M108+O108)/H108,1),IF(M108&gt;0,ROUND((F108-H108*L108+K108+M108)/H108,1),IF(K108&gt;0,ROUND((F108-H108*J108+K108)/H108,1),I108))))</f>
        <v>38.5</v>
      </c>
      <c r="Q108" s="22" t="str">
        <f aca="false">IF(H108&lt;=0,"Nema prodaje",IF(AND(K108=0,M108=0,O108=0),IF(I108&lt;POSTAVKE!$B$6,"Naruči odmah","Sve u redu"),IF(F108-H108*J108&lt;0,"Rupa za ~"&amp;TEXT(I108,"0.0")&amp;" mj.",IF(AND(M108&gt;0,F108-H108*L108+K108&lt;0),"Rupa nakon 1. dolaska",IF(AND(O108&gt;0,F108-H108*N108+K108+M108&lt;0),"Rupa nakon 2. dolaska",IF(P108&lt;POSTAVKE!$B$6,"Količina nije dovoljna",IF(I108&gt;=POSTAVKE!$B$6,"Sve u redu","Stiže na vrijeme")))))))</f>
        <v>Sve u redu</v>
      </c>
      <c r="S108" s="23" t="n">
        <f aca="false">IFERROR(INDEX(PODACI_PRODAJA!B:B,MATCH($A108,PODACI_PRODAJA!$A:$A,0)),0)</f>
        <v>0</v>
      </c>
      <c r="T108" s="23" t="n">
        <f aca="false">IFERROR(INDEX(PODACI_PRODAJA!C:C,MATCH($A108,PODACI_PRODAJA!$A:$A,0)),0)</f>
        <v>2</v>
      </c>
      <c r="U108" s="23" t="n">
        <f aca="false">IFERROR(INDEX(PODACI_PRODAJA!D:D,MATCH($A108,PODACI_PRODAJA!$A:$A,0)),0)</f>
        <v>5</v>
      </c>
      <c r="V108" s="23" t="n">
        <f aca="false">IFERROR(INDEX(PODACI_PRODAJA!E:E,MATCH($A108,PODACI_PRODAJA!$A:$A,0)),0)</f>
        <v>0</v>
      </c>
      <c r="W108" s="23" t="n">
        <f aca="false">IFERROR(INDEX(PODACI_PRODAJA!F:F,MATCH($A108,PODACI_PRODAJA!$A:$A,0)),0)</f>
        <v>2</v>
      </c>
      <c r="X108" s="23" t="n">
        <f aca="false">IFERROR(INDEX(PODACI_PRODAJA!G:G,MATCH($A108,PODACI_PRODAJA!$A:$A,0)),0)</f>
        <v>2</v>
      </c>
      <c r="Y108" s="23" t="n">
        <f aca="false">IFERROR(INDEX(PODACI_PRODAJA!H:H,MATCH($A108,PODACI_PRODAJA!$A:$A,0)),0)</f>
        <v>1</v>
      </c>
      <c r="Z108" s="23" t="n">
        <f aca="false">IFERROR(INDEX(PODACI_PRODAJA!I:I,MATCH($A108,PODACI_PRODAJA!$A:$A,0)),0)</f>
        <v>4</v>
      </c>
      <c r="AA108" s="23" t="n">
        <f aca="false">IFERROR(INDEX(PODACI_PRODAJA!J:J,MATCH($A108,PODACI_PRODAJA!$A:$A,0)),0)</f>
        <v>0</v>
      </c>
      <c r="AB108" s="23" t="n">
        <f aca="false">IFERROR(INDEX(PODACI_PRODAJA!K:K,MATCH($A108,PODACI_PRODAJA!$A:$A,0)),0)</f>
        <v>0</v>
      </c>
      <c r="AC108" s="23" t="n">
        <f aca="false">IFERROR(INDEX(PODACI_PRODAJA!L:L,MATCH($A108,PODACI_PRODAJA!$A:$A,0)),0)</f>
        <v>0</v>
      </c>
      <c r="AD108" s="23" t="n">
        <f aca="false">IFERROR(INDEX(PODACI_PRODAJA!M:M,MATCH($A108,PODACI_PRODAJA!$A:$A,0)),0)</f>
        <v>0</v>
      </c>
    </row>
    <row r="109" customFormat="false" ht="15" hidden="false" customHeight="false" outlineLevel="0" collapsed="false">
      <c r="A109" s="11" t="str">
        <f aca="false">PODACI_ZALIHE!A106</f>
        <v>16854</v>
      </c>
      <c r="B109" s="8" t="str">
        <f aca="false">PODACI_ZALIHE!B106</f>
        <v>MONDO VISEĆI BIDE 490x370x320 mm</v>
      </c>
      <c r="C109" s="9" t="n">
        <f aca="false">PODACI_ZALIHE!C106</f>
        <v>0</v>
      </c>
      <c r="D109" s="8" t="n">
        <f aca="false">PODACI_ZALIHE!D106</f>
        <v>0</v>
      </c>
      <c r="E109" s="19" t="n">
        <f aca="false">IF(PODACI_ZALIHE!E106="","",PODACI_ZALIHE!E106)</f>
        <v>76</v>
      </c>
      <c r="F109" s="20" t="n">
        <f aca="false">PODACI_ZALIHE!F106</f>
        <v>76</v>
      </c>
      <c r="G109" s="19" t="n">
        <f aca="false">IF(E109="","",E109-F109)</f>
        <v>0</v>
      </c>
      <c r="H109" s="9" t="n">
        <f aca="false">PODACI_PRODAJA!N256</f>
        <v>0.88</v>
      </c>
      <c r="I109" s="21" t="n">
        <f aca="false">IF(H109&lt;=0,999,ROUND(F109/H109,1))</f>
        <v>86.4</v>
      </c>
      <c r="J109" s="9" t="n">
        <f aca="false">SUMIFS(ROBA_U_DOLASKU!$C$6:$C$95,ROBA_U_DOLASKU!$A$6:$A$95,A109,ROBA_U_DOLASKU!$H$6:$H$95,1)</f>
        <v>0</v>
      </c>
      <c r="K109" s="9" t="n">
        <f aca="false">SUMIFS(ROBA_U_DOLASKU!$B$6:$B$95,ROBA_U_DOLASKU!$A$6:$A$95,A109,ROBA_U_DOLASKU!$H$6:$H$95,1)</f>
        <v>0</v>
      </c>
      <c r="L109" s="9" t="n">
        <f aca="false">SUMIFS(ROBA_U_DOLASKU!$C$6:$C$95,ROBA_U_DOLASKU!$A$6:$A$95,A109,ROBA_U_DOLASKU!$H$6:$H$95,2)</f>
        <v>0</v>
      </c>
      <c r="M109" s="9" t="n">
        <f aca="false">SUMIFS(ROBA_U_DOLASKU!$B$6:$B$95,ROBA_U_DOLASKU!$A$6:$A$95,A109,ROBA_U_DOLASKU!$H$6:$H$95,2)</f>
        <v>0</v>
      </c>
      <c r="N109" s="9" t="n">
        <f aca="false">SUMIFS(ROBA_U_DOLASKU!$C$6:$C$95,ROBA_U_DOLASKU!$A$6:$A$95,A109,ROBA_U_DOLASKU!$H$6:$H$95,3)</f>
        <v>0</v>
      </c>
      <c r="O109" s="9" t="n">
        <f aca="false">SUMIFS(ROBA_U_DOLASKU!$B$6:$B$95,ROBA_U_DOLASKU!$A$6:$A$95,A109,ROBA_U_DOLASKU!$H$6:$H$95,3)</f>
        <v>0</v>
      </c>
      <c r="P109" s="9" t="n">
        <f aca="false">IF(H109&lt;=0,999,IF(O109&gt;0,ROUND((F109-H109*N109+K109+M109+O109)/H109,1),IF(M109&gt;0,ROUND((F109-H109*L109+K109+M109)/H109,1),IF(K109&gt;0,ROUND((F109-H109*J109+K109)/H109,1),I109))))</f>
        <v>86.4</v>
      </c>
      <c r="Q109" s="22" t="str">
        <f aca="false">IF(H109&lt;=0,"Nema prodaje",IF(AND(K109=0,M109=0,O109=0),IF(I109&lt;POSTAVKE!$B$6,"Naruči odmah","Sve u redu"),IF(F109-H109*J109&lt;0,"Rupa za ~"&amp;TEXT(I109,"0.0")&amp;" mj.",IF(AND(M109&gt;0,F109-H109*L109+K109&lt;0),"Rupa nakon 1. dolaska",IF(AND(O109&gt;0,F109-H109*N109+K109+M109&lt;0),"Rupa nakon 2. dolaska",IF(P109&lt;POSTAVKE!$B$6,"Količina nije dovoljna",IF(I109&gt;=POSTAVKE!$B$6,"Sve u redu","Stiže na vrijeme")))))))</f>
        <v>Sve u redu</v>
      </c>
      <c r="S109" s="23" t="n">
        <f aca="false">IFERROR(INDEX(PODACI_PRODAJA!B:B,MATCH($A109,PODACI_PRODAJA!$A:$A,0)),0)</f>
        <v>1</v>
      </c>
      <c r="T109" s="23" t="n">
        <f aca="false">IFERROR(INDEX(PODACI_PRODAJA!C:C,MATCH($A109,PODACI_PRODAJA!$A:$A,0)),0)</f>
        <v>0</v>
      </c>
      <c r="U109" s="23" t="n">
        <f aca="false">IFERROR(INDEX(PODACI_PRODAJA!D:D,MATCH($A109,PODACI_PRODAJA!$A:$A,0)),0)</f>
        <v>2</v>
      </c>
      <c r="V109" s="23" t="n">
        <f aca="false">IFERROR(INDEX(PODACI_PRODAJA!E:E,MATCH($A109,PODACI_PRODAJA!$A:$A,0)),0)</f>
        <v>0</v>
      </c>
      <c r="W109" s="23" t="n">
        <f aca="false">IFERROR(INDEX(PODACI_PRODAJA!F:F,MATCH($A109,PODACI_PRODAJA!$A:$A,0)),0)</f>
        <v>1</v>
      </c>
      <c r="X109" s="23" t="n">
        <f aca="false">IFERROR(INDEX(PODACI_PRODAJA!G:G,MATCH($A109,PODACI_PRODAJA!$A:$A,0)),0)</f>
        <v>2</v>
      </c>
      <c r="Y109" s="23" t="n">
        <f aca="false">IFERROR(INDEX(PODACI_PRODAJA!H:H,MATCH($A109,PODACI_PRODAJA!$A:$A,0)),0)</f>
        <v>1</v>
      </c>
      <c r="Z109" s="23" t="n">
        <f aca="false">IFERROR(INDEX(PODACI_PRODAJA!I:I,MATCH($A109,PODACI_PRODAJA!$A:$A,0)),0)</f>
        <v>0</v>
      </c>
      <c r="AA109" s="23" t="n">
        <f aca="false">IFERROR(INDEX(PODACI_PRODAJA!J:J,MATCH($A109,PODACI_PRODAJA!$A:$A,0)),0)</f>
        <v>0</v>
      </c>
      <c r="AB109" s="23" t="n">
        <f aca="false">IFERROR(INDEX(PODACI_PRODAJA!K:K,MATCH($A109,PODACI_PRODAJA!$A:$A,0)),0)</f>
        <v>0</v>
      </c>
      <c r="AC109" s="23" t="n">
        <f aca="false">IFERROR(INDEX(PODACI_PRODAJA!L:L,MATCH($A109,PODACI_PRODAJA!$A:$A,0)),0)</f>
        <v>0</v>
      </c>
      <c r="AD109" s="23" t="n">
        <f aca="false">IFERROR(INDEX(PODACI_PRODAJA!M:M,MATCH($A109,PODACI_PRODAJA!$A:$A,0)),0)</f>
        <v>0</v>
      </c>
    </row>
    <row r="110" customFormat="false" ht="15" hidden="false" customHeight="false" outlineLevel="0" collapsed="false">
      <c r="A110" s="11" t="str">
        <f aca="false">PODACI_ZALIHE!A107</f>
        <v>17184</v>
      </c>
      <c r="B110" s="8" t="str">
        <f aca="false">PODACI_ZALIHE!B107</f>
        <v>REFLECT DRŽAČ ZA DVA RUČNIKA 61 CM - KROM</v>
      </c>
      <c r="C110" s="9" t="str">
        <f aca="false">PODACI_ZALIHE!C107</f>
        <v>6458</v>
      </c>
      <c r="D110" s="8" t="str">
        <f aca="false">PODACI_ZALIHE!D107</f>
        <v>BOJIA TRADING LIMITED</v>
      </c>
      <c r="E110" s="19" t="n">
        <f aca="false">IF(PODACI_ZALIHE!E107="","",PODACI_ZALIHE!E107)</f>
        <v>76</v>
      </c>
      <c r="F110" s="20" t="n">
        <f aca="false">PODACI_ZALIHE!F107</f>
        <v>76</v>
      </c>
      <c r="G110" s="19" t="n">
        <f aca="false">IF(E110="","",E110-F110)</f>
        <v>0</v>
      </c>
      <c r="H110" s="9" t="n">
        <f aca="false">PODACI_PRODAJA!N210</f>
        <v>1.63</v>
      </c>
      <c r="I110" s="21" t="n">
        <f aca="false">IF(H110&lt;=0,999,ROUND(F110/H110,1))</f>
        <v>46.6</v>
      </c>
      <c r="J110" s="9" t="n">
        <f aca="false">SUMIFS(ROBA_U_DOLASKU!$C$6:$C$95,ROBA_U_DOLASKU!$A$6:$A$95,A110,ROBA_U_DOLASKU!$H$6:$H$95,1)</f>
        <v>0</v>
      </c>
      <c r="K110" s="9" t="n">
        <f aca="false">SUMIFS(ROBA_U_DOLASKU!$B$6:$B$95,ROBA_U_DOLASKU!$A$6:$A$95,A110,ROBA_U_DOLASKU!$H$6:$H$95,1)</f>
        <v>0</v>
      </c>
      <c r="L110" s="9" t="n">
        <f aca="false">SUMIFS(ROBA_U_DOLASKU!$C$6:$C$95,ROBA_U_DOLASKU!$A$6:$A$95,A110,ROBA_U_DOLASKU!$H$6:$H$95,2)</f>
        <v>0</v>
      </c>
      <c r="M110" s="9" t="n">
        <f aca="false">SUMIFS(ROBA_U_DOLASKU!$B$6:$B$95,ROBA_U_DOLASKU!$A$6:$A$95,A110,ROBA_U_DOLASKU!$H$6:$H$95,2)</f>
        <v>0</v>
      </c>
      <c r="N110" s="9" t="n">
        <f aca="false">SUMIFS(ROBA_U_DOLASKU!$C$6:$C$95,ROBA_U_DOLASKU!$A$6:$A$95,A110,ROBA_U_DOLASKU!$H$6:$H$95,3)</f>
        <v>0</v>
      </c>
      <c r="O110" s="9" t="n">
        <f aca="false">SUMIFS(ROBA_U_DOLASKU!$B$6:$B$95,ROBA_U_DOLASKU!$A$6:$A$95,A110,ROBA_U_DOLASKU!$H$6:$H$95,3)</f>
        <v>0</v>
      </c>
      <c r="P110" s="9" t="n">
        <f aca="false">IF(H110&lt;=0,999,IF(O110&gt;0,ROUND((F110-H110*N110+K110+M110+O110)/H110,1),IF(M110&gt;0,ROUND((F110-H110*L110+K110+M110)/H110,1),IF(K110&gt;0,ROUND((F110-H110*J110+K110)/H110,1),I110))))</f>
        <v>46.6</v>
      </c>
      <c r="Q110" s="22" t="str">
        <f aca="false">IF(H110&lt;=0,"Nema prodaje",IF(AND(K110=0,M110=0,O110=0),IF(I110&lt;POSTAVKE!$B$6,"Naruči odmah","Sve u redu"),IF(F110-H110*J110&lt;0,"Rupa za ~"&amp;TEXT(I110,"0.0")&amp;" mj.",IF(AND(M110&gt;0,F110-H110*L110+K110&lt;0),"Rupa nakon 1. dolaska",IF(AND(O110&gt;0,F110-H110*N110+K110+M110&lt;0),"Rupa nakon 2. dolaska",IF(P110&lt;POSTAVKE!$B$6,"Količina nije dovoljna",IF(I110&gt;=POSTAVKE!$B$6,"Sve u redu","Stiže na vrijeme")))))))</f>
        <v>Sve u redu</v>
      </c>
      <c r="S110" s="23" t="n">
        <f aca="false">IFERROR(INDEX(PODACI_PRODAJA!B:B,MATCH($A110,PODACI_PRODAJA!$A:$A,0)),0)</f>
        <v>2</v>
      </c>
      <c r="T110" s="23" t="n">
        <f aca="false">IFERROR(INDEX(PODACI_PRODAJA!C:C,MATCH($A110,PODACI_PRODAJA!$A:$A,0)),0)</f>
        <v>2</v>
      </c>
      <c r="U110" s="23" t="n">
        <f aca="false">IFERROR(INDEX(PODACI_PRODAJA!D:D,MATCH($A110,PODACI_PRODAJA!$A:$A,0)),0)</f>
        <v>0</v>
      </c>
      <c r="V110" s="23" t="n">
        <f aca="false">IFERROR(INDEX(PODACI_PRODAJA!E:E,MATCH($A110,PODACI_PRODAJA!$A:$A,0)),0)</f>
        <v>1</v>
      </c>
      <c r="W110" s="23" t="n">
        <f aca="false">IFERROR(INDEX(PODACI_PRODAJA!F:F,MATCH($A110,PODACI_PRODAJA!$A:$A,0)),0)</f>
        <v>3</v>
      </c>
      <c r="X110" s="23" t="n">
        <f aca="false">IFERROR(INDEX(PODACI_PRODAJA!G:G,MATCH($A110,PODACI_PRODAJA!$A:$A,0)),0)</f>
        <v>5</v>
      </c>
      <c r="Y110" s="23" t="n">
        <f aca="false">IFERROR(INDEX(PODACI_PRODAJA!H:H,MATCH($A110,PODACI_PRODAJA!$A:$A,0)),0)</f>
        <v>0</v>
      </c>
      <c r="Z110" s="23" t="n">
        <f aca="false">IFERROR(INDEX(PODACI_PRODAJA!I:I,MATCH($A110,PODACI_PRODAJA!$A:$A,0)),0)</f>
        <v>0</v>
      </c>
      <c r="AA110" s="23" t="n">
        <f aca="false">IFERROR(INDEX(PODACI_PRODAJA!J:J,MATCH($A110,PODACI_PRODAJA!$A:$A,0)),0)</f>
        <v>0</v>
      </c>
      <c r="AB110" s="23" t="n">
        <f aca="false">IFERROR(INDEX(PODACI_PRODAJA!K:K,MATCH($A110,PODACI_PRODAJA!$A:$A,0)),0)</f>
        <v>0</v>
      </c>
      <c r="AC110" s="23" t="n">
        <f aca="false">IFERROR(INDEX(PODACI_PRODAJA!L:L,MATCH($A110,PODACI_PRODAJA!$A:$A,0)),0)</f>
        <v>0</v>
      </c>
      <c r="AD110" s="23" t="n">
        <f aca="false">IFERROR(INDEX(PODACI_PRODAJA!M:M,MATCH($A110,PODACI_PRODAJA!$A:$A,0)),0)</f>
        <v>0</v>
      </c>
    </row>
    <row r="111" customFormat="false" ht="15" hidden="false" customHeight="false" outlineLevel="0" collapsed="false">
      <c r="A111" s="11" t="str">
        <f aca="false">PODACI_ZALIHE!A108</f>
        <v>18437</v>
      </c>
      <c r="B111" s="8" t="str">
        <f aca="false">PODACI_ZALIHE!B108</f>
        <v>ILLUMEA LED OGLEDALO 80x100 cm CCT 3000/4000/5000K</v>
      </c>
      <c r="C111" s="9" t="str">
        <f aca="false">PODACI_ZALIHE!C108</f>
        <v>6032</v>
      </c>
      <c r="D111" s="8" t="str">
        <f aca="false">PODACI_ZALIHE!D108</f>
        <v>HANGZHOU ZIHAN MIRROR INDUSTRY CO., LTD.</v>
      </c>
      <c r="E111" s="19" t="n">
        <f aca="false">IF(PODACI_ZALIHE!E108="","",PODACI_ZALIHE!E108)</f>
        <v>79</v>
      </c>
      <c r="F111" s="20" t="n">
        <f aca="false">PODACI_ZALIHE!F108</f>
        <v>76</v>
      </c>
      <c r="G111" s="19" t="n">
        <f aca="false">IF(E111="","",E111-F111)</f>
        <v>3</v>
      </c>
      <c r="H111" s="9" t="n">
        <f aca="false">PODACI_PRODAJA!N285</f>
        <v>4</v>
      </c>
      <c r="I111" s="21" t="n">
        <f aca="false">IF(H111&lt;=0,999,ROUND(F111/H111,1))</f>
        <v>19</v>
      </c>
      <c r="J111" s="9" t="n">
        <f aca="false">SUMIFS(ROBA_U_DOLASKU!$C$6:$C$95,ROBA_U_DOLASKU!$A$6:$A$95,A111,ROBA_U_DOLASKU!$H$6:$H$95,1)</f>
        <v>2.2</v>
      </c>
      <c r="K111" s="9" t="n">
        <f aca="false">SUMIFS(ROBA_U_DOLASKU!$B$6:$B$95,ROBA_U_DOLASKU!$A$6:$A$95,A111,ROBA_U_DOLASKU!$H$6:$H$95,1)</f>
        <v>80</v>
      </c>
      <c r="L111" s="9" t="n">
        <f aca="false">SUMIFS(ROBA_U_DOLASKU!$C$6:$C$95,ROBA_U_DOLASKU!$A$6:$A$95,A111,ROBA_U_DOLASKU!$H$6:$H$95,2)</f>
        <v>0</v>
      </c>
      <c r="M111" s="9" t="n">
        <f aca="false">SUMIFS(ROBA_U_DOLASKU!$B$6:$B$95,ROBA_U_DOLASKU!$A$6:$A$95,A111,ROBA_U_DOLASKU!$H$6:$H$95,2)</f>
        <v>0</v>
      </c>
      <c r="N111" s="9" t="n">
        <f aca="false">SUMIFS(ROBA_U_DOLASKU!$C$6:$C$95,ROBA_U_DOLASKU!$A$6:$A$95,A111,ROBA_U_DOLASKU!$H$6:$H$95,3)</f>
        <v>0</v>
      </c>
      <c r="O111" s="9" t="n">
        <f aca="false">SUMIFS(ROBA_U_DOLASKU!$B$6:$B$95,ROBA_U_DOLASKU!$A$6:$A$95,A111,ROBA_U_DOLASKU!$H$6:$H$95,3)</f>
        <v>0</v>
      </c>
      <c r="P111" s="9" t="n">
        <f aca="false">IF(H111&lt;=0,999,IF(O111&gt;0,ROUND((F111-H111*N111+K111+M111+O111)/H111,1),IF(M111&gt;0,ROUND((F111-H111*L111+K111+M111)/H111,1),IF(K111&gt;0,ROUND((F111-H111*J111+K111)/H111,1),I111))))</f>
        <v>36.8</v>
      </c>
      <c r="Q111" s="22" t="str">
        <f aca="false">IF(H111&lt;=0,"Nema prodaje",IF(AND(K111=0,M111=0,O111=0),IF(I111&lt;POSTAVKE!$B$6,"Naruči odmah","Sve u redu"),IF(F111-H111*J111&lt;0,"Rupa za ~"&amp;TEXT(I111,"0.0")&amp;" mj.",IF(AND(M111&gt;0,F111-H111*L111+K111&lt;0),"Rupa nakon 1. dolaska",IF(AND(O111&gt;0,F111-H111*N111+K111+M111&lt;0),"Rupa nakon 2. dolaska",IF(P111&lt;POSTAVKE!$B$6,"Količina nije dovoljna",IF(I111&gt;=POSTAVKE!$B$6,"Sve u redu","Stiže na vrijeme")))))))</f>
        <v>Sve u redu</v>
      </c>
      <c r="S111" s="23" t="n">
        <f aca="false">IFERROR(INDEX(PODACI_PRODAJA!B:B,MATCH($A111,PODACI_PRODAJA!$A:$A,0)),0)</f>
        <v>1</v>
      </c>
      <c r="T111" s="23" t="n">
        <f aca="false">IFERROR(INDEX(PODACI_PRODAJA!C:C,MATCH($A111,PODACI_PRODAJA!$A:$A,0)),0)</f>
        <v>2</v>
      </c>
      <c r="U111" s="23" t="n">
        <f aca="false">IFERROR(INDEX(PODACI_PRODAJA!D:D,MATCH($A111,PODACI_PRODAJA!$A:$A,0)),0)</f>
        <v>1</v>
      </c>
      <c r="V111" s="23" t="n">
        <f aca="false">IFERROR(INDEX(PODACI_PRODAJA!E:E,MATCH($A111,PODACI_PRODAJA!$A:$A,0)),0)</f>
        <v>4</v>
      </c>
      <c r="W111" s="23" t="n">
        <f aca="false">IFERROR(INDEX(PODACI_PRODAJA!F:F,MATCH($A111,PODACI_PRODAJA!$A:$A,0)),0)</f>
        <v>1</v>
      </c>
      <c r="X111" s="23" t="n">
        <f aca="false">IFERROR(INDEX(PODACI_PRODAJA!G:G,MATCH($A111,PODACI_PRODAJA!$A:$A,0)),0)</f>
        <v>9</v>
      </c>
      <c r="Y111" s="23" t="n">
        <f aca="false">IFERROR(INDEX(PODACI_PRODAJA!H:H,MATCH($A111,PODACI_PRODAJA!$A:$A,0)),0)</f>
        <v>10</v>
      </c>
      <c r="Z111" s="23" t="n">
        <f aca="false">IFERROR(INDEX(PODACI_PRODAJA!I:I,MATCH($A111,PODACI_PRODAJA!$A:$A,0)),0)</f>
        <v>4</v>
      </c>
      <c r="AA111" s="23" t="n">
        <f aca="false">IFERROR(INDEX(PODACI_PRODAJA!J:J,MATCH($A111,PODACI_PRODAJA!$A:$A,0)),0)</f>
        <v>2</v>
      </c>
      <c r="AB111" s="23" t="n">
        <f aca="false">IFERROR(INDEX(PODACI_PRODAJA!K:K,MATCH($A111,PODACI_PRODAJA!$A:$A,0)),0)</f>
        <v>0</v>
      </c>
      <c r="AC111" s="23" t="n">
        <f aca="false">IFERROR(INDEX(PODACI_PRODAJA!L:L,MATCH($A111,PODACI_PRODAJA!$A:$A,0)),0)</f>
        <v>0</v>
      </c>
      <c r="AD111" s="23" t="n">
        <f aca="false">IFERROR(INDEX(PODACI_PRODAJA!M:M,MATCH($A111,PODACI_PRODAJA!$A:$A,0)),0)</f>
        <v>0</v>
      </c>
    </row>
    <row r="112" customFormat="false" ht="15" hidden="false" customHeight="false" outlineLevel="0" collapsed="false">
      <c r="A112" s="11" t="str">
        <f aca="false">PODACI_ZALIHE!A109</f>
        <v>00618</v>
      </c>
      <c r="B112" s="8" t="str">
        <f aca="false">PODACI_ZALIHE!B109</f>
        <v>LINEA OGLEDALO S LED RASVJETOM 50x70 cm</v>
      </c>
      <c r="C112" s="9" t="str">
        <f aca="false">PODACI_ZALIHE!C109</f>
        <v>5720</v>
      </c>
      <c r="D112" s="8" t="str">
        <f aca="false">PODACI_ZALIHE!D109</f>
        <v>ZHEJIANG SUMMERSIDE SANITARY WARE TECHNOLOGY CO., LTD</v>
      </c>
      <c r="E112" s="19" t="n">
        <f aca="false">IF(PODACI_ZALIHE!E109="","",PODACI_ZALIHE!E109)</f>
        <v>89</v>
      </c>
      <c r="F112" s="20" t="n">
        <f aca="false">PODACI_ZALIHE!F109</f>
        <v>75</v>
      </c>
      <c r="G112" s="19" t="n">
        <f aca="false">IF(E112="","",E112-F112)</f>
        <v>14</v>
      </c>
      <c r="H112" s="9" t="n">
        <f aca="false">PODACI_PRODAJA!N140</f>
        <v>24.13</v>
      </c>
      <c r="I112" s="21" t="n">
        <f aca="false">IF(H112&lt;=0,999,ROUND(F112/H112,1))</f>
        <v>3.1</v>
      </c>
      <c r="J112" s="9" t="n">
        <f aca="false">SUMIFS(ROBA_U_DOLASKU!$C$6:$C$95,ROBA_U_DOLASKU!$A$6:$A$95,A112,ROBA_U_DOLASKU!$H$6:$H$95,1)</f>
        <v>2.2</v>
      </c>
      <c r="K112" s="9" t="n">
        <f aca="false">SUMIFS(ROBA_U_DOLASKU!$B$6:$B$95,ROBA_U_DOLASKU!$A$6:$A$95,A112,ROBA_U_DOLASKU!$H$6:$H$95,1)</f>
        <v>100</v>
      </c>
      <c r="L112" s="9" t="n">
        <f aca="false">SUMIFS(ROBA_U_DOLASKU!$C$6:$C$95,ROBA_U_DOLASKU!$A$6:$A$95,A112,ROBA_U_DOLASKU!$H$6:$H$95,2)</f>
        <v>0</v>
      </c>
      <c r="M112" s="9" t="n">
        <f aca="false">SUMIFS(ROBA_U_DOLASKU!$B$6:$B$95,ROBA_U_DOLASKU!$A$6:$A$95,A112,ROBA_U_DOLASKU!$H$6:$H$95,2)</f>
        <v>0</v>
      </c>
      <c r="N112" s="9" t="n">
        <f aca="false">SUMIFS(ROBA_U_DOLASKU!$C$6:$C$95,ROBA_U_DOLASKU!$A$6:$A$95,A112,ROBA_U_DOLASKU!$H$6:$H$95,3)</f>
        <v>0</v>
      </c>
      <c r="O112" s="9" t="n">
        <f aca="false">SUMIFS(ROBA_U_DOLASKU!$B$6:$B$95,ROBA_U_DOLASKU!$A$6:$A$95,A112,ROBA_U_DOLASKU!$H$6:$H$95,3)</f>
        <v>0</v>
      </c>
      <c r="P112" s="9" t="n">
        <f aca="false">IF(H112&lt;=0,999,IF(O112&gt;0,ROUND((F112-H112*N112+K112+M112+O112)/H112,1),IF(M112&gt;0,ROUND((F112-H112*L112+K112+M112)/H112,1),IF(K112&gt;0,ROUND((F112-H112*J112+K112)/H112,1),I112))))</f>
        <v>5.1</v>
      </c>
      <c r="Q112" s="22" t="str">
        <f aca="false">IF(H112&lt;=0,"Nema prodaje",IF(AND(K112=0,M112=0,O112=0),IF(I112&lt;POSTAVKE!$B$6,"Naruči odmah","Sve u redu"),IF(F112-H112*J112&lt;0,"Rupa za ~"&amp;TEXT(I112,"0.0")&amp;" mj.",IF(AND(M112&gt;0,F112-H112*L112+K112&lt;0),"Rupa nakon 1. dolaska",IF(AND(O112&gt;0,F112-H112*N112+K112+M112&lt;0),"Rupa nakon 2. dolaska",IF(P112&lt;POSTAVKE!$B$6,"Količina nije dovoljna",IF(I112&gt;=POSTAVKE!$B$6,"Sve u redu","Stiže na vrijeme")))))))</f>
        <v>Stiže na vrijeme</v>
      </c>
      <c r="S112" s="23" t="n">
        <f aca="false">IFERROR(INDEX(PODACI_PRODAJA!B:B,MATCH($A112,PODACI_PRODAJA!$A:$A,0)),0)</f>
        <v>3</v>
      </c>
      <c r="T112" s="23" t="n">
        <f aca="false">IFERROR(INDEX(PODACI_PRODAJA!C:C,MATCH($A112,PODACI_PRODAJA!$A:$A,0)),0)</f>
        <v>56</v>
      </c>
      <c r="U112" s="23" t="n">
        <f aca="false">IFERROR(INDEX(PODACI_PRODAJA!D:D,MATCH($A112,PODACI_PRODAJA!$A:$A,0)),0)</f>
        <v>32</v>
      </c>
      <c r="V112" s="23" t="n">
        <f aca="false">IFERROR(INDEX(PODACI_PRODAJA!E:E,MATCH($A112,PODACI_PRODAJA!$A:$A,0)),0)</f>
        <v>20</v>
      </c>
      <c r="W112" s="23" t="n">
        <f aca="false">IFERROR(INDEX(PODACI_PRODAJA!F:F,MATCH($A112,PODACI_PRODAJA!$A:$A,0)),0)</f>
        <v>21</v>
      </c>
      <c r="X112" s="23" t="n">
        <f aca="false">IFERROR(INDEX(PODACI_PRODAJA!G:G,MATCH($A112,PODACI_PRODAJA!$A:$A,0)),0)</f>
        <v>29</v>
      </c>
      <c r="Y112" s="23" t="n">
        <f aca="false">IFERROR(INDEX(PODACI_PRODAJA!H:H,MATCH($A112,PODACI_PRODAJA!$A:$A,0)),0)</f>
        <v>16</v>
      </c>
      <c r="Z112" s="23" t="n">
        <f aca="false">IFERROR(INDEX(PODACI_PRODAJA!I:I,MATCH($A112,PODACI_PRODAJA!$A:$A,0)),0)</f>
        <v>16</v>
      </c>
      <c r="AA112" s="23" t="n">
        <f aca="false">IFERROR(INDEX(PODACI_PRODAJA!J:J,MATCH($A112,PODACI_PRODAJA!$A:$A,0)),0)</f>
        <v>14</v>
      </c>
      <c r="AB112" s="23" t="n">
        <f aca="false">IFERROR(INDEX(PODACI_PRODAJA!K:K,MATCH($A112,PODACI_PRODAJA!$A:$A,0)),0)</f>
        <v>0</v>
      </c>
      <c r="AC112" s="23" t="n">
        <f aca="false">IFERROR(INDEX(PODACI_PRODAJA!L:L,MATCH($A112,PODACI_PRODAJA!$A:$A,0)),0)</f>
        <v>0</v>
      </c>
      <c r="AD112" s="23" t="n">
        <f aca="false">IFERROR(INDEX(PODACI_PRODAJA!M:M,MATCH($A112,PODACI_PRODAJA!$A:$A,0)),0)</f>
        <v>0</v>
      </c>
    </row>
    <row r="113" customFormat="false" ht="15" hidden="false" customHeight="false" outlineLevel="0" collapsed="false">
      <c r="A113" s="11" t="str">
        <f aca="false">PODACI_ZALIHE!A110</f>
        <v>17211</v>
      </c>
      <c r="B113" s="8" t="str">
        <f aca="false">PODACI_ZALIHE!B110</f>
        <v>IMOLA CRNA MIJEŠALICA ZA KADU</v>
      </c>
      <c r="C113" s="9" t="n">
        <f aca="false">PODACI_ZALIHE!C110</f>
        <v>0</v>
      </c>
      <c r="D113" s="8" t="n">
        <f aca="false">PODACI_ZALIHE!D110</f>
        <v>0</v>
      </c>
      <c r="E113" s="19" t="n">
        <f aca="false">IF(PODACI_ZALIHE!E110="","",PODACI_ZALIHE!E110)</f>
        <v>75</v>
      </c>
      <c r="F113" s="20" t="n">
        <f aca="false">PODACI_ZALIHE!F110</f>
        <v>75</v>
      </c>
      <c r="G113" s="19" t="n">
        <f aca="false">IF(E113="","",E113-F113)</f>
        <v>0</v>
      </c>
      <c r="H113" s="9" t="n">
        <f aca="false">PODACI_PRODAJA!N604</f>
        <v>0.63</v>
      </c>
      <c r="I113" s="21" t="n">
        <f aca="false">IF(H113&lt;=0,999,ROUND(F113/H113,1))</f>
        <v>119</v>
      </c>
      <c r="J113" s="9" t="n">
        <f aca="false">SUMIFS(ROBA_U_DOLASKU!$C$6:$C$95,ROBA_U_DOLASKU!$A$6:$A$95,A113,ROBA_U_DOLASKU!$H$6:$H$95,1)</f>
        <v>0</v>
      </c>
      <c r="K113" s="9" t="n">
        <f aca="false">SUMIFS(ROBA_U_DOLASKU!$B$6:$B$95,ROBA_U_DOLASKU!$A$6:$A$95,A113,ROBA_U_DOLASKU!$H$6:$H$95,1)</f>
        <v>0</v>
      </c>
      <c r="L113" s="9" t="n">
        <f aca="false">SUMIFS(ROBA_U_DOLASKU!$C$6:$C$95,ROBA_U_DOLASKU!$A$6:$A$95,A113,ROBA_U_DOLASKU!$H$6:$H$95,2)</f>
        <v>0</v>
      </c>
      <c r="M113" s="9" t="n">
        <f aca="false">SUMIFS(ROBA_U_DOLASKU!$B$6:$B$95,ROBA_U_DOLASKU!$A$6:$A$95,A113,ROBA_U_DOLASKU!$H$6:$H$95,2)</f>
        <v>0</v>
      </c>
      <c r="N113" s="9" t="n">
        <f aca="false">SUMIFS(ROBA_U_DOLASKU!$C$6:$C$95,ROBA_U_DOLASKU!$A$6:$A$95,A113,ROBA_U_DOLASKU!$H$6:$H$95,3)</f>
        <v>0</v>
      </c>
      <c r="O113" s="9" t="n">
        <f aca="false">SUMIFS(ROBA_U_DOLASKU!$B$6:$B$95,ROBA_U_DOLASKU!$A$6:$A$95,A113,ROBA_U_DOLASKU!$H$6:$H$95,3)</f>
        <v>0</v>
      </c>
      <c r="P113" s="9" t="n">
        <f aca="false">IF(H113&lt;=0,999,IF(O113&gt;0,ROUND((F113-H113*N113+K113+M113+O113)/H113,1),IF(M113&gt;0,ROUND((F113-H113*L113+K113+M113)/H113,1),IF(K113&gt;0,ROUND((F113-H113*J113+K113)/H113,1),I113))))</f>
        <v>119</v>
      </c>
      <c r="Q113" s="22" t="str">
        <f aca="false">IF(H113&lt;=0,"Nema prodaje",IF(AND(K113=0,M113=0,O113=0),IF(I113&lt;POSTAVKE!$B$6,"Naruči odmah","Sve u redu"),IF(F113-H113*J113&lt;0,"Rupa za ~"&amp;TEXT(I113,"0.0")&amp;" mj.",IF(AND(M113&gt;0,F113-H113*L113+K113&lt;0),"Rupa nakon 1. dolaska",IF(AND(O113&gt;0,F113-H113*N113+K113+M113&lt;0),"Rupa nakon 2. dolaska",IF(P113&lt;POSTAVKE!$B$6,"Količina nije dovoljna",IF(I113&gt;=POSTAVKE!$B$6,"Sve u redu","Stiže na vrijeme")))))))</f>
        <v>Sve u redu</v>
      </c>
      <c r="S113" s="23" t="n">
        <f aca="false">IFERROR(INDEX(PODACI_PRODAJA!B:B,MATCH($A113,PODACI_PRODAJA!$A:$A,0)),0)</f>
        <v>0</v>
      </c>
      <c r="T113" s="23" t="n">
        <f aca="false">IFERROR(INDEX(PODACI_PRODAJA!C:C,MATCH($A113,PODACI_PRODAJA!$A:$A,0)),0)</f>
        <v>0</v>
      </c>
      <c r="U113" s="23" t="n">
        <f aca="false">IFERROR(INDEX(PODACI_PRODAJA!D:D,MATCH($A113,PODACI_PRODAJA!$A:$A,0)),0)</f>
        <v>1</v>
      </c>
      <c r="V113" s="23" t="n">
        <f aca="false">IFERROR(INDEX(PODACI_PRODAJA!E:E,MATCH($A113,PODACI_PRODAJA!$A:$A,0)),0)</f>
        <v>1</v>
      </c>
      <c r="W113" s="23" t="n">
        <f aca="false">IFERROR(INDEX(PODACI_PRODAJA!F:F,MATCH($A113,PODACI_PRODAJA!$A:$A,0)),0)</f>
        <v>1</v>
      </c>
      <c r="X113" s="23" t="n">
        <f aca="false">IFERROR(INDEX(PODACI_PRODAJA!G:G,MATCH($A113,PODACI_PRODAJA!$A:$A,0)),0)</f>
        <v>2</v>
      </c>
      <c r="Y113" s="23" t="n">
        <f aca="false">IFERROR(INDEX(PODACI_PRODAJA!H:H,MATCH($A113,PODACI_PRODAJA!$A:$A,0)),0)</f>
        <v>0</v>
      </c>
      <c r="Z113" s="23" t="n">
        <f aca="false">IFERROR(INDEX(PODACI_PRODAJA!I:I,MATCH($A113,PODACI_PRODAJA!$A:$A,0)),0)</f>
        <v>0</v>
      </c>
      <c r="AA113" s="23" t="n">
        <f aca="false">IFERROR(INDEX(PODACI_PRODAJA!J:J,MATCH($A113,PODACI_PRODAJA!$A:$A,0)),0)</f>
        <v>0</v>
      </c>
      <c r="AB113" s="23" t="n">
        <f aca="false">IFERROR(INDEX(PODACI_PRODAJA!K:K,MATCH($A113,PODACI_PRODAJA!$A:$A,0)),0)</f>
        <v>0</v>
      </c>
      <c r="AC113" s="23" t="n">
        <f aca="false">IFERROR(INDEX(PODACI_PRODAJA!L:L,MATCH($A113,PODACI_PRODAJA!$A:$A,0)),0)</f>
        <v>0</v>
      </c>
      <c r="AD113" s="23" t="n">
        <f aca="false">IFERROR(INDEX(PODACI_PRODAJA!M:M,MATCH($A113,PODACI_PRODAJA!$A:$A,0)),0)</f>
        <v>0</v>
      </c>
    </row>
    <row r="114" customFormat="false" ht="15" hidden="false" customHeight="false" outlineLevel="0" collapsed="false">
      <c r="A114" s="11" t="str">
        <f aca="false">PODACI_ZALIHE!A111</f>
        <v>002940</v>
      </c>
      <c r="B114" s="8" t="str">
        <f aca="false">PODACI_ZALIHE!B111</f>
        <v>MILANO TUŠ SET S MIJEŠALICOM</v>
      </c>
      <c r="C114" s="9" t="str">
        <f aca="false">PODACI_ZALIHE!C111</f>
        <v>6022</v>
      </c>
      <c r="D114" s="8" t="str">
        <f aca="false">PODACI_ZALIHE!D111</f>
        <v>RUIAN HAIBA SANITARY CO.,LTD</v>
      </c>
      <c r="E114" s="19" t="n">
        <f aca="false">IF(PODACI_ZALIHE!E111="","",PODACI_ZALIHE!E111)</f>
        <v>74</v>
      </c>
      <c r="F114" s="20" t="n">
        <f aca="false">PODACI_ZALIHE!F111</f>
        <v>74</v>
      </c>
      <c r="G114" s="19" t="n">
        <f aca="false">IF(E114="","",E114-F114)</f>
        <v>0</v>
      </c>
      <c r="H114" s="9" t="n">
        <f aca="false">PODACI_PRODAJA!N40</f>
        <v>30.63</v>
      </c>
      <c r="I114" s="21" t="n">
        <f aca="false">IF(H114&lt;=0,999,ROUND(F114/H114,1))</f>
        <v>2.4</v>
      </c>
      <c r="J114" s="9" t="n">
        <f aca="false">SUMIFS(ROBA_U_DOLASKU!$C$6:$C$95,ROBA_U_DOLASKU!$A$6:$A$95,A114,ROBA_U_DOLASKU!$H$6:$H$95,1)</f>
        <v>2.2</v>
      </c>
      <c r="K114" s="9" t="n">
        <f aca="false">SUMIFS(ROBA_U_DOLASKU!$B$6:$B$95,ROBA_U_DOLASKU!$A$6:$A$95,A114,ROBA_U_DOLASKU!$H$6:$H$95,1)</f>
        <v>100</v>
      </c>
      <c r="L114" s="9" t="n">
        <f aca="false">SUMIFS(ROBA_U_DOLASKU!$C$6:$C$95,ROBA_U_DOLASKU!$A$6:$A$95,A114,ROBA_U_DOLASKU!$H$6:$H$95,2)</f>
        <v>0</v>
      </c>
      <c r="M114" s="9" t="n">
        <f aca="false">SUMIFS(ROBA_U_DOLASKU!$B$6:$B$95,ROBA_U_DOLASKU!$A$6:$A$95,A114,ROBA_U_DOLASKU!$H$6:$H$95,2)</f>
        <v>0</v>
      </c>
      <c r="N114" s="9" t="n">
        <f aca="false">SUMIFS(ROBA_U_DOLASKU!$C$6:$C$95,ROBA_U_DOLASKU!$A$6:$A$95,A114,ROBA_U_DOLASKU!$H$6:$H$95,3)</f>
        <v>0</v>
      </c>
      <c r="O114" s="9" t="n">
        <f aca="false">SUMIFS(ROBA_U_DOLASKU!$B$6:$B$95,ROBA_U_DOLASKU!$A$6:$A$95,A114,ROBA_U_DOLASKU!$H$6:$H$95,3)</f>
        <v>0</v>
      </c>
      <c r="P114" s="9" t="n">
        <f aca="false">IF(H114&lt;=0,999,IF(O114&gt;0,ROUND((F114-H114*N114+K114+M114+O114)/H114,1),IF(M114&gt;0,ROUND((F114-H114*L114+K114+M114)/H114,1),IF(K114&gt;0,ROUND((F114-H114*J114+K114)/H114,1),I114))))</f>
        <v>3.5</v>
      </c>
      <c r="Q114" s="22" t="str">
        <f aca="false">IF(H114&lt;=0,"Nema prodaje",IF(AND(K114=0,M114=0,O114=0),IF(I114&lt;POSTAVKE!$B$6,"Naruči odmah","Sve u redu"),IF(F114-H114*J114&lt;0,"Rupa za ~"&amp;TEXT(I114,"0.0")&amp;" mj.",IF(AND(M114&gt;0,F114-H114*L114+K114&lt;0),"Rupa nakon 1. dolaska",IF(AND(O114&gt;0,F114-H114*N114+K114+M114&lt;0),"Rupa nakon 2. dolaska",IF(P114&lt;POSTAVKE!$B$6,"Količina nije dovoljna",IF(I114&gt;=POSTAVKE!$B$6,"Sve u redu","Stiže na vrijeme")))))))</f>
        <v>Količina nije dovoljna</v>
      </c>
      <c r="S114" s="23" t="n">
        <f aca="false">IFERROR(INDEX(PODACI_PRODAJA!B:B,MATCH($A114,PODACI_PRODAJA!$A:$A,0)),0)</f>
        <v>23</v>
      </c>
      <c r="T114" s="23" t="n">
        <f aca="false">IFERROR(INDEX(PODACI_PRODAJA!C:C,MATCH($A114,PODACI_PRODAJA!$A:$A,0)),0)</f>
        <v>20</v>
      </c>
      <c r="U114" s="23" t="n">
        <f aca="false">IFERROR(INDEX(PODACI_PRODAJA!D:D,MATCH($A114,PODACI_PRODAJA!$A:$A,0)),0)</f>
        <v>31</v>
      </c>
      <c r="V114" s="23" t="n">
        <f aca="false">IFERROR(INDEX(PODACI_PRODAJA!E:E,MATCH($A114,PODACI_PRODAJA!$A:$A,0)),0)</f>
        <v>36</v>
      </c>
      <c r="W114" s="23" t="n">
        <f aca="false">IFERROR(INDEX(PODACI_PRODAJA!F:F,MATCH($A114,PODACI_PRODAJA!$A:$A,0)),0)</f>
        <v>32</v>
      </c>
      <c r="X114" s="23" t="n">
        <f aca="false">IFERROR(INDEX(PODACI_PRODAJA!G:G,MATCH($A114,PODACI_PRODAJA!$A:$A,0)),0)</f>
        <v>35</v>
      </c>
      <c r="Y114" s="23" t="n">
        <f aca="false">IFERROR(INDEX(PODACI_PRODAJA!H:H,MATCH($A114,PODACI_PRODAJA!$A:$A,0)),0)</f>
        <v>39</v>
      </c>
      <c r="Z114" s="23" t="n">
        <f aca="false">IFERROR(INDEX(PODACI_PRODAJA!I:I,MATCH($A114,PODACI_PRODAJA!$A:$A,0)),0)</f>
        <v>29</v>
      </c>
      <c r="AA114" s="23" t="n">
        <f aca="false">IFERROR(INDEX(PODACI_PRODAJA!J:J,MATCH($A114,PODACI_PRODAJA!$A:$A,0)),0)</f>
        <v>0</v>
      </c>
      <c r="AB114" s="23" t="n">
        <f aca="false">IFERROR(INDEX(PODACI_PRODAJA!K:K,MATCH($A114,PODACI_PRODAJA!$A:$A,0)),0)</f>
        <v>0</v>
      </c>
      <c r="AC114" s="23" t="n">
        <f aca="false">IFERROR(INDEX(PODACI_PRODAJA!L:L,MATCH($A114,PODACI_PRODAJA!$A:$A,0)),0)</f>
        <v>0</v>
      </c>
      <c r="AD114" s="23" t="n">
        <f aca="false">IFERROR(INDEX(PODACI_PRODAJA!M:M,MATCH($A114,PODACI_PRODAJA!$A:$A,0)),0)</f>
        <v>0</v>
      </c>
    </row>
    <row r="115" customFormat="false" ht="15" hidden="false" customHeight="false" outlineLevel="0" collapsed="false">
      <c r="A115" s="11" t="str">
        <f aca="false">PODACI_ZALIHE!A112</f>
        <v>004030</v>
      </c>
      <c r="B115" s="8" t="str">
        <f aca="false">PODACI_ZALIHE!B112</f>
        <v>SIENA MJEŠALICA ZA UMIVAONIK-VISOKA</v>
      </c>
      <c r="C115" s="9" t="str">
        <f aca="false">PODACI_ZALIHE!C112</f>
        <v>4053</v>
      </c>
      <c r="D115" s="8" t="str">
        <f aca="false">PODACI_ZALIHE!D112</f>
        <v>TAIZHOU ZHENGSHING VALVE CO .,LTD</v>
      </c>
      <c r="E115" s="19" t="n">
        <f aca="false">IF(PODACI_ZALIHE!E112="","",PODACI_ZALIHE!E112)</f>
        <v>74</v>
      </c>
      <c r="F115" s="20" t="n">
        <f aca="false">PODACI_ZALIHE!F112</f>
        <v>74</v>
      </c>
      <c r="G115" s="19" t="n">
        <f aca="false">IF(E115="","",E115-F115)</f>
        <v>0</v>
      </c>
      <c r="H115" s="9" t="n">
        <f aca="false">PODACI_PRODAJA!N224</f>
        <v>6.25</v>
      </c>
      <c r="I115" s="21" t="n">
        <f aca="false">IF(H115&lt;=0,999,ROUND(F115/H115,1))</f>
        <v>11.8</v>
      </c>
      <c r="J115" s="9" t="n">
        <f aca="false">SUMIFS(ROBA_U_DOLASKU!$C$6:$C$95,ROBA_U_DOLASKU!$A$6:$A$95,A115,ROBA_U_DOLASKU!$H$6:$H$95,1)</f>
        <v>0</v>
      </c>
      <c r="K115" s="9" t="n">
        <f aca="false">SUMIFS(ROBA_U_DOLASKU!$B$6:$B$95,ROBA_U_DOLASKU!$A$6:$A$95,A115,ROBA_U_DOLASKU!$H$6:$H$95,1)</f>
        <v>0</v>
      </c>
      <c r="L115" s="9" t="n">
        <f aca="false">SUMIFS(ROBA_U_DOLASKU!$C$6:$C$95,ROBA_U_DOLASKU!$A$6:$A$95,A115,ROBA_U_DOLASKU!$H$6:$H$95,2)</f>
        <v>0</v>
      </c>
      <c r="M115" s="9" t="n">
        <f aca="false">SUMIFS(ROBA_U_DOLASKU!$B$6:$B$95,ROBA_U_DOLASKU!$A$6:$A$95,A115,ROBA_U_DOLASKU!$H$6:$H$95,2)</f>
        <v>0</v>
      </c>
      <c r="N115" s="9" t="n">
        <f aca="false">SUMIFS(ROBA_U_DOLASKU!$C$6:$C$95,ROBA_U_DOLASKU!$A$6:$A$95,A115,ROBA_U_DOLASKU!$H$6:$H$95,3)</f>
        <v>0</v>
      </c>
      <c r="O115" s="9" t="n">
        <f aca="false">SUMIFS(ROBA_U_DOLASKU!$B$6:$B$95,ROBA_U_DOLASKU!$A$6:$A$95,A115,ROBA_U_DOLASKU!$H$6:$H$95,3)</f>
        <v>0</v>
      </c>
      <c r="P115" s="9" t="n">
        <f aca="false">IF(H115&lt;=0,999,IF(O115&gt;0,ROUND((F115-H115*N115+K115+M115+O115)/H115,1),IF(M115&gt;0,ROUND((F115-H115*L115+K115+M115)/H115,1),IF(K115&gt;0,ROUND((F115-H115*J115+K115)/H115,1),I115))))</f>
        <v>11.8</v>
      </c>
      <c r="Q115" s="22" t="str">
        <f aca="false">IF(H115&lt;=0,"Nema prodaje",IF(AND(K115=0,M115=0,O115=0),IF(I115&lt;POSTAVKE!$B$6,"Naruči odmah","Sve u redu"),IF(F115-H115*J115&lt;0,"Rupa za ~"&amp;TEXT(I115,"0.0")&amp;" mj.",IF(AND(M115&gt;0,F115-H115*L115+K115&lt;0),"Rupa nakon 1. dolaska",IF(AND(O115&gt;0,F115-H115*N115+K115+M115&lt;0),"Rupa nakon 2. dolaska",IF(P115&lt;POSTAVKE!$B$6,"Količina nije dovoljna",IF(I115&gt;=POSTAVKE!$B$6,"Sve u redu","Stiže na vrijeme")))))))</f>
        <v>Sve u redu</v>
      </c>
      <c r="S115" s="23" t="n">
        <f aca="false">IFERROR(INDEX(PODACI_PRODAJA!B:B,MATCH($A115,PODACI_PRODAJA!$A:$A,0)),0)</f>
        <v>1</v>
      </c>
      <c r="T115" s="23" t="n">
        <f aca="false">IFERROR(INDEX(PODACI_PRODAJA!C:C,MATCH($A115,PODACI_PRODAJA!$A:$A,0)),0)</f>
        <v>12</v>
      </c>
      <c r="U115" s="23" t="n">
        <f aca="false">IFERROR(INDEX(PODACI_PRODAJA!D:D,MATCH($A115,PODACI_PRODAJA!$A:$A,0)),0)</f>
        <v>2</v>
      </c>
      <c r="V115" s="23" t="n">
        <f aca="false">IFERROR(INDEX(PODACI_PRODAJA!E:E,MATCH($A115,PODACI_PRODAJA!$A:$A,0)),0)</f>
        <v>8</v>
      </c>
      <c r="W115" s="23" t="n">
        <f aca="false">IFERROR(INDEX(PODACI_PRODAJA!F:F,MATCH($A115,PODACI_PRODAJA!$A:$A,0)),0)</f>
        <v>8</v>
      </c>
      <c r="X115" s="23" t="n">
        <f aca="false">IFERROR(INDEX(PODACI_PRODAJA!G:G,MATCH($A115,PODACI_PRODAJA!$A:$A,0)),0)</f>
        <v>11</v>
      </c>
      <c r="Y115" s="23" t="n">
        <f aca="false">IFERROR(INDEX(PODACI_PRODAJA!H:H,MATCH($A115,PODACI_PRODAJA!$A:$A,0)),0)</f>
        <v>1</v>
      </c>
      <c r="Z115" s="23" t="n">
        <f aca="false">IFERROR(INDEX(PODACI_PRODAJA!I:I,MATCH($A115,PODACI_PRODAJA!$A:$A,0)),0)</f>
        <v>7</v>
      </c>
      <c r="AA115" s="23" t="n">
        <f aca="false">IFERROR(INDEX(PODACI_PRODAJA!J:J,MATCH($A115,PODACI_PRODAJA!$A:$A,0)),0)</f>
        <v>0</v>
      </c>
      <c r="AB115" s="23" t="n">
        <f aca="false">IFERROR(INDEX(PODACI_PRODAJA!K:K,MATCH($A115,PODACI_PRODAJA!$A:$A,0)),0)</f>
        <v>0</v>
      </c>
      <c r="AC115" s="23" t="n">
        <f aca="false">IFERROR(INDEX(PODACI_PRODAJA!L:L,MATCH($A115,PODACI_PRODAJA!$A:$A,0)),0)</f>
        <v>0</v>
      </c>
      <c r="AD115" s="23" t="n">
        <f aca="false">IFERROR(INDEX(PODACI_PRODAJA!M:M,MATCH($A115,PODACI_PRODAJA!$A:$A,0)),0)</f>
        <v>0</v>
      </c>
    </row>
    <row r="116" customFormat="false" ht="15" hidden="false" customHeight="false" outlineLevel="0" collapsed="false">
      <c r="A116" s="11" t="str">
        <f aca="false">PODACI_ZALIHE!A113</f>
        <v>040112</v>
      </c>
      <c r="B116" s="8" t="str">
        <f aca="false">PODACI_ZALIHE!B113</f>
        <v>AOSTA  - MJEŠALICA ZA TUŠ</v>
      </c>
      <c r="C116" s="9" t="str">
        <f aca="false">PODACI_ZALIHE!C113</f>
        <v>4053</v>
      </c>
      <c r="D116" s="8" t="str">
        <f aca="false">PODACI_ZALIHE!D113</f>
        <v>TAIZHOU ZHENGSHING VALVE CO .,LTD</v>
      </c>
      <c r="E116" s="19" t="n">
        <f aca="false">IF(PODACI_ZALIHE!E113="","",PODACI_ZALIHE!E113)</f>
        <v>74</v>
      </c>
      <c r="F116" s="20" t="n">
        <f aca="false">PODACI_ZALIHE!F113</f>
        <v>74</v>
      </c>
      <c r="G116" s="19" t="n">
        <f aca="false">IF(E116="","",E116-F116)</f>
        <v>0</v>
      </c>
      <c r="H116" s="9" t="n">
        <f aca="false">PODACI_PRODAJA!N410</f>
        <v>4.25</v>
      </c>
      <c r="I116" s="21" t="n">
        <f aca="false">IF(H116&lt;=0,999,ROUND(F116/H116,1))</f>
        <v>17.4</v>
      </c>
      <c r="J116" s="9" t="n">
        <f aca="false">SUMIFS(ROBA_U_DOLASKU!$C$6:$C$95,ROBA_U_DOLASKU!$A$6:$A$95,A116,ROBA_U_DOLASKU!$H$6:$H$95,1)</f>
        <v>0</v>
      </c>
      <c r="K116" s="9" t="n">
        <f aca="false">SUMIFS(ROBA_U_DOLASKU!$B$6:$B$95,ROBA_U_DOLASKU!$A$6:$A$95,A116,ROBA_U_DOLASKU!$H$6:$H$95,1)</f>
        <v>0</v>
      </c>
      <c r="L116" s="9" t="n">
        <f aca="false">SUMIFS(ROBA_U_DOLASKU!$C$6:$C$95,ROBA_U_DOLASKU!$A$6:$A$95,A116,ROBA_U_DOLASKU!$H$6:$H$95,2)</f>
        <v>0</v>
      </c>
      <c r="M116" s="9" t="n">
        <f aca="false">SUMIFS(ROBA_U_DOLASKU!$B$6:$B$95,ROBA_U_DOLASKU!$A$6:$A$95,A116,ROBA_U_DOLASKU!$H$6:$H$95,2)</f>
        <v>0</v>
      </c>
      <c r="N116" s="9" t="n">
        <f aca="false">SUMIFS(ROBA_U_DOLASKU!$C$6:$C$95,ROBA_U_DOLASKU!$A$6:$A$95,A116,ROBA_U_DOLASKU!$H$6:$H$95,3)</f>
        <v>0</v>
      </c>
      <c r="O116" s="9" t="n">
        <f aca="false">SUMIFS(ROBA_U_DOLASKU!$B$6:$B$95,ROBA_U_DOLASKU!$A$6:$A$95,A116,ROBA_U_DOLASKU!$H$6:$H$95,3)</f>
        <v>0</v>
      </c>
      <c r="P116" s="9" t="n">
        <f aca="false">IF(H116&lt;=0,999,IF(O116&gt;0,ROUND((F116-H116*N116+K116+M116+O116)/H116,1),IF(M116&gt;0,ROUND((F116-H116*L116+K116+M116)/H116,1),IF(K116&gt;0,ROUND((F116-H116*J116+K116)/H116,1),I116))))</f>
        <v>17.4</v>
      </c>
      <c r="Q116" s="22" t="str">
        <f aca="false">IF(H116&lt;=0,"Nema prodaje",IF(AND(K116=0,M116=0,O116=0),IF(I116&lt;POSTAVKE!$B$6,"Naruči odmah","Sve u redu"),IF(F116-H116*J116&lt;0,"Rupa za ~"&amp;TEXT(I116,"0.0")&amp;" mj.",IF(AND(M116&gt;0,F116-H116*L116+K116&lt;0),"Rupa nakon 1. dolaska",IF(AND(O116&gt;0,F116-H116*N116+K116+M116&lt;0),"Rupa nakon 2. dolaska",IF(P116&lt;POSTAVKE!$B$6,"Količina nije dovoljna",IF(I116&gt;=POSTAVKE!$B$6,"Sve u redu","Stiže na vrijeme")))))))</f>
        <v>Sve u redu</v>
      </c>
      <c r="S116" s="23" t="n">
        <f aca="false">IFERROR(INDEX(PODACI_PRODAJA!B:B,MATCH($A116,PODACI_PRODAJA!$A:$A,0)),0)</f>
        <v>0</v>
      </c>
      <c r="T116" s="23" t="n">
        <f aca="false">IFERROR(INDEX(PODACI_PRODAJA!C:C,MATCH($A116,PODACI_PRODAJA!$A:$A,0)),0)</f>
        <v>0</v>
      </c>
      <c r="U116" s="23" t="n">
        <f aca="false">IFERROR(INDEX(PODACI_PRODAJA!D:D,MATCH($A116,PODACI_PRODAJA!$A:$A,0)),0)</f>
        <v>8</v>
      </c>
      <c r="V116" s="23" t="n">
        <f aca="false">IFERROR(INDEX(PODACI_PRODAJA!E:E,MATCH($A116,PODACI_PRODAJA!$A:$A,0)),0)</f>
        <v>6</v>
      </c>
      <c r="W116" s="23" t="n">
        <f aca="false">IFERROR(INDEX(PODACI_PRODAJA!F:F,MATCH($A116,PODACI_PRODAJA!$A:$A,0)),0)</f>
        <v>2</v>
      </c>
      <c r="X116" s="23" t="n">
        <f aca="false">IFERROR(INDEX(PODACI_PRODAJA!G:G,MATCH($A116,PODACI_PRODAJA!$A:$A,0)),0)</f>
        <v>6</v>
      </c>
      <c r="Y116" s="23" t="n">
        <f aca="false">IFERROR(INDEX(PODACI_PRODAJA!H:H,MATCH($A116,PODACI_PRODAJA!$A:$A,0)),0)</f>
        <v>6</v>
      </c>
      <c r="Z116" s="23" t="n">
        <f aca="false">IFERROR(INDEX(PODACI_PRODAJA!I:I,MATCH($A116,PODACI_PRODAJA!$A:$A,0)),0)</f>
        <v>6</v>
      </c>
      <c r="AA116" s="23" t="n">
        <f aca="false">IFERROR(INDEX(PODACI_PRODAJA!J:J,MATCH($A116,PODACI_PRODAJA!$A:$A,0)),0)</f>
        <v>0</v>
      </c>
      <c r="AB116" s="23" t="n">
        <f aca="false">IFERROR(INDEX(PODACI_PRODAJA!K:K,MATCH($A116,PODACI_PRODAJA!$A:$A,0)),0)</f>
        <v>0</v>
      </c>
      <c r="AC116" s="23" t="n">
        <f aca="false">IFERROR(INDEX(PODACI_PRODAJA!L:L,MATCH($A116,PODACI_PRODAJA!$A:$A,0)),0)</f>
        <v>0</v>
      </c>
      <c r="AD116" s="23" t="n">
        <f aca="false">IFERROR(INDEX(PODACI_PRODAJA!M:M,MATCH($A116,PODACI_PRODAJA!$A:$A,0)),0)</f>
        <v>0</v>
      </c>
    </row>
    <row r="117" customFormat="false" ht="15" hidden="false" customHeight="false" outlineLevel="0" collapsed="false">
      <c r="A117" s="11" t="str">
        <f aca="false">PODACI_ZALIHE!A114</f>
        <v>00833</v>
      </c>
      <c r="B117" s="8" t="str">
        <f aca="false">PODACI_ZALIHE!B114</f>
        <v>GL11423 SIFON ZA KADU EXCLUSIVE</v>
      </c>
      <c r="C117" s="9" t="str">
        <f aca="false">PODACI_ZALIHE!C114</f>
        <v>3291</v>
      </c>
      <c r="D117" s="8" t="str">
        <f aca="false">PODACI_ZALIHE!D114</f>
        <v>TEHNOEXPORT D.O.O.</v>
      </c>
      <c r="E117" s="19" t="n">
        <f aca="false">IF(PODACI_ZALIHE!E114="","",PODACI_ZALIHE!E114)</f>
        <v>76</v>
      </c>
      <c r="F117" s="20" t="n">
        <f aca="false">PODACI_ZALIHE!F114</f>
        <v>73</v>
      </c>
      <c r="G117" s="19" t="n">
        <f aca="false">IF(E117="","",E117-F117)</f>
        <v>3</v>
      </c>
      <c r="H117" s="9" t="n">
        <f aca="false">PODACI_PRODAJA!N39</f>
        <v>16</v>
      </c>
      <c r="I117" s="21" t="n">
        <f aca="false">IF(H117&lt;=0,999,ROUND(F117/H117,1))</f>
        <v>4.6</v>
      </c>
      <c r="J117" s="9" t="n">
        <f aca="false">SUMIFS(ROBA_U_DOLASKU!$C$6:$C$95,ROBA_U_DOLASKU!$A$6:$A$95,A117,ROBA_U_DOLASKU!$H$6:$H$95,1)</f>
        <v>0</v>
      </c>
      <c r="K117" s="9" t="n">
        <f aca="false">SUMIFS(ROBA_U_DOLASKU!$B$6:$B$95,ROBA_U_DOLASKU!$A$6:$A$95,A117,ROBA_U_DOLASKU!$H$6:$H$95,1)</f>
        <v>0</v>
      </c>
      <c r="L117" s="9" t="n">
        <f aca="false">SUMIFS(ROBA_U_DOLASKU!$C$6:$C$95,ROBA_U_DOLASKU!$A$6:$A$95,A117,ROBA_U_DOLASKU!$H$6:$H$95,2)</f>
        <v>0</v>
      </c>
      <c r="M117" s="9" t="n">
        <f aca="false">SUMIFS(ROBA_U_DOLASKU!$B$6:$B$95,ROBA_U_DOLASKU!$A$6:$A$95,A117,ROBA_U_DOLASKU!$H$6:$H$95,2)</f>
        <v>0</v>
      </c>
      <c r="N117" s="9" t="n">
        <f aca="false">SUMIFS(ROBA_U_DOLASKU!$C$6:$C$95,ROBA_U_DOLASKU!$A$6:$A$95,A117,ROBA_U_DOLASKU!$H$6:$H$95,3)</f>
        <v>0</v>
      </c>
      <c r="O117" s="9" t="n">
        <f aca="false">SUMIFS(ROBA_U_DOLASKU!$B$6:$B$95,ROBA_U_DOLASKU!$A$6:$A$95,A117,ROBA_U_DOLASKU!$H$6:$H$95,3)</f>
        <v>0</v>
      </c>
      <c r="P117" s="9" t="n">
        <f aca="false">IF(H117&lt;=0,999,IF(O117&gt;0,ROUND((F117-H117*N117+K117+M117+O117)/H117,1),IF(M117&gt;0,ROUND((F117-H117*L117+K117+M117)/H117,1),IF(K117&gt;0,ROUND((F117-H117*J117+K117)/H117,1),I117))))</f>
        <v>4.6</v>
      </c>
      <c r="Q117" s="22" t="str">
        <f aca="false">IF(H117&lt;=0,"Nema prodaje",IF(AND(K117=0,M117=0,O117=0),IF(I117&lt;POSTAVKE!$B$6,"Naruči odmah","Sve u redu"),IF(F117-H117*J117&lt;0,"Rupa za ~"&amp;TEXT(I117,"0.0")&amp;" mj.",IF(AND(M117&gt;0,F117-H117*L117+K117&lt;0),"Rupa nakon 1. dolaska",IF(AND(O117&gt;0,F117-H117*N117+K117+M117&lt;0),"Rupa nakon 2. dolaska",IF(P117&lt;POSTAVKE!$B$6,"Količina nije dovoljna",IF(I117&gt;=POSTAVKE!$B$6,"Sve u redu","Stiže na vrijeme")))))))</f>
        <v>Naruči odmah</v>
      </c>
      <c r="S117" s="23" t="n">
        <f aca="false">IFERROR(INDEX(PODACI_PRODAJA!B:B,MATCH($A117,PODACI_PRODAJA!$A:$A,0)),0)</f>
        <v>24</v>
      </c>
      <c r="T117" s="23" t="n">
        <f aca="false">IFERROR(INDEX(PODACI_PRODAJA!C:C,MATCH($A117,PODACI_PRODAJA!$A:$A,0)),0)</f>
        <v>7</v>
      </c>
      <c r="U117" s="23" t="n">
        <f aca="false">IFERROR(INDEX(PODACI_PRODAJA!D:D,MATCH($A117,PODACI_PRODAJA!$A:$A,0)),0)</f>
        <v>15</v>
      </c>
      <c r="V117" s="23" t="n">
        <f aca="false">IFERROR(INDEX(PODACI_PRODAJA!E:E,MATCH($A117,PODACI_PRODAJA!$A:$A,0)),0)</f>
        <v>22</v>
      </c>
      <c r="W117" s="23" t="n">
        <f aca="false">IFERROR(INDEX(PODACI_PRODAJA!F:F,MATCH($A117,PODACI_PRODAJA!$A:$A,0)),0)</f>
        <v>12</v>
      </c>
      <c r="X117" s="23" t="n">
        <f aca="false">IFERROR(INDEX(PODACI_PRODAJA!G:G,MATCH($A117,PODACI_PRODAJA!$A:$A,0)),0)</f>
        <v>19</v>
      </c>
      <c r="Y117" s="23" t="n">
        <f aca="false">IFERROR(INDEX(PODACI_PRODAJA!H:H,MATCH($A117,PODACI_PRODAJA!$A:$A,0)),0)</f>
        <v>24</v>
      </c>
      <c r="Z117" s="23" t="n">
        <f aca="false">IFERROR(INDEX(PODACI_PRODAJA!I:I,MATCH($A117,PODACI_PRODAJA!$A:$A,0)),0)</f>
        <v>5</v>
      </c>
      <c r="AA117" s="23" t="n">
        <f aca="false">IFERROR(INDEX(PODACI_PRODAJA!J:J,MATCH($A117,PODACI_PRODAJA!$A:$A,0)),0)</f>
        <v>3</v>
      </c>
      <c r="AB117" s="23" t="n">
        <f aca="false">IFERROR(INDEX(PODACI_PRODAJA!K:K,MATCH($A117,PODACI_PRODAJA!$A:$A,0)),0)</f>
        <v>0</v>
      </c>
      <c r="AC117" s="23" t="n">
        <f aca="false">IFERROR(INDEX(PODACI_PRODAJA!L:L,MATCH($A117,PODACI_PRODAJA!$A:$A,0)),0)</f>
        <v>0</v>
      </c>
      <c r="AD117" s="23" t="n">
        <f aca="false">IFERROR(INDEX(PODACI_PRODAJA!M:M,MATCH($A117,PODACI_PRODAJA!$A:$A,0)),0)</f>
        <v>0</v>
      </c>
    </row>
    <row r="118" customFormat="false" ht="15" hidden="false" customHeight="false" outlineLevel="0" collapsed="false">
      <c r="A118" s="11" t="str">
        <f aca="false">PODACI_ZALIHE!A115</f>
        <v>003210</v>
      </c>
      <c r="B118" s="8" t="str">
        <f aca="false">PODACI_ZALIHE!B115</f>
        <v>VETRO LINEA 100 TUŠ STIJENA 100x200 cm</v>
      </c>
      <c r="C118" s="9" t="str">
        <f aca="false">PODACI_ZALIHE!C115</f>
        <v>6762</v>
      </c>
      <c r="D118" s="8" t="str">
        <f aca="false">PODACI_ZALIHE!D115</f>
        <v>ZHEJIANG QUICKLINE SHOWERING CO., LTD.</v>
      </c>
      <c r="E118" s="19" t="n">
        <f aca="false">IF(PODACI_ZALIHE!E115="","",PODACI_ZALIHE!E115)</f>
        <v>72</v>
      </c>
      <c r="F118" s="20" t="n">
        <f aca="false">PODACI_ZALIHE!F115</f>
        <v>72</v>
      </c>
      <c r="G118" s="19" t="n">
        <f aca="false">IF(E118="","",E118-F118)</f>
        <v>0</v>
      </c>
      <c r="H118" s="9" t="n">
        <f aca="false">PODACI_PRODAJA!N69</f>
        <v>7.63</v>
      </c>
      <c r="I118" s="21" t="n">
        <f aca="false">IF(H118&lt;=0,999,ROUND(F118/H118,1))</f>
        <v>9.4</v>
      </c>
      <c r="J118" s="9" t="n">
        <f aca="false">SUMIFS(ROBA_U_DOLASKU!$C$6:$C$95,ROBA_U_DOLASKU!$A$6:$A$95,A118,ROBA_U_DOLASKU!$H$6:$H$95,1)</f>
        <v>0</v>
      </c>
      <c r="K118" s="9" t="n">
        <f aca="false">SUMIFS(ROBA_U_DOLASKU!$B$6:$B$95,ROBA_U_DOLASKU!$A$6:$A$95,A118,ROBA_U_DOLASKU!$H$6:$H$95,1)</f>
        <v>0</v>
      </c>
      <c r="L118" s="9" t="n">
        <f aca="false">SUMIFS(ROBA_U_DOLASKU!$C$6:$C$95,ROBA_U_DOLASKU!$A$6:$A$95,A118,ROBA_U_DOLASKU!$H$6:$H$95,2)</f>
        <v>0</v>
      </c>
      <c r="M118" s="9" t="n">
        <f aca="false">SUMIFS(ROBA_U_DOLASKU!$B$6:$B$95,ROBA_U_DOLASKU!$A$6:$A$95,A118,ROBA_U_DOLASKU!$H$6:$H$95,2)</f>
        <v>0</v>
      </c>
      <c r="N118" s="9" t="n">
        <f aca="false">SUMIFS(ROBA_U_DOLASKU!$C$6:$C$95,ROBA_U_DOLASKU!$A$6:$A$95,A118,ROBA_U_DOLASKU!$H$6:$H$95,3)</f>
        <v>0</v>
      </c>
      <c r="O118" s="9" t="n">
        <f aca="false">SUMIFS(ROBA_U_DOLASKU!$B$6:$B$95,ROBA_U_DOLASKU!$A$6:$A$95,A118,ROBA_U_DOLASKU!$H$6:$H$95,3)</f>
        <v>0</v>
      </c>
      <c r="P118" s="9" t="n">
        <f aca="false">IF(H118&lt;=0,999,IF(O118&gt;0,ROUND((F118-H118*N118+K118+M118+O118)/H118,1),IF(M118&gt;0,ROUND((F118-H118*L118+K118+M118)/H118,1),IF(K118&gt;0,ROUND((F118-H118*J118+K118)/H118,1),I118))))</f>
        <v>9.4</v>
      </c>
      <c r="Q118" s="22" t="str">
        <f aca="false">IF(H118&lt;=0,"Nema prodaje",IF(AND(K118=0,M118=0,O118=0),IF(I118&lt;POSTAVKE!$B$6,"Naruči odmah","Sve u redu"),IF(F118-H118*J118&lt;0,"Rupa za ~"&amp;TEXT(I118,"0.0")&amp;" mj.",IF(AND(M118&gt;0,F118-H118*L118+K118&lt;0),"Rupa nakon 1. dolaska",IF(AND(O118&gt;0,F118-H118*N118+K118+M118&lt;0),"Rupa nakon 2. dolaska",IF(P118&lt;POSTAVKE!$B$6,"Količina nije dovoljna",IF(I118&gt;=POSTAVKE!$B$6,"Sve u redu","Stiže na vrijeme")))))))</f>
        <v>Sve u redu</v>
      </c>
      <c r="S118" s="23" t="n">
        <f aca="false">IFERROR(INDEX(PODACI_PRODAJA!B:B,MATCH($A118,PODACI_PRODAJA!$A:$A,0)),0)</f>
        <v>9</v>
      </c>
      <c r="T118" s="23" t="n">
        <f aca="false">IFERROR(INDEX(PODACI_PRODAJA!C:C,MATCH($A118,PODACI_PRODAJA!$A:$A,0)),0)</f>
        <v>4</v>
      </c>
      <c r="U118" s="23" t="n">
        <f aca="false">IFERROR(INDEX(PODACI_PRODAJA!D:D,MATCH($A118,PODACI_PRODAJA!$A:$A,0)),0)</f>
        <v>3</v>
      </c>
      <c r="V118" s="23" t="n">
        <f aca="false">IFERROR(INDEX(PODACI_PRODAJA!E:E,MATCH($A118,PODACI_PRODAJA!$A:$A,0)),0)</f>
        <v>6</v>
      </c>
      <c r="W118" s="23" t="n">
        <f aca="false">IFERROR(INDEX(PODACI_PRODAJA!F:F,MATCH($A118,PODACI_PRODAJA!$A:$A,0)),0)</f>
        <v>10</v>
      </c>
      <c r="X118" s="23" t="n">
        <f aca="false">IFERROR(INDEX(PODACI_PRODAJA!G:G,MATCH($A118,PODACI_PRODAJA!$A:$A,0)),0)</f>
        <v>4</v>
      </c>
      <c r="Y118" s="23" t="n">
        <f aca="false">IFERROR(INDEX(PODACI_PRODAJA!H:H,MATCH($A118,PODACI_PRODAJA!$A:$A,0)),0)</f>
        <v>16</v>
      </c>
      <c r="Z118" s="23" t="n">
        <f aca="false">IFERROR(INDEX(PODACI_PRODAJA!I:I,MATCH($A118,PODACI_PRODAJA!$A:$A,0)),0)</f>
        <v>9</v>
      </c>
      <c r="AA118" s="23" t="n">
        <f aca="false">IFERROR(INDEX(PODACI_PRODAJA!J:J,MATCH($A118,PODACI_PRODAJA!$A:$A,0)),0)</f>
        <v>0</v>
      </c>
      <c r="AB118" s="23" t="n">
        <f aca="false">IFERROR(INDEX(PODACI_PRODAJA!K:K,MATCH($A118,PODACI_PRODAJA!$A:$A,0)),0)</f>
        <v>0</v>
      </c>
      <c r="AC118" s="23" t="n">
        <f aca="false">IFERROR(INDEX(PODACI_PRODAJA!L:L,MATCH($A118,PODACI_PRODAJA!$A:$A,0)),0)</f>
        <v>0</v>
      </c>
      <c r="AD118" s="23" t="n">
        <f aca="false">IFERROR(INDEX(PODACI_PRODAJA!M:M,MATCH($A118,PODACI_PRODAJA!$A:$A,0)),0)</f>
        <v>0</v>
      </c>
    </row>
    <row r="119" customFormat="false" ht="15" hidden="false" customHeight="false" outlineLevel="0" collapsed="false">
      <c r="A119" s="11" t="str">
        <f aca="false">PODACI_ZALIHE!A116</f>
        <v>004100230</v>
      </c>
      <c r="B119" s="8" t="str">
        <f aca="false">PODACI_ZALIHE!B116</f>
        <v>LOGO PANEL ZA AMBIJENTU SIMPLY OTVORENI METALNI KRIŽ ZA KABINE</v>
      </c>
      <c r="C119" s="9" t="str">
        <f aca="false">PODACI_ZALIHE!C116</f>
        <v>5842</v>
      </c>
      <c r="D119" s="8" t="str">
        <f aca="false">PODACI_ZALIHE!D116</f>
        <v>STATOPLAST D.O.O.</v>
      </c>
      <c r="E119" s="19" t="n">
        <f aca="false">IF(PODACI_ZALIHE!E116="","",PODACI_ZALIHE!E116)</f>
        <v>72</v>
      </c>
      <c r="F119" s="20" t="n">
        <f aca="false">PODACI_ZALIHE!F116</f>
        <v>72</v>
      </c>
      <c r="G119" s="19" t="n">
        <f aca="false">IF(E119="","",E119-F119)</f>
        <v>0</v>
      </c>
      <c r="H119" s="9" t="n">
        <v>0</v>
      </c>
      <c r="I119" s="21" t="n">
        <f aca="false">IF(H119&lt;=0,999,ROUND(F119/H119,1))</f>
        <v>999</v>
      </c>
      <c r="J119" s="9" t="n">
        <f aca="false">SUMIFS(ROBA_U_DOLASKU!$C$6:$C$95,ROBA_U_DOLASKU!$A$6:$A$95,A119,ROBA_U_DOLASKU!$H$6:$H$95,1)</f>
        <v>0</v>
      </c>
      <c r="K119" s="9" t="n">
        <f aca="false">SUMIFS(ROBA_U_DOLASKU!$B$6:$B$95,ROBA_U_DOLASKU!$A$6:$A$95,A119,ROBA_U_DOLASKU!$H$6:$H$95,1)</f>
        <v>0</v>
      </c>
      <c r="L119" s="9" t="n">
        <f aca="false">SUMIFS(ROBA_U_DOLASKU!$C$6:$C$95,ROBA_U_DOLASKU!$A$6:$A$95,A119,ROBA_U_DOLASKU!$H$6:$H$95,2)</f>
        <v>0</v>
      </c>
      <c r="M119" s="9" t="n">
        <f aca="false">SUMIFS(ROBA_U_DOLASKU!$B$6:$B$95,ROBA_U_DOLASKU!$A$6:$A$95,A119,ROBA_U_DOLASKU!$H$6:$H$95,2)</f>
        <v>0</v>
      </c>
      <c r="N119" s="9" t="n">
        <f aca="false">SUMIFS(ROBA_U_DOLASKU!$C$6:$C$95,ROBA_U_DOLASKU!$A$6:$A$95,A119,ROBA_U_DOLASKU!$H$6:$H$95,3)</f>
        <v>0</v>
      </c>
      <c r="O119" s="9" t="n">
        <f aca="false">SUMIFS(ROBA_U_DOLASKU!$B$6:$B$95,ROBA_U_DOLASKU!$A$6:$A$95,A119,ROBA_U_DOLASKU!$H$6:$H$95,3)</f>
        <v>0</v>
      </c>
      <c r="P119" s="9" t="n">
        <f aca="false">IF(H119&lt;=0,999,IF(O119&gt;0,ROUND((F119-H119*N119+K119+M119+O119)/H119,1),IF(M119&gt;0,ROUND((F119-H119*L119+K119+M119)/H119,1),IF(K119&gt;0,ROUND((F119-H119*J119+K119)/H119,1),I119))))</f>
        <v>999</v>
      </c>
      <c r="Q119" s="22" t="str">
        <f aca="false">IF(H119&lt;=0,"Nema prodaje",IF(AND(K119=0,M119=0,O119=0),IF(I119&lt;POSTAVKE!$B$6,"Naruči odmah","Sve u redu"),IF(F119-H119*J119&lt;0,"Rupa za ~"&amp;TEXT(I119,"0.0")&amp;" mj.",IF(AND(M119&gt;0,F119-H119*L119+K119&lt;0),"Rupa nakon 1. dolaska",IF(AND(O119&gt;0,F119-H119*N119+K119+M119&lt;0),"Rupa nakon 2. dolaska",IF(P119&lt;POSTAVKE!$B$6,"Količina nije dovoljna",IF(I119&gt;=POSTAVKE!$B$6,"Sve u redu","Stiže na vrijeme")))))))</f>
        <v>Nema prodaje</v>
      </c>
      <c r="S119" s="23" t="n">
        <f aca="false">IFERROR(INDEX(PODACI_PRODAJA!B:B,MATCH($A119,PODACI_PRODAJA!$A:$A,0)),0)</f>
        <v>0</v>
      </c>
      <c r="T119" s="23" t="n">
        <f aca="false">IFERROR(INDEX(PODACI_PRODAJA!C:C,MATCH($A119,PODACI_PRODAJA!$A:$A,0)),0)</f>
        <v>0</v>
      </c>
      <c r="U119" s="23" t="n">
        <f aca="false">IFERROR(INDEX(PODACI_PRODAJA!D:D,MATCH($A119,PODACI_PRODAJA!$A:$A,0)),0)</f>
        <v>0</v>
      </c>
      <c r="V119" s="23" t="n">
        <f aca="false">IFERROR(INDEX(PODACI_PRODAJA!E:E,MATCH($A119,PODACI_PRODAJA!$A:$A,0)),0)</f>
        <v>0</v>
      </c>
      <c r="W119" s="23" t="n">
        <f aca="false">IFERROR(INDEX(PODACI_PRODAJA!F:F,MATCH($A119,PODACI_PRODAJA!$A:$A,0)),0)</f>
        <v>0</v>
      </c>
      <c r="X119" s="23" t="n">
        <f aca="false">IFERROR(INDEX(PODACI_PRODAJA!G:G,MATCH($A119,PODACI_PRODAJA!$A:$A,0)),0)</f>
        <v>0</v>
      </c>
      <c r="Y119" s="23" t="n">
        <f aca="false">IFERROR(INDEX(PODACI_PRODAJA!H:H,MATCH($A119,PODACI_PRODAJA!$A:$A,0)),0)</f>
        <v>0</v>
      </c>
      <c r="Z119" s="23" t="n">
        <f aca="false">IFERROR(INDEX(PODACI_PRODAJA!I:I,MATCH($A119,PODACI_PRODAJA!$A:$A,0)),0)</f>
        <v>0</v>
      </c>
      <c r="AA119" s="23" t="n">
        <f aca="false">IFERROR(INDEX(PODACI_PRODAJA!J:J,MATCH($A119,PODACI_PRODAJA!$A:$A,0)),0)</f>
        <v>0</v>
      </c>
      <c r="AB119" s="23" t="n">
        <f aca="false">IFERROR(INDEX(PODACI_PRODAJA!K:K,MATCH($A119,PODACI_PRODAJA!$A:$A,0)),0)</f>
        <v>0</v>
      </c>
      <c r="AC119" s="23" t="n">
        <f aca="false">IFERROR(INDEX(PODACI_PRODAJA!L:L,MATCH($A119,PODACI_PRODAJA!$A:$A,0)),0)</f>
        <v>0</v>
      </c>
      <c r="AD119" s="23" t="n">
        <f aca="false">IFERROR(INDEX(PODACI_PRODAJA!M:M,MATCH($A119,PODACI_PRODAJA!$A:$A,0)),0)</f>
        <v>0</v>
      </c>
    </row>
    <row r="120" customFormat="false" ht="15" hidden="false" customHeight="false" outlineLevel="0" collapsed="false">
      <c r="A120" s="11" t="str">
        <f aca="false">PODACI_ZALIHE!A117</f>
        <v>040110</v>
      </c>
      <c r="B120" s="8" t="str">
        <f aca="false">PODACI_ZALIHE!B117</f>
        <v>AOSTA - MJEŠALICA ZA UMIVAONIK</v>
      </c>
      <c r="C120" s="9" t="str">
        <f aca="false">PODACI_ZALIHE!C117</f>
        <v>4053</v>
      </c>
      <c r="D120" s="8" t="str">
        <f aca="false">PODACI_ZALIHE!D117</f>
        <v>TAIZHOU ZHENGSHING VALVE CO .,LTD</v>
      </c>
      <c r="E120" s="19" t="n">
        <f aca="false">IF(PODACI_ZALIHE!E117="","",PODACI_ZALIHE!E117)</f>
        <v>72</v>
      </c>
      <c r="F120" s="20" t="n">
        <f aca="false">PODACI_ZALIHE!F117</f>
        <v>72</v>
      </c>
      <c r="G120" s="19" t="n">
        <f aca="false">IF(E120="","",E120-F120)</f>
        <v>0</v>
      </c>
      <c r="H120" s="9" t="n">
        <f aca="false">PODACI_PRODAJA!N55</f>
        <v>14.75</v>
      </c>
      <c r="I120" s="21" t="n">
        <f aca="false">IF(H120&lt;=0,999,ROUND(F120/H120,1))</f>
        <v>4.9</v>
      </c>
      <c r="J120" s="9" t="n">
        <f aca="false">SUMIFS(ROBA_U_DOLASKU!$C$6:$C$95,ROBA_U_DOLASKU!$A$6:$A$95,A120,ROBA_U_DOLASKU!$H$6:$H$95,1)</f>
        <v>0</v>
      </c>
      <c r="K120" s="9" t="n">
        <f aca="false">SUMIFS(ROBA_U_DOLASKU!$B$6:$B$95,ROBA_U_DOLASKU!$A$6:$A$95,A120,ROBA_U_DOLASKU!$H$6:$H$95,1)</f>
        <v>0</v>
      </c>
      <c r="L120" s="9" t="n">
        <f aca="false">SUMIFS(ROBA_U_DOLASKU!$C$6:$C$95,ROBA_U_DOLASKU!$A$6:$A$95,A120,ROBA_U_DOLASKU!$H$6:$H$95,2)</f>
        <v>0</v>
      </c>
      <c r="M120" s="9" t="n">
        <f aca="false">SUMIFS(ROBA_U_DOLASKU!$B$6:$B$95,ROBA_U_DOLASKU!$A$6:$A$95,A120,ROBA_U_DOLASKU!$H$6:$H$95,2)</f>
        <v>0</v>
      </c>
      <c r="N120" s="9" t="n">
        <f aca="false">SUMIFS(ROBA_U_DOLASKU!$C$6:$C$95,ROBA_U_DOLASKU!$A$6:$A$95,A120,ROBA_U_DOLASKU!$H$6:$H$95,3)</f>
        <v>0</v>
      </c>
      <c r="O120" s="9" t="n">
        <f aca="false">SUMIFS(ROBA_U_DOLASKU!$B$6:$B$95,ROBA_U_DOLASKU!$A$6:$A$95,A120,ROBA_U_DOLASKU!$H$6:$H$95,3)</f>
        <v>0</v>
      </c>
      <c r="P120" s="9" t="n">
        <f aca="false">IF(H120&lt;=0,999,IF(O120&gt;0,ROUND((F120-H120*N120+K120+M120+O120)/H120,1),IF(M120&gt;0,ROUND((F120-H120*L120+K120+M120)/H120,1),IF(K120&gt;0,ROUND((F120-H120*J120+K120)/H120,1),I120))))</f>
        <v>4.9</v>
      </c>
      <c r="Q120" s="22" t="str">
        <f aca="false">IF(H120&lt;=0,"Nema prodaje",IF(AND(K120=0,M120=0,O120=0),IF(I120&lt;POSTAVKE!$B$6,"Naruči odmah","Sve u redu"),IF(F120-H120*J120&lt;0,"Rupa za ~"&amp;TEXT(I120,"0.0")&amp;" mj.",IF(AND(M120&gt;0,F120-H120*L120+K120&lt;0),"Rupa nakon 1. dolaska",IF(AND(O120&gt;0,F120-H120*N120+K120+M120&lt;0),"Rupa nakon 2. dolaska",IF(P120&lt;POSTAVKE!$B$6,"Količina nije dovoljna",IF(I120&gt;=POSTAVKE!$B$6,"Sve u redu","Stiže na vrijeme")))))))</f>
        <v>Naruči odmah</v>
      </c>
      <c r="S120" s="23" t="n">
        <f aca="false">IFERROR(INDEX(PODACI_PRODAJA!B:B,MATCH($A120,PODACI_PRODAJA!$A:$A,0)),0)</f>
        <v>16</v>
      </c>
      <c r="T120" s="23" t="n">
        <f aca="false">IFERROR(INDEX(PODACI_PRODAJA!C:C,MATCH($A120,PODACI_PRODAJA!$A:$A,0)),0)</f>
        <v>20</v>
      </c>
      <c r="U120" s="23" t="n">
        <f aca="false">IFERROR(INDEX(PODACI_PRODAJA!D:D,MATCH($A120,PODACI_PRODAJA!$A:$A,0)),0)</f>
        <v>11</v>
      </c>
      <c r="V120" s="23" t="n">
        <f aca="false">IFERROR(INDEX(PODACI_PRODAJA!E:E,MATCH($A120,PODACI_PRODAJA!$A:$A,0)),0)</f>
        <v>19</v>
      </c>
      <c r="W120" s="23" t="n">
        <f aca="false">IFERROR(INDEX(PODACI_PRODAJA!F:F,MATCH($A120,PODACI_PRODAJA!$A:$A,0)),0)</f>
        <v>13</v>
      </c>
      <c r="X120" s="23" t="n">
        <f aca="false">IFERROR(INDEX(PODACI_PRODAJA!G:G,MATCH($A120,PODACI_PRODAJA!$A:$A,0)),0)</f>
        <v>16</v>
      </c>
      <c r="Y120" s="23" t="n">
        <f aca="false">IFERROR(INDEX(PODACI_PRODAJA!H:H,MATCH($A120,PODACI_PRODAJA!$A:$A,0)),0)</f>
        <v>9</v>
      </c>
      <c r="Z120" s="23" t="n">
        <f aca="false">IFERROR(INDEX(PODACI_PRODAJA!I:I,MATCH($A120,PODACI_PRODAJA!$A:$A,0)),0)</f>
        <v>14</v>
      </c>
      <c r="AA120" s="23" t="n">
        <f aca="false">IFERROR(INDEX(PODACI_PRODAJA!J:J,MATCH($A120,PODACI_PRODAJA!$A:$A,0)),0)</f>
        <v>0</v>
      </c>
      <c r="AB120" s="23" t="n">
        <f aca="false">IFERROR(INDEX(PODACI_PRODAJA!K:K,MATCH($A120,PODACI_PRODAJA!$A:$A,0)),0)</f>
        <v>0</v>
      </c>
      <c r="AC120" s="23" t="n">
        <f aca="false">IFERROR(INDEX(PODACI_PRODAJA!L:L,MATCH($A120,PODACI_PRODAJA!$A:$A,0)),0)</f>
        <v>0</v>
      </c>
      <c r="AD120" s="23" t="n">
        <f aca="false">IFERROR(INDEX(PODACI_PRODAJA!M:M,MATCH($A120,PODACI_PRODAJA!$A:$A,0)),0)</f>
        <v>0</v>
      </c>
    </row>
    <row r="121" customFormat="false" ht="15" hidden="false" customHeight="false" outlineLevel="0" collapsed="false">
      <c r="A121" s="11" t="str">
        <f aca="false">PODACI_ZALIHE!A118</f>
        <v>17258</v>
      </c>
      <c r="B121" s="8" t="str">
        <f aca="false">PODACI_ZALIHE!B118</f>
        <v>VETRO SIDE CHROME TRS 30 PREKLOPNA VRATA ZA VETRO 30X200 cm</v>
      </c>
      <c r="C121" s="9" t="str">
        <f aca="false">PODACI_ZALIHE!C118</f>
        <v>6762</v>
      </c>
      <c r="D121" s="8" t="str">
        <f aca="false">PODACI_ZALIHE!D118</f>
        <v>ZHEJIANG QUICKLINE SHOWERING CO., LTD.</v>
      </c>
      <c r="E121" s="19" t="n">
        <f aca="false">IF(PODACI_ZALIHE!E118="","",PODACI_ZALIHE!E118)</f>
        <v>72</v>
      </c>
      <c r="F121" s="20" t="n">
        <f aca="false">PODACI_ZALIHE!F118</f>
        <v>72</v>
      </c>
      <c r="G121" s="19" t="n">
        <f aca="false">IF(E121="","",E121-F121)</f>
        <v>0</v>
      </c>
      <c r="H121" s="9" t="n">
        <f aca="false">PODACI_PRODAJA!N630</f>
        <v>0.75</v>
      </c>
      <c r="I121" s="21" t="n">
        <f aca="false">IF(H121&lt;=0,999,ROUND(F121/H121,1))</f>
        <v>96</v>
      </c>
      <c r="J121" s="9" t="n">
        <f aca="false">SUMIFS(ROBA_U_DOLASKU!$C$6:$C$95,ROBA_U_DOLASKU!$A$6:$A$95,A121,ROBA_U_DOLASKU!$H$6:$H$95,1)</f>
        <v>0</v>
      </c>
      <c r="K121" s="9" t="n">
        <f aca="false">SUMIFS(ROBA_U_DOLASKU!$B$6:$B$95,ROBA_U_DOLASKU!$A$6:$A$95,A121,ROBA_U_DOLASKU!$H$6:$H$95,1)</f>
        <v>0</v>
      </c>
      <c r="L121" s="9" t="n">
        <f aca="false">SUMIFS(ROBA_U_DOLASKU!$C$6:$C$95,ROBA_U_DOLASKU!$A$6:$A$95,A121,ROBA_U_DOLASKU!$H$6:$H$95,2)</f>
        <v>0</v>
      </c>
      <c r="M121" s="9" t="n">
        <f aca="false">SUMIFS(ROBA_U_DOLASKU!$B$6:$B$95,ROBA_U_DOLASKU!$A$6:$A$95,A121,ROBA_U_DOLASKU!$H$6:$H$95,2)</f>
        <v>0</v>
      </c>
      <c r="N121" s="9" t="n">
        <f aca="false">SUMIFS(ROBA_U_DOLASKU!$C$6:$C$95,ROBA_U_DOLASKU!$A$6:$A$95,A121,ROBA_U_DOLASKU!$H$6:$H$95,3)</f>
        <v>0</v>
      </c>
      <c r="O121" s="9" t="n">
        <f aca="false">SUMIFS(ROBA_U_DOLASKU!$B$6:$B$95,ROBA_U_DOLASKU!$A$6:$A$95,A121,ROBA_U_DOLASKU!$H$6:$H$95,3)</f>
        <v>0</v>
      </c>
      <c r="P121" s="9" t="n">
        <f aca="false">IF(H121&lt;=0,999,IF(O121&gt;0,ROUND((F121-H121*N121+K121+M121+O121)/H121,1),IF(M121&gt;0,ROUND((F121-H121*L121+K121+M121)/H121,1),IF(K121&gt;0,ROUND((F121-H121*J121+K121)/H121,1),I121))))</f>
        <v>96</v>
      </c>
      <c r="Q121" s="22" t="str">
        <f aca="false">IF(H121&lt;=0,"Nema prodaje",IF(AND(K121=0,M121=0,O121=0),IF(I121&lt;POSTAVKE!$B$6,"Naruči odmah","Sve u redu"),IF(F121-H121*J121&lt;0,"Rupa za ~"&amp;TEXT(I121,"0.0")&amp;" mj.",IF(AND(M121&gt;0,F121-H121*L121+K121&lt;0),"Rupa nakon 1. dolaska",IF(AND(O121&gt;0,F121-H121*N121+K121+M121&lt;0),"Rupa nakon 2. dolaska",IF(P121&lt;POSTAVKE!$B$6,"Količina nije dovoljna",IF(I121&gt;=POSTAVKE!$B$6,"Sve u redu","Stiže na vrijeme")))))))</f>
        <v>Sve u redu</v>
      </c>
      <c r="S121" s="23" t="n">
        <f aca="false">IFERROR(INDEX(PODACI_PRODAJA!B:B,MATCH($A121,PODACI_PRODAJA!$A:$A,0)),0)</f>
        <v>0</v>
      </c>
      <c r="T121" s="23" t="n">
        <f aca="false">IFERROR(INDEX(PODACI_PRODAJA!C:C,MATCH($A121,PODACI_PRODAJA!$A:$A,0)),0)</f>
        <v>0</v>
      </c>
      <c r="U121" s="23" t="n">
        <f aca="false">IFERROR(INDEX(PODACI_PRODAJA!D:D,MATCH($A121,PODACI_PRODAJA!$A:$A,0)),0)</f>
        <v>2</v>
      </c>
      <c r="V121" s="23" t="n">
        <f aca="false">IFERROR(INDEX(PODACI_PRODAJA!E:E,MATCH($A121,PODACI_PRODAJA!$A:$A,0)),0)</f>
        <v>1</v>
      </c>
      <c r="W121" s="23" t="n">
        <f aca="false">IFERROR(INDEX(PODACI_PRODAJA!F:F,MATCH($A121,PODACI_PRODAJA!$A:$A,0)),0)</f>
        <v>0</v>
      </c>
      <c r="X121" s="23" t="n">
        <f aca="false">IFERROR(INDEX(PODACI_PRODAJA!G:G,MATCH($A121,PODACI_PRODAJA!$A:$A,0)),0)</f>
        <v>1</v>
      </c>
      <c r="Y121" s="23" t="n">
        <f aca="false">IFERROR(INDEX(PODACI_PRODAJA!H:H,MATCH($A121,PODACI_PRODAJA!$A:$A,0)),0)</f>
        <v>2</v>
      </c>
      <c r="Z121" s="23" t="n">
        <f aca="false">IFERROR(INDEX(PODACI_PRODAJA!I:I,MATCH($A121,PODACI_PRODAJA!$A:$A,0)),0)</f>
        <v>0</v>
      </c>
      <c r="AA121" s="23" t="n">
        <f aca="false">IFERROR(INDEX(PODACI_PRODAJA!J:J,MATCH($A121,PODACI_PRODAJA!$A:$A,0)),0)</f>
        <v>0</v>
      </c>
      <c r="AB121" s="23" t="n">
        <f aca="false">IFERROR(INDEX(PODACI_PRODAJA!K:K,MATCH($A121,PODACI_PRODAJA!$A:$A,0)),0)</f>
        <v>0</v>
      </c>
      <c r="AC121" s="23" t="n">
        <f aca="false">IFERROR(INDEX(PODACI_PRODAJA!L:L,MATCH($A121,PODACI_PRODAJA!$A:$A,0)),0)</f>
        <v>0</v>
      </c>
      <c r="AD121" s="23" t="n">
        <f aca="false">IFERROR(INDEX(PODACI_PRODAJA!M:M,MATCH($A121,PODACI_PRODAJA!$A:$A,0)),0)</f>
        <v>0</v>
      </c>
    </row>
    <row r="122" customFormat="false" ht="15" hidden="false" customHeight="false" outlineLevel="0" collapsed="false">
      <c r="A122" s="11" t="str">
        <f aca="false">PODACI_ZALIHE!A119</f>
        <v>18019</v>
      </c>
      <c r="B122" s="8" t="str">
        <f aca="false">PODACI_ZALIHE!B119</f>
        <v>TK ROTA 90KV CHROME TUŠ KABINA 90x90x200cm</v>
      </c>
      <c r="C122" s="9" t="str">
        <f aca="false">PODACI_ZALIHE!C119</f>
        <v>6762</v>
      </c>
      <c r="D122" s="8" t="str">
        <f aca="false">PODACI_ZALIHE!D119</f>
        <v>ZHEJIANG QUICKLINE SHOWERING CO., LTD.</v>
      </c>
      <c r="E122" s="19" t="n">
        <f aca="false">IF(PODACI_ZALIHE!E119="","",PODACI_ZALIHE!E119)</f>
        <v>74</v>
      </c>
      <c r="F122" s="20" t="n">
        <f aca="false">PODACI_ZALIHE!F119</f>
        <v>72</v>
      </c>
      <c r="G122" s="19" t="n">
        <f aca="false">IF(E122="","",E122-F122)</f>
        <v>2</v>
      </c>
      <c r="H122" s="9" t="n">
        <f aca="false">PODACI_PRODAJA!N660</f>
        <v>2.5</v>
      </c>
      <c r="I122" s="21" t="n">
        <f aca="false">IF(H122&lt;=0,999,ROUND(F122/H122,1))</f>
        <v>28.8</v>
      </c>
      <c r="J122" s="9" t="n">
        <f aca="false">SUMIFS(ROBA_U_DOLASKU!$C$6:$C$95,ROBA_U_DOLASKU!$A$6:$A$95,A122,ROBA_U_DOLASKU!$H$6:$H$95,1)</f>
        <v>0</v>
      </c>
      <c r="K122" s="9" t="n">
        <f aca="false">SUMIFS(ROBA_U_DOLASKU!$B$6:$B$95,ROBA_U_DOLASKU!$A$6:$A$95,A122,ROBA_U_DOLASKU!$H$6:$H$95,1)</f>
        <v>0</v>
      </c>
      <c r="L122" s="9" t="n">
        <f aca="false">SUMIFS(ROBA_U_DOLASKU!$C$6:$C$95,ROBA_U_DOLASKU!$A$6:$A$95,A122,ROBA_U_DOLASKU!$H$6:$H$95,2)</f>
        <v>0</v>
      </c>
      <c r="M122" s="9" t="n">
        <f aca="false">SUMIFS(ROBA_U_DOLASKU!$B$6:$B$95,ROBA_U_DOLASKU!$A$6:$A$95,A122,ROBA_U_DOLASKU!$H$6:$H$95,2)</f>
        <v>0</v>
      </c>
      <c r="N122" s="9" t="n">
        <f aca="false">SUMIFS(ROBA_U_DOLASKU!$C$6:$C$95,ROBA_U_DOLASKU!$A$6:$A$95,A122,ROBA_U_DOLASKU!$H$6:$H$95,3)</f>
        <v>0</v>
      </c>
      <c r="O122" s="9" t="n">
        <f aca="false">SUMIFS(ROBA_U_DOLASKU!$B$6:$B$95,ROBA_U_DOLASKU!$A$6:$A$95,A122,ROBA_U_DOLASKU!$H$6:$H$95,3)</f>
        <v>0</v>
      </c>
      <c r="P122" s="9" t="n">
        <f aca="false">IF(H122&lt;=0,999,IF(O122&gt;0,ROUND((F122-H122*N122+K122+M122+O122)/H122,1),IF(M122&gt;0,ROUND((F122-H122*L122+K122+M122)/H122,1),IF(K122&gt;0,ROUND((F122-H122*J122+K122)/H122,1),I122))))</f>
        <v>28.8</v>
      </c>
      <c r="Q122" s="22" t="str">
        <f aca="false">IF(H122&lt;=0,"Nema prodaje",IF(AND(K122=0,M122=0,O122=0),IF(I122&lt;POSTAVKE!$B$6,"Naruči odmah","Sve u redu"),IF(F122-H122*J122&lt;0,"Rupa za ~"&amp;TEXT(I122,"0.0")&amp;" mj.",IF(AND(M122&gt;0,F122-H122*L122+K122&lt;0),"Rupa nakon 1. dolaska",IF(AND(O122&gt;0,F122-H122*N122+K122+M122&lt;0),"Rupa nakon 2. dolaska",IF(P122&lt;POSTAVKE!$B$6,"Količina nije dovoljna",IF(I122&gt;=POSTAVKE!$B$6,"Sve u redu","Stiže na vrijeme")))))))</f>
        <v>Sve u redu</v>
      </c>
      <c r="S122" s="23" t="n">
        <f aca="false">IFERROR(INDEX(PODACI_PRODAJA!B:B,MATCH($A122,PODACI_PRODAJA!$A:$A,0)),0)</f>
        <v>0</v>
      </c>
      <c r="T122" s="23" t="n">
        <f aca="false">IFERROR(INDEX(PODACI_PRODAJA!C:C,MATCH($A122,PODACI_PRODAJA!$A:$A,0)),0)</f>
        <v>0</v>
      </c>
      <c r="U122" s="23" t="n">
        <f aca="false">IFERROR(INDEX(PODACI_PRODAJA!D:D,MATCH($A122,PODACI_PRODAJA!$A:$A,0)),0)</f>
        <v>2</v>
      </c>
      <c r="V122" s="23" t="n">
        <f aca="false">IFERROR(INDEX(PODACI_PRODAJA!E:E,MATCH($A122,PODACI_PRODAJA!$A:$A,0)),0)</f>
        <v>2</v>
      </c>
      <c r="W122" s="23" t="n">
        <f aca="false">IFERROR(INDEX(PODACI_PRODAJA!F:F,MATCH($A122,PODACI_PRODAJA!$A:$A,0)),0)</f>
        <v>3</v>
      </c>
      <c r="X122" s="23" t="n">
        <f aca="false">IFERROR(INDEX(PODACI_PRODAJA!G:G,MATCH($A122,PODACI_PRODAJA!$A:$A,0)),0)</f>
        <v>3</v>
      </c>
      <c r="Y122" s="23" t="n">
        <f aca="false">IFERROR(INDEX(PODACI_PRODAJA!H:H,MATCH($A122,PODACI_PRODAJA!$A:$A,0)),0)</f>
        <v>6</v>
      </c>
      <c r="Z122" s="23" t="n">
        <f aca="false">IFERROR(INDEX(PODACI_PRODAJA!I:I,MATCH($A122,PODACI_PRODAJA!$A:$A,0)),0)</f>
        <v>4</v>
      </c>
      <c r="AA122" s="23" t="n">
        <f aca="false">IFERROR(INDEX(PODACI_PRODAJA!J:J,MATCH($A122,PODACI_PRODAJA!$A:$A,0)),0)</f>
        <v>2</v>
      </c>
      <c r="AB122" s="23" t="n">
        <f aca="false">IFERROR(INDEX(PODACI_PRODAJA!K:K,MATCH($A122,PODACI_PRODAJA!$A:$A,0)),0)</f>
        <v>0</v>
      </c>
      <c r="AC122" s="23" t="n">
        <f aca="false">IFERROR(INDEX(PODACI_PRODAJA!L:L,MATCH($A122,PODACI_PRODAJA!$A:$A,0)),0)</f>
        <v>0</v>
      </c>
      <c r="AD122" s="23" t="n">
        <f aca="false">IFERROR(INDEX(PODACI_PRODAJA!M:M,MATCH($A122,PODACI_PRODAJA!$A:$A,0)),0)</f>
        <v>0</v>
      </c>
    </row>
    <row r="123" customFormat="false" ht="15" hidden="false" customHeight="false" outlineLevel="0" collapsed="false">
      <c r="A123" s="11" t="str">
        <f aca="false">PODACI_ZALIHE!A120</f>
        <v>16052</v>
      </c>
      <c r="B123" s="8" t="str">
        <f aca="false">PODACI_ZALIHE!B120</f>
        <v>NATALI - HIDROMASAŽNA TUŠ KABINA 90X90X215 CM</v>
      </c>
      <c r="C123" s="9" t="n">
        <f aca="false">PODACI_ZALIHE!C120</f>
        <v>0</v>
      </c>
      <c r="D123" s="8" t="n">
        <f aca="false">PODACI_ZALIHE!D120</f>
        <v>0</v>
      </c>
      <c r="E123" s="19" t="n">
        <f aca="false">IF(PODACI_ZALIHE!E120="","",PODACI_ZALIHE!E120)</f>
        <v>71</v>
      </c>
      <c r="F123" s="20" t="n">
        <f aca="false">PODACI_ZALIHE!F120</f>
        <v>71</v>
      </c>
      <c r="G123" s="19" t="n">
        <f aca="false">IF(E123="","",E123-F123)</f>
        <v>0</v>
      </c>
      <c r="H123" s="9" t="n">
        <f aca="false">PODACI_PRODAJA!N157</f>
        <v>3.25</v>
      </c>
      <c r="I123" s="21" t="n">
        <f aca="false">IF(H123&lt;=0,999,ROUND(F123/H123,1))</f>
        <v>21.8</v>
      </c>
      <c r="J123" s="9" t="n">
        <f aca="false">SUMIFS(ROBA_U_DOLASKU!$C$6:$C$95,ROBA_U_DOLASKU!$A$6:$A$95,A123,ROBA_U_DOLASKU!$H$6:$H$95,1)</f>
        <v>0</v>
      </c>
      <c r="K123" s="9" t="n">
        <f aca="false">SUMIFS(ROBA_U_DOLASKU!$B$6:$B$95,ROBA_U_DOLASKU!$A$6:$A$95,A123,ROBA_U_DOLASKU!$H$6:$H$95,1)</f>
        <v>0</v>
      </c>
      <c r="L123" s="9" t="n">
        <f aca="false">SUMIFS(ROBA_U_DOLASKU!$C$6:$C$95,ROBA_U_DOLASKU!$A$6:$A$95,A123,ROBA_U_DOLASKU!$H$6:$H$95,2)</f>
        <v>0</v>
      </c>
      <c r="M123" s="9" t="n">
        <f aca="false">SUMIFS(ROBA_U_DOLASKU!$B$6:$B$95,ROBA_U_DOLASKU!$A$6:$A$95,A123,ROBA_U_DOLASKU!$H$6:$H$95,2)</f>
        <v>0</v>
      </c>
      <c r="N123" s="9" t="n">
        <f aca="false">SUMIFS(ROBA_U_DOLASKU!$C$6:$C$95,ROBA_U_DOLASKU!$A$6:$A$95,A123,ROBA_U_DOLASKU!$H$6:$H$95,3)</f>
        <v>0</v>
      </c>
      <c r="O123" s="9" t="n">
        <f aca="false">SUMIFS(ROBA_U_DOLASKU!$B$6:$B$95,ROBA_U_DOLASKU!$A$6:$A$95,A123,ROBA_U_DOLASKU!$H$6:$H$95,3)</f>
        <v>0</v>
      </c>
      <c r="P123" s="9" t="n">
        <f aca="false">IF(H123&lt;=0,999,IF(O123&gt;0,ROUND((F123-H123*N123+K123+M123+O123)/H123,1),IF(M123&gt;0,ROUND((F123-H123*L123+K123+M123)/H123,1),IF(K123&gt;0,ROUND((F123-H123*J123+K123)/H123,1),I123))))</f>
        <v>21.8</v>
      </c>
      <c r="Q123" s="22" t="str">
        <f aca="false">IF(H123&lt;=0,"Nema prodaje",IF(AND(K123=0,M123=0,O123=0),IF(I123&lt;POSTAVKE!$B$6,"Naruči odmah","Sve u redu"),IF(F123-H123*J123&lt;0,"Rupa za ~"&amp;TEXT(I123,"0.0")&amp;" mj.",IF(AND(M123&gt;0,F123-H123*L123+K123&lt;0),"Rupa nakon 1. dolaska",IF(AND(O123&gt;0,F123-H123*N123+K123+M123&lt;0),"Rupa nakon 2. dolaska",IF(P123&lt;POSTAVKE!$B$6,"Količina nije dovoljna",IF(I123&gt;=POSTAVKE!$B$6,"Sve u redu","Stiže na vrijeme")))))))</f>
        <v>Sve u redu</v>
      </c>
      <c r="S123" s="23" t="n">
        <f aca="false">IFERROR(INDEX(PODACI_PRODAJA!B:B,MATCH($A123,PODACI_PRODAJA!$A:$A,0)),0)</f>
        <v>3</v>
      </c>
      <c r="T123" s="23" t="n">
        <f aca="false">IFERROR(INDEX(PODACI_PRODAJA!C:C,MATCH($A123,PODACI_PRODAJA!$A:$A,0)),0)</f>
        <v>2</v>
      </c>
      <c r="U123" s="23" t="n">
        <f aca="false">IFERROR(INDEX(PODACI_PRODAJA!D:D,MATCH($A123,PODACI_PRODAJA!$A:$A,0)),0)</f>
        <v>2</v>
      </c>
      <c r="V123" s="23" t="n">
        <f aca="false">IFERROR(INDEX(PODACI_PRODAJA!E:E,MATCH($A123,PODACI_PRODAJA!$A:$A,0)),0)</f>
        <v>7</v>
      </c>
      <c r="W123" s="23" t="n">
        <f aca="false">IFERROR(INDEX(PODACI_PRODAJA!F:F,MATCH($A123,PODACI_PRODAJA!$A:$A,0)),0)</f>
        <v>3</v>
      </c>
      <c r="X123" s="23" t="n">
        <f aca="false">IFERROR(INDEX(PODACI_PRODAJA!G:G,MATCH($A123,PODACI_PRODAJA!$A:$A,0)),0)</f>
        <v>2</v>
      </c>
      <c r="Y123" s="23" t="n">
        <f aca="false">IFERROR(INDEX(PODACI_PRODAJA!H:H,MATCH($A123,PODACI_PRODAJA!$A:$A,0)),0)</f>
        <v>4</v>
      </c>
      <c r="Z123" s="23" t="n">
        <f aca="false">IFERROR(INDEX(PODACI_PRODAJA!I:I,MATCH($A123,PODACI_PRODAJA!$A:$A,0)),0)</f>
        <v>3</v>
      </c>
      <c r="AA123" s="23" t="n">
        <f aca="false">IFERROR(INDEX(PODACI_PRODAJA!J:J,MATCH($A123,PODACI_PRODAJA!$A:$A,0)),0)</f>
        <v>0</v>
      </c>
      <c r="AB123" s="23" t="n">
        <f aca="false">IFERROR(INDEX(PODACI_PRODAJA!K:K,MATCH($A123,PODACI_PRODAJA!$A:$A,0)),0)</f>
        <v>0</v>
      </c>
      <c r="AC123" s="23" t="n">
        <f aca="false">IFERROR(INDEX(PODACI_PRODAJA!L:L,MATCH($A123,PODACI_PRODAJA!$A:$A,0)),0)</f>
        <v>0</v>
      </c>
      <c r="AD123" s="23" t="n">
        <f aca="false">IFERROR(INDEX(PODACI_PRODAJA!M:M,MATCH($A123,PODACI_PRODAJA!$A:$A,0)),0)</f>
        <v>0</v>
      </c>
    </row>
    <row r="124" customFormat="false" ht="15" hidden="false" customHeight="false" outlineLevel="0" collapsed="false">
      <c r="A124" s="11" t="str">
        <f aca="false">PODACI_ZALIHE!A121</f>
        <v>17185</v>
      </c>
      <c r="B124" s="8" t="str">
        <f aca="false">PODACI_ZALIHE!B121</f>
        <v>NERO DRŽAČ ZA ČAŠU - CRNI</v>
      </c>
      <c r="C124" s="9" t="str">
        <f aca="false">PODACI_ZALIHE!C121</f>
        <v>6458</v>
      </c>
      <c r="D124" s="8" t="str">
        <f aca="false">PODACI_ZALIHE!D121</f>
        <v>BOJIA TRADING LIMITED</v>
      </c>
      <c r="E124" s="19" t="n">
        <f aca="false">IF(PODACI_ZALIHE!E121="","",PODACI_ZALIHE!E121)</f>
        <v>71</v>
      </c>
      <c r="F124" s="20" t="n">
        <f aca="false">PODACI_ZALIHE!F121</f>
        <v>71</v>
      </c>
      <c r="G124" s="19" t="n">
        <f aca="false">IF(E124="","",E124-F124)</f>
        <v>0</v>
      </c>
      <c r="H124" s="9" t="n">
        <f aca="false">PODACI_PRODAJA!N598</f>
        <v>0.5</v>
      </c>
      <c r="I124" s="21" t="n">
        <f aca="false">IF(H124&lt;=0,999,ROUND(F124/H124,1))</f>
        <v>142</v>
      </c>
      <c r="J124" s="9" t="n">
        <f aca="false">SUMIFS(ROBA_U_DOLASKU!$C$6:$C$95,ROBA_U_DOLASKU!$A$6:$A$95,A124,ROBA_U_DOLASKU!$H$6:$H$95,1)</f>
        <v>0</v>
      </c>
      <c r="K124" s="9" t="n">
        <f aca="false">SUMIFS(ROBA_U_DOLASKU!$B$6:$B$95,ROBA_U_DOLASKU!$A$6:$A$95,A124,ROBA_U_DOLASKU!$H$6:$H$95,1)</f>
        <v>0</v>
      </c>
      <c r="L124" s="9" t="n">
        <f aca="false">SUMIFS(ROBA_U_DOLASKU!$C$6:$C$95,ROBA_U_DOLASKU!$A$6:$A$95,A124,ROBA_U_DOLASKU!$H$6:$H$95,2)</f>
        <v>0</v>
      </c>
      <c r="M124" s="9" t="n">
        <f aca="false">SUMIFS(ROBA_U_DOLASKU!$B$6:$B$95,ROBA_U_DOLASKU!$A$6:$A$95,A124,ROBA_U_DOLASKU!$H$6:$H$95,2)</f>
        <v>0</v>
      </c>
      <c r="N124" s="9" t="n">
        <f aca="false">SUMIFS(ROBA_U_DOLASKU!$C$6:$C$95,ROBA_U_DOLASKU!$A$6:$A$95,A124,ROBA_U_DOLASKU!$H$6:$H$95,3)</f>
        <v>0</v>
      </c>
      <c r="O124" s="9" t="n">
        <f aca="false">SUMIFS(ROBA_U_DOLASKU!$B$6:$B$95,ROBA_U_DOLASKU!$A$6:$A$95,A124,ROBA_U_DOLASKU!$H$6:$H$95,3)</f>
        <v>0</v>
      </c>
      <c r="P124" s="9" t="n">
        <f aca="false">IF(H124&lt;=0,999,IF(O124&gt;0,ROUND((F124-H124*N124+K124+M124+O124)/H124,1),IF(M124&gt;0,ROUND((F124-H124*L124+K124+M124)/H124,1),IF(K124&gt;0,ROUND((F124-H124*J124+K124)/H124,1),I124))))</f>
        <v>142</v>
      </c>
      <c r="Q124" s="22" t="str">
        <f aca="false">IF(H124&lt;=0,"Nema prodaje",IF(AND(K124=0,M124=0,O124=0),IF(I124&lt;POSTAVKE!$B$6,"Naruči odmah","Sve u redu"),IF(F124-H124*J124&lt;0,"Rupa za ~"&amp;TEXT(I124,"0.0")&amp;" mj.",IF(AND(M124&gt;0,F124-H124*L124+K124&lt;0),"Rupa nakon 1. dolaska",IF(AND(O124&gt;0,F124-H124*N124+K124+M124&lt;0),"Rupa nakon 2. dolaska",IF(P124&lt;POSTAVKE!$B$6,"Količina nije dovoljna",IF(I124&gt;=POSTAVKE!$B$6,"Sve u redu","Stiže na vrijeme")))))))</f>
        <v>Sve u redu</v>
      </c>
      <c r="S124" s="23" t="n">
        <f aca="false">IFERROR(INDEX(PODACI_PRODAJA!B:B,MATCH($A124,PODACI_PRODAJA!$A:$A,0)),0)</f>
        <v>0</v>
      </c>
      <c r="T124" s="23" t="n">
        <f aca="false">IFERROR(INDEX(PODACI_PRODAJA!C:C,MATCH($A124,PODACI_PRODAJA!$A:$A,0)),0)</f>
        <v>0</v>
      </c>
      <c r="U124" s="23" t="n">
        <f aca="false">IFERROR(INDEX(PODACI_PRODAJA!D:D,MATCH($A124,PODACI_PRODAJA!$A:$A,0)),0)</f>
        <v>0</v>
      </c>
      <c r="V124" s="23" t="n">
        <f aca="false">IFERROR(INDEX(PODACI_PRODAJA!E:E,MATCH($A124,PODACI_PRODAJA!$A:$A,0)),0)</f>
        <v>0</v>
      </c>
      <c r="W124" s="23" t="n">
        <f aca="false">IFERROR(INDEX(PODACI_PRODAJA!F:F,MATCH($A124,PODACI_PRODAJA!$A:$A,0)),0)</f>
        <v>4</v>
      </c>
      <c r="X124" s="23" t="n">
        <f aca="false">IFERROR(INDEX(PODACI_PRODAJA!G:G,MATCH($A124,PODACI_PRODAJA!$A:$A,0)),0)</f>
        <v>0</v>
      </c>
      <c r="Y124" s="23" t="n">
        <f aca="false">IFERROR(INDEX(PODACI_PRODAJA!H:H,MATCH($A124,PODACI_PRODAJA!$A:$A,0)),0)</f>
        <v>0</v>
      </c>
      <c r="Z124" s="23" t="n">
        <f aca="false">IFERROR(INDEX(PODACI_PRODAJA!I:I,MATCH($A124,PODACI_PRODAJA!$A:$A,0)),0)</f>
        <v>0</v>
      </c>
      <c r="AA124" s="23" t="n">
        <f aca="false">IFERROR(INDEX(PODACI_PRODAJA!J:J,MATCH($A124,PODACI_PRODAJA!$A:$A,0)),0)</f>
        <v>0</v>
      </c>
      <c r="AB124" s="23" t="n">
        <f aca="false">IFERROR(INDEX(PODACI_PRODAJA!K:K,MATCH($A124,PODACI_PRODAJA!$A:$A,0)),0)</f>
        <v>0</v>
      </c>
      <c r="AC124" s="23" t="n">
        <f aca="false">IFERROR(INDEX(PODACI_PRODAJA!L:L,MATCH($A124,PODACI_PRODAJA!$A:$A,0)),0)</f>
        <v>0</v>
      </c>
      <c r="AD124" s="23" t="n">
        <f aca="false">IFERROR(INDEX(PODACI_PRODAJA!M:M,MATCH($A124,PODACI_PRODAJA!$A:$A,0)),0)</f>
        <v>0</v>
      </c>
    </row>
    <row r="125" customFormat="false" ht="15" hidden="false" customHeight="false" outlineLevel="0" collapsed="false">
      <c r="A125" s="11" t="str">
        <f aca="false">PODACI_ZALIHE!A122</f>
        <v>17266</v>
      </c>
      <c r="B125" s="8" t="str">
        <f aca="false">PODACI_ZALIHE!B122</f>
        <v>OVIEDO TUŠ VRATA 88-100x190 cm</v>
      </c>
      <c r="C125" s="9" t="str">
        <f aca="false">PODACI_ZALIHE!C122</f>
        <v>6762</v>
      </c>
      <c r="D125" s="8" t="str">
        <f aca="false">PODACI_ZALIHE!D122</f>
        <v>ZHEJIANG QUICKLINE SHOWERING CO., LTD.</v>
      </c>
      <c r="E125" s="19" t="n">
        <f aca="false">IF(PODACI_ZALIHE!E122="","",PODACI_ZALIHE!E122)</f>
        <v>71</v>
      </c>
      <c r="F125" s="20" t="n">
        <f aca="false">PODACI_ZALIHE!F122</f>
        <v>71</v>
      </c>
      <c r="G125" s="19" t="n">
        <f aca="false">IF(E125="","",E125-F125)</f>
        <v>0</v>
      </c>
      <c r="H125" s="9" t="n">
        <f aca="false">PODACI_PRODAJA!N636</f>
        <v>1</v>
      </c>
      <c r="I125" s="21" t="n">
        <f aca="false">IF(H125&lt;=0,999,ROUND(F125/H125,1))</f>
        <v>71</v>
      </c>
      <c r="J125" s="9" t="n">
        <f aca="false">SUMIFS(ROBA_U_DOLASKU!$C$6:$C$95,ROBA_U_DOLASKU!$A$6:$A$95,A125,ROBA_U_DOLASKU!$H$6:$H$95,1)</f>
        <v>0</v>
      </c>
      <c r="K125" s="9" t="n">
        <f aca="false">SUMIFS(ROBA_U_DOLASKU!$B$6:$B$95,ROBA_U_DOLASKU!$A$6:$A$95,A125,ROBA_U_DOLASKU!$H$6:$H$95,1)</f>
        <v>0</v>
      </c>
      <c r="L125" s="9" t="n">
        <f aca="false">SUMIFS(ROBA_U_DOLASKU!$C$6:$C$95,ROBA_U_DOLASKU!$A$6:$A$95,A125,ROBA_U_DOLASKU!$H$6:$H$95,2)</f>
        <v>0</v>
      </c>
      <c r="M125" s="9" t="n">
        <f aca="false">SUMIFS(ROBA_U_DOLASKU!$B$6:$B$95,ROBA_U_DOLASKU!$A$6:$A$95,A125,ROBA_U_DOLASKU!$H$6:$H$95,2)</f>
        <v>0</v>
      </c>
      <c r="N125" s="9" t="n">
        <f aca="false">SUMIFS(ROBA_U_DOLASKU!$C$6:$C$95,ROBA_U_DOLASKU!$A$6:$A$95,A125,ROBA_U_DOLASKU!$H$6:$H$95,3)</f>
        <v>0</v>
      </c>
      <c r="O125" s="9" t="n">
        <f aca="false">SUMIFS(ROBA_U_DOLASKU!$B$6:$B$95,ROBA_U_DOLASKU!$A$6:$A$95,A125,ROBA_U_DOLASKU!$H$6:$H$95,3)</f>
        <v>0</v>
      </c>
      <c r="P125" s="9" t="n">
        <f aca="false">IF(H125&lt;=0,999,IF(O125&gt;0,ROUND((F125-H125*N125+K125+M125+O125)/H125,1),IF(M125&gt;0,ROUND((F125-H125*L125+K125+M125)/H125,1),IF(K125&gt;0,ROUND((F125-H125*J125+K125)/H125,1),I125))))</f>
        <v>71</v>
      </c>
      <c r="Q125" s="22" t="str">
        <f aca="false">IF(H125&lt;=0,"Nema prodaje",IF(AND(K125=0,M125=0,O125=0),IF(I125&lt;POSTAVKE!$B$6,"Naruči odmah","Sve u redu"),IF(F125-H125*J125&lt;0,"Rupa za ~"&amp;TEXT(I125,"0.0")&amp;" mj.",IF(AND(M125&gt;0,F125-H125*L125+K125&lt;0),"Rupa nakon 1. dolaska",IF(AND(O125&gt;0,F125-H125*N125+K125+M125&lt;0),"Rupa nakon 2. dolaska",IF(P125&lt;POSTAVKE!$B$6,"Količina nije dovoljna",IF(I125&gt;=POSTAVKE!$B$6,"Sve u redu","Stiže na vrijeme")))))))</f>
        <v>Sve u redu</v>
      </c>
      <c r="S125" s="23" t="n">
        <f aca="false">IFERROR(INDEX(PODACI_PRODAJA!B:B,MATCH($A125,PODACI_PRODAJA!$A:$A,0)),0)</f>
        <v>0</v>
      </c>
      <c r="T125" s="23" t="n">
        <f aca="false">IFERROR(INDEX(PODACI_PRODAJA!C:C,MATCH($A125,PODACI_PRODAJA!$A:$A,0)),0)</f>
        <v>1</v>
      </c>
      <c r="U125" s="23" t="n">
        <f aca="false">IFERROR(INDEX(PODACI_PRODAJA!D:D,MATCH($A125,PODACI_PRODAJA!$A:$A,0)),0)</f>
        <v>2</v>
      </c>
      <c r="V125" s="23" t="n">
        <f aca="false">IFERROR(INDEX(PODACI_PRODAJA!E:E,MATCH($A125,PODACI_PRODAJA!$A:$A,0)),0)</f>
        <v>1</v>
      </c>
      <c r="W125" s="23" t="n">
        <f aca="false">IFERROR(INDEX(PODACI_PRODAJA!F:F,MATCH($A125,PODACI_PRODAJA!$A:$A,0)),0)</f>
        <v>2</v>
      </c>
      <c r="X125" s="23" t="n">
        <f aca="false">IFERROR(INDEX(PODACI_PRODAJA!G:G,MATCH($A125,PODACI_PRODAJA!$A:$A,0)),0)</f>
        <v>1</v>
      </c>
      <c r="Y125" s="23" t="n">
        <f aca="false">IFERROR(INDEX(PODACI_PRODAJA!H:H,MATCH($A125,PODACI_PRODAJA!$A:$A,0)),0)</f>
        <v>0</v>
      </c>
      <c r="Z125" s="23" t="n">
        <f aca="false">IFERROR(INDEX(PODACI_PRODAJA!I:I,MATCH($A125,PODACI_PRODAJA!$A:$A,0)),0)</f>
        <v>1</v>
      </c>
      <c r="AA125" s="23" t="n">
        <f aca="false">IFERROR(INDEX(PODACI_PRODAJA!J:J,MATCH($A125,PODACI_PRODAJA!$A:$A,0)),0)</f>
        <v>0</v>
      </c>
      <c r="AB125" s="23" t="n">
        <f aca="false">IFERROR(INDEX(PODACI_PRODAJA!K:K,MATCH($A125,PODACI_PRODAJA!$A:$A,0)),0)</f>
        <v>0</v>
      </c>
      <c r="AC125" s="23" t="n">
        <f aca="false">IFERROR(INDEX(PODACI_PRODAJA!L:L,MATCH($A125,PODACI_PRODAJA!$A:$A,0)),0)</f>
        <v>0</v>
      </c>
      <c r="AD125" s="23" t="n">
        <f aca="false">IFERROR(INDEX(PODACI_PRODAJA!M:M,MATCH($A125,PODACI_PRODAJA!$A:$A,0)),0)</f>
        <v>0</v>
      </c>
    </row>
    <row r="126" customFormat="false" ht="15" hidden="false" customHeight="false" outlineLevel="0" collapsed="false">
      <c r="A126" s="11" t="str">
        <f aca="false">PODACI_ZALIHE!A123</f>
        <v>18243</v>
      </c>
      <c r="B126" s="8" t="str">
        <f aca="false">PODACI_ZALIHE!B123</f>
        <v>LUPE BLACK OGLEDALO 40x90 cm</v>
      </c>
      <c r="C126" s="9" t="str">
        <f aca="false">PODACI_ZALIHE!C123</f>
        <v>6032</v>
      </c>
      <c r="D126" s="8" t="str">
        <f aca="false">PODACI_ZALIHE!D123</f>
        <v>HANGZHOU ZIHAN MIRROR INDUSTRY CO., LTD.</v>
      </c>
      <c r="E126" s="19" t="n">
        <f aca="false">IF(PODACI_ZALIHE!E123="","",PODACI_ZALIHE!E123)</f>
        <v>71</v>
      </c>
      <c r="F126" s="20" t="n">
        <f aca="false">PODACI_ZALIHE!F123</f>
        <v>71</v>
      </c>
      <c r="G126" s="19" t="n">
        <f aca="false">IF(E126="","",E126-F126)</f>
        <v>0</v>
      </c>
      <c r="H126" s="9" t="n">
        <f aca="false">PODACI_PRODAJA!N136</f>
        <v>4.25</v>
      </c>
      <c r="I126" s="21" t="n">
        <f aca="false">IF(H126&lt;=0,999,ROUND(F126/H126,1))</f>
        <v>16.7</v>
      </c>
      <c r="J126" s="9" t="n">
        <f aca="false">SUMIFS(ROBA_U_DOLASKU!$C$6:$C$95,ROBA_U_DOLASKU!$A$6:$A$95,A126,ROBA_U_DOLASKU!$H$6:$H$95,1)</f>
        <v>0</v>
      </c>
      <c r="K126" s="9" t="n">
        <f aca="false">SUMIFS(ROBA_U_DOLASKU!$B$6:$B$95,ROBA_U_DOLASKU!$A$6:$A$95,A126,ROBA_U_DOLASKU!$H$6:$H$95,1)</f>
        <v>0</v>
      </c>
      <c r="L126" s="9" t="n">
        <f aca="false">SUMIFS(ROBA_U_DOLASKU!$C$6:$C$95,ROBA_U_DOLASKU!$A$6:$A$95,A126,ROBA_U_DOLASKU!$H$6:$H$95,2)</f>
        <v>0</v>
      </c>
      <c r="M126" s="9" t="n">
        <f aca="false">SUMIFS(ROBA_U_DOLASKU!$B$6:$B$95,ROBA_U_DOLASKU!$A$6:$A$95,A126,ROBA_U_DOLASKU!$H$6:$H$95,2)</f>
        <v>0</v>
      </c>
      <c r="N126" s="9" t="n">
        <f aca="false">SUMIFS(ROBA_U_DOLASKU!$C$6:$C$95,ROBA_U_DOLASKU!$A$6:$A$95,A126,ROBA_U_DOLASKU!$H$6:$H$95,3)</f>
        <v>0</v>
      </c>
      <c r="O126" s="9" t="n">
        <f aca="false">SUMIFS(ROBA_U_DOLASKU!$B$6:$B$95,ROBA_U_DOLASKU!$A$6:$A$95,A126,ROBA_U_DOLASKU!$H$6:$H$95,3)</f>
        <v>0</v>
      </c>
      <c r="P126" s="9" t="n">
        <f aca="false">IF(H126&lt;=0,999,IF(O126&gt;0,ROUND((F126-H126*N126+K126+M126+O126)/H126,1),IF(M126&gt;0,ROUND((F126-H126*L126+K126+M126)/H126,1),IF(K126&gt;0,ROUND((F126-H126*J126+K126)/H126,1),I126))))</f>
        <v>16.7</v>
      </c>
      <c r="Q126" s="22" t="str">
        <f aca="false">IF(H126&lt;=0,"Nema prodaje",IF(AND(K126=0,M126=0,O126=0),IF(I126&lt;POSTAVKE!$B$6,"Naruči odmah","Sve u redu"),IF(F126-H126*J126&lt;0,"Rupa za ~"&amp;TEXT(I126,"0.0")&amp;" mj.",IF(AND(M126&gt;0,F126-H126*L126+K126&lt;0),"Rupa nakon 1. dolaska",IF(AND(O126&gt;0,F126-H126*N126+K126+M126&lt;0),"Rupa nakon 2. dolaska",IF(P126&lt;POSTAVKE!$B$6,"Količina nije dovoljna",IF(I126&gt;=POSTAVKE!$B$6,"Sve u redu","Stiže na vrijeme")))))))</f>
        <v>Sve u redu</v>
      </c>
      <c r="S126" s="23" t="n">
        <f aca="false">IFERROR(INDEX(PODACI_PRODAJA!B:B,MATCH($A126,PODACI_PRODAJA!$A:$A,0)),0)</f>
        <v>4</v>
      </c>
      <c r="T126" s="23" t="n">
        <f aca="false">IFERROR(INDEX(PODACI_PRODAJA!C:C,MATCH($A126,PODACI_PRODAJA!$A:$A,0)),0)</f>
        <v>0</v>
      </c>
      <c r="U126" s="23" t="n">
        <f aca="false">IFERROR(INDEX(PODACI_PRODAJA!D:D,MATCH($A126,PODACI_PRODAJA!$A:$A,0)),0)</f>
        <v>12</v>
      </c>
      <c r="V126" s="23" t="n">
        <f aca="false">IFERROR(INDEX(PODACI_PRODAJA!E:E,MATCH($A126,PODACI_PRODAJA!$A:$A,0)),0)</f>
        <v>7</v>
      </c>
      <c r="W126" s="23" t="n">
        <f aca="false">IFERROR(INDEX(PODACI_PRODAJA!F:F,MATCH($A126,PODACI_PRODAJA!$A:$A,0)),0)</f>
        <v>4</v>
      </c>
      <c r="X126" s="23" t="n">
        <f aca="false">IFERROR(INDEX(PODACI_PRODAJA!G:G,MATCH($A126,PODACI_PRODAJA!$A:$A,0)),0)</f>
        <v>0</v>
      </c>
      <c r="Y126" s="23" t="n">
        <f aca="false">IFERROR(INDEX(PODACI_PRODAJA!H:H,MATCH($A126,PODACI_PRODAJA!$A:$A,0)),0)</f>
        <v>4</v>
      </c>
      <c r="Z126" s="23" t="n">
        <f aca="false">IFERROR(INDEX(PODACI_PRODAJA!I:I,MATCH($A126,PODACI_PRODAJA!$A:$A,0)),0)</f>
        <v>3</v>
      </c>
      <c r="AA126" s="23" t="n">
        <f aca="false">IFERROR(INDEX(PODACI_PRODAJA!J:J,MATCH($A126,PODACI_PRODAJA!$A:$A,0)),0)</f>
        <v>0</v>
      </c>
      <c r="AB126" s="23" t="n">
        <f aca="false">IFERROR(INDEX(PODACI_PRODAJA!K:K,MATCH($A126,PODACI_PRODAJA!$A:$A,0)),0)</f>
        <v>0</v>
      </c>
      <c r="AC126" s="23" t="n">
        <f aca="false">IFERROR(INDEX(PODACI_PRODAJA!L:L,MATCH($A126,PODACI_PRODAJA!$A:$A,0)),0)</f>
        <v>0</v>
      </c>
      <c r="AD126" s="23" t="n">
        <f aca="false">IFERROR(INDEX(PODACI_PRODAJA!M:M,MATCH($A126,PODACI_PRODAJA!$A:$A,0)),0)</f>
        <v>0</v>
      </c>
    </row>
    <row r="127" customFormat="false" ht="15" hidden="false" customHeight="false" outlineLevel="0" collapsed="false">
      <c r="A127" s="11" t="str">
        <f aca="false">PODACI_ZALIHE!A124</f>
        <v>042124C</v>
      </c>
      <c r="B127" s="8" t="str">
        <f aca="false">PODACI_ZALIHE!B124</f>
        <v>SHINE C DIA 80 cm LED OGLEDALO SA SENZOROM POKRETA</v>
      </c>
      <c r="C127" s="9" t="str">
        <f aca="false">PODACI_ZALIHE!C124</f>
        <v>6032</v>
      </c>
      <c r="D127" s="8" t="str">
        <f aca="false">PODACI_ZALIHE!D124</f>
        <v>HANGZHOU ZIHAN MIRROR INDUSTRY CO., LTD.</v>
      </c>
      <c r="E127" s="19" t="n">
        <f aca="false">IF(PODACI_ZALIHE!E124="","",PODACI_ZALIHE!E124)</f>
        <v>70</v>
      </c>
      <c r="F127" s="20" t="n">
        <f aca="false">PODACI_ZALIHE!F124</f>
        <v>69</v>
      </c>
      <c r="G127" s="19" t="n">
        <f aca="false">IF(E127="","",E127-F127)</f>
        <v>1</v>
      </c>
      <c r="H127" s="9" t="n">
        <f aca="false">PODACI_PRODAJA!N42</f>
        <v>26.88</v>
      </c>
      <c r="I127" s="21" t="n">
        <f aca="false">IF(H127&lt;=0,999,ROUND(F127/H127,1))</f>
        <v>2.6</v>
      </c>
      <c r="J127" s="9" t="n">
        <f aca="false">SUMIFS(ROBA_U_DOLASKU!$C$6:$C$95,ROBA_U_DOLASKU!$A$6:$A$95,A127,ROBA_U_DOLASKU!$H$6:$H$95,1)</f>
        <v>2.2</v>
      </c>
      <c r="K127" s="9" t="n">
        <f aca="false">SUMIFS(ROBA_U_DOLASKU!$B$6:$B$95,ROBA_U_DOLASKU!$A$6:$A$95,A127,ROBA_U_DOLASKU!$H$6:$H$95,1)</f>
        <v>100</v>
      </c>
      <c r="L127" s="9" t="n">
        <f aca="false">SUMIFS(ROBA_U_DOLASKU!$C$6:$C$95,ROBA_U_DOLASKU!$A$6:$A$95,A127,ROBA_U_DOLASKU!$H$6:$H$95,2)</f>
        <v>0</v>
      </c>
      <c r="M127" s="9" t="n">
        <f aca="false">SUMIFS(ROBA_U_DOLASKU!$B$6:$B$95,ROBA_U_DOLASKU!$A$6:$A$95,A127,ROBA_U_DOLASKU!$H$6:$H$95,2)</f>
        <v>0</v>
      </c>
      <c r="N127" s="9" t="n">
        <f aca="false">SUMIFS(ROBA_U_DOLASKU!$C$6:$C$95,ROBA_U_DOLASKU!$A$6:$A$95,A127,ROBA_U_DOLASKU!$H$6:$H$95,3)</f>
        <v>0</v>
      </c>
      <c r="O127" s="9" t="n">
        <f aca="false">SUMIFS(ROBA_U_DOLASKU!$B$6:$B$95,ROBA_U_DOLASKU!$A$6:$A$95,A127,ROBA_U_DOLASKU!$H$6:$H$95,3)</f>
        <v>0</v>
      </c>
      <c r="P127" s="9" t="n">
        <f aca="false">IF(H127&lt;=0,999,IF(O127&gt;0,ROUND((F127-H127*N127+K127+M127+O127)/H127,1),IF(M127&gt;0,ROUND((F127-H127*L127+K127+M127)/H127,1),IF(K127&gt;0,ROUND((F127-H127*J127+K127)/H127,1),I127))))</f>
        <v>4.1</v>
      </c>
      <c r="Q127" s="22" t="str">
        <f aca="false">IF(H127&lt;=0,"Nema prodaje",IF(AND(K127=0,M127=0,O127=0),IF(I127&lt;POSTAVKE!$B$6,"Naruči odmah","Sve u redu"),IF(F127-H127*J127&lt;0,"Rupa za ~"&amp;TEXT(I127,"0.0")&amp;" mj.",IF(AND(M127&gt;0,F127-H127*L127+K127&lt;0),"Rupa nakon 1. dolaska",IF(AND(O127&gt;0,F127-H127*N127+K127+M127&lt;0),"Rupa nakon 2. dolaska",IF(P127&lt;POSTAVKE!$B$6,"Količina nije dovoljna",IF(I127&gt;=POSTAVKE!$B$6,"Sve u redu","Stiže na vrijeme")))))))</f>
        <v>Količina nije dovoljna</v>
      </c>
      <c r="S127" s="23" t="n">
        <f aca="false">IFERROR(INDEX(PODACI_PRODAJA!B:B,MATCH($A127,PODACI_PRODAJA!$A:$A,0)),0)</f>
        <v>21</v>
      </c>
      <c r="T127" s="23" t="n">
        <f aca="false">IFERROR(INDEX(PODACI_PRODAJA!C:C,MATCH($A127,PODACI_PRODAJA!$A:$A,0)),0)</f>
        <v>50</v>
      </c>
      <c r="U127" s="23" t="n">
        <f aca="false">IFERROR(INDEX(PODACI_PRODAJA!D:D,MATCH($A127,PODACI_PRODAJA!$A:$A,0)),0)</f>
        <v>34</v>
      </c>
      <c r="V127" s="23" t="n">
        <f aca="false">IFERROR(INDEX(PODACI_PRODAJA!E:E,MATCH($A127,PODACI_PRODAJA!$A:$A,0)),0)</f>
        <v>23</v>
      </c>
      <c r="W127" s="23" t="n">
        <f aca="false">IFERROR(INDEX(PODACI_PRODAJA!F:F,MATCH($A127,PODACI_PRODAJA!$A:$A,0)),0)</f>
        <v>24</v>
      </c>
      <c r="X127" s="23" t="n">
        <f aca="false">IFERROR(INDEX(PODACI_PRODAJA!G:G,MATCH($A127,PODACI_PRODAJA!$A:$A,0)),0)</f>
        <v>28</v>
      </c>
      <c r="Y127" s="23" t="n">
        <f aca="false">IFERROR(INDEX(PODACI_PRODAJA!H:H,MATCH($A127,PODACI_PRODAJA!$A:$A,0)),0)</f>
        <v>26</v>
      </c>
      <c r="Z127" s="23" t="n">
        <f aca="false">IFERROR(INDEX(PODACI_PRODAJA!I:I,MATCH($A127,PODACI_PRODAJA!$A:$A,0)),0)</f>
        <v>9</v>
      </c>
      <c r="AA127" s="23" t="n">
        <f aca="false">IFERROR(INDEX(PODACI_PRODAJA!J:J,MATCH($A127,PODACI_PRODAJA!$A:$A,0)),0)</f>
        <v>1</v>
      </c>
      <c r="AB127" s="23" t="n">
        <f aca="false">IFERROR(INDEX(PODACI_PRODAJA!K:K,MATCH($A127,PODACI_PRODAJA!$A:$A,0)),0)</f>
        <v>0</v>
      </c>
      <c r="AC127" s="23" t="n">
        <f aca="false">IFERROR(INDEX(PODACI_PRODAJA!L:L,MATCH($A127,PODACI_PRODAJA!$A:$A,0)),0)</f>
        <v>0</v>
      </c>
      <c r="AD127" s="23" t="n">
        <f aca="false">IFERROR(INDEX(PODACI_PRODAJA!M:M,MATCH($A127,PODACI_PRODAJA!$A:$A,0)),0)</f>
        <v>0</v>
      </c>
    </row>
    <row r="128" customFormat="false" ht="15" hidden="false" customHeight="false" outlineLevel="0" collapsed="false">
      <c r="A128" s="11" t="str">
        <f aca="false">PODACI_ZALIHE!A125</f>
        <v>15260</v>
      </c>
      <c r="B128" s="8" t="str">
        <f aca="false">PODACI_ZALIHE!B125</f>
        <v>MONZA BLACK PODŽBUKNA MIJEŠALICA ZA UMIVAONIK</v>
      </c>
      <c r="C128" s="9" t="str">
        <f aca="false">PODACI_ZALIHE!C125</f>
        <v>5150</v>
      </c>
      <c r="D128" s="8" t="str">
        <f aca="false">PODACI_ZALIHE!D125</f>
        <v>ZHEJIANG VOLONG SANITARY WARES CO.,LTD.</v>
      </c>
      <c r="E128" s="19" t="n">
        <f aca="false">IF(PODACI_ZALIHE!E125="","",PODACI_ZALIHE!E125)</f>
        <v>68</v>
      </c>
      <c r="F128" s="20" t="n">
        <f aca="false">PODACI_ZALIHE!F125</f>
        <v>68</v>
      </c>
      <c r="G128" s="19" t="n">
        <f aca="false">IF(E128="","",E128-F128)</f>
        <v>0</v>
      </c>
      <c r="H128" s="9" t="n">
        <f aca="false">PODACI_PRODAJA!N472</f>
        <v>0.13</v>
      </c>
      <c r="I128" s="21" t="n">
        <f aca="false">IF(H128&lt;=0,999,ROUND(F128/H128,1))</f>
        <v>523.1</v>
      </c>
      <c r="J128" s="9" t="n">
        <f aca="false">SUMIFS(ROBA_U_DOLASKU!$C$6:$C$95,ROBA_U_DOLASKU!$A$6:$A$95,A128,ROBA_U_DOLASKU!$H$6:$H$95,1)</f>
        <v>0</v>
      </c>
      <c r="K128" s="9" t="n">
        <f aca="false">SUMIFS(ROBA_U_DOLASKU!$B$6:$B$95,ROBA_U_DOLASKU!$A$6:$A$95,A128,ROBA_U_DOLASKU!$H$6:$H$95,1)</f>
        <v>0</v>
      </c>
      <c r="L128" s="9" t="n">
        <f aca="false">SUMIFS(ROBA_U_DOLASKU!$C$6:$C$95,ROBA_U_DOLASKU!$A$6:$A$95,A128,ROBA_U_DOLASKU!$H$6:$H$95,2)</f>
        <v>0</v>
      </c>
      <c r="M128" s="9" t="n">
        <f aca="false">SUMIFS(ROBA_U_DOLASKU!$B$6:$B$95,ROBA_U_DOLASKU!$A$6:$A$95,A128,ROBA_U_DOLASKU!$H$6:$H$95,2)</f>
        <v>0</v>
      </c>
      <c r="N128" s="9" t="n">
        <f aca="false">SUMIFS(ROBA_U_DOLASKU!$C$6:$C$95,ROBA_U_DOLASKU!$A$6:$A$95,A128,ROBA_U_DOLASKU!$H$6:$H$95,3)</f>
        <v>0</v>
      </c>
      <c r="O128" s="9" t="n">
        <f aca="false">SUMIFS(ROBA_U_DOLASKU!$B$6:$B$95,ROBA_U_DOLASKU!$A$6:$A$95,A128,ROBA_U_DOLASKU!$H$6:$H$95,3)</f>
        <v>0</v>
      </c>
      <c r="P128" s="9" t="n">
        <f aca="false">IF(H128&lt;=0,999,IF(O128&gt;0,ROUND((F128-H128*N128+K128+M128+O128)/H128,1),IF(M128&gt;0,ROUND((F128-H128*L128+K128+M128)/H128,1),IF(K128&gt;0,ROUND((F128-H128*J128+K128)/H128,1),I128))))</f>
        <v>523.1</v>
      </c>
      <c r="Q128" s="22" t="str">
        <f aca="false">IF(H128&lt;=0,"Nema prodaje",IF(AND(K128=0,M128=0,O128=0),IF(I128&lt;POSTAVKE!$B$6,"Naruči odmah","Sve u redu"),IF(F128-H128*J128&lt;0,"Rupa za ~"&amp;TEXT(I128,"0.0")&amp;" mj.",IF(AND(M128&gt;0,F128-H128*L128+K128&lt;0),"Rupa nakon 1. dolaska",IF(AND(O128&gt;0,F128-H128*N128+K128+M128&lt;0),"Rupa nakon 2. dolaska",IF(P128&lt;POSTAVKE!$B$6,"Količina nije dovoljna",IF(I128&gt;=POSTAVKE!$B$6,"Sve u redu","Stiže na vrijeme")))))))</f>
        <v>Sve u redu</v>
      </c>
      <c r="S128" s="23" t="n">
        <f aca="false">IFERROR(INDEX(PODACI_PRODAJA!B:B,MATCH($A128,PODACI_PRODAJA!$A:$A,0)),0)</f>
        <v>0</v>
      </c>
      <c r="T128" s="23" t="n">
        <f aca="false">IFERROR(INDEX(PODACI_PRODAJA!C:C,MATCH($A128,PODACI_PRODAJA!$A:$A,0)),0)</f>
        <v>0</v>
      </c>
      <c r="U128" s="23" t="n">
        <f aca="false">IFERROR(INDEX(PODACI_PRODAJA!D:D,MATCH($A128,PODACI_PRODAJA!$A:$A,0)),0)</f>
        <v>0</v>
      </c>
      <c r="V128" s="23" t="n">
        <f aca="false">IFERROR(INDEX(PODACI_PRODAJA!E:E,MATCH($A128,PODACI_PRODAJA!$A:$A,0)),0)</f>
        <v>-1</v>
      </c>
      <c r="W128" s="23" t="n">
        <f aca="false">IFERROR(INDEX(PODACI_PRODAJA!F:F,MATCH($A128,PODACI_PRODAJA!$A:$A,0)),0)</f>
        <v>0</v>
      </c>
      <c r="X128" s="23" t="n">
        <f aca="false">IFERROR(INDEX(PODACI_PRODAJA!G:G,MATCH($A128,PODACI_PRODAJA!$A:$A,0)),0)</f>
        <v>0</v>
      </c>
      <c r="Y128" s="23" t="n">
        <f aca="false">IFERROR(INDEX(PODACI_PRODAJA!H:H,MATCH($A128,PODACI_PRODAJA!$A:$A,0)),0)</f>
        <v>2</v>
      </c>
      <c r="Z128" s="23" t="n">
        <f aca="false">IFERROR(INDEX(PODACI_PRODAJA!I:I,MATCH($A128,PODACI_PRODAJA!$A:$A,0)),0)</f>
        <v>0</v>
      </c>
      <c r="AA128" s="23" t="n">
        <f aca="false">IFERROR(INDEX(PODACI_PRODAJA!J:J,MATCH($A128,PODACI_PRODAJA!$A:$A,0)),0)</f>
        <v>0</v>
      </c>
      <c r="AB128" s="23" t="n">
        <f aca="false">IFERROR(INDEX(PODACI_PRODAJA!K:K,MATCH($A128,PODACI_PRODAJA!$A:$A,0)),0)</f>
        <v>0</v>
      </c>
      <c r="AC128" s="23" t="n">
        <f aca="false">IFERROR(INDEX(PODACI_PRODAJA!L:L,MATCH($A128,PODACI_PRODAJA!$A:$A,0)),0)</f>
        <v>0</v>
      </c>
      <c r="AD128" s="23" t="n">
        <f aca="false">IFERROR(INDEX(PODACI_PRODAJA!M:M,MATCH($A128,PODACI_PRODAJA!$A:$A,0)),0)</f>
        <v>0</v>
      </c>
    </row>
    <row r="129" customFormat="false" ht="15" hidden="false" customHeight="false" outlineLevel="0" collapsed="false">
      <c r="A129" s="11" t="str">
        <f aca="false">PODACI_ZALIHE!A126</f>
        <v>17179</v>
      </c>
      <c r="B129" s="8" t="str">
        <f aca="false">PODACI_ZALIHE!B126</f>
        <v>REFLECT KUPAONSKA KUKICA ZA DVA RUČNIKA - KROM</v>
      </c>
      <c r="C129" s="9" t="str">
        <f aca="false">PODACI_ZALIHE!C126</f>
        <v>6458</v>
      </c>
      <c r="D129" s="8" t="str">
        <f aca="false">PODACI_ZALIHE!D126</f>
        <v>BOJIA TRADING LIMITED</v>
      </c>
      <c r="E129" s="19" t="n">
        <f aca="false">IF(PODACI_ZALIHE!E126="","",PODACI_ZALIHE!E126)</f>
        <v>65</v>
      </c>
      <c r="F129" s="20" t="n">
        <f aca="false">PODACI_ZALIHE!F126</f>
        <v>65</v>
      </c>
      <c r="G129" s="19" t="n">
        <f aca="false">IF(E129="","",E129-F129)</f>
        <v>0</v>
      </c>
      <c r="H129" s="9" t="n">
        <f aca="false">PODACI_PRODAJA!N596</f>
        <v>6.25</v>
      </c>
      <c r="I129" s="21" t="n">
        <f aca="false">IF(H129&lt;=0,999,ROUND(F129/H129,1))</f>
        <v>10.4</v>
      </c>
      <c r="J129" s="9" t="n">
        <f aca="false">SUMIFS(ROBA_U_DOLASKU!$C$6:$C$95,ROBA_U_DOLASKU!$A$6:$A$95,A129,ROBA_U_DOLASKU!$H$6:$H$95,1)</f>
        <v>0</v>
      </c>
      <c r="K129" s="9" t="n">
        <f aca="false">SUMIFS(ROBA_U_DOLASKU!$B$6:$B$95,ROBA_U_DOLASKU!$A$6:$A$95,A129,ROBA_U_DOLASKU!$H$6:$H$95,1)</f>
        <v>0</v>
      </c>
      <c r="L129" s="9" t="n">
        <f aca="false">SUMIFS(ROBA_U_DOLASKU!$C$6:$C$95,ROBA_U_DOLASKU!$A$6:$A$95,A129,ROBA_U_DOLASKU!$H$6:$H$95,2)</f>
        <v>0</v>
      </c>
      <c r="M129" s="9" t="n">
        <f aca="false">SUMIFS(ROBA_U_DOLASKU!$B$6:$B$95,ROBA_U_DOLASKU!$A$6:$A$95,A129,ROBA_U_DOLASKU!$H$6:$H$95,2)</f>
        <v>0</v>
      </c>
      <c r="N129" s="9" t="n">
        <f aca="false">SUMIFS(ROBA_U_DOLASKU!$C$6:$C$95,ROBA_U_DOLASKU!$A$6:$A$95,A129,ROBA_U_DOLASKU!$H$6:$H$95,3)</f>
        <v>0</v>
      </c>
      <c r="O129" s="9" t="n">
        <f aca="false">SUMIFS(ROBA_U_DOLASKU!$B$6:$B$95,ROBA_U_DOLASKU!$A$6:$A$95,A129,ROBA_U_DOLASKU!$H$6:$H$95,3)</f>
        <v>0</v>
      </c>
      <c r="P129" s="9" t="n">
        <f aca="false">IF(H129&lt;=0,999,IF(O129&gt;0,ROUND((F129-H129*N129+K129+M129+O129)/H129,1),IF(M129&gt;0,ROUND((F129-H129*L129+K129+M129)/H129,1),IF(K129&gt;0,ROUND((F129-H129*J129+K129)/H129,1),I129))))</f>
        <v>10.4</v>
      </c>
      <c r="Q129" s="22" t="str">
        <f aca="false">IF(H129&lt;=0,"Nema prodaje",IF(AND(K129=0,M129=0,O129=0),IF(I129&lt;POSTAVKE!$B$6,"Naruči odmah","Sve u redu"),IF(F129-H129*J129&lt;0,"Rupa za ~"&amp;TEXT(I129,"0.0")&amp;" mj.",IF(AND(M129&gt;0,F129-H129*L129+K129&lt;0),"Rupa nakon 1. dolaska",IF(AND(O129&gt;0,F129-H129*N129+K129+M129&lt;0),"Rupa nakon 2. dolaska",IF(P129&lt;POSTAVKE!$B$6,"Količina nije dovoljna",IF(I129&gt;=POSTAVKE!$B$6,"Sve u redu","Stiže na vrijeme")))))))</f>
        <v>Sve u redu</v>
      </c>
      <c r="S129" s="23" t="n">
        <f aca="false">IFERROR(INDEX(PODACI_PRODAJA!B:B,MATCH($A129,PODACI_PRODAJA!$A:$A,0)),0)</f>
        <v>0</v>
      </c>
      <c r="T129" s="23" t="n">
        <f aca="false">IFERROR(INDEX(PODACI_PRODAJA!C:C,MATCH($A129,PODACI_PRODAJA!$A:$A,0)),0)</f>
        <v>1</v>
      </c>
      <c r="U129" s="23" t="n">
        <f aca="false">IFERROR(INDEX(PODACI_PRODAJA!D:D,MATCH($A129,PODACI_PRODAJA!$A:$A,0)),0)</f>
        <v>32</v>
      </c>
      <c r="V129" s="23" t="n">
        <f aca="false">IFERROR(INDEX(PODACI_PRODAJA!E:E,MATCH($A129,PODACI_PRODAJA!$A:$A,0)),0)</f>
        <v>1</v>
      </c>
      <c r="W129" s="23" t="n">
        <f aca="false">IFERROR(INDEX(PODACI_PRODAJA!F:F,MATCH($A129,PODACI_PRODAJA!$A:$A,0)),0)</f>
        <v>0</v>
      </c>
      <c r="X129" s="23" t="n">
        <f aca="false">IFERROR(INDEX(PODACI_PRODAJA!G:G,MATCH($A129,PODACI_PRODAJA!$A:$A,0)),0)</f>
        <v>16</v>
      </c>
      <c r="Y129" s="23" t="n">
        <f aca="false">IFERROR(INDEX(PODACI_PRODAJA!H:H,MATCH($A129,PODACI_PRODAJA!$A:$A,0)),0)</f>
        <v>0</v>
      </c>
      <c r="Z129" s="23" t="n">
        <f aca="false">IFERROR(INDEX(PODACI_PRODAJA!I:I,MATCH($A129,PODACI_PRODAJA!$A:$A,0)),0)</f>
        <v>0</v>
      </c>
      <c r="AA129" s="23" t="n">
        <f aca="false">IFERROR(INDEX(PODACI_PRODAJA!J:J,MATCH($A129,PODACI_PRODAJA!$A:$A,0)),0)</f>
        <v>0</v>
      </c>
      <c r="AB129" s="23" t="n">
        <f aca="false">IFERROR(INDEX(PODACI_PRODAJA!K:K,MATCH($A129,PODACI_PRODAJA!$A:$A,0)),0)</f>
        <v>0</v>
      </c>
      <c r="AC129" s="23" t="n">
        <f aca="false">IFERROR(INDEX(PODACI_PRODAJA!L:L,MATCH($A129,PODACI_PRODAJA!$A:$A,0)),0)</f>
        <v>0</v>
      </c>
      <c r="AD129" s="23" t="n">
        <f aca="false">IFERROR(INDEX(PODACI_PRODAJA!M:M,MATCH($A129,PODACI_PRODAJA!$A:$A,0)),0)</f>
        <v>0</v>
      </c>
    </row>
    <row r="130" customFormat="false" ht="15" hidden="false" customHeight="false" outlineLevel="0" collapsed="false">
      <c r="A130" s="11" t="str">
        <f aca="false">PODACI_ZALIHE!A127</f>
        <v>18009</v>
      </c>
      <c r="B130" s="8" t="str">
        <f aca="false">PODACI_ZALIHE!B127</f>
        <v>VETRO BL TRS 6mm ECO TUŠ STIJENA 80x200</v>
      </c>
      <c r="C130" s="9" t="str">
        <f aca="false">PODACI_ZALIHE!C127</f>
        <v>6762</v>
      </c>
      <c r="D130" s="8" t="str">
        <f aca="false">PODACI_ZALIHE!D127</f>
        <v>ZHEJIANG QUICKLINE SHOWERING CO., LTD.</v>
      </c>
      <c r="E130" s="19" t="n">
        <f aca="false">IF(PODACI_ZALIHE!E127="","",PODACI_ZALIHE!E127)</f>
        <v>65</v>
      </c>
      <c r="F130" s="20" t="n">
        <f aca="false">PODACI_ZALIHE!F127</f>
        <v>65</v>
      </c>
      <c r="G130" s="19" t="n">
        <f aca="false">IF(E130="","",E130-F130)</f>
        <v>0</v>
      </c>
      <c r="H130" s="9" t="n">
        <f aca="false">PODACI_PRODAJA!N650</f>
        <v>0</v>
      </c>
      <c r="I130" s="21" t="n">
        <f aca="false">IF(H130&lt;=0,999,ROUND(F130/H130,1))</f>
        <v>999</v>
      </c>
      <c r="J130" s="9" t="n">
        <f aca="false">SUMIFS(ROBA_U_DOLASKU!$C$6:$C$95,ROBA_U_DOLASKU!$A$6:$A$95,A130,ROBA_U_DOLASKU!$H$6:$H$95,1)</f>
        <v>0</v>
      </c>
      <c r="K130" s="9" t="n">
        <f aca="false">SUMIFS(ROBA_U_DOLASKU!$B$6:$B$95,ROBA_U_DOLASKU!$A$6:$A$95,A130,ROBA_U_DOLASKU!$H$6:$H$95,1)</f>
        <v>0</v>
      </c>
      <c r="L130" s="9" t="n">
        <f aca="false">SUMIFS(ROBA_U_DOLASKU!$C$6:$C$95,ROBA_U_DOLASKU!$A$6:$A$95,A130,ROBA_U_DOLASKU!$H$6:$H$95,2)</f>
        <v>0</v>
      </c>
      <c r="M130" s="9" t="n">
        <f aca="false">SUMIFS(ROBA_U_DOLASKU!$B$6:$B$95,ROBA_U_DOLASKU!$A$6:$A$95,A130,ROBA_U_DOLASKU!$H$6:$H$95,2)</f>
        <v>0</v>
      </c>
      <c r="N130" s="9" t="n">
        <f aca="false">SUMIFS(ROBA_U_DOLASKU!$C$6:$C$95,ROBA_U_DOLASKU!$A$6:$A$95,A130,ROBA_U_DOLASKU!$H$6:$H$95,3)</f>
        <v>0</v>
      </c>
      <c r="O130" s="9" t="n">
        <f aca="false">SUMIFS(ROBA_U_DOLASKU!$B$6:$B$95,ROBA_U_DOLASKU!$A$6:$A$95,A130,ROBA_U_DOLASKU!$H$6:$H$95,3)</f>
        <v>0</v>
      </c>
      <c r="P130" s="9" t="n">
        <f aca="false">IF(H130&lt;=0,999,IF(O130&gt;0,ROUND((F130-H130*N130+K130+M130+O130)/H130,1),IF(M130&gt;0,ROUND((F130-H130*L130+K130+M130)/H130,1),IF(K130&gt;0,ROUND((F130-H130*J130+K130)/H130,1),I130))))</f>
        <v>999</v>
      </c>
      <c r="Q130" s="22" t="str">
        <f aca="false">IF(H130&lt;=0,"Nema prodaje",IF(AND(K130=0,M130=0,O130=0),IF(I130&lt;POSTAVKE!$B$6,"Naruči odmah","Sve u redu"),IF(F130-H130*J130&lt;0,"Rupa za ~"&amp;TEXT(I130,"0.0")&amp;" mj.",IF(AND(M130&gt;0,F130-H130*L130+K130&lt;0),"Rupa nakon 1. dolaska",IF(AND(O130&gt;0,F130-H130*N130+K130+M130&lt;0),"Rupa nakon 2. dolaska",IF(P130&lt;POSTAVKE!$B$6,"Količina nije dovoljna",IF(I130&gt;=POSTAVKE!$B$6,"Sve u redu","Stiže na vrijeme")))))))</f>
        <v>Nema prodaje</v>
      </c>
      <c r="S130" s="23" t="n">
        <f aca="false">IFERROR(INDEX(PODACI_PRODAJA!B:B,MATCH($A130,PODACI_PRODAJA!$A:$A,0)),0)</f>
        <v>0</v>
      </c>
      <c r="T130" s="23" t="n">
        <f aca="false">IFERROR(INDEX(PODACI_PRODAJA!C:C,MATCH($A130,PODACI_PRODAJA!$A:$A,0)),0)</f>
        <v>0</v>
      </c>
      <c r="U130" s="23" t="n">
        <f aca="false">IFERROR(INDEX(PODACI_PRODAJA!D:D,MATCH($A130,PODACI_PRODAJA!$A:$A,0)),0)</f>
        <v>0</v>
      </c>
      <c r="V130" s="23" t="n">
        <f aca="false">IFERROR(INDEX(PODACI_PRODAJA!E:E,MATCH($A130,PODACI_PRODAJA!$A:$A,0)),0)</f>
        <v>0</v>
      </c>
      <c r="W130" s="23" t="n">
        <f aca="false">IFERROR(INDEX(PODACI_PRODAJA!F:F,MATCH($A130,PODACI_PRODAJA!$A:$A,0)),0)</f>
        <v>0</v>
      </c>
      <c r="X130" s="23" t="n">
        <f aca="false">IFERROR(INDEX(PODACI_PRODAJA!G:G,MATCH($A130,PODACI_PRODAJA!$A:$A,0)),0)</f>
        <v>0</v>
      </c>
      <c r="Y130" s="23" t="n">
        <f aca="false">IFERROR(INDEX(PODACI_PRODAJA!H:H,MATCH($A130,PODACI_PRODAJA!$A:$A,0)),0)</f>
        <v>0</v>
      </c>
      <c r="Z130" s="23" t="n">
        <f aca="false">IFERROR(INDEX(PODACI_PRODAJA!I:I,MATCH($A130,PODACI_PRODAJA!$A:$A,0)),0)</f>
        <v>0</v>
      </c>
      <c r="AA130" s="23" t="n">
        <f aca="false">IFERROR(INDEX(PODACI_PRODAJA!J:J,MATCH($A130,PODACI_PRODAJA!$A:$A,0)),0)</f>
        <v>0</v>
      </c>
      <c r="AB130" s="23" t="n">
        <f aca="false">IFERROR(INDEX(PODACI_PRODAJA!K:K,MATCH($A130,PODACI_PRODAJA!$A:$A,0)),0)</f>
        <v>0</v>
      </c>
      <c r="AC130" s="23" t="n">
        <f aca="false">IFERROR(INDEX(PODACI_PRODAJA!L:L,MATCH($A130,PODACI_PRODAJA!$A:$A,0)),0)</f>
        <v>0</v>
      </c>
      <c r="AD130" s="23" t="n">
        <f aca="false">IFERROR(INDEX(PODACI_PRODAJA!M:M,MATCH($A130,PODACI_PRODAJA!$A:$A,0)),0)</f>
        <v>0</v>
      </c>
    </row>
    <row r="131" customFormat="false" ht="15" hidden="false" customHeight="false" outlineLevel="0" collapsed="false">
      <c r="A131" s="11" t="str">
        <f aca="false">PODACI_ZALIHE!A128</f>
        <v>043820</v>
      </c>
      <c r="B131" s="8" t="str">
        <f aca="false">PODACI_ZALIHE!B128</f>
        <v>INTENSO BLACK TUŠ SET S MIJEŠALICOM</v>
      </c>
      <c r="C131" s="9" t="str">
        <f aca="false">PODACI_ZALIHE!C128</f>
        <v>5150</v>
      </c>
      <c r="D131" s="8" t="str">
        <f aca="false">PODACI_ZALIHE!D128</f>
        <v>ZHEJIANG VOLONG SANITARY WARES CO.,LTD.</v>
      </c>
      <c r="E131" s="19" t="n">
        <f aca="false">IF(PODACI_ZALIHE!E128="","",PODACI_ZALIHE!E128)</f>
        <v>64</v>
      </c>
      <c r="F131" s="20" t="n">
        <f aca="false">PODACI_ZALIHE!F128</f>
        <v>64</v>
      </c>
      <c r="G131" s="19" t="n">
        <f aca="false">IF(E131="","",E131-F131)</f>
        <v>0</v>
      </c>
      <c r="H131" s="9" t="n">
        <f aca="false">PODACI_PRODAJA!N90</f>
        <v>11.5</v>
      </c>
      <c r="I131" s="21" t="n">
        <f aca="false">IF(H131&lt;=0,999,ROUND(F131/H131,1))</f>
        <v>5.6</v>
      </c>
      <c r="J131" s="9" t="n">
        <f aca="false">SUMIFS(ROBA_U_DOLASKU!$C$6:$C$95,ROBA_U_DOLASKU!$A$6:$A$95,A131,ROBA_U_DOLASKU!$H$6:$H$95,1)</f>
        <v>0</v>
      </c>
      <c r="K131" s="9" t="n">
        <f aca="false">SUMIFS(ROBA_U_DOLASKU!$B$6:$B$95,ROBA_U_DOLASKU!$A$6:$A$95,A131,ROBA_U_DOLASKU!$H$6:$H$95,1)</f>
        <v>0</v>
      </c>
      <c r="L131" s="9" t="n">
        <f aca="false">SUMIFS(ROBA_U_DOLASKU!$C$6:$C$95,ROBA_U_DOLASKU!$A$6:$A$95,A131,ROBA_U_DOLASKU!$H$6:$H$95,2)</f>
        <v>0</v>
      </c>
      <c r="M131" s="9" t="n">
        <f aca="false">SUMIFS(ROBA_U_DOLASKU!$B$6:$B$95,ROBA_U_DOLASKU!$A$6:$A$95,A131,ROBA_U_DOLASKU!$H$6:$H$95,2)</f>
        <v>0</v>
      </c>
      <c r="N131" s="9" t="n">
        <f aca="false">SUMIFS(ROBA_U_DOLASKU!$C$6:$C$95,ROBA_U_DOLASKU!$A$6:$A$95,A131,ROBA_U_DOLASKU!$H$6:$H$95,3)</f>
        <v>0</v>
      </c>
      <c r="O131" s="9" t="n">
        <f aca="false">SUMIFS(ROBA_U_DOLASKU!$B$6:$B$95,ROBA_U_DOLASKU!$A$6:$A$95,A131,ROBA_U_DOLASKU!$H$6:$H$95,3)</f>
        <v>0</v>
      </c>
      <c r="P131" s="9" t="n">
        <f aca="false">IF(H131&lt;=0,999,IF(O131&gt;0,ROUND((F131-H131*N131+K131+M131+O131)/H131,1),IF(M131&gt;0,ROUND((F131-H131*L131+K131+M131)/H131,1),IF(K131&gt;0,ROUND((F131-H131*J131+K131)/H131,1),I131))))</f>
        <v>5.6</v>
      </c>
      <c r="Q131" s="22" t="str">
        <f aca="false">IF(H131&lt;=0,"Nema prodaje",IF(AND(K131=0,M131=0,O131=0),IF(I131&lt;POSTAVKE!$B$6,"Naruči odmah","Sve u redu"),IF(F131-H131*J131&lt;0,"Rupa za ~"&amp;TEXT(I131,"0.0")&amp;" mj.",IF(AND(M131&gt;0,F131-H131*L131+K131&lt;0),"Rupa nakon 1. dolaska",IF(AND(O131&gt;0,F131-H131*N131+K131+M131&lt;0),"Rupa nakon 2. dolaska",IF(P131&lt;POSTAVKE!$B$6,"Količina nije dovoljna",IF(I131&gt;=POSTAVKE!$B$6,"Sve u redu","Stiže na vrijeme")))))))</f>
        <v>Sve u redu</v>
      </c>
      <c r="S131" s="23" t="n">
        <f aca="false">IFERROR(INDEX(PODACI_PRODAJA!B:B,MATCH($A131,PODACI_PRODAJA!$A:$A,0)),0)</f>
        <v>7</v>
      </c>
      <c r="T131" s="23" t="n">
        <f aca="false">IFERROR(INDEX(PODACI_PRODAJA!C:C,MATCH($A131,PODACI_PRODAJA!$A:$A,0)),0)</f>
        <v>10</v>
      </c>
      <c r="U131" s="23" t="n">
        <f aca="false">IFERROR(INDEX(PODACI_PRODAJA!D:D,MATCH($A131,PODACI_PRODAJA!$A:$A,0)),0)</f>
        <v>6</v>
      </c>
      <c r="V131" s="23" t="n">
        <f aca="false">IFERROR(INDEX(PODACI_PRODAJA!E:E,MATCH($A131,PODACI_PRODAJA!$A:$A,0)),0)</f>
        <v>13</v>
      </c>
      <c r="W131" s="23" t="n">
        <f aca="false">IFERROR(INDEX(PODACI_PRODAJA!F:F,MATCH($A131,PODACI_PRODAJA!$A:$A,0)),0)</f>
        <v>16</v>
      </c>
      <c r="X131" s="23" t="n">
        <f aca="false">IFERROR(INDEX(PODACI_PRODAJA!G:G,MATCH($A131,PODACI_PRODAJA!$A:$A,0)),0)</f>
        <v>1</v>
      </c>
      <c r="Y131" s="23" t="n">
        <f aca="false">IFERROR(INDEX(PODACI_PRODAJA!H:H,MATCH($A131,PODACI_PRODAJA!$A:$A,0)),0)</f>
        <v>0</v>
      </c>
      <c r="Z131" s="23" t="n">
        <f aca="false">IFERROR(INDEX(PODACI_PRODAJA!I:I,MATCH($A131,PODACI_PRODAJA!$A:$A,0)),0)</f>
        <v>39</v>
      </c>
      <c r="AA131" s="23" t="n">
        <f aca="false">IFERROR(INDEX(PODACI_PRODAJA!J:J,MATCH($A131,PODACI_PRODAJA!$A:$A,0)),0)</f>
        <v>0</v>
      </c>
      <c r="AB131" s="23" t="n">
        <f aca="false">IFERROR(INDEX(PODACI_PRODAJA!K:K,MATCH($A131,PODACI_PRODAJA!$A:$A,0)),0)</f>
        <v>0</v>
      </c>
      <c r="AC131" s="23" t="n">
        <f aca="false">IFERROR(INDEX(PODACI_PRODAJA!L:L,MATCH($A131,PODACI_PRODAJA!$A:$A,0)),0)</f>
        <v>0</v>
      </c>
      <c r="AD131" s="23" t="n">
        <f aca="false">IFERROR(INDEX(PODACI_PRODAJA!M:M,MATCH($A131,PODACI_PRODAJA!$A:$A,0)),0)</f>
        <v>0</v>
      </c>
    </row>
    <row r="132" customFormat="false" ht="15" hidden="false" customHeight="false" outlineLevel="0" collapsed="false">
      <c r="A132" s="11" t="str">
        <f aca="false">PODACI_ZALIHE!A129</f>
        <v>18248</v>
      </c>
      <c r="B132" s="8" t="str">
        <f aca="false">PODACI_ZALIHE!B129</f>
        <v>TALIA OGLEDALO S LED RASVJETOM D60 cm</v>
      </c>
      <c r="C132" s="9" t="str">
        <f aca="false">PODACI_ZALIHE!C129</f>
        <v>6032</v>
      </c>
      <c r="D132" s="8" t="str">
        <f aca="false">PODACI_ZALIHE!D129</f>
        <v>HANGZHOU ZIHAN MIRROR INDUSTRY CO., LTD.</v>
      </c>
      <c r="E132" s="19" t="n">
        <f aca="false">IF(PODACI_ZALIHE!E129="","",PODACI_ZALIHE!E129)</f>
        <v>63</v>
      </c>
      <c r="F132" s="20" t="n">
        <f aca="false">PODACI_ZALIHE!F129</f>
        <v>63</v>
      </c>
      <c r="G132" s="19" t="n">
        <f aca="false">IF(E132="","",E132-F132)</f>
        <v>0</v>
      </c>
      <c r="H132" s="9" t="n">
        <f aca="false">PODACI_PRODAJA!N41</f>
        <v>18.88</v>
      </c>
      <c r="I132" s="21" t="n">
        <f aca="false">IF(H132&lt;=0,999,ROUND(F132/H132,1))</f>
        <v>3.3</v>
      </c>
      <c r="J132" s="9" t="n">
        <f aca="false">SUMIFS(ROBA_U_DOLASKU!$C$6:$C$95,ROBA_U_DOLASKU!$A$6:$A$95,A132,ROBA_U_DOLASKU!$H$6:$H$95,1)</f>
        <v>2.2</v>
      </c>
      <c r="K132" s="9" t="n">
        <f aca="false">SUMIFS(ROBA_U_DOLASKU!$B$6:$B$95,ROBA_U_DOLASKU!$A$6:$A$95,A132,ROBA_U_DOLASKU!$H$6:$H$95,1)</f>
        <v>40</v>
      </c>
      <c r="L132" s="9" t="n">
        <f aca="false">SUMIFS(ROBA_U_DOLASKU!$C$6:$C$95,ROBA_U_DOLASKU!$A$6:$A$95,A132,ROBA_U_DOLASKU!$H$6:$H$95,2)</f>
        <v>0</v>
      </c>
      <c r="M132" s="9" t="n">
        <f aca="false">SUMIFS(ROBA_U_DOLASKU!$B$6:$B$95,ROBA_U_DOLASKU!$A$6:$A$95,A132,ROBA_U_DOLASKU!$H$6:$H$95,2)</f>
        <v>0</v>
      </c>
      <c r="N132" s="9" t="n">
        <f aca="false">SUMIFS(ROBA_U_DOLASKU!$C$6:$C$95,ROBA_U_DOLASKU!$A$6:$A$95,A132,ROBA_U_DOLASKU!$H$6:$H$95,3)</f>
        <v>0</v>
      </c>
      <c r="O132" s="9" t="n">
        <f aca="false">SUMIFS(ROBA_U_DOLASKU!$B$6:$B$95,ROBA_U_DOLASKU!$A$6:$A$95,A132,ROBA_U_DOLASKU!$H$6:$H$95,3)</f>
        <v>0</v>
      </c>
      <c r="P132" s="9" t="n">
        <f aca="false">IF(H132&lt;=0,999,IF(O132&gt;0,ROUND((F132-H132*N132+K132+M132+O132)/H132,1),IF(M132&gt;0,ROUND((F132-H132*L132+K132+M132)/H132,1),IF(K132&gt;0,ROUND((F132-H132*J132+K132)/H132,1),I132))))</f>
        <v>3.3</v>
      </c>
      <c r="Q132" s="22" t="str">
        <f aca="false">IF(H132&lt;=0,"Nema prodaje",IF(AND(K132=0,M132=0,O132=0),IF(I132&lt;POSTAVKE!$B$6,"Naruči odmah","Sve u redu"),IF(F132-H132*J132&lt;0,"Rupa za ~"&amp;TEXT(I132,"0.0")&amp;" mj.",IF(AND(M132&gt;0,F132-H132*L132+K132&lt;0),"Rupa nakon 1. dolaska",IF(AND(O132&gt;0,F132-H132*N132+K132+M132&lt;0),"Rupa nakon 2. dolaska",IF(P132&lt;POSTAVKE!$B$6,"Količina nije dovoljna",IF(I132&gt;=POSTAVKE!$B$6,"Sve u redu","Stiže na vrijeme")))))))</f>
        <v>Količina nije dovoljna</v>
      </c>
      <c r="S132" s="23" t="n">
        <f aca="false">IFERROR(INDEX(PODACI_PRODAJA!B:B,MATCH($A132,PODACI_PRODAJA!$A:$A,0)),0)</f>
        <v>23</v>
      </c>
      <c r="T132" s="23" t="n">
        <f aca="false">IFERROR(INDEX(PODACI_PRODAJA!C:C,MATCH($A132,PODACI_PRODAJA!$A:$A,0)),0)</f>
        <v>16</v>
      </c>
      <c r="U132" s="23" t="n">
        <f aca="false">IFERROR(INDEX(PODACI_PRODAJA!D:D,MATCH($A132,PODACI_PRODAJA!$A:$A,0)),0)</f>
        <v>13</v>
      </c>
      <c r="V132" s="23" t="n">
        <f aca="false">IFERROR(INDEX(PODACI_PRODAJA!E:E,MATCH($A132,PODACI_PRODAJA!$A:$A,0)),0)</f>
        <v>14</v>
      </c>
      <c r="W132" s="23" t="n">
        <f aca="false">IFERROR(INDEX(PODACI_PRODAJA!F:F,MATCH($A132,PODACI_PRODAJA!$A:$A,0)),0)</f>
        <v>34</v>
      </c>
      <c r="X132" s="23" t="n">
        <f aca="false">IFERROR(INDEX(PODACI_PRODAJA!G:G,MATCH($A132,PODACI_PRODAJA!$A:$A,0)),0)</f>
        <v>13</v>
      </c>
      <c r="Y132" s="23" t="n">
        <f aca="false">IFERROR(INDEX(PODACI_PRODAJA!H:H,MATCH($A132,PODACI_PRODAJA!$A:$A,0)),0)</f>
        <v>27</v>
      </c>
      <c r="Z132" s="23" t="n">
        <f aca="false">IFERROR(INDEX(PODACI_PRODAJA!I:I,MATCH($A132,PODACI_PRODAJA!$A:$A,0)),0)</f>
        <v>11</v>
      </c>
      <c r="AA132" s="23" t="n">
        <f aca="false">IFERROR(INDEX(PODACI_PRODAJA!J:J,MATCH($A132,PODACI_PRODAJA!$A:$A,0)),0)</f>
        <v>0</v>
      </c>
      <c r="AB132" s="23" t="n">
        <f aca="false">IFERROR(INDEX(PODACI_PRODAJA!K:K,MATCH($A132,PODACI_PRODAJA!$A:$A,0)),0)</f>
        <v>0</v>
      </c>
      <c r="AC132" s="23" t="n">
        <f aca="false">IFERROR(INDEX(PODACI_PRODAJA!L:L,MATCH($A132,PODACI_PRODAJA!$A:$A,0)),0)</f>
        <v>0</v>
      </c>
      <c r="AD132" s="23" t="n">
        <f aca="false">IFERROR(INDEX(PODACI_PRODAJA!M:M,MATCH($A132,PODACI_PRODAJA!$A:$A,0)),0)</f>
        <v>0</v>
      </c>
    </row>
    <row r="133" customFormat="false" ht="15" hidden="false" customHeight="false" outlineLevel="0" collapsed="false">
      <c r="A133" s="11" t="str">
        <f aca="false">PODACI_ZALIHE!A130</f>
        <v>16938</v>
      </c>
      <c r="B133" s="8" t="str">
        <f aca="false">PODACI_ZALIHE!B130</f>
        <v>TK LORCA BLACK 90 KVADRATNA TUŠ KABINA 90x90x195cm</v>
      </c>
      <c r="C133" s="9" t="str">
        <f aca="false">PODACI_ZALIHE!C130</f>
        <v>3933</v>
      </c>
      <c r="D133" s="8" t="str">
        <f aca="false">PODACI_ZALIHE!D130</f>
        <v>PINGHU AONISI SANITARY WARE CO.,LTD</v>
      </c>
      <c r="E133" s="19" t="n">
        <f aca="false">IF(PODACI_ZALIHE!E130="","",PODACI_ZALIHE!E130)</f>
        <v>62</v>
      </c>
      <c r="F133" s="20" t="n">
        <f aca="false">PODACI_ZALIHE!F130</f>
        <v>62</v>
      </c>
      <c r="G133" s="19" t="n">
        <f aca="false">IF(E133="","",E133-F133)</f>
        <v>0</v>
      </c>
      <c r="H133" s="9" t="n">
        <f aca="false">PODACI_PRODAJA!N33</f>
        <v>14.38</v>
      </c>
      <c r="I133" s="21" t="n">
        <f aca="false">IF(H133&lt;=0,999,ROUND(F133/H133,1))</f>
        <v>4.3</v>
      </c>
      <c r="J133" s="9" t="n">
        <f aca="false">SUMIFS(ROBA_U_DOLASKU!$C$6:$C$95,ROBA_U_DOLASKU!$A$6:$A$95,A133,ROBA_U_DOLASKU!$H$6:$H$95,1)</f>
        <v>0</v>
      </c>
      <c r="K133" s="9" t="n">
        <f aca="false">SUMIFS(ROBA_U_DOLASKU!$B$6:$B$95,ROBA_U_DOLASKU!$A$6:$A$95,A133,ROBA_U_DOLASKU!$H$6:$H$95,1)</f>
        <v>0</v>
      </c>
      <c r="L133" s="9" t="n">
        <f aca="false">SUMIFS(ROBA_U_DOLASKU!$C$6:$C$95,ROBA_U_DOLASKU!$A$6:$A$95,A133,ROBA_U_DOLASKU!$H$6:$H$95,2)</f>
        <v>0</v>
      </c>
      <c r="M133" s="9" t="n">
        <f aca="false">SUMIFS(ROBA_U_DOLASKU!$B$6:$B$95,ROBA_U_DOLASKU!$A$6:$A$95,A133,ROBA_U_DOLASKU!$H$6:$H$95,2)</f>
        <v>0</v>
      </c>
      <c r="N133" s="9" t="n">
        <f aca="false">SUMIFS(ROBA_U_DOLASKU!$C$6:$C$95,ROBA_U_DOLASKU!$A$6:$A$95,A133,ROBA_U_DOLASKU!$H$6:$H$95,3)</f>
        <v>0</v>
      </c>
      <c r="O133" s="9" t="n">
        <f aca="false">SUMIFS(ROBA_U_DOLASKU!$B$6:$B$95,ROBA_U_DOLASKU!$A$6:$A$95,A133,ROBA_U_DOLASKU!$H$6:$H$95,3)</f>
        <v>0</v>
      </c>
      <c r="P133" s="9" t="n">
        <f aca="false">IF(H133&lt;=0,999,IF(O133&gt;0,ROUND((F133-H133*N133+K133+M133+O133)/H133,1),IF(M133&gt;0,ROUND((F133-H133*L133+K133+M133)/H133,1),IF(K133&gt;0,ROUND((F133-H133*J133+K133)/H133,1),I133))))</f>
        <v>4.3</v>
      </c>
      <c r="Q133" s="22" t="str">
        <f aca="false">IF(H133&lt;=0,"Nema prodaje",IF(AND(K133=0,M133=0,O133=0),IF(I133&lt;POSTAVKE!$B$6,"Naruči odmah","Sve u redu"),IF(F133-H133*J133&lt;0,"Rupa za ~"&amp;TEXT(I133,"0.0")&amp;" mj.",IF(AND(M133&gt;0,F133-H133*L133+K133&lt;0),"Rupa nakon 1. dolaska",IF(AND(O133&gt;0,F133-H133*N133+K133+M133&lt;0),"Rupa nakon 2. dolaska",IF(P133&lt;POSTAVKE!$B$6,"Količina nije dovoljna",IF(I133&gt;=POSTAVKE!$B$6,"Sve u redu","Stiže na vrijeme")))))))</f>
        <v>Naruči odmah</v>
      </c>
      <c r="S133" s="23" t="n">
        <f aca="false">IFERROR(INDEX(PODACI_PRODAJA!B:B,MATCH($A133,PODACI_PRODAJA!$A:$A,0)),0)</f>
        <v>29</v>
      </c>
      <c r="T133" s="23" t="n">
        <f aca="false">IFERROR(INDEX(PODACI_PRODAJA!C:C,MATCH($A133,PODACI_PRODAJA!$A:$A,0)),0)</f>
        <v>11</v>
      </c>
      <c r="U133" s="23" t="n">
        <f aca="false">IFERROR(INDEX(PODACI_PRODAJA!D:D,MATCH($A133,PODACI_PRODAJA!$A:$A,0)),0)</f>
        <v>20</v>
      </c>
      <c r="V133" s="23" t="n">
        <f aca="false">IFERROR(INDEX(PODACI_PRODAJA!E:E,MATCH($A133,PODACI_PRODAJA!$A:$A,0)),0)</f>
        <v>13</v>
      </c>
      <c r="W133" s="23" t="n">
        <f aca="false">IFERROR(INDEX(PODACI_PRODAJA!F:F,MATCH($A133,PODACI_PRODAJA!$A:$A,0)),0)</f>
        <v>4</v>
      </c>
      <c r="X133" s="23" t="n">
        <f aca="false">IFERROR(INDEX(PODACI_PRODAJA!G:G,MATCH($A133,PODACI_PRODAJA!$A:$A,0)),0)</f>
        <v>12</v>
      </c>
      <c r="Y133" s="23" t="n">
        <f aca="false">IFERROR(INDEX(PODACI_PRODAJA!H:H,MATCH($A133,PODACI_PRODAJA!$A:$A,0)),0)</f>
        <v>11</v>
      </c>
      <c r="Z133" s="23" t="n">
        <f aca="false">IFERROR(INDEX(PODACI_PRODAJA!I:I,MATCH($A133,PODACI_PRODAJA!$A:$A,0)),0)</f>
        <v>15</v>
      </c>
      <c r="AA133" s="23" t="n">
        <f aca="false">IFERROR(INDEX(PODACI_PRODAJA!J:J,MATCH($A133,PODACI_PRODAJA!$A:$A,0)),0)</f>
        <v>0</v>
      </c>
      <c r="AB133" s="23" t="n">
        <f aca="false">IFERROR(INDEX(PODACI_PRODAJA!K:K,MATCH($A133,PODACI_PRODAJA!$A:$A,0)),0)</f>
        <v>0</v>
      </c>
      <c r="AC133" s="23" t="n">
        <f aca="false">IFERROR(INDEX(PODACI_PRODAJA!L:L,MATCH($A133,PODACI_PRODAJA!$A:$A,0)),0)</f>
        <v>0</v>
      </c>
      <c r="AD133" s="23" t="n">
        <f aca="false">IFERROR(INDEX(PODACI_PRODAJA!M:M,MATCH($A133,PODACI_PRODAJA!$A:$A,0)),0)</f>
        <v>0</v>
      </c>
    </row>
    <row r="134" customFormat="false" ht="15" hidden="false" customHeight="false" outlineLevel="0" collapsed="false">
      <c r="A134" s="11" t="str">
        <f aca="false">PODACI_ZALIHE!A131</f>
        <v>042123C</v>
      </c>
      <c r="B134" s="8" t="str">
        <f aca="false">PODACI_ZALIHE!B131</f>
        <v>SHINE C 80120 LED OGLEDALO SA SENZOROM POKRETA 120x80 cm</v>
      </c>
      <c r="C134" s="9" t="str">
        <f aca="false">PODACI_ZALIHE!C131</f>
        <v>6032</v>
      </c>
      <c r="D134" s="8" t="str">
        <f aca="false">PODACI_ZALIHE!D131</f>
        <v>HANGZHOU ZIHAN MIRROR INDUSTRY CO., LTD.</v>
      </c>
      <c r="E134" s="19" t="n">
        <f aca="false">IF(PODACI_ZALIHE!E131="","",PODACI_ZALIHE!E131)</f>
        <v>61</v>
      </c>
      <c r="F134" s="20" t="n">
        <f aca="false">PODACI_ZALIHE!F131</f>
        <v>61</v>
      </c>
      <c r="G134" s="19" t="n">
        <f aca="false">IF(E134="","",E134-F134)</f>
        <v>0</v>
      </c>
      <c r="H134" s="9" t="n">
        <f aca="false">PODACI_PRODAJA!N141</f>
        <v>4</v>
      </c>
      <c r="I134" s="21" t="n">
        <f aca="false">IF(H134&lt;=0,999,ROUND(F134/H134,1))</f>
        <v>15.3</v>
      </c>
      <c r="J134" s="9" t="n">
        <f aca="false">SUMIFS(ROBA_U_DOLASKU!$C$6:$C$95,ROBA_U_DOLASKU!$A$6:$A$95,A134,ROBA_U_DOLASKU!$H$6:$H$95,1)</f>
        <v>0</v>
      </c>
      <c r="K134" s="9" t="n">
        <f aca="false">SUMIFS(ROBA_U_DOLASKU!$B$6:$B$95,ROBA_U_DOLASKU!$A$6:$A$95,A134,ROBA_U_DOLASKU!$H$6:$H$95,1)</f>
        <v>0</v>
      </c>
      <c r="L134" s="9" t="n">
        <f aca="false">SUMIFS(ROBA_U_DOLASKU!$C$6:$C$95,ROBA_U_DOLASKU!$A$6:$A$95,A134,ROBA_U_DOLASKU!$H$6:$H$95,2)</f>
        <v>0</v>
      </c>
      <c r="M134" s="9" t="n">
        <f aca="false">SUMIFS(ROBA_U_DOLASKU!$B$6:$B$95,ROBA_U_DOLASKU!$A$6:$A$95,A134,ROBA_U_DOLASKU!$H$6:$H$95,2)</f>
        <v>0</v>
      </c>
      <c r="N134" s="9" t="n">
        <f aca="false">SUMIFS(ROBA_U_DOLASKU!$C$6:$C$95,ROBA_U_DOLASKU!$A$6:$A$95,A134,ROBA_U_DOLASKU!$H$6:$H$95,3)</f>
        <v>0</v>
      </c>
      <c r="O134" s="9" t="n">
        <f aca="false">SUMIFS(ROBA_U_DOLASKU!$B$6:$B$95,ROBA_U_DOLASKU!$A$6:$A$95,A134,ROBA_U_DOLASKU!$H$6:$H$95,3)</f>
        <v>0</v>
      </c>
      <c r="P134" s="9" t="n">
        <f aca="false">IF(H134&lt;=0,999,IF(O134&gt;0,ROUND((F134-H134*N134+K134+M134+O134)/H134,1),IF(M134&gt;0,ROUND((F134-H134*L134+K134+M134)/H134,1),IF(K134&gt;0,ROUND((F134-H134*J134+K134)/H134,1),I134))))</f>
        <v>15.3</v>
      </c>
      <c r="Q134" s="22" t="str">
        <f aca="false">IF(H134&lt;=0,"Nema prodaje",IF(AND(K134=0,M134=0,O134=0),IF(I134&lt;POSTAVKE!$B$6,"Naruči odmah","Sve u redu"),IF(F134-H134*J134&lt;0,"Rupa za ~"&amp;TEXT(I134,"0.0")&amp;" mj.",IF(AND(M134&gt;0,F134-H134*L134+K134&lt;0),"Rupa nakon 1. dolaska",IF(AND(O134&gt;0,F134-H134*N134+K134+M134&lt;0),"Rupa nakon 2. dolaska",IF(P134&lt;POSTAVKE!$B$6,"Količina nije dovoljna",IF(I134&gt;=POSTAVKE!$B$6,"Sve u redu","Stiže na vrijeme")))))))</f>
        <v>Sve u redu</v>
      </c>
      <c r="S134" s="23" t="n">
        <f aca="false">IFERROR(INDEX(PODACI_PRODAJA!B:B,MATCH($A134,PODACI_PRODAJA!$A:$A,0)),0)</f>
        <v>3</v>
      </c>
      <c r="T134" s="23" t="n">
        <f aca="false">IFERROR(INDEX(PODACI_PRODAJA!C:C,MATCH($A134,PODACI_PRODAJA!$A:$A,0)),0)</f>
        <v>3</v>
      </c>
      <c r="U134" s="23" t="n">
        <f aca="false">IFERROR(INDEX(PODACI_PRODAJA!D:D,MATCH($A134,PODACI_PRODAJA!$A:$A,0)),0)</f>
        <v>8</v>
      </c>
      <c r="V134" s="23" t="n">
        <f aca="false">IFERROR(INDEX(PODACI_PRODAJA!E:E,MATCH($A134,PODACI_PRODAJA!$A:$A,0)),0)</f>
        <v>6</v>
      </c>
      <c r="W134" s="23" t="n">
        <f aca="false">IFERROR(INDEX(PODACI_PRODAJA!F:F,MATCH($A134,PODACI_PRODAJA!$A:$A,0)),0)</f>
        <v>3</v>
      </c>
      <c r="X134" s="23" t="n">
        <f aca="false">IFERROR(INDEX(PODACI_PRODAJA!G:G,MATCH($A134,PODACI_PRODAJA!$A:$A,0)),0)</f>
        <v>1</v>
      </c>
      <c r="Y134" s="23" t="n">
        <f aca="false">IFERROR(INDEX(PODACI_PRODAJA!H:H,MATCH($A134,PODACI_PRODAJA!$A:$A,0)),0)</f>
        <v>3</v>
      </c>
      <c r="Z134" s="23" t="n">
        <f aca="false">IFERROR(INDEX(PODACI_PRODAJA!I:I,MATCH($A134,PODACI_PRODAJA!$A:$A,0)),0)</f>
        <v>5</v>
      </c>
      <c r="AA134" s="23" t="n">
        <f aca="false">IFERROR(INDEX(PODACI_PRODAJA!J:J,MATCH($A134,PODACI_PRODAJA!$A:$A,0)),0)</f>
        <v>0</v>
      </c>
      <c r="AB134" s="23" t="n">
        <f aca="false">IFERROR(INDEX(PODACI_PRODAJA!K:K,MATCH($A134,PODACI_PRODAJA!$A:$A,0)),0)</f>
        <v>0</v>
      </c>
      <c r="AC134" s="23" t="n">
        <f aca="false">IFERROR(INDEX(PODACI_PRODAJA!L:L,MATCH($A134,PODACI_PRODAJA!$A:$A,0)),0)</f>
        <v>0</v>
      </c>
      <c r="AD134" s="23" t="n">
        <f aca="false">IFERROR(INDEX(PODACI_PRODAJA!M:M,MATCH($A134,PODACI_PRODAJA!$A:$A,0)),0)</f>
        <v>0</v>
      </c>
    </row>
    <row r="135" customFormat="false" ht="15" hidden="false" customHeight="false" outlineLevel="0" collapsed="false">
      <c r="A135" s="11" t="str">
        <f aca="false">PODACI_ZALIHE!A132</f>
        <v>15274</v>
      </c>
      <c r="B135" s="8" t="str">
        <f aca="false">PODACI_ZALIHE!B132</f>
        <v>FRAME B50100 OGLEDALO S LED RASVJETOM 50x100 cm</v>
      </c>
      <c r="C135" s="9" t="str">
        <f aca="false">PODACI_ZALIHE!C132</f>
        <v>5720</v>
      </c>
      <c r="D135" s="8" t="str">
        <f aca="false">PODACI_ZALIHE!D132</f>
        <v>ZHEJIANG SUMMERSIDE SANITARY WARE TECHNOLOGY CO., LTD</v>
      </c>
      <c r="E135" s="19" t="n">
        <f aca="false">IF(PODACI_ZALIHE!E132="","",PODACI_ZALIHE!E132)</f>
        <v>61</v>
      </c>
      <c r="F135" s="20" t="n">
        <f aca="false">PODACI_ZALIHE!F132</f>
        <v>61</v>
      </c>
      <c r="G135" s="19" t="n">
        <f aca="false">IF(E135="","",E135-F135)</f>
        <v>0</v>
      </c>
      <c r="H135" s="9" t="n">
        <f aca="false">PODACI_PRODAJA!N235</f>
        <v>2.75</v>
      </c>
      <c r="I135" s="21" t="n">
        <f aca="false">IF(H135&lt;=0,999,ROUND(F135/H135,1))</f>
        <v>22.2</v>
      </c>
      <c r="J135" s="9" t="n">
        <f aca="false">SUMIFS(ROBA_U_DOLASKU!$C$6:$C$95,ROBA_U_DOLASKU!$A$6:$A$95,A135,ROBA_U_DOLASKU!$H$6:$H$95,1)</f>
        <v>0</v>
      </c>
      <c r="K135" s="9" t="n">
        <f aca="false">SUMIFS(ROBA_U_DOLASKU!$B$6:$B$95,ROBA_U_DOLASKU!$A$6:$A$95,A135,ROBA_U_DOLASKU!$H$6:$H$95,1)</f>
        <v>0</v>
      </c>
      <c r="L135" s="9" t="n">
        <f aca="false">SUMIFS(ROBA_U_DOLASKU!$C$6:$C$95,ROBA_U_DOLASKU!$A$6:$A$95,A135,ROBA_U_DOLASKU!$H$6:$H$95,2)</f>
        <v>0</v>
      </c>
      <c r="M135" s="9" t="n">
        <f aca="false">SUMIFS(ROBA_U_DOLASKU!$B$6:$B$95,ROBA_U_DOLASKU!$A$6:$A$95,A135,ROBA_U_DOLASKU!$H$6:$H$95,2)</f>
        <v>0</v>
      </c>
      <c r="N135" s="9" t="n">
        <f aca="false">SUMIFS(ROBA_U_DOLASKU!$C$6:$C$95,ROBA_U_DOLASKU!$A$6:$A$95,A135,ROBA_U_DOLASKU!$H$6:$H$95,3)</f>
        <v>0</v>
      </c>
      <c r="O135" s="9" t="n">
        <f aca="false">SUMIFS(ROBA_U_DOLASKU!$B$6:$B$95,ROBA_U_DOLASKU!$A$6:$A$95,A135,ROBA_U_DOLASKU!$H$6:$H$95,3)</f>
        <v>0</v>
      </c>
      <c r="P135" s="9" t="n">
        <f aca="false">IF(H135&lt;=0,999,IF(O135&gt;0,ROUND((F135-H135*N135+K135+M135+O135)/H135,1),IF(M135&gt;0,ROUND((F135-H135*L135+K135+M135)/H135,1),IF(K135&gt;0,ROUND((F135-H135*J135+K135)/H135,1),I135))))</f>
        <v>22.2</v>
      </c>
      <c r="Q135" s="22" t="str">
        <f aca="false">IF(H135&lt;=0,"Nema prodaje",IF(AND(K135=0,M135=0,O135=0),IF(I135&lt;POSTAVKE!$B$6,"Naruči odmah","Sve u redu"),IF(F135-H135*J135&lt;0,"Rupa za ~"&amp;TEXT(I135,"0.0")&amp;" mj.",IF(AND(M135&gt;0,F135-H135*L135+K135&lt;0),"Rupa nakon 1. dolaska",IF(AND(O135&gt;0,F135-H135*N135+K135+M135&lt;0),"Rupa nakon 2. dolaska",IF(P135&lt;POSTAVKE!$B$6,"Količina nije dovoljna",IF(I135&gt;=POSTAVKE!$B$6,"Sve u redu","Stiže na vrijeme")))))))</f>
        <v>Sve u redu</v>
      </c>
      <c r="S135" s="23" t="n">
        <f aca="false">IFERROR(INDEX(PODACI_PRODAJA!B:B,MATCH($A135,PODACI_PRODAJA!$A:$A,0)),0)</f>
        <v>1</v>
      </c>
      <c r="T135" s="23" t="n">
        <f aca="false">IFERROR(INDEX(PODACI_PRODAJA!C:C,MATCH($A135,PODACI_PRODAJA!$A:$A,0)),0)</f>
        <v>3</v>
      </c>
      <c r="U135" s="23" t="n">
        <f aca="false">IFERROR(INDEX(PODACI_PRODAJA!D:D,MATCH($A135,PODACI_PRODAJA!$A:$A,0)),0)</f>
        <v>13</v>
      </c>
      <c r="V135" s="23" t="n">
        <f aca="false">IFERROR(INDEX(PODACI_PRODAJA!E:E,MATCH($A135,PODACI_PRODAJA!$A:$A,0)),0)</f>
        <v>0</v>
      </c>
      <c r="W135" s="23" t="n">
        <f aca="false">IFERROR(INDEX(PODACI_PRODAJA!F:F,MATCH($A135,PODACI_PRODAJA!$A:$A,0)),0)</f>
        <v>4</v>
      </c>
      <c r="X135" s="23" t="n">
        <f aca="false">IFERROR(INDEX(PODACI_PRODAJA!G:G,MATCH($A135,PODACI_PRODAJA!$A:$A,0)),0)</f>
        <v>1</v>
      </c>
      <c r="Y135" s="23" t="n">
        <f aca="false">IFERROR(INDEX(PODACI_PRODAJA!H:H,MATCH($A135,PODACI_PRODAJA!$A:$A,0)),0)</f>
        <v>0</v>
      </c>
      <c r="Z135" s="23" t="n">
        <f aca="false">IFERROR(INDEX(PODACI_PRODAJA!I:I,MATCH($A135,PODACI_PRODAJA!$A:$A,0)),0)</f>
        <v>0</v>
      </c>
      <c r="AA135" s="23" t="n">
        <f aca="false">IFERROR(INDEX(PODACI_PRODAJA!J:J,MATCH($A135,PODACI_PRODAJA!$A:$A,0)),0)</f>
        <v>0</v>
      </c>
      <c r="AB135" s="23" t="n">
        <f aca="false">IFERROR(INDEX(PODACI_PRODAJA!K:K,MATCH($A135,PODACI_PRODAJA!$A:$A,0)),0)</f>
        <v>0</v>
      </c>
      <c r="AC135" s="23" t="n">
        <f aca="false">IFERROR(INDEX(PODACI_PRODAJA!L:L,MATCH($A135,PODACI_PRODAJA!$A:$A,0)),0)</f>
        <v>0</v>
      </c>
      <c r="AD135" s="23" t="n">
        <f aca="false">IFERROR(INDEX(PODACI_PRODAJA!M:M,MATCH($A135,PODACI_PRODAJA!$A:$A,0)),0)</f>
        <v>0</v>
      </c>
    </row>
    <row r="136" customFormat="false" ht="15" hidden="false" customHeight="false" outlineLevel="0" collapsed="false">
      <c r="A136" s="11" t="str">
        <f aca="false">PODACI_ZALIHE!A133</f>
        <v>18250</v>
      </c>
      <c r="B136" s="8" t="str">
        <f aca="false">PODACI_ZALIHE!B133</f>
        <v>TALIA OGLEDALO S LED RASVJETOM D80 cm</v>
      </c>
      <c r="C136" s="9" t="str">
        <f aca="false">PODACI_ZALIHE!C133</f>
        <v>6032</v>
      </c>
      <c r="D136" s="8" t="str">
        <f aca="false">PODACI_ZALIHE!D133</f>
        <v>HANGZHOU ZIHAN MIRROR INDUSTRY CO., LTD.</v>
      </c>
      <c r="E136" s="19" t="n">
        <f aca="false">IF(PODACI_ZALIHE!E133="","",PODACI_ZALIHE!E133)</f>
        <v>65</v>
      </c>
      <c r="F136" s="20" t="n">
        <f aca="false">PODACI_ZALIHE!F133</f>
        <v>61</v>
      </c>
      <c r="G136" s="19" t="n">
        <f aca="false">IF(E136="","",E136-F136)</f>
        <v>4</v>
      </c>
      <c r="H136" s="9" t="n">
        <f aca="false">PODACI_PRODAJA!N54</f>
        <v>9.5</v>
      </c>
      <c r="I136" s="21" t="n">
        <f aca="false">IF(H136&lt;=0,999,ROUND(F136/H136,1))</f>
        <v>6.4</v>
      </c>
      <c r="J136" s="9" t="n">
        <f aca="false">SUMIFS(ROBA_U_DOLASKU!$C$6:$C$95,ROBA_U_DOLASKU!$A$6:$A$95,A136,ROBA_U_DOLASKU!$H$6:$H$95,1)</f>
        <v>0</v>
      </c>
      <c r="K136" s="9" t="n">
        <f aca="false">SUMIFS(ROBA_U_DOLASKU!$B$6:$B$95,ROBA_U_DOLASKU!$A$6:$A$95,A136,ROBA_U_DOLASKU!$H$6:$H$95,1)</f>
        <v>0</v>
      </c>
      <c r="L136" s="9" t="n">
        <f aca="false">SUMIFS(ROBA_U_DOLASKU!$C$6:$C$95,ROBA_U_DOLASKU!$A$6:$A$95,A136,ROBA_U_DOLASKU!$H$6:$H$95,2)</f>
        <v>0</v>
      </c>
      <c r="M136" s="9" t="n">
        <f aca="false">SUMIFS(ROBA_U_DOLASKU!$B$6:$B$95,ROBA_U_DOLASKU!$A$6:$A$95,A136,ROBA_U_DOLASKU!$H$6:$H$95,2)</f>
        <v>0</v>
      </c>
      <c r="N136" s="9" t="n">
        <f aca="false">SUMIFS(ROBA_U_DOLASKU!$C$6:$C$95,ROBA_U_DOLASKU!$A$6:$A$95,A136,ROBA_U_DOLASKU!$H$6:$H$95,3)</f>
        <v>0</v>
      </c>
      <c r="O136" s="9" t="n">
        <f aca="false">SUMIFS(ROBA_U_DOLASKU!$B$6:$B$95,ROBA_U_DOLASKU!$A$6:$A$95,A136,ROBA_U_DOLASKU!$H$6:$H$95,3)</f>
        <v>0</v>
      </c>
      <c r="P136" s="9" t="n">
        <f aca="false">IF(H136&lt;=0,999,IF(O136&gt;0,ROUND((F136-H136*N136+K136+M136+O136)/H136,1),IF(M136&gt;0,ROUND((F136-H136*L136+K136+M136)/H136,1),IF(K136&gt;0,ROUND((F136-H136*J136+K136)/H136,1),I136))))</f>
        <v>6.4</v>
      </c>
      <c r="Q136" s="22" t="str">
        <f aca="false">IF(H136&lt;=0,"Nema prodaje",IF(AND(K136=0,M136=0,O136=0),IF(I136&lt;POSTAVKE!$B$6,"Naruči odmah","Sve u redu"),IF(F136-H136*J136&lt;0,"Rupa za ~"&amp;TEXT(I136,"0.0")&amp;" mj.",IF(AND(M136&gt;0,F136-H136*L136+K136&lt;0),"Rupa nakon 1. dolaska",IF(AND(O136&gt;0,F136-H136*N136+K136+M136&lt;0),"Rupa nakon 2. dolaska",IF(P136&lt;POSTAVKE!$B$6,"Količina nije dovoljna",IF(I136&gt;=POSTAVKE!$B$6,"Sve u redu","Stiže na vrijeme")))))))</f>
        <v>Sve u redu</v>
      </c>
      <c r="S136" s="23" t="n">
        <f aca="false">IFERROR(INDEX(PODACI_PRODAJA!B:B,MATCH($A136,PODACI_PRODAJA!$A:$A,0)),0)</f>
        <v>17</v>
      </c>
      <c r="T136" s="23" t="n">
        <f aca="false">IFERROR(INDEX(PODACI_PRODAJA!C:C,MATCH($A136,PODACI_PRODAJA!$A:$A,0)),0)</f>
        <v>1</v>
      </c>
      <c r="U136" s="23" t="n">
        <f aca="false">IFERROR(INDEX(PODACI_PRODAJA!D:D,MATCH($A136,PODACI_PRODAJA!$A:$A,0)),0)</f>
        <v>24</v>
      </c>
      <c r="V136" s="23" t="n">
        <f aca="false">IFERROR(INDEX(PODACI_PRODAJA!E:E,MATCH($A136,PODACI_PRODAJA!$A:$A,0)),0)</f>
        <v>20</v>
      </c>
      <c r="W136" s="23" t="n">
        <f aca="false">IFERROR(INDEX(PODACI_PRODAJA!F:F,MATCH($A136,PODACI_PRODAJA!$A:$A,0)),0)</f>
        <v>11</v>
      </c>
      <c r="X136" s="23" t="n">
        <f aca="false">IFERROR(INDEX(PODACI_PRODAJA!G:G,MATCH($A136,PODACI_PRODAJA!$A:$A,0)),0)</f>
        <v>3</v>
      </c>
      <c r="Y136" s="23" t="n">
        <f aca="false">IFERROR(INDEX(PODACI_PRODAJA!H:H,MATCH($A136,PODACI_PRODAJA!$A:$A,0)),0)</f>
        <v>0</v>
      </c>
      <c r="Z136" s="23" t="n">
        <f aca="false">IFERROR(INDEX(PODACI_PRODAJA!I:I,MATCH($A136,PODACI_PRODAJA!$A:$A,0)),0)</f>
        <v>0</v>
      </c>
      <c r="AA136" s="23" t="n">
        <f aca="false">IFERROR(INDEX(PODACI_PRODAJA!J:J,MATCH($A136,PODACI_PRODAJA!$A:$A,0)),0)</f>
        <v>4</v>
      </c>
      <c r="AB136" s="23" t="n">
        <f aca="false">IFERROR(INDEX(PODACI_PRODAJA!K:K,MATCH($A136,PODACI_PRODAJA!$A:$A,0)),0)</f>
        <v>0</v>
      </c>
      <c r="AC136" s="23" t="n">
        <f aca="false">IFERROR(INDEX(PODACI_PRODAJA!L:L,MATCH($A136,PODACI_PRODAJA!$A:$A,0)),0)</f>
        <v>0</v>
      </c>
      <c r="AD136" s="23" t="n">
        <f aca="false">IFERROR(INDEX(PODACI_PRODAJA!M:M,MATCH($A136,PODACI_PRODAJA!$A:$A,0)),0)</f>
        <v>0</v>
      </c>
    </row>
    <row r="137" customFormat="false" ht="15" hidden="false" customHeight="false" outlineLevel="0" collapsed="false">
      <c r="A137" s="11" t="str">
        <f aca="false">PODACI_ZALIHE!A134</f>
        <v>042121C</v>
      </c>
      <c r="B137" s="8" t="str">
        <f aca="false">PODACI_ZALIHE!B134</f>
        <v>SHINE C 6080 LED OGLEDALO SA SENZOROM POKRETA 80x60 cm</v>
      </c>
      <c r="C137" s="9" t="str">
        <f aca="false">PODACI_ZALIHE!C134</f>
        <v>6032</v>
      </c>
      <c r="D137" s="8" t="str">
        <f aca="false">PODACI_ZALIHE!D134</f>
        <v>HANGZHOU ZIHAN MIRROR INDUSTRY CO., LTD.</v>
      </c>
      <c r="E137" s="19" t="n">
        <f aca="false">IF(PODACI_ZALIHE!E134="","",PODACI_ZALIHE!E134)</f>
        <v>60</v>
      </c>
      <c r="F137" s="20" t="n">
        <f aca="false">PODACI_ZALIHE!F134</f>
        <v>60</v>
      </c>
      <c r="G137" s="19" t="n">
        <f aca="false">IF(E137="","",E137-F137)</f>
        <v>0</v>
      </c>
      <c r="H137" s="9" t="n">
        <f aca="false">PODACI_PRODAJA!N81</f>
        <v>9.5</v>
      </c>
      <c r="I137" s="21" t="n">
        <f aca="false">IF(H137&lt;=0,999,ROUND(F137/H137,1))</f>
        <v>6.3</v>
      </c>
      <c r="J137" s="9" t="n">
        <f aca="false">SUMIFS(ROBA_U_DOLASKU!$C$6:$C$95,ROBA_U_DOLASKU!$A$6:$A$95,A137,ROBA_U_DOLASKU!$H$6:$H$95,1)</f>
        <v>2.2</v>
      </c>
      <c r="K137" s="9" t="n">
        <f aca="false">SUMIFS(ROBA_U_DOLASKU!$B$6:$B$95,ROBA_U_DOLASKU!$A$6:$A$95,A137,ROBA_U_DOLASKU!$H$6:$H$95,1)</f>
        <v>30</v>
      </c>
      <c r="L137" s="9" t="n">
        <f aca="false">SUMIFS(ROBA_U_DOLASKU!$C$6:$C$95,ROBA_U_DOLASKU!$A$6:$A$95,A137,ROBA_U_DOLASKU!$H$6:$H$95,2)</f>
        <v>0</v>
      </c>
      <c r="M137" s="9" t="n">
        <f aca="false">SUMIFS(ROBA_U_DOLASKU!$B$6:$B$95,ROBA_U_DOLASKU!$A$6:$A$95,A137,ROBA_U_DOLASKU!$H$6:$H$95,2)</f>
        <v>0</v>
      </c>
      <c r="N137" s="9" t="n">
        <f aca="false">SUMIFS(ROBA_U_DOLASKU!$C$6:$C$95,ROBA_U_DOLASKU!$A$6:$A$95,A137,ROBA_U_DOLASKU!$H$6:$H$95,3)</f>
        <v>0</v>
      </c>
      <c r="O137" s="9" t="n">
        <f aca="false">SUMIFS(ROBA_U_DOLASKU!$B$6:$B$95,ROBA_U_DOLASKU!$A$6:$A$95,A137,ROBA_U_DOLASKU!$H$6:$H$95,3)</f>
        <v>0</v>
      </c>
      <c r="P137" s="9" t="n">
        <f aca="false">IF(H137&lt;=0,999,IF(O137&gt;0,ROUND((F137-H137*N137+K137+M137+O137)/H137,1),IF(M137&gt;0,ROUND((F137-H137*L137+K137+M137)/H137,1),IF(K137&gt;0,ROUND((F137-H137*J137+K137)/H137,1),I137))))</f>
        <v>7.3</v>
      </c>
      <c r="Q137" s="22" t="str">
        <f aca="false">IF(H137&lt;=0,"Nema prodaje",IF(AND(K137=0,M137=0,O137=0),IF(I137&lt;POSTAVKE!$B$6,"Naruči odmah","Sve u redu"),IF(F137-H137*J137&lt;0,"Rupa za ~"&amp;TEXT(I137,"0.0")&amp;" mj.",IF(AND(M137&gt;0,F137-H137*L137+K137&lt;0),"Rupa nakon 1. dolaska",IF(AND(O137&gt;0,F137-H137*N137+K137+M137&lt;0),"Rupa nakon 2. dolaska",IF(P137&lt;POSTAVKE!$B$6,"Količina nije dovoljna",IF(I137&gt;=POSTAVKE!$B$6,"Sve u redu","Stiže na vrijeme")))))))</f>
        <v>Sve u redu</v>
      </c>
      <c r="S137" s="23" t="n">
        <f aca="false">IFERROR(INDEX(PODACI_PRODAJA!B:B,MATCH($A137,PODACI_PRODAJA!$A:$A,0)),0)</f>
        <v>8</v>
      </c>
      <c r="T137" s="23" t="n">
        <f aca="false">IFERROR(INDEX(PODACI_PRODAJA!C:C,MATCH($A137,PODACI_PRODAJA!$A:$A,0)),0)</f>
        <v>0</v>
      </c>
      <c r="U137" s="23" t="n">
        <f aca="false">IFERROR(INDEX(PODACI_PRODAJA!D:D,MATCH($A137,PODACI_PRODAJA!$A:$A,0)),0)</f>
        <v>7</v>
      </c>
      <c r="V137" s="23" t="n">
        <f aca="false">IFERROR(INDEX(PODACI_PRODAJA!E:E,MATCH($A137,PODACI_PRODAJA!$A:$A,0)),0)</f>
        <v>40</v>
      </c>
      <c r="W137" s="23" t="n">
        <f aca="false">IFERROR(INDEX(PODACI_PRODAJA!F:F,MATCH($A137,PODACI_PRODAJA!$A:$A,0)),0)</f>
        <v>7</v>
      </c>
      <c r="X137" s="23" t="n">
        <f aca="false">IFERROR(INDEX(PODACI_PRODAJA!G:G,MATCH($A137,PODACI_PRODAJA!$A:$A,0)),0)</f>
        <v>0</v>
      </c>
      <c r="Y137" s="23" t="n">
        <f aca="false">IFERROR(INDEX(PODACI_PRODAJA!H:H,MATCH($A137,PODACI_PRODAJA!$A:$A,0)),0)</f>
        <v>12</v>
      </c>
      <c r="Z137" s="23" t="n">
        <f aca="false">IFERROR(INDEX(PODACI_PRODAJA!I:I,MATCH($A137,PODACI_PRODAJA!$A:$A,0)),0)</f>
        <v>2</v>
      </c>
      <c r="AA137" s="23" t="n">
        <f aca="false">IFERROR(INDEX(PODACI_PRODAJA!J:J,MATCH($A137,PODACI_PRODAJA!$A:$A,0)),0)</f>
        <v>0</v>
      </c>
      <c r="AB137" s="23" t="n">
        <f aca="false">IFERROR(INDEX(PODACI_PRODAJA!K:K,MATCH($A137,PODACI_PRODAJA!$A:$A,0)),0)</f>
        <v>0</v>
      </c>
      <c r="AC137" s="23" t="n">
        <f aca="false">IFERROR(INDEX(PODACI_PRODAJA!L:L,MATCH($A137,PODACI_PRODAJA!$A:$A,0)),0)</f>
        <v>0</v>
      </c>
      <c r="AD137" s="23" t="n">
        <f aca="false">IFERROR(INDEX(PODACI_PRODAJA!M:M,MATCH($A137,PODACI_PRODAJA!$A:$A,0)),0)</f>
        <v>0</v>
      </c>
    </row>
    <row r="138" customFormat="false" ht="15" hidden="false" customHeight="false" outlineLevel="0" collapsed="false">
      <c r="A138" s="11" t="str">
        <f aca="false">PODACI_ZALIHE!A135</f>
        <v>042250</v>
      </c>
      <c r="B138" s="8" t="str">
        <f aca="false">PODACI_ZALIHE!B135</f>
        <v>VITA OGLEDALO S LED RASVJETOM R70 cm</v>
      </c>
      <c r="C138" s="9" t="str">
        <f aca="false">PODACI_ZALIHE!C135</f>
        <v>5720</v>
      </c>
      <c r="D138" s="8" t="str">
        <f aca="false">PODACI_ZALIHE!D135</f>
        <v>ZHEJIANG SUMMERSIDE SANITARY WARE TECHNOLOGY CO., LTD</v>
      </c>
      <c r="E138" s="19" t="n">
        <f aca="false">IF(PODACI_ZALIHE!E135="","",PODACI_ZALIHE!E135)</f>
        <v>60</v>
      </c>
      <c r="F138" s="20" t="n">
        <f aca="false">PODACI_ZALIHE!F135</f>
        <v>60</v>
      </c>
      <c r="G138" s="19" t="n">
        <f aca="false">IF(E138="","",E138-F138)</f>
        <v>0</v>
      </c>
      <c r="H138" s="9" t="n">
        <f aca="false">PODACI_PRODAJA!N142</f>
        <v>13.5</v>
      </c>
      <c r="I138" s="21" t="n">
        <f aca="false">IF(H138&lt;=0,999,ROUND(F138/H138,1))</f>
        <v>4.4</v>
      </c>
      <c r="J138" s="9" t="n">
        <f aca="false">SUMIFS(ROBA_U_DOLASKU!$C$6:$C$95,ROBA_U_DOLASKU!$A$6:$A$95,A138,ROBA_U_DOLASKU!$H$6:$H$95,1)</f>
        <v>2.2</v>
      </c>
      <c r="K138" s="9" t="n">
        <f aca="false">SUMIFS(ROBA_U_DOLASKU!$B$6:$B$95,ROBA_U_DOLASKU!$A$6:$A$95,A138,ROBA_U_DOLASKU!$H$6:$H$95,1)</f>
        <v>30</v>
      </c>
      <c r="L138" s="9" t="n">
        <f aca="false">SUMIFS(ROBA_U_DOLASKU!$C$6:$C$95,ROBA_U_DOLASKU!$A$6:$A$95,A138,ROBA_U_DOLASKU!$H$6:$H$95,2)</f>
        <v>0</v>
      </c>
      <c r="M138" s="9" t="n">
        <f aca="false">SUMIFS(ROBA_U_DOLASKU!$B$6:$B$95,ROBA_U_DOLASKU!$A$6:$A$95,A138,ROBA_U_DOLASKU!$H$6:$H$95,2)</f>
        <v>0</v>
      </c>
      <c r="N138" s="9" t="n">
        <f aca="false">SUMIFS(ROBA_U_DOLASKU!$C$6:$C$95,ROBA_U_DOLASKU!$A$6:$A$95,A138,ROBA_U_DOLASKU!$H$6:$H$95,3)</f>
        <v>0</v>
      </c>
      <c r="O138" s="9" t="n">
        <f aca="false">SUMIFS(ROBA_U_DOLASKU!$B$6:$B$95,ROBA_U_DOLASKU!$A$6:$A$95,A138,ROBA_U_DOLASKU!$H$6:$H$95,3)</f>
        <v>0</v>
      </c>
      <c r="P138" s="9" t="n">
        <f aca="false">IF(H138&lt;=0,999,IF(O138&gt;0,ROUND((F138-H138*N138+K138+M138+O138)/H138,1),IF(M138&gt;0,ROUND((F138-H138*L138+K138+M138)/H138,1),IF(K138&gt;0,ROUND((F138-H138*J138+K138)/H138,1),I138))))</f>
        <v>4.5</v>
      </c>
      <c r="Q138" s="22" t="str">
        <f aca="false">IF(H138&lt;=0,"Nema prodaje",IF(AND(K138=0,M138=0,O138=0),IF(I138&lt;POSTAVKE!$B$6,"Naruči odmah","Sve u redu"),IF(F138-H138*J138&lt;0,"Rupa za ~"&amp;TEXT(I138,"0.0")&amp;" mj.",IF(AND(M138&gt;0,F138-H138*L138+K138&lt;0),"Rupa nakon 1. dolaska",IF(AND(O138&gt;0,F138-H138*N138+K138+M138&lt;0),"Rupa nakon 2. dolaska",IF(P138&lt;POSTAVKE!$B$6,"Količina nije dovoljna",IF(I138&gt;=POSTAVKE!$B$6,"Sve u redu","Stiže na vrijeme")))))))</f>
        <v>Količina nije dovoljna</v>
      </c>
      <c r="S138" s="23" t="n">
        <f aca="false">IFERROR(INDEX(PODACI_PRODAJA!B:B,MATCH($A138,PODACI_PRODAJA!$A:$A,0)),0)</f>
        <v>3</v>
      </c>
      <c r="T138" s="23" t="n">
        <f aca="false">IFERROR(INDEX(PODACI_PRODAJA!C:C,MATCH($A138,PODACI_PRODAJA!$A:$A,0)),0)</f>
        <v>13</v>
      </c>
      <c r="U138" s="23" t="n">
        <f aca="false">IFERROR(INDEX(PODACI_PRODAJA!D:D,MATCH($A138,PODACI_PRODAJA!$A:$A,0)),0)</f>
        <v>18</v>
      </c>
      <c r="V138" s="23" t="n">
        <f aca="false">IFERROR(INDEX(PODACI_PRODAJA!E:E,MATCH($A138,PODACI_PRODAJA!$A:$A,0)),0)</f>
        <v>10</v>
      </c>
      <c r="W138" s="23" t="n">
        <f aca="false">IFERROR(INDEX(PODACI_PRODAJA!F:F,MATCH($A138,PODACI_PRODAJA!$A:$A,0)),0)</f>
        <v>4</v>
      </c>
      <c r="X138" s="23" t="n">
        <f aca="false">IFERROR(INDEX(PODACI_PRODAJA!G:G,MATCH($A138,PODACI_PRODAJA!$A:$A,0)),0)</f>
        <v>18</v>
      </c>
      <c r="Y138" s="23" t="n">
        <f aca="false">IFERROR(INDEX(PODACI_PRODAJA!H:H,MATCH($A138,PODACI_PRODAJA!$A:$A,0)),0)</f>
        <v>41</v>
      </c>
      <c r="Z138" s="23" t="n">
        <f aca="false">IFERROR(INDEX(PODACI_PRODAJA!I:I,MATCH($A138,PODACI_PRODAJA!$A:$A,0)),0)</f>
        <v>1</v>
      </c>
      <c r="AA138" s="23" t="n">
        <f aca="false">IFERROR(INDEX(PODACI_PRODAJA!J:J,MATCH($A138,PODACI_PRODAJA!$A:$A,0)),0)</f>
        <v>0</v>
      </c>
      <c r="AB138" s="23" t="n">
        <f aca="false">IFERROR(INDEX(PODACI_PRODAJA!K:K,MATCH($A138,PODACI_PRODAJA!$A:$A,0)),0)</f>
        <v>0</v>
      </c>
      <c r="AC138" s="23" t="n">
        <f aca="false">IFERROR(INDEX(PODACI_PRODAJA!L:L,MATCH($A138,PODACI_PRODAJA!$A:$A,0)),0)</f>
        <v>0</v>
      </c>
      <c r="AD138" s="23" t="n">
        <f aca="false">IFERROR(INDEX(PODACI_PRODAJA!M:M,MATCH($A138,PODACI_PRODAJA!$A:$A,0)),0)</f>
        <v>0</v>
      </c>
    </row>
    <row r="139" customFormat="false" ht="15" hidden="false" customHeight="false" outlineLevel="0" collapsed="false">
      <c r="A139" s="11" t="str">
        <f aca="false">PODACI_ZALIHE!A136</f>
        <v>17235</v>
      </c>
      <c r="B139" s="8" t="str">
        <f aca="false">PODACI_ZALIHE!B136</f>
        <v>TK PARLA 90 CHROME KVADRATNA TUŠ KABINA 90X90X195 cm</v>
      </c>
      <c r="C139" s="9" t="str">
        <f aca="false">PODACI_ZALIHE!C136</f>
        <v>6762</v>
      </c>
      <c r="D139" s="8" t="str">
        <f aca="false">PODACI_ZALIHE!D136</f>
        <v>ZHEJIANG QUICKLINE SHOWERING CO., LTD.</v>
      </c>
      <c r="E139" s="19" t="n">
        <f aca="false">IF(PODACI_ZALIHE!E136="","",PODACI_ZALIHE!E136)</f>
        <v>60</v>
      </c>
      <c r="F139" s="20" t="n">
        <f aca="false">PODACI_ZALIHE!F136</f>
        <v>60</v>
      </c>
      <c r="G139" s="19" t="n">
        <f aca="false">IF(E139="","",E139-F139)</f>
        <v>0</v>
      </c>
      <c r="H139" s="9" t="n">
        <f aca="false">PODACI_PRODAJA!N135</f>
        <v>4</v>
      </c>
      <c r="I139" s="21" t="n">
        <f aca="false">IF(H139&lt;=0,999,ROUND(F139/H139,1))</f>
        <v>15</v>
      </c>
      <c r="J139" s="9" t="n">
        <f aca="false">SUMIFS(ROBA_U_DOLASKU!$C$6:$C$95,ROBA_U_DOLASKU!$A$6:$A$95,A139,ROBA_U_DOLASKU!$H$6:$H$95,1)</f>
        <v>0</v>
      </c>
      <c r="K139" s="9" t="n">
        <f aca="false">SUMIFS(ROBA_U_DOLASKU!$B$6:$B$95,ROBA_U_DOLASKU!$A$6:$A$95,A139,ROBA_U_DOLASKU!$H$6:$H$95,1)</f>
        <v>0</v>
      </c>
      <c r="L139" s="9" t="n">
        <f aca="false">SUMIFS(ROBA_U_DOLASKU!$C$6:$C$95,ROBA_U_DOLASKU!$A$6:$A$95,A139,ROBA_U_DOLASKU!$H$6:$H$95,2)</f>
        <v>0</v>
      </c>
      <c r="M139" s="9" t="n">
        <f aca="false">SUMIFS(ROBA_U_DOLASKU!$B$6:$B$95,ROBA_U_DOLASKU!$A$6:$A$95,A139,ROBA_U_DOLASKU!$H$6:$H$95,2)</f>
        <v>0</v>
      </c>
      <c r="N139" s="9" t="n">
        <f aca="false">SUMIFS(ROBA_U_DOLASKU!$C$6:$C$95,ROBA_U_DOLASKU!$A$6:$A$95,A139,ROBA_U_DOLASKU!$H$6:$H$95,3)</f>
        <v>0</v>
      </c>
      <c r="O139" s="9" t="n">
        <f aca="false">SUMIFS(ROBA_U_DOLASKU!$B$6:$B$95,ROBA_U_DOLASKU!$A$6:$A$95,A139,ROBA_U_DOLASKU!$H$6:$H$95,3)</f>
        <v>0</v>
      </c>
      <c r="P139" s="9" t="n">
        <f aca="false">IF(H139&lt;=0,999,IF(O139&gt;0,ROUND((F139-H139*N139+K139+M139+O139)/H139,1),IF(M139&gt;0,ROUND((F139-H139*L139+K139+M139)/H139,1),IF(K139&gt;0,ROUND((F139-H139*J139+K139)/H139,1),I139))))</f>
        <v>15</v>
      </c>
      <c r="Q139" s="22" t="str">
        <f aca="false">IF(H139&lt;=0,"Nema prodaje",IF(AND(K139=0,M139=0,O139=0),IF(I139&lt;POSTAVKE!$B$6,"Naruči odmah","Sve u redu"),IF(F139-H139*J139&lt;0,"Rupa za ~"&amp;TEXT(I139,"0.0")&amp;" mj.",IF(AND(M139&gt;0,F139-H139*L139+K139&lt;0),"Rupa nakon 1. dolaska",IF(AND(O139&gt;0,F139-H139*N139+K139+M139&lt;0),"Rupa nakon 2. dolaska",IF(P139&lt;POSTAVKE!$B$6,"Količina nije dovoljna",IF(I139&gt;=POSTAVKE!$B$6,"Sve u redu","Stiže na vrijeme")))))))</f>
        <v>Sve u redu</v>
      </c>
      <c r="S139" s="23" t="n">
        <f aca="false">IFERROR(INDEX(PODACI_PRODAJA!B:B,MATCH($A139,PODACI_PRODAJA!$A:$A,0)),0)</f>
        <v>4</v>
      </c>
      <c r="T139" s="23" t="n">
        <f aca="false">IFERROR(INDEX(PODACI_PRODAJA!C:C,MATCH($A139,PODACI_PRODAJA!$A:$A,0)),0)</f>
        <v>1</v>
      </c>
      <c r="U139" s="23" t="n">
        <f aca="false">IFERROR(INDEX(PODACI_PRODAJA!D:D,MATCH($A139,PODACI_PRODAJA!$A:$A,0)),0)</f>
        <v>6</v>
      </c>
      <c r="V139" s="23" t="n">
        <f aca="false">IFERROR(INDEX(PODACI_PRODAJA!E:E,MATCH($A139,PODACI_PRODAJA!$A:$A,0)),0)</f>
        <v>3</v>
      </c>
      <c r="W139" s="23" t="n">
        <f aca="false">IFERROR(INDEX(PODACI_PRODAJA!F:F,MATCH($A139,PODACI_PRODAJA!$A:$A,0)),0)</f>
        <v>0</v>
      </c>
      <c r="X139" s="23" t="n">
        <f aca="false">IFERROR(INDEX(PODACI_PRODAJA!G:G,MATCH($A139,PODACI_PRODAJA!$A:$A,0)),0)</f>
        <v>7</v>
      </c>
      <c r="Y139" s="23" t="n">
        <f aca="false">IFERROR(INDEX(PODACI_PRODAJA!H:H,MATCH($A139,PODACI_PRODAJA!$A:$A,0)),0)</f>
        <v>0</v>
      </c>
      <c r="Z139" s="23" t="n">
        <f aca="false">IFERROR(INDEX(PODACI_PRODAJA!I:I,MATCH($A139,PODACI_PRODAJA!$A:$A,0)),0)</f>
        <v>11</v>
      </c>
      <c r="AA139" s="23" t="n">
        <f aca="false">IFERROR(INDEX(PODACI_PRODAJA!J:J,MATCH($A139,PODACI_PRODAJA!$A:$A,0)),0)</f>
        <v>0</v>
      </c>
      <c r="AB139" s="23" t="n">
        <f aca="false">IFERROR(INDEX(PODACI_PRODAJA!K:K,MATCH($A139,PODACI_PRODAJA!$A:$A,0)),0)</f>
        <v>0</v>
      </c>
      <c r="AC139" s="23" t="n">
        <f aca="false">IFERROR(INDEX(PODACI_PRODAJA!L:L,MATCH($A139,PODACI_PRODAJA!$A:$A,0)),0)</f>
        <v>0</v>
      </c>
      <c r="AD139" s="23" t="n">
        <f aca="false">IFERROR(INDEX(PODACI_PRODAJA!M:M,MATCH($A139,PODACI_PRODAJA!$A:$A,0)),0)</f>
        <v>0</v>
      </c>
    </row>
    <row r="140" customFormat="false" ht="15" hidden="false" customHeight="false" outlineLevel="0" collapsed="false">
      <c r="A140" s="11" t="str">
        <f aca="false">PODACI_ZALIHE!A137</f>
        <v>18017</v>
      </c>
      <c r="B140" s="8" t="str">
        <f aca="false">PODACI_ZALIHE!B137</f>
        <v>VETRO BL TRS 6mm ECO TUŠ STIJENA 160x200</v>
      </c>
      <c r="C140" s="9" t="str">
        <f aca="false">PODACI_ZALIHE!C137</f>
        <v>6762</v>
      </c>
      <c r="D140" s="8" t="str">
        <f aca="false">PODACI_ZALIHE!D137</f>
        <v>ZHEJIANG QUICKLINE SHOWERING CO., LTD.</v>
      </c>
      <c r="E140" s="19" t="n">
        <f aca="false">IF(PODACI_ZALIHE!E137="","",PODACI_ZALIHE!E137)</f>
        <v>60</v>
      </c>
      <c r="F140" s="20" t="n">
        <f aca="false">PODACI_ZALIHE!F137</f>
        <v>60</v>
      </c>
      <c r="G140" s="19" t="n">
        <f aca="false">IF(E140="","",E140-F140)</f>
        <v>0</v>
      </c>
      <c r="H140" s="9" t="n">
        <f aca="false">PODACI_PRODAJA!N658</f>
        <v>0</v>
      </c>
      <c r="I140" s="21" t="n">
        <f aca="false">IF(H140&lt;=0,999,ROUND(F140/H140,1))</f>
        <v>999</v>
      </c>
      <c r="J140" s="9" t="n">
        <f aca="false">SUMIFS(ROBA_U_DOLASKU!$C$6:$C$95,ROBA_U_DOLASKU!$A$6:$A$95,A140,ROBA_U_DOLASKU!$H$6:$H$95,1)</f>
        <v>0</v>
      </c>
      <c r="K140" s="9" t="n">
        <f aca="false">SUMIFS(ROBA_U_DOLASKU!$B$6:$B$95,ROBA_U_DOLASKU!$A$6:$A$95,A140,ROBA_U_DOLASKU!$H$6:$H$95,1)</f>
        <v>0</v>
      </c>
      <c r="L140" s="9" t="n">
        <f aca="false">SUMIFS(ROBA_U_DOLASKU!$C$6:$C$95,ROBA_U_DOLASKU!$A$6:$A$95,A140,ROBA_U_DOLASKU!$H$6:$H$95,2)</f>
        <v>0</v>
      </c>
      <c r="M140" s="9" t="n">
        <f aca="false">SUMIFS(ROBA_U_DOLASKU!$B$6:$B$95,ROBA_U_DOLASKU!$A$6:$A$95,A140,ROBA_U_DOLASKU!$H$6:$H$95,2)</f>
        <v>0</v>
      </c>
      <c r="N140" s="9" t="n">
        <f aca="false">SUMIFS(ROBA_U_DOLASKU!$C$6:$C$95,ROBA_U_DOLASKU!$A$6:$A$95,A140,ROBA_U_DOLASKU!$H$6:$H$95,3)</f>
        <v>0</v>
      </c>
      <c r="O140" s="9" t="n">
        <f aca="false">SUMIFS(ROBA_U_DOLASKU!$B$6:$B$95,ROBA_U_DOLASKU!$A$6:$A$95,A140,ROBA_U_DOLASKU!$H$6:$H$95,3)</f>
        <v>0</v>
      </c>
      <c r="P140" s="9" t="n">
        <f aca="false">IF(H140&lt;=0,999,IF(O140&gt;0,ROUND((F140-H140*N140+K140+M140+O140)/H140,1),IF(M140&gt;0,ROUND((F140-H140*L140+K140+M140)/H140,1),IF(K140&gt;0,ROUND((F140-H140*J140+K140)/H140,1),I140))))</f>
        <v>999</v>
      </c>
      <c r="Q140" s="22" t="str">
        <f aca="false">IF(H140&lt;=0,"Nema prodaje",IF(AND(K140=0,M140=0,O140=0),IF(I140&lt;POSTAVKE!$B$6,"Naruči odmah","Sve u redu"),IF(F140-H140*J140&lt;0,"Rupa za ~"&amp;TEXT(I140,"0.0")&amp;" mj.",IF(AND(M140&gt;0,F140-H140*L140+K140&lt;0),"Rupa nakon 1. dolaska",IF(AND(O140&gt;0,F140-H140*N140+K140+M140&lt;0),"Rupa nakon 2. dolaska",IF(P140&lt;POSTAVKE!$B$6,"Količina nije dovoljna",IF(I140&gt;=POSTAVKE!$B$6,"Sve u redu","Stiže na vrijeme")))))))</f>
        <v>Nema prodaje</v>
      </c>
      <c r="S140" s="23" t="n">
        <f aca="false">IFERROR(INDEX(PODACI_PRODAJA!B:B,MATCH($A140,PODACI_PRODAJA!$A:$A,0)),0)</f>
        <v>0</v>
      </c>
      <c r="T140" s="23" t="n">
        <f aca="false">IFERROR(INDEX(PODACI_PRODAJA!C:C,MATCH($A140,PODACI_PRODAJA!$A:$A,0)),0)</f>
        <v>0</v>
      </c>
      <c r="U140" s="23" t="n">
        <f aca="false">IFERROR(INDEX(PODACI_PRODAJA!D:D,MATCH($A140,PODACI_PRODAJA!$A:$A,0)),0)</f>
        <v>0</v>
      </c>
      <c r="V140" s="23" t="n">
        <f aca="false">IFERROR(INDEX(PODACI_PRODAJA!E:E,MATCH($A140,PODACI_PRODAJA!$A:$A,0)),0)</f>
        <v>0</v>
      </c>
      <c r="W140" s="23" t="n">
        <f aca="false">IFERROR(INDEX(PODACI_PRODAJA!F:F,MATCH($A140,PODACI_PRODAJA!$A:$A,0)),0)</f>
        <v>0</v>
      </c>
      <c r="X140" s="23" t="n">
        <f aca="false">IFERROR(INDEX(PODACI_PRODAJA!G:G,MATCH($A140,PODACI_PRODAJA!$A:$A,0)),0)</f>
        <v>0</v>
      </c>
      <c r="Y140" s="23" t="n">
        <f aca="false">IFERROR(INDEX(PODACI_PRODAJA!H:H,MATCH($A140,PODACI_PRODAJA!$A:$A,0)),0)</f>
        <v>0</v>
      </c>
      <c r="Z140" s="23" t="n">
        <f aca="false">IFERROR(INDEX(PODACI_PRODAJA!I:I,MATCH($A140,PODACI_PRODAJA!$A:$A,0)),0)</f>
        <v>0</v>
      </c>
      <c r="AA140" s="23" t="n">
        <f aca="false">IFERROR(INDEX(PODACI_PRODAJA!J:J,MATCH($A140,PODACI_PRODAJA!$A:$A,0)),0)</f>
        <v>0</v>
      </c>
      <c r="AB140" s="23" t="n">
        <f aca="false">IFERROR(INDEX(PODACI_PRODAJA!K:K,MATCH($A140,PODACI_PRODAJA!$A:$A,0)),0)</f>
        <v>0</v>
      </c>
      <c r="AC140" s="23" t="n">
        <f aca="false">IFERROR(INDEX(PODACI_PRODAJA!L:L,MATCH($A140,PODACI_PRODAJA!$A:$A,0)),0)</f>
        <v>0</v>
      </c>
      <c r="AD140" s="23" t="n">
        <f aca="false">IFERROR(INDEX(PODACI_PRODAJA!M:M,MATCH($A140,PODACI_PRODAJA!$A:$A,0)),0)</f>
        <v>0</v>
      </c>
    </row>
    <row r="141" customFormat="false" ht="15" hidden="false" customHeight="false" outlineLevel="0" collapsed="false">
      <c r="A141" s="11" t="str">
        <f aca="false">PODACI_ZALIHE!A138</f>
        <v>042122C</v>
      </c>
      <c r="B141" s="8" t="str">
        <f aca="false">PODACI_ZALIHE!B138</f>
        <v>SHINE C 80100 LED OGLEDALO SA SENZOROM POKRETA 100x80 cm</v>
      </c>
      <c r="C141" s="9" t="str">
        <f aca="false">PODACI_ZALIHE!C138</f>
        <v>6032</v>
      </c>
      <c r="D141" s="8" t="str">
        <f aca="false">PODACI_ZALIHE!D138</f>
        <v>HANGZHOU ZIHAN MIRROR INDUSTRY CO., LTD.</v>
      </c>
      <c r="E141" s="19" t="n">
        <f aca="false">IF(PODACI_ZALIHE!E138="","",PODACI_ZALIHE!E138)</f>
        <v>62</v>
      </c>
      <c r="F141" s="20" t="n">
        <f aca="false">PODACI_ZALIHE!F138</f>
        <v>59</v>
      </c>
      <c r="G141" s="19" t="n">
        <f aca="false">IF(E141="","",E141-F141)</f>
        <v>3</v>
      </c>
      <c r="H141" s="9" t="n">
        <f aca="false">PODACI_PRODAJA!N56</f>
        <v>16.25</v>
      </c>
      <c r="I141" s="21" t="n">
        <f aca="false">IF(H141&lt;=0,999,ROUND(F141/H141,1))</f>
        <v>3.6</v>
      </c>
      <c r="J141" s="9" t="n">
        <f aca="false">SUMIFS(ROBA_U_DOLASKU!$C$6:$C$95,ROBA_U_DOLASKU!$A$6:$A$95,A141,ROBA_U_DOLASKU!$H$6:$H$95,1)</f>
        <v>2.2</v>
      </c>
      <c r="K141" s="9" t="n">
        <f aca="false">SUMIFS(ROBA_U_DOLASKU!$B$6:$B$95,ROBA_U_DOLASKU!$A$6:$A$95,A141,ROBA_U_DOLASKU!$H$6:$H$95,1)</f>
        <v>40</v>
      </c>
      <c r="L141" s="9" t="n">
        <f aca="false">SUMIFS(ROBA_U_DOLASKU!$C$6:$C$95,ROBA_U_DOLASKU!$A$6:$A$95,A141,ROBA_U_DOLASKU!$H$6:$H$95,2)</f>
        <v>0</v>
      </c>
      <c r="M141" s="9" t="n">
        <f aca="false">SUMIFS(ROBA_U_DOLASKU!$B$6:$B$95,ROBA_U_DOLASKU!$A$6:$A$95,A141,ROBA_U_DOLASKU!$H$6:$H$95,2)</f>
        <v>0</v>
      </c>
      <c r="N141" s="9" t="n">
        <f aca="false">SUMIFS(ROBA_U_DOLASKU!$C$6:$C$95,ROBA_U_DOLASKU!$A$6:$A$95,A141,ROBA_U_DOLASKU!$H$6:$H$95,3)</f>
        <v>0</v>
      </c>
      <c r="O141" s="9" t="n">
        <f aca="false">SUMIFS(ROBA_U_DOLASKU!$B$6:$B$95,ROBA_U_DOLASKU!$A$6:$A$95,A141,ROBA_U_DOLASKU!$H$6:$H$95,3)</f>
        <v>0</v>
      </c>
      <c r="P141" s="9" t="n">
        <f aca="false">IF(H141&lt;=0,999,IF(O141&gt;0,ROUND((F141-H141*N141+K141+M141+O141)/H141,1),IF(M141&gt;0,ROUND((F141-H141*L141+K141+M141)/H141,1),IF(K141&gt;0,ROUND((F141-H141*J141+K141)/H141,1),I141))))</f>
        <v>3.9</v>
      </c>
      <c r="Q141" s="22" t="str">
        <f aca="false">IF(H141&lt;=0,"Nema prodaje",IF(AND(K141=0,M141=0,O141=0),IF(I141&lt;POSTAVKE!$B$6,"Naruči odmah","Sve u redu"),IF(F141-H141*J141&lt;0,"Rupa za ~"&amp;TEXT(I141,"0.0")&amp;" mj.",IF(AND(M141&gt;0,F141-H141*L141+K141&lt;0),"Rupa nakon 1. dolaska",IF(AND(O141&gt;0,F141-H141*N141+K141+M141&lt;0),"Rupa nakon 2. dolaska",IF(P141&lt;POSTAVKE!$B$6,"Količina nije dovoljna",IF(I141&gt;=POSTAVKE!$B$6,"Sve u redu","Stiže na vrijeme")))))))</f>
        <v>Količina nije dovoljna</v>
      </c>
      <c r="S141" s="23" t="n">
        <f aca="false">IFERROR(INDEX(PODACI_PRODAJA!B:B,MATCH($A141,PODACI_PRODAJA!$A:$A,0)),0)</f>
        <v>15</v>
      </c>
      <c r="T141" s="23" t="n">
        <f aca="false">IFERROR(INDEX(PODACI_PRODAJA!C:C,MATCH($A141,PODACI_PRODAJA!$A:$A,0)),0)</f>
        <v>3</v>
      </c>
      <c r="U141" s="23" t="n">
        <f aca="false">IFERROR(INDEX(PODACI_PRODAJA!D:D,MATCH($A141,PODACI_PRODAJA!$A:$A,0)),0)</f>
        <v>61</v>
      </c>
      <c r="V141" s="23" t="n">
        <f aca="false">IFERROR(INDEX(PODACI_PRODAJA!E:E,MATCH($A141,PODACI_PRODAJA!$A:$A,0)),0)</f>
        <v>13</v>
      </c>
      <c r="W141" s="23" t="n">
        <f aca="false">IFERROR(INDEX(PODACI_PRODAJA!F:F,MATCH($A141,PODACI_PRODAJA!$A:$A,0)),0)</f>
        <v>9</v>
      </c>
      <c r="X141" s="23" t="n">
        <f aca="false">IFERROR(INDEX(PODACI_PRODAJA!G:G,MATCH($A141,PODACI_PRODAJA!$A:$A,0)),0)</f>
        <v>20</v>
      </c>
      <c r="Y141" s="23" t="n">
        <f aca="false">IFERROR(INDEX(PODACI_PRODAJA!H:H,MATCH($A141,PODACI_PRODAJA!$A:$A,0)),0)</f>
        <v>6</v>
      </c>
      <c r="Z141" s="23" t="n">
        <f aca="false">IFERROR(INDEX(PODACI_PRODAJA!I:I,MATCH($A141,PODACI_PRODAJA!$A:$A,0)),0)</f>
        <v>3</v>
      </c>
      <c r="AA141" s="23" t="n">
        <f aca="false">IFERROR(INDEX(PODACI_PRODAJA!J:J,MATCH($A141,PODACI_PRODAJA!$A:$A,0)),0)</f>
        <v>3</v>
      </c>
      <c r="AB141" s="23" t="n">
        <f aca="false">IFERROR(INDEX(PODACI_PRODAJA!K:K,MATCH($A141,PODACI_PRODAJA!$A:$A,0)),0)</f>
        <v>0</v>
      </c>
      <c r="AC141" s="23" t="n">
        <f aca="false">IFERROR(INDEX(PODACI_PRODAJA!L:L,MATCH($A141,PODACI_PRODAJA!$A:$A,0)),0)</f>
        <v>0</v>
      </c>
      <c r="AD141" s="23" t="n">
        <f aca="false">IFERROR(INDEX(PODACI_PRODAJA!M:M,MATCH($A141,PODACI_PRODAJA!$A:$A,0)),0)</f>
        <v>0</v>
      </c>
    </row>
    <row r="142" customFormat="false" ht="15" hidden="false" customHeight="false" outlineLevel="0" collapsed="false">
      <c r="A142" s="11" t="str">
        <f aca="false">PODACI_ZALIHE!A139</f>
        <v>15130</v>
      </c>
      <c r="B142" s="8" t="str">
        <f aca="false">PODACI_ZALIHE!B139</f>
        <v>TUŠ KANALICA WALL 70 700x62x130 mm</v>
      </c>
      <c r="C142" s="9" t="str">
        <f aca="false">PODACI_ZALIHE!C139</f>
        <v>5234</v>
      </c>
      <c r="D142" s="8" t="str">
        <f aca="false">PODACI_ZALIHE!D139</f>
        <v>NINGBO HAIZI SANITARY WARE CO., LTD</v>
      </c>
      <c r="E142" s="19" t="n">
        <f aca="false">IF(PODACI_ZALIHE!E139="","",PODACI_ZALIHE!E139)</f>
        <v>59</v>
      </c>
      <c r="F142" s="20" t="n">
        <f aca="false">PODACI_ZALIHE!F139</f>
        <v>59</v>
      </c>
      <c r="G142" s="19" t="n">
        <f aca="false">IF(E142="","",E142-F142)</f>
        <v>0</v>
      </c>
      <c r="H142" s="9" t="n">
        <v>0</v>
      </c>
      <c r="I142" s="21" t="n">
        <f aca="false">IF(H142&lt;=0,999,ROUND(F142/H142,1))</f>
        <v>999</v>
      </c>
      <c r="J142" s="9" t="n">
        <f aca="false">SUMIFS(ROBA_U_DOLASKU!$C$6:$C$95,ROBA_U_DOLASKU!$A$6:$A$95,A142,ROBA_U_DOLASKU!$H$6:$H$95,1)</f>
        <v>0</v>
      </c>
      <c r="K142" s="9" t="n">
        <f aca="false">SUMIFS(ROBA_U_DOLASKU!$B$6:$B$95,ROBA_U_DOLASKU!$A$6:$A$95,A142,ROBA_U_DOLASKU!$H$6:$H$95,1)</f>
        <v>0</v>
      </c>
      <c r="L142" s="9" t="n">
        <f aca="false">SUMIFS(ROBA_U_DOLASKU!$C$6:$C$95,ROBA_U_DOLASKU!$A$6:$A$95,A142,ROBA_U_DOLASKU!$H$6:$H$95,2)</f>
        <v>0</v>
      </c>
      <c r="M142" s="9" t="n">
        <f aca="false">SUMIFS(ROBA_U_DOLASKU!$B$6:$B$95,ROBA_U_DOLASKU!$A$6:$A$95,A142,ROBA_U_DOLASKU!$H$6:$H$95,2)</f>
        <v>0</v>
      </c>
      <c r="N142" s="9" t="n">
        <f aca="false">SUMIFS(ROBA_U_DOLASKU!$C$6:$C$95,ROBA_U_DOLASKU!$A$6:$A$95,A142,ROBA_U_DOLASKU!$H$6:$H$95,3)</f>
        <v>0</v>
      </c>
      <c r="O142" s="9" t="n">
        <f aca="false">SUMIFS(ROBA_U_DOLASKU!$B$6:$B$95,ROBA_U_DOLASKU!$A$6:$A$95,A142,ROBA_U_DOLASKU!$H$6:$H$95,3)</f>
        <v>0</v>
      </c>
      <c r="P142" s="9" t="n">
        <f aca="false">IF(H142&lt;=0,999,IF(O142&gt;0,ROUND((F142-H142*N142+K142+M142+O142)/H142,1),IF(M142&gt;0,ROUND((F142-H142*L142+K142+M142)/H142,1),IF(K142&gt;0,ROUND((F142-H142*J142+K142)/H142,1),I142))))</f>
        <v>999</v>
      </c>
      <c r="Q142" s="22" t="str">
        <f aca="false">IF(H142&lt;=0,"Nema prodaje",IF(AND(K142=0,M142=0,O142=0),IF(I142&lt;POSTAVKE!$B$6,"Naruči odmah","Sve u redu"),IF(F142-H142*J142&lt;0,"Rupa za ~"&amp;TEXT(I142,"0.0")&amp;" mj.",IF(AND(M142&gt;0,F142-H142*L142+K142&lt;0),"Rupa nakon 1. dolaska",IF(AND(O142&gt;0,F142-H142*N142+K142+M142&lt;0),"Rupa nakon 2. dolaska",IF(P142&lt;POSTAVKE!$B$6,"Količina nije dovoljna",IF(I142&gt;=POSTAVKE!$B$6,"Sve u redu","Stiže na vrijeme")))))))</f>
        <v>Nema prodaje</v>
      </c>
      <c r="S142" s="23" t="n">
        <f aca="false">IFERROR(INDEX(PODACI_PRODAJA!B:B,MATCH($A142,PODACI_PRODAJA!$A:$A,0)),0)</f>
        <v>0</v>
      </c>
      <c r="T142" s="23" t="n">
        <f aca="false">IFERROR(INDEX(PODACI_PRODAJA!C:C,MATCH($A142,PODACI_PRODAJA!$A:$A,0)),0)</f>
        <v>0</v>
      </c>
      <c r="U142" s="23" t="n">
        <f aca="false">IFERROR(INDEX(PODACI_PRODAJA!D:D,MATCH($A142,PODACI_PRODAJA!$A:$A,0)),0)</f>
        <v>0</v>
      </c>
      <c r="V142" s="23" t="n">
        <f aca="false">IFERROR(INDEX(PODACI_PRODAJA!E:E,MATCH($A142,PODACI_PRODAJA!$A:$A,0)),0)</f>
        <v>0</v>
      </c>
      <c r="W142" s="23" t="n">
        <f aca="false">IFERROR(INDEX(PODACI_PRODAJA!F:F,MATCH($A142,PODACI_PRODAJA!$A:$A,0)),0)</f>
        <v>0</v>
      </c>
      <c r="X142" s="23" t="n">
        <f aca="false">IFERROR(INDEX(PODACI_PRODAJA!G:G,MATCH($A142,PODACI_PRODAJA!$A:$A,0)),0)</f>
        <v>0</v>
      </c>
      <c r="Y142" s="23" t="n">
        <f aca="false">IFERROR(INDEX(PODACI_PRODAJA!H:H,MATCH($A142,PODACI_PRODAJA!$A:$A,0)),0)</f>
        <v>0</v>
      </c>
      <c r="Z142" s="23" t="n">
        <f aca="false">IFERROR(INDEX(PODACI_PRODAJA!I:I,MATCH($A142,PODACI_PRODAJA!$A:$A,0)),0)</f>
        <v>0</v>
      </c>
      <c r="AA142" s="23" t="n">
        <f aca="false">IFERROR(INDEX(PODACI_PRODAJA!J:J,MATCH($A142,PODACI_PRODAJA!$A:$A,0)),0)</f>
        <v>0</v>
      </c>
      <c r="AB142" s="23" t="n">
        <f aca="false">IFERROR(INDEX(PODACI_PRODAJA!K:K,MATCH($A142,PODACI_PRODAJA!$A:$A,0)),0)</f>
        <v>0</v>
      </c>
      <c r="AC142" s="23" t="n">
        <f aca="false">IFERROR(INDEX(PODACI_PRODAJA!L:L,MATCH($A142,PODACI_PRODAJA!$A:$A,0)),0)</f>
        <v>0</v>
      </c>
      <c r="AD142" s="23" t="n">
        <f aca="false">IFERROR(INDEX(PODACI_PRODAJA!M:M,MATCH($A142,PODACI_PRODAJA!$A:$A,0)),0)</f>
        <v>0</v>
      </c>
    </row>
    <row r="143" customFormat="false" ht="15" hidden="false" customHeight="false" outlineLevel="0" collapsed="false">
      <c r="A143" s="11" t="str">
        <f aca="false">PODACI_ZALIHE!A140</f>
        <v>16162</v>
      </c>
      <c r="B143" s="8" t="str">
        <f aca="false">PODACI_ZALIHE!B140</f>
        <v>TK GRACE 80 KVADRATNA TUŠ KABINA 80X80X190cm</v>
      </c>
      <c r="C143" s="9" t="str">
        <f aca="false">PODACI_ZALIHE!C140</f>
        <v>4328</v>
      </c>
      <c r="D143" s="8" t="str">
        <f aca="false">PODACI_ZALIHE!D140</f>
        <v>HANGZHOU DUHUI IMPORT AND EXPORT CO.,LTD</v>
      </c>
      <c r="E143" s="19" t="n">
        <f aca="false">IF(PODACI_ZALIHE!E140="","",PODACI_ZALIHE!E140)</f>
        <v>58</v>
      </c>
      <c r="F143" s="20" t="n">
        <f aca="false">PODACI_ZALIHE!F140</f>
        <v>58</v>
      </c>
      <c r="G143" s="19" t="n">
        <f aca="false">IF(E143="","",E143-F143)</f>
        <v>0</v>
      </c>
      <c r="H143" s="9" t="n">
        <f aca="false">PODACI_PRODAJA!N571</f>
        <v>2.13</v>
      </c>
      <c r="I143" s="21" t="n">
        <f aca="false">IF(H143&lt;=0,999,ROUND(F143/H143,1))</f>
        <v>27.2</v>
      </c>
      <c r="J143" s="9" t="n">
        <f aca="false">SUMIFS(ROBA_U_DOLASKU!$C$6:$C$95,ROBA_U_DOLASKU!$A$6:$A$95,A143,ROBA_U_DOLASKU!$H$6:$H$95,1)</f>
        <v>0</v>
      </c>
      <c r="K143" s="9" t="n">
        <f aca="false">SUMIFS(ROBA_U_DOLASKU!$B$6:$B$95,ROBA_U_DOLASKU!$A$6:$A$95,A143,ROBA_U_DOLASKU!$H$6:$H$95,1)</f>
        <v>0</v>
      </c>
      <c r="L143" s="9" t="n">
        <f aca="false">SUMIFS(ROBA_U_DOLASKU!$C$6:$C$95,ROBA_U_DOLASKU!$A$6:$A$95,A143,ROBA_U_DOLASKU!$H$6:$H$95,2)</f>
        <v>0</v>
      </c>
      <c r="M143" s="9" t="n">
        <f aca="false">SUMIFS(ROBA_U_DOLASKU!$B$6:$B$95,ROBA_U_DOLASKU!$A$6:$A$95,A143,ROBA_U_DOLASKU!$H$6:$H$95,2)</f>
        <v>0</v>
      </c>
      <c r="N143" s="9" t="n">
        <f aca="false">SUMIFS(ROBA_U_DOLASKU!$C$6:$C$95,ROBA_U_DOLASKU!$A$6:$A$95,A143,ROBA_U_DOLASKU!$H$6:$H$95,3)</f>
        <v>0</v>
      </c>
      <c r="O143" s="9" t="n">
        <f aca="false">SUMIFS(ROBA_U_DOLASKU!$B$6:$B$95,ROBA_U_DOLASKU!$A$6:$A$95,A143,ROBA_U_DOLASKU!$H$6:$H$95,3)</f>
        <v>0</v>
      </c>
      <c r="P143" s="9" t="n">
        <f aca="false">IF(H143&lt;=0,999,IF(O143&gt;0,ROUND((F143-H143*N143+K143+M143+O143)/H143,1),IF(M143&gt;0,ROUND((F143-H143*L143+K143+M143)/H143,1),IF(K143&gt;0,ROUND((F143-H143*J143+K143)/H143,1),I143))))</f>
        <v>27.2</v>
      </c>
      <c r="Q143" s="22" t="str">
        <f aca="false">IF(H143&lt;=0,"Nema prodaje",IF(AND(K143=0,M143=0,O143=0),IF(I143&lt;POSTAVKE!$B$6,"Naruči odmah","Sve u redu"),IF(F143-H143*J143&lt;0,"Rupa za ~"&amp;TEXT(I143,"0.0")&amp;" mj.",IF(AND(M143&gt;0,F143-H143*L143+K143&lt;0),"Rupa nakon 1. dolaska",IF(AND(O143&gt;0,F143-H143*N143+K143+M143&lt;0),"Rupa nakon 2. dolaska",IF(P143&lt;POSTAVKE!$B$6,"Količina nije dovoljna",IF(I143&gt;=POSTAVKE!$B$6,"Sve u redu","Stiže na vrijeme")))))))</f>
        <v>Sve u redu</v>
      </c>
      <c r="S143" s="23" t="n">
        <f aca="false">IFERROR(INDEX(PODACI_PRODAJA!B:B,MATCH($A143,PODACI_PRODAJA!$A:$A,0)),0)</f>
        <v>0</v>
      </c>
      <c r="T143" s="23" t="n">
        <f aca="false">IFERROR(INDEX(PODACI_PRODAJA!C:C,MATCH($A143,PODACI_PRODAJA!$A:$A,0)),0)</f>
        <v>3</v>
      </c>
      <c r="U143" s="23" t="n">
        <f aca="false">IFERROR(INDEX(PODACI_PRODAJA!D:D,MATCH($A143,PODACI_PRODAJA!$A:$A,0)),0)</f>
        <v>4</v>
      </c>
      <c r="V143" s="23" t="n">
        <f aca="false">IFERROR(INDEX(PODACI_PRODAJA!E:E,MATCH($A143,PODACI_PRODAJA!$A:$A,0)),0)</f>
        <v>1</v>
      </c>
      <c r="W143" s="23" t="n">
        <f aca="false">IFERROR(INDEX(PODACI_PRODAJA!F:F,MATCH($A143,PODACI_PRODAJA!$A:$A,0)),0)</f>
        <v>0</v>
      </c>
      <c r="X143" s="23" t="n">
        <f aca="false">IFERROR(INDEX(PODACI_PRODAJA!G:G,MATCH($A143,PODACI_PRODAJA!$A:$A,0)),0)</f>
        <v>4</v>
      </c>
      <c r="Y143" s="23" t="n">
        <f aca="false">IFERROR(INDEX(PODACI_PRODAJA!H:H,MATCH($A143,PODACI_PRODAJA!$A:$A,0)),0)</f>
        <v>5</v>
      </c>
      <c r="Z143" s="23" t="n">
        <f aca="false">IFERROR(INDEX(PODACI_PRODAJA!I:I,MATCH($A143,PODACI_PRODAJA!$A:$A,0)),0)</f>
        <v>0</v>
      </c>
      <c r="AA143" s="23" t="n">
        <f aca="false">IFERROR(INDEX(PODACI_PRODAJA!J:J,MATCH($A143,PODACI_PRODAJA!$A:$A,0)),0)</f>
        <v>0</v>
      </c>
      <c r="AB143" s="23" t="n">
        <f aca="false">IFERROR(INDEX(PODACI_PRODAJA!K:K,MATCH($A143,PODACI_PRODAJA!$A:$A,0)),0)</f>
        <v>0</v>
      </c>
      <c r="AC143" s="23" t="n">
        <f aca="false">IFERROR(INDEX(PODACI_PRODAJA!L:L,MATCH($A143,PODACI_PRODAJA!$A:$A,0)),0)</f>
        <v>0</v>
      </c>
      <c r="AD143" s="23" t="n">
        <f aca="false">IFERROR(INDEX(PODACI_PRODAJA!M:M,MATCH($A143,PODACI_PRODAJA!$A:$A,0)),0)</f>
        <v>0</v>
      </c>
    </row>
    <row r="144" customFormat="false" ht="15" hidden="false" customHeight="false" outlineLevel="0" collapsed="false">
      <c r="A144" s="11" t="str">
        <f aca="false">PODACI_ZALIHE!A141</f>
        <v>16990</v>
      </c>
      <c r="B144" s="8" t="str">
        <f aca="false">PODACI_ZALIHE!B141</f>
        <v>TK SEVILLA 80 POLUKRUŽNA TUŠ KABINA 80x80x190 cm</v>
      </c>
      <c r="C144" s="9" t="str">
        <f aca="false">PODACI_ZALIHE!C141</f>
        <v>5590</v>
      </c>
      <c r="D144" s="8" t="str">
        <f aca="false">PODACI_ZALIHE!D141</f>
        <v>PINGHU YINUO SANITARY WARE CO.,LTD</v>
      </c>
      <c r="E144" s="19" t="n">
        <f aca="false">IF(PODACI_ZALIHE!E141="","",PODACI_ZALIHE!E141)</f>
        <v>58</v>
      </c>
      <c r="F144" s="20" t="n">
        <f aca="false">PODACI_ZALIHE!F141</f>
        <v>58</v>
      </c>
      <c r="G144" s="19" t="n">
        <f aca="false">IF(E144="","",E144-F144)</f>
        <v>0</v>
      </c>
      <c r="H144" s="9" t="n">
        <f aca="false">PODACI_PRODAJA!N77</f>
        <v>3.63</v>
      </c>
      <c r="I144" s="21" t="n">
        <f aca="false">IF(H144&lt;=0,999,ROUND(F144/H144,1))</f>
        <v>16</v>
      </c>
      <c r="J144" s="9" t="n">
        <f aca="false">SUMIFS(ROBA_U_DOLASKU!$C$6:$C$95,ROBA_U_DOLASKU!$A$6:$A$95,A144,ROBA_U_DOLASKU!$H$6:$H$95,1)</f>
        <v>0</v>
      </c>
      <c r="K144" s="9" t="n">
        <f aca="false">SUMIFS(ROBA_U_DOLASKU!$B$6:$B$95,ROBA_U_DOLASKU!$A$6:$A$95,A144,ROBA_U_DOLASKU!$H$6:$H$95,1)</f>
        <v>0</v>
      </c>
      <c r="L144" s="9" t="n">
        <f aca="false">SUMIFS(ROBA_U_DOLASKU!$C$6:$C$95,ROBA_U_DOLASKU!$A$6:$A$95,A144,ROBA_U_DOLASKU!$H$6:$H$95,2)</f>
        <v>0</v>
      </c>
      <c r="M144" s="9" t="n">
        <f aca="false">SUMIFS(ROBA_U_DOLASKU!$B$6:$B$95,ROBA_U_DOLASKU!$A$6:$A$95,A144,ROBA_U_DOLASKU!$H$6:$H$95,2)</f>
        <v>0</v>
      </c>
      <c r="N144" s="9" t="n">
        <f aca="false">SUMIFS(ROBA_U_DOLASKU!$C$6:$C$95,ROBA_U_DOLASKU!$A$6:$A$95,A144,ROBA_U_DOLASKU!$H$6:$H$95,3)</f>
        <v>0</v>
      </c>
      <c r="O144" s="9" t="n">
        <f aca="false">SUMIFS(ROBA_U_DOLASKU!$B$6:$B$95,ROBA_U_DOLASKU!$A$6:$A$95,A144,ROBA_U_DOLASKU!$H$6:$H$95,3)</f>
        <v>0</v>
      </c>
      <c r="P144" s="9" t="n">
        <f aca="false">IF(H144&lt;=0,999,IF(O144&gt;0,ROUND((F144-H144*N144+K144+M144+O144)/H144,1),IF(M144&gt;0,ROUND((F144-H144*L144+K144+M144)/H144,1),IF(K144&gt;0,ROUND((F144-H144*J144+K144)/H144,1),I144))))</f>
        <v>16</v>
      </c>
      <c r="Q144" s="22" t="str">
        <f aca="false">IF(H144&lt;=0,"Nema prodaje",IF(AND(K144=0,M144=0,O144=0),IF(I144&lt;POSTAVKE!$B$6,"Naruči odmah","Sve u redu"),IF(F144-H144*J144&lt;0,"Rupa za ~"&amp;TEXT(I144,"0.0")&amp;" mj.",IF(AND(M144&gt;0,F144-H144*L144+K144&lt;0),"Rupa nakon 1. dolaska",IF(AND(O144&gt;0,F144-H144*N144+K144+M144&lt;0),"Rupa nakon 2. dolaska",IF(P144&lt;POSTAVKE!$B$6,"Količina nije dovoljna",IF(I144&gt;=POSTAVKE!$B$6,"Sve u redu","Stiže na vrijeme")))))))</f>
        <v>Sve u redu</v>
      </c>
      <c r="S144" s="23" t="n">
        <f aca="false">IFERROR(INDEX(PODACI_PRODAJA!B:B,MATCH($A144,PODACI_PRODAJA!$A:$A,0)),0)</f>
        <v>9</v>
      </c>
      <c r="T144" s="23" t="n">
        <f aca="false">IFERROR(INDEX(PODACI_PRODAJA!C:C,MATCH($A144,PODACI_PRODAJA!$A:$A,0)),0)</f>
        <v>7</v>
      </c>
      <c r="U144" s="23" t="n">
        <f aca="false">IFERROR(INDEX(PODACI_PRODAJA!D:D,MATCH($A144,PODACI_PRODAJA!$A:$A,0)),0)</f>
        <v>5</v>
      </c>
      <c r="V144" s="23" t="n">
        <f aca="false">IFERROR(INDEX(PODACI_PRODAJA!E:E,MATCH($A144,PODACI_PRODAJA!$A:$A,0)),0)</f>
        <v>6</v>
      </c>
      <c r="W144" s="23" t="n">
        <f aca="false">IFERROR(INDEX(PODACI_PRODAJA!F:F,MATCH($A144,PODACI_PRODAJA!$A:$A,0)),0)</f>
        <v>2</v>
      </c>
      <c r="X144" s="23" t="n">
        <f aca="false">IFERROR(INDEX(PODACI_PRODAJA!G:G,MATCH($A144,PODACI_PRODAJA!$A:$A,0)),0)</f>
        <v>0</v>
      </c>
      <c r="Y144" s="23" t="n">
        <f aca="false">IFERROR(INDEX(PODACI_PRODAJA!H:H,MATCH($A144,PODACI_PRODAJA!$A:$A,0)),0)</f>
        <v>0</v>
      </c>
      <c r="Z144" s="23" t="n">
        <f aca="false">IFERROR(INDEX(PODACI_PRODAJA!I:I,MATCH($A144,PODACI_PRODAJA!$A:$A,0)),0)</f>
        <v>0</v>
      </c>
      <c r="AA144" s="23" t="n">
        <f aca="false">IFERROR(INDEX(PODACI_PRODAJA!J:J,MATCH($A144,PODACI_PRODAJA!$A:$A,0)),0)</f>
        <v>0</v>
      </c>
      <c r="AB144" s="23" t="n">
        <f aca="false">IFERROR(INDEX(PODACI_PRODAJA!K:K,MATCH($A144,PODACI_PRODAJA!$A:$A,0)),0)</f>
        <v>0</v>
      </c>
      <c r="AC144" s="23" t="n">
        <f aca="false">IFERROR(INDEX(PODACI_PRODAJA!L:L,MATCH($A144,PODACI_PRODAJA!$A:$A,0)),0)</f>
        <v>0</v>
      </c>
      <c r="AD144" s="23" t="n">
        <f aca="false">IFERROR(INDEX(PODACI_PRODAJA!M:M,MATCH($A144,PODACI_PRODAJA!$A:$A,0)),0)</f>
        <v>0</v>
      </c>
    </row>
    <row r="145" customFormat="false" ht="15" hidden="false" customHeight="false" outlineLevel="0" collapsed="false">
      <c r="A145" s="11" t="str">
        <f aca="false">PODACI_ZALIHE!A142</f>
        <v>002458</v>
      </c>
      <c r="B145" s="8" t="str">
        <f aca="false">PODACI_ZALIHE!B142</f>
        <v>TK LUGO 90 POLUKRUŽNA KABINA 90x90x185 cm</v>
      </c>
      <c r="C145" s="9" t="str">
        <f aca="false">PODACI_ZALIHE!C142</f>
        <v>4328</v>
      </c>
      <c r="D145" s="8" t="str">
        <f aca="false">PODACI_ZALIHE!D142</f>
        <v>HANGZHOU DUHUI IMPORT AND EXPORT CO.,LTD</v>
      </c>
      <c r="E145" s="19" t="n">
        <f aca="false">IF(PODACI_ZALIHE!E142="","",PODACI_ZALIHE!E142)</f>
        <v>61</v>
      </c>
      <c r="F145" s="20" t="n">
        <f aca="false">PODACI_ZALIHE!F142</f>
        <v>57</v>
      </c>
      <c r="G145" s="19" t="n">
        <f aca="false">IF(E145="","",E145-F145)</f>
        <v>4</v>
      </c>
      <c r="H145" s="9" t="n">
        <f aca="false">PODACI_PRODAJA!N222</f>
        <v>1.38</v>
      </c>
      <c r="I145" s="21" t="n">
        <f aca="false">IF(H145&lt;=0,999,ROUND(F145/H145,1))</f>
        <v>41.3</v>
      </c>
      <c r="J145" s="9" t="n">
        <f aca="false">SUMIFS(ROBA_U_DOLASKU!$C$6:$C$95,ROBA_U_DOLASKU!$A$6:$A$95,A145,ROBA_U_DOLASKU!$H$6:$H$95,1)</f>
        <v>0</v>
      </c>
      <c r="K145" s="9" t="n">
        <f aca="false">SUMIFS(ROBA_U_DOLASKU!$B$6:$B$95,ROBA_U_DOLASKU!$A$6:$A$95,A145,ROBA_U_DOLASKU!$H$6:$H$95,1)</f>
        <v>0</v>
      </c>
      <c r="L145" s="9" t="n">
        <f aca="false">SUMIFS(ROBA_U_DOLASKU!$C$6:$C$95,ROBA_U_DOLASKU!$A$6:$A$95,A145,ROBA_U_DOLASKU!$H$6:$H$95,2)</f>
        <v>0</v>
      </c>
      <c r="M145" s="9" t="n">
        <f aca="false">SUMIFS(ROBA_U_DOLASKU!$B$6:$B$95,ROBA_U_DOLASKU!$A$6:$A$95,A145,ROBA_U_DOLASKU!$H$6:$H$95,2)</f>
        <v>0</v>
      </c>
      <c r="N145" s="9" t="n">
        <f aca="false">SUMIFS(ROBA_U_DOLASKU!$C$6:$C$95,ROBA_U_DOLASKU!$A$6:$A$95,A145,ROBA_U_DOLASKU!$H$6:$H$95,3)</f>
        <v>0</v>
      </c>
      <c r="O145" s="9" t="n">
        <f aca="false">SUMIFS(ROBA_U_DOLASKU!$B$6:$B$95,ROBA_U_DOLASKU!$A$6:$A$95,A145,ROBA_U_DOLASKU!$H$6:$H$95,3)</f>
        <v>0</v>
      </c>
      <c r="P145" s="9" t="n">
        <f aca="false">IF(H145&lt;=0,999,IF(O145&gt;0,ROUND((F145-H145*N145+K145+M145+O145)/H145,1),IF(M145&gt;0,ROUND((F145-H145*L145+K145+M145)/H145,1),IF(K145&gt;0,ROUND((F145-H145*J145+K145)/H145,1),I145))))</f>
        <v>41.3</v>
      </c>
      <c r="Q145" s="22" t="str">
        <f aca="false">IF(H145&lt;=0,"Nema prodaje",IF(AND(K145=0,M145=0,O145=0),IF(I145&lt;POSTAVKE!$B$6,"Naruči odmah","Sve u redu"),IF(F145-H145*J145&lt;0,"Rupa za ~"&amp;TEXT(I145,"0.0")&amp;" mj.",IF(AND(M145&gt;0,F145-H145*L145+K145&lt;0),"Rupa nakon 1. dolaska",IF(AND(O145&gt;0,F145-H145*N145+K145+M145&lt;0),"Rupa nakon 2. dolaska",IF(P145&lt;POSTAVKE!$B$6,"Količina nije dovoljna",IF(I145&gt;=POSTAVKE!$B$6,"Sve u redu","Stiže na vrijeme")))))))</f>
        <v>Sve u redu</v>
      </c>
      <c r="S145" s="23" t="n">
        <f aca="false">IFERROR(INDEX(PODACI_PRODAJA!B:B,MATCH($A145,PODACI_PRODAJA!$A:$A,0)),0)</f>
        <v>1</v>
      </c>
      <c r="T145" s="23" t="n">
        <f aca="false">IFERROR(INDEX(PODACI_PRODAJA!C:C,MATCH($A145,PODACI_PRODAJA!$A:$A,0)),0)</f>
        <v>1</v>
      </c>
      <c r="U145" s="23" t="n">
        <f aca="false">IFERROR(INDEX(PODACI_PRODAJA!D:D,MATCH($A145,PODACI_PRODAJA!$A:$A,0)),0)</f>
        <v>2</v>
      </c>
      <c r="V145" s="23" t="n">
        <f aca="false">IFERROR(INDEX(PODACI_PRODAJA!E:E,MATCH($A145,PODACI_PRODAJA!$A:$A,0)),0)</f>
        <v>1</v>
      </c>
      <c r="W145" s="23" t="n">
        <f aca="false">IFERROR(INDEX(PODACI_PRODAJA!F:F,MATCH($A145,PODACI_PRODAJA!$A:$A,0)),0)</f>
        <v>0</v>
      </c>
      <c r="X145" s="23" t="n">
        <f aca="false">IFERROR(INDEX(PODACI_PRODAJA!G:G,MATCH($A145,PODACI_PRODAJA!$A:$A,0)),0)</f>
        <v>4</v>
      </c>
      <c r="Y145" s="23" t="n">
        <f aca="false">IFERROR(INDEX(PODACI_PRODAJA!H:H,MATCH($A145,PODACI_PRODAJA!$A:$A,0)),0)</f>
        <v>1</v>
      </c>
      <c r="Z145" s="23" t="n">
        <f aca="false">IFERROR(INDEX(PODACI_PRODAJA!I:I,MATCH($A145,PODACI_PRODAJA!$A:$A,0)),0)</f>
        <v>1</v>
      </c>
      <c r="AA145" s="23" t="n">
        <f aca="false">IFERROR(INDEX(PODACI_PRODAJA!J:J,MATCH($A145,PODACI_PRODAJA!$A:$A,0)),0)</f>
        <v>0</v>
      </c>
      <c r="AB145" s="23" t="n">
        <f aca="false">IFERROR(INDEX(PODACI_PRODAJA!K:K,MATCH($A145,PODACI_PRODAJA!$A:$A,0)),0)</f>
        <v>0</v>
      </c>
      <c r="AC145" s="23" t="n">
        <f aca="false">IFERROR(INDEX(PODACI_PRODAJA!L:L,MATCH($A145,PODACI_PRODAJA!$A:$A,0)),0)</f>
        <v>0</v>
      </c>
      <c r="AD145" s="23" t="n">
        <f aca="false">IFERROR(INDEX(PODACI_PRODAJA!M:M,MATCH($A145,PODACI_PRODAJA!$A:$A,0)),0)</f>
        <v>0</v>
      </c>
    </row>
    <row r="146" customFormat="false" ht="15" hidden="false" customHeight="false" outlineLevel="0" collapsed="false">
      <c r="A146" s="11" t="str">
        <f aca="false">PODACI_ZALIHE!A143</f>
        <v>042300</v>
      </c>
      <c r="B146" s="8" t="str">
        <f aca="false">PODACI_ZALIHE!B143</f>
        <v>VETRO TRS 100 TUŠ STIJENA 100x200 cm</v>
      </c>
      <c r="C146" s="9" t="str">
        <f aca="false">PODACI_ZALIHE!C143</f>
        <v>6762</v>
      </c>
      <c r="D146" s="8" t="str">
        <f aca="false">PODACI_ZALIHE!D143</f>
        <v>ZHEJIANG QUICKLINE SHOWERING CO., LTD.</v>
      </c>
      <c r="E146" s="19" t="n">
        <f aca="false">IF(PODACI_ZALIHE!E143="","",PODACI_ZALIHE!E143)</f>
        <v>57</v>
      </c>
      <c r="F146" s="20" t="n">
        <f aca="false">PODACI_ZALIHE!F143</f>
        <v>57</v>
      </c>
      <c r="G146" s="19" t="n">
        <f aca="false">IF(E146="","",E146-F146)</f>
        <v>0</v>
      </c>
      <c r="H146" s="9" t="n">
        <f aca="false">PODACI_PRODAJA!N53</f>
        <v>15.5</v>
      </c>
      <c r="I146" s="21" t="n">
        <f aca="false">IF(H146&lt;=0,999,ROUND(F146/H146,1))</f>
        <v>3.7</v>
      </c>
      <c r="J146" s="9" t="n">
        <f aca="false">SUMIFS(ROBA_U_DOLASKU!$C$6:$C$95,ROBA_U_DOLASKU!$A$6:$A$95,A146,ROBA_U_DOLASKU!$H$6:$H$95,1)</f>
        <v>1</v>
      </c>
      <c r="K146" s="9" t="n">
        <f aca="false">SUMIFS(ROBA_U_DOLASKU!$B$6:$B$95,ROBA_U_DOLASKU!$A$6:$A$95,A146,ROBA_U_DOLASKU!$H$6:$H$95,1)</f>
        <v>40</v>
      </c>
      <c r="L146" s="9" t="n">
        <f aca="false">SUMIFS(ROBA_U_DOLASKU!$C$6:$C$95,ROBA_U_DOLASKU!$A$6:$A$95,A146,ROBA_U_DOLASKU!$H$6:$H$95,2)</f>
        <v>0</v>
      </c>
      <c r="M146" s="9" t="n">
        <f aca="false">SUMIFS(ROBA_U_DOLASKU!$B$6:$B$95,ROBA_U_DOLASKU!$A$6:$A$95,A146,ROBA_U_DOLASKU!$H$6:$H$95,2)</f>
        <v>0</v>
      </c>
      <c r="N146" s="9" t="n">
        <f aca="false">SUMIFS(ROBA_U_DOLASKU!$C$6:$C$95,ROBA_U_DOLASKU!$A$6:$A$95,A146,ROBA_U_DOLASKU!$H$6:$H$95,3)</f>
        <v>0</v>
      </c>
      <c r="O146" s="9" t="n">
        <f aca="false">SUMIFS(ROBA_U_DOLASKU!$B$6:$B$95,ROBA_U_DOLASKU!$A$6:$A$95,A146,ROBA_U_DOLASKU!$H$6:$H$95,3)</f>
        <v>0</v>
      </c>
      <c r="P146" s="9" t="n">
        <f aca="false">IF(H146&lt;=0,999,IF(O146&gt;0,ROUND((F146-H146*N146+K146+M146+O146)/H146,1),IF(M146&gt;0,ROUND((F146-H146*L146+K146+M146)/H146,1),IF(K146&gt;0,ROUND((F146-H146*J146+K146)/H146,1),I146))))</f>
        <v>5.3</v>
      </c>
      <c r="Q146" s="22" t="str">
        <f aca="false">IF(H146&lt;=0,"Nema prodaje",IF(AND(K146=0,M146=0,O146=0),IF(I146&lt;POSTAVKE!$B$6,"Naruči odmah","Sve u redu"),IF(F146-H146*J146&lt;0,"Rupa za ~"&amp;TEXT(I146,"0.0")&amp;" mj.",IF(AND(M146&gt;0,F146-H146*L146+K146&lt;0),"Rupa nakon 1. dolaska",IF(AND(O146&gt;0,F146-H146*N146+K146+M146&lt;0),"Rupa nakon 2. dolaska",IF(P146&lt;POSTAVKE!$B$6,"Količina nije dovoljna",IF(I146&gt;=POSTAVKE!$B$6,"Sve u redu","Stiže na vrijeme")))))))</f>
        <v>Stiže na vrijeme</v>
      </c>
      <c r="S146" s="23" t="n">
        <f aca="false">IFERROR(INDEX(PODACI_PRODAJA!B:B,MATCH($A146,PODACI_PRODAJA!$A:$A,0)),0)</f>
        <v>17</v>
      </c>
      <c r="T146" s="23" t="n">
        <f aca="false">IFERROR(INDEX(PODACI_PRODAJA!C:C,MATCH($A146,PODACI_PRODAJA!$A:$A,0)),0)</f>
        <v>16</v>
      </c>
      <c r="U146" s="23" t="n">
        <f aca="false">IFERROR(INDEX(PODACI_PRODAJA!D:D,MATCH($A146,PODACI_PRODAJA!$A:$A,0)),0)</f>
        <v>20</v>
      </c>
      <c r="V146" s="23" t="n">
        <f aca="false">IFERROR(INDEX(PODACI_PRODAJA!E:E,MATCH($A146,PODACI_PRODAJA!$A:$A,0)),0)</f>
        <v>16</v>
      </c>
      <c r="W146" s="23" t="n">
        <f aca="false">IFERROR(INDEX(PODACI_PRODAJA!F:F,MATCH($A146,PODACI_PRODAJA!$A:$A,0)),0)</f>
        <v>22</v>
      </c>
      <c r="X146" s="23" t="n">
        <f aca="false">IFERROR(INDEX(PODACI_PRODAJA!G:G,MATCH($A146,PODACI_PRODAJA!$A:$A,0)),0)</f>
        <v>20</v>
      </c>
      <c r="Y146" s="23" t="n">
        <f aca="false">IFERROR(INDEX(PODACI_PRODAJA!H:H,MATCH($A146,PODACI_PRODAJA!$A:$A,0)),0)</f>
        <v>0</v>
      </c>
      <c r="Z146" s="23" t="n">
        <f aca="false">IFERROR(INDEX(PODACI_PRODAJA!I:I,MATCH($A146,PODACI_PRODAJA!$A:$A,0)),0)</f>
        <v>13</v>
      </c>
      <c r="AA146" s="23" t="n">
        <f aca="false">IFERROR(INDEX(PODACI_PRODAJA!J:J,MATCH($A146,PODACI_PRODAJA!$A:$A,0)),0)</f>
        <v>0</v>
      </c>
      <c r="AB146" s="23" t="n">
        <f aca="false">IFERROR(INDEX(PODACI_PRODAJA!K:K,MATCH($A146,PODACI_PRODAJA!$A:$A,0)),0)</f>
        <v>0</v>
      </c>
      <c r="AC146" s="23" t="n">
        <f aca="false">IFERROR(INDEX(PODACI_PRODAJA!L:L,MATCH($A146,PODACI_PRODAJA!$A:$A,0)),0)</f>
        <v>0</v>
      </c>
      <c r="AD146" s="23" t="n">
        <f aca="false">IFERROR(INDEX(PODACI_PRODAJA!M:M,MATCH($A146,PODACI_PRODAJA!$A:$A,0)),0)</f>
        <v>0</v>
      </c>
    </row>
    <row r="147" customFormat="false" ht="15" hidden="false" customHeight="false" outlineLevel="0" collapsed="false">
      <c r="A147" s="11" t="str">
        <f aca="false">PODACI_ZALIHE!A144</f>
        <v>16780</v>
      </c>
      <c r="B147" s="8" t="str">
        <f aca="false">PODACI_ZALIHE!B144</f>
        <v>TK BRIGHT 80 POLUKRUŽNA TUŠ KABINA 80x80x180 cm</v>
      </c>
      <c r="C147" s="9" t="str">
        <f aca="false">PODACI_ZALIHE!C144</f>
        <v>6163</v>
      </c>
      <c r="D147" s="8" t="str">
        <f aca="false">PODACI_ZALIHE!D144</f>
        <v>HANGZHOU TIANMEI INDUSTRY CO.,LTD</v>
      </c>
      <c r="E147" s="19" t="n">
        <f aca="false">IF(PODACI_ZALIHE!E144="","",PODACI_ZALIHE!E144)</f>
        <v>57</v>
      </c>
      <c r="F147" s="20" t="n">
        <f aca="false">PODACI_ZALIHE!F144</f>
        <v>57</v>
      </c>
      <c r="G147" s="19" t="n">
        <f aca="false">IF(E147="","",E147-F147)</f>
        <v>0</v>
      </c>
      <c r="H147" s="9" t="n">
        <f aca="false">PODACI_PRODAJA!N199</f>
        <v>1.25</v>
      </c>
      <c r="I147" s="21" t="n">
        <f aca="false">IF(H147&lt;=0,999,ROUND(F147/H147,1))</f>
        <v>45.6</v>
      </c>
      <c r="J147" s="9" t="n">
        <f aca="false">SUMIFS(ROBA_U_DOLASKU!$C$6:$C$95,ROBA_U_DOLASKU!$A$6:$A$95,A147,ROBA_U_DOLASKU!$H$6:$H$95,1)</f>
        <v>0</v>
      </c>
      <c r="K147" s="9" t="n">
        <f aca="false">SUMIFS(ROBA_U_DOLASKU!$B$6:$B$95,ROBA_U_DOLASKU!$A$6:$A$95,A147,ROBA_U_DOLASKU!$H$6:$H$95,1)</f>
        <v>0</v>
      </c>
      <c r="L147" s="9" t="n">
        <f aca="false">SUMIFS(ROBA_U_DOLASKU!$C$6:$C$95,ROBA_U_DOLASKU!$A$6:$A$95,A147,ROBA_U_DOLASKU!$H$6:$H$95,2)</f>
        <v>0</v>
      </c>
      <c r="M147" s="9" t="n">
        <f aca="false">SUMIFS(ROBA_U_DOLASKU!$B$6:$B$95,ROBA_U_DOLASKU!$A$6:$A$95,A147,ROBA_U_DOLASKU!$H$6:$H$95,2)</f>
        <v>0</v>
      </c>
      <c r="N147" s="9" t="n">
        <f aca="false">SUMIFS(ROBA_U_DOLASKU!$C$6:$C$95,ROBA_U_DOLASKU!$A$6:$A$95,A147,ROBA_U_DOLASKU!$H$6:$H$95,3)</f>
        <v>0</v>
      </c>
      <c r="O147" s="9" t="n">
        <f aca="false">SUMIFS(ROBA_U_DOLASKU!$B$6:$B$95,ROBA_U_DOLASKU!$A$6:$A$95,A147,ROBA_U_DOLASKU!$H$6:$H$95,3)</f>
        <v>0</v>
      </c>
      <c r="P147" s="9" t="n">
        <f aca="false">IF(H147&lt;=0,999,IF(O147&gt;0,ROUND((F147-H147*N147+K147+M147+O147)/H147,1),IF(M147&gt;0,ROUND((F147-H147*L147+K147+M147)/H147,1),IF(K147&gt;0,ROUND((F147-H147*J147+K147)/H147,1),I147))))</f>
        <v>45.6</v>
      </c>
      <c r="Q147" s="22" t="str">
        <f aca="false">IF(H147&lt;=0,"Nema prodaje",IF(AND(K147=0,M147=0,O147=0),IF(I147&lt;POSTAVKE!$B$6,"Naruči odmah","Sve u redu"),IF(F147-H147*J147&lt;0,"Rupa za ~"&amp;TEXT(I147,"0.0")&amp;" mj.",IF(AND(M147&gt;0,F147-H147*L147+K147&lt;0),"Rupa nakon 1. dolaska",IF(AND(O147&gt;0,F147-H147*N147+K147+M147&lt;0),"Rupa nakon 2. dolaska",IF(P147&lt;POSTAVKE!$B$6,"Količina nije dovoljna",IF(I147&gt;=POSTAVKE!$B$6,"Sve u redu","Stiže na vrijeme")))))))</f>
        <v>Sve u redu</v>
      </c>
      <c r="S147" s="23" t="n">
        <f aca="false">IFERROR(INDEX(PODACI_PRODAJA!B:B,MATCH($A147,PODACI_PRODAJA!$A:$A,0)),0)</f>
        <v>2</v>
      </c>
      <c r="T147" s="23" t="n">
        <f aca="false">IFERROR(INDEX(PODACI_PRODAJA!C:C,MATCH($A147,PODACI_PRODAJA!$A:$A,0)),0)</f>
        <v>0</v>
      </c>
      <c r="U147" s="23" t="n">
        <f aca="false">IFERROR(INDEX(PODACI_PRODAJA!D:D,MATCH($A147,PODACI_PRODAJA!$A:$A,0)),0)</f>
        <v>2</v>
      </c>
      <c r="V147" s="23" t="n">
        <f aca="false">IFERROR(INDEX(PODACI_PRODAJA!E:E,MATCH($A147,PODACI_PRODAJA!$A:$A,0)),0)</f>
        <v>0</v>
      </c>
      <c r="W147" s="23" t="n">
        <f aca="false">IFERROR(INDEX(PODACI_PRODAJA!F:F,MATCH($A147,PODACI_PRODAJA!$A:$A,0)),0)</f>
        <v>2</v>
      </c>
      <c r="X147" s="23" t="n">
        <f aca="false">IFERROR(INDEX(PODACI_PRODAJA!G:G,MATCH($A147,PODACI_PRODAJA!$A:$A,0)),0)</f>
        <v>1</v>
      </c>
      <c r="Y147" s="23" t="n">
        <f aca="false">IFERROR(INDEX(PODACI_PRODAJA!H:H,MATCH($A147,PODACI_PRODAJA!$A:$A,0)),0)</f>
        <v>3</v>
      </c>
      <c r="Z147" s="23" t="n">
        <f aca="false">IFERROR(INDEX(PODACI_PRODAJA!I:I,MATCH($A147,PODACI_PRODAJA!$A:$A,0)),0)</f>
        <v>0</v>
      </c>
      <c r="AA147" s="23" t="n">
        <f aca="false">IFERROR(INDEX(PODACI_PRODAJA!J:J,MATCH($A147,PODACI_PRODAJA!$A:$A,0)),0)</f>
        <v>0</v>
      </c>
      <c r="AB147" s="23" t="n">
        <f aca="false">IFERROR(INDEX(PODACI_PRODAJA!K:K,MATCH($A147,PODACI_PRODAJA!$A:$A,0)),0)</f>
        <v>0</v>
      </c>
      <c r="AC147" s="23" t="n">
        <f aca="false">IFERROR(INDEX(PODACI_PRODAJA!L:L,MATCH($A147,PODACI_PRODAJA!$A:$A,0)),0)</f>
        <v>0</v>
      </c>
      <c r="AD147" s="23" t="n">
        <f aca="false">IFERROR(INDEX(PODACI_PRODAJA!M:M,MATCH($A147,PODACI_PRODAJA!$A:$A,0)),0)</f>
        <v>0</v>
      </c>
    </row>
    <row r="148" customFormat="false" ht="15" hidden="false" customHeight="false" outlineLevel="0" collapsed="false">
      <c r="A148" s="11" t="str">
        <f aca="false">PODACI_ZALIHE!A145</f>
        <v>18021</v>
      </c>
      <c r="B148" s="8" t="str">
        <f aca="false">PODACI_ZALIHE!B145</f>
        <v>TK ROTA 90KV BLACK TUŠ KABINA 90x90x200cm</v>
      </c>
      <c r="C148" s="9" t="str">
        <f aca="false">PODACI_ZALIHE!C145</f>
        <v>6762</v>
      </c>
      <c r="D148" s="8" t="str">
        <f aca="false">PODACI_ZALIHE!D145</f>
        <v>ZHEJIANG QUICKLINE SHOWERING CO., LTD.</v>
      </c>
      <c r="E148" s="19" t="n">
        <f aca="false">IF(PODACI_ZALIHE!E145="","",PODACI_ZALIHE!E145)</f>
        <v>57</v>
      </c>
      <c r="F148" s="20" t="n">
        <f aca="false">PODACI_ZALIHE!F145</f>
        <v>57</v>
      </c>
      <c r="G148" s="19" t="n">
        <f aca="false">IF(E148="","",E148-F148)</f>
        <v>0</v>
      </c>
      <c r="H148" s="9" t="n">
        <f aca="false">PODACI_PRODAJA!N662</f>
        <v>2.25</v>
      </c>
      <c r="I148" s="21" t="n">
        <f aca="false">IF(H148&lt;=0,999,ROUND(F148/H148,1))</f>
        <v>25.3</v>
      </c>
      <c r="J148" s="9" t="n">
        <f aca="false">SUMIFS(ROBA_U_DOLASKU!$C$6:$C$95,ROBA_U_DOLASKU!$A$6:$A$95,A148,ROBA_U_DOLASKU!$H$6:$H$95,1)</f>
        <v>0</v>
      </c>
      <c r="K148" s="9" t="n">
        <f aca="false">SUMIFS(ROBA_U_DOLASKU!$B$6:$B$95,ROBA_U_DOLASKU!$A$6:$A$95,A148,ROBA_U_DOLASKU!$H$6:$H$95,1)</f>
        <v>0</v>
      </c>
      <c r="L148" s="9" t="n">
        <f aca="false">SUMIFS(ROBA_U_DOLASKU!$C$6:$C$95,ROBA_U_DOLASKU!$A$6:$A$95,A148,ROBA_U_DOLASKU!$H$6:$H$95,2)</f>
        <v>0</v>
      </c>
      <c r="M148" s="9" t="n">
        <f aca="false">SUMIFS(ROBA_U_DOLASKU!$B$6:$B$95,ROBA_U_DOLASKU!$A$6:$A$95,A148,ROBA_U_DOLASKU!$H$6:$H$95,2)</f>
        <v>0</v>
      </c>
      <c r="N148" s="9" t="n">
        <f aca="false">SUMIFS(ROBA_U_DOLASKU!$C$6:$C$95,ROBA_U_DOLASKU!$A$6:$A$95,A148,ROBA_U_DOLASKU!$H$6:$H$95,3)</f>
        <v>0</v>
      </c>
      <c r="O148" s="9" t="n">
        <f aca="false">SUMIFS(ROBA_U_DOLASKU!$B$6:$B$95,ROBA_U_DOLASKU!$A$6:$A$95,A148,ROBA_U_DOLASKU!$H$6:$H$95,3)</f>
        <v>0</v>
      </c>
      <c r="P148" s="9" t="n">
        <f aca="false">IF(H148&lt;=0,999,IF(O148&gt;0,ROUND((F148-H148*N148+K148+M148+O148)/H148,1),IF(M148&gt;0,ROUND((F148-H148*L148+K148+M148)/H148,1),IF(K148&gt;0,ROUND((F148-H148*J148+K148)/H148,1),I148))))</f>
        <v>25.3</v>
      </c>
      <c r="Q148" s="22" t="str">
        <f aca="false">IF(H148&lt;=0,"Nema prodaje",IF(AND(K148=0,M148=0,O148=0),IF(I148&lt;POSTAVKE!$B$6,"Naruči odmah","Sve u redu"),IF(F148-H148*J148&lt;0,"Rupa za ~"&amp;TEXT(I148,"0.0")&amp;" mj.",IF(AND(M148&gt;0,F148-H148*L148+K148&lt;0),"Rupa nakon 1. dolaska",IF(AND(O148&gt;0,F148-H148*N148+K148+M148&lt;0),"Rupa nakon 2. dolaska",IF(P148&lt;POSTAVKE!$B$6,"Količina nije dovoljna",IF(I148&gt;=POSTAVKE!$B$6,"Sve u redu","Stiže na vrijeme")))))))</f>
        <v>Sve u redu</v>
      </c>
      <c r="S148" s="23" t="n">
        <f aca="false">IFERROR(INDEX(PODACI_PRODAJA!B:B,MATCH($A148,PODACI_PRODAJA!$A:$A,0)),0)</f>
        <v>0</v>
      </c>
      <c r="T148" s="23" t="n">
        <f aca="false">IFERROR(INDEX(PODACI_PRODAJA!C:C,MATCH($A148,PODACI_PRODAJA!$A:$A,0)),0)</f>
        <v>0</v>
      </c>
      <c r="U148" s="23" t="n">
        <f aca="false">IFERROR(INDEX(PODACI_PRODAJA!D:D,MATCH($A148,PODACI_PRODAJA!$A:$A,0)),0)</f>
        <v>3</v>
      </c>
      <c r="V148" s="23" t="n">
        <f aca="false">IFERROR(INDEX(PODACI_PRODAJA!E:E,MATCH($A148,PODACI_PRODAJA!$A:$A,0)),0)</f>
        <v>4</v>
      </c>
      <c r="W148" s="23" t="n">
        <f aca="false">IFERROR(INDEX(PODACI_PRODAJA!F:F,MATCH($A148,PODACI_PRODAJA!$A:$A,0)),0)</f>
        <v>2</v>
      </c>
      <c r="X148" s="23" t="n">
        <f aca="false">IFERROR(INDEX(PODACI_PRODAJA!G:G,MATCH($A148,PODACI_PRODAJA!$A:$A,0)),0)</f>
        <v>1</v>
      </c>
      <c r="Y148" s="23" t="n">
        <f aca="false">IFERROR(INDEX(PODACI_PRODAJA!H:H,MATCH($A148,PODACI_PRODAJA!$A:$A,0)),0)</f>
        <v>7</v>
      </c>
      <c r="Z148" s="23" t="n">
        <f aca="false">IFERROR(INDEX(PODACI_PRODAJA!I:I,MATCH($A148,PODACI_PRODAJA!$A:$A,0)),0)</f>
        <v>1</v>
      </c>
      <c r="AA148" s="23" t="n">
        <f aca="false">IFERROR(INDEX(PODACI_PRODAJA!J:J,MATCH($A148,PODACI_PRODAJA!$A:$A,0)),0)</f>
        <v>0</v>
      </c>
      <c r="AB148" s="23" t="n">
        <f aca="false">IFERROR(INDEX(PODACI_PRODAJA!K:K,MATCH($A148,PODACI_PRODAJA!$A:$A,0)),0)</f>
        <v>0</v>
      </c>
      <c r="AC148" s="23" t="n">
        <f aca="false">IFERROR(INDEX(PODACI_PRODAJA!L:L,MATCH($A148,PODACI_PRODAJA!$A:$A,0)),0)</f>
        <v>0</v>
      </c>
      <c r="AD148" s="23" t="n">
        <f aca="false">IFERROR(INDEX(PODACI_PRODAJA!M:M,MATCH($A148,PODACI_PRODAJA!$A:$A,0)),0)</f>
        <v>0</v>
      </c>
    </row>
    <row r="149" customFormat="false" ht="15" hidden="false" customHeight="false" outlineLevel="0" collapsed="false">
      <c r="A149" s="11" t="str">
        <f aca="false">PODACI_ZALIHE!A146</f>
        <v>042320</v>
      </c>
      <c r="B149" s="8" t="str">
        <f aca="false">PODACI_ZALIHE!B146</f>
        <v>VETRO TRS 120 TUŠ STIJENA 120x200 cm</v>
      </c>
      <c r="C149" s="9" t="str">
        <f aca="false">PODACI_ZALIHE!C146</f>
        <v>4328</v>
      </c>
      <c r="D149" s="8" t="str">
        <f aca="false">PODACI_ZALIHE!D146</f>
        <v>HANGZHOU DUHUI IMPORT AND EXPORT CO.,LTD</v>
      </c>
      <c r="E149" s="19" t="n">
        <f aca="false">IF(PODACI_ZALIHE!E146="","",PODACI_ZALIHE!E146)</f>
        <v>56</v>
      </c>
      <c r="F149" s="20" t="n">
        <f aca="false">PODACI_ZALIHE!F146</f>
        <v>56</v>
      </c>
      <c r="G149" s="19" t="n">
        <f aca="false">IF(E149="","",E149-F149)</f>
        <v>0</v>
      </c>
      <c r="H149" s="9" t="n">
        <f aca="false">PODACI_PRODAJA!N84</f>
        <v>10.88</v>
      </c>
      <c r="I149" s="21" t="n">
        <f aca="false">IF(H149&lt;=0,999,ROUND(F149/H149,1))</f>
        <v>5.1</v>
      </c>
      <c r="J149" s="9" t="n">
        <f aca="false">SUMIFS(ROBA_U_DOLASKU!$C$6:$C$95,ROBA_U_DOLASKU!$A$6:$A$95,A149,ROBA_U_DOLASKU!$H$6:$H$95,1)</f>
        <v>0</v>
      </c>
      <c r="K149" s="9" t="n">
        <f aca="false">SUMIFS(ROBA_U_DOLASKU!$B$6:$B$95,ROBA_U_DOLASKU!$A$6:$A$95,A149,ROBA_U_DOLASKU!$H$6:$H$95,1)</f>
        <v>0</v>
      </c>
      <c r="L149" s="9" t="n">
        <f aca="false">SUMIFS(ROBA_U_DOLASKU!$C$6:$C$95,ROBA_U_DOLASKU!$A$6:$A$95,A149,ROBA_U_DOLASKU!$H$6:$H$95,2)</f>
        <v>0</v>
      </c>
      <c r="M149" s="9" t="n">
        <f aca="false">SUMIFS(ROBA_U_DOLASKU!$B$6:$B$95,ROBA_U_DOLASKU!$A$6:$A$95,A149,ROBA_U_DOLASKU!$H$6:$H$95,2)</f>
        <v>0</v>
      </c>
      <c r="N149" s="9" t="n">
        <f aca="false">SUMIFS(ROBA_U_DOLASKU!$C$6:$C$95,ROBA_U_DOLASKU!$A$6:$A$95,A149,ROBA_U_DOLASKU!$H$6:$H$95,3)</f>
        <v>0</v>
      </c>
      <c r="O149" s="9" t="n">
        <f aca="false">SUMIFS(ROBA_U_DOLASKU!$B$6:$B$95,ROBA_U_DOLASKU!$A$6:$A$95,A149,ROBA_U_DOLASKU!$H$6:$H$95,3)</f>
        <v>0</v>
      </c>
      <c r="P149" s="9" t="n">
        <f aca="false">IF(H149&lt;=0,999,IF(O149&gt;0,ROUND((F149-H149*N149+K149+M149+O149)/H149,1),IF(M149&gt;0,ROUND((F149-H149*L149+K149+M149)/H149,1),IF(K149&gt;0,ROUND((F149-H149*J149+K149)/H149,1),I149))))</f>
        <v>5.1</v>
      </c>
      <c r="Q149" s="22" t="str">
        <f aca="false">IF(H149&lt;=0,"Nema prodaje",IF(AND(K149=0,M149=0,O149=0),IF(I149&lt;POSTAVKE!$B$6,"Naruči odmah","Sve u redu"),IF(F149-H149*J149&lt;0,"Rupa za ~"&amp;TEXT(I149,"0.0")&amp;" mj.",IF(AND(M149&gt;0,F149-H149*L149+K149&lt;0),"Rupa nakon 1. dolaska",IF(AND(O149&gt;0,F149-H149*N149+K149+M149&lt;0),"Rupa nakon 2. dolaska",IF(P149&lt;POSTAVKE!$B$6,"Količina nije dovoljna",IF(I149&gt;=POSTAVKE!$B$6,"Sve u redu","Stiže na vrijeme")))))))</f>
        <v>Sve u redu</v>
      </c>
      <c r="S149" s="23" t="n">
        <f aca="false">IFERROR(INDEX(PODACI_PRODAJA!B:B,MATCH($A149,PODACI_PRODAJA!$A:$A,0)),0)</f>
        <v>8</v>
      </c>
      <c r="T149" s="23" t="n">
        <f aca="false">IFERROR(INDEX(PODACI_PRODAJA!C:C,MATCH($A149,PODACI_PRODAJA!$A:$A,0)),0)</f>
        <v>4</v>
      </c>
      <c r="U149" s="23" t="n">
        <f aca="false">IFERROR(INDEX(PODACI_PRODAJA!D:D,MATCH($A149,PODACI_PRODAJA!$A:$A,0)),0)</f>
        <v>10</v>
      </c>
      <c r="V149" s="23" t="n">
        <f aca="false">IFERROR(INDEX(PODACI_PRODAJA!E:E,MATCH($A149,PODACI_PRODAJA!$A:$A,0)),0)</f>
        <v>13</v>
      </c>
      <c r="W149" s="23" t="n">
        <f aca="false">IFERROR(INDEX(PODACI_PRODAJA!F:F,MATCH($A149,PODACI_PRODAJA!$A:$A,0)),0)</f>
        <v>16</v>
      </c>
      <c r="X149" s="23" t="n">
        <f aca="false">IFERROR(INDEX(PODACI_PRODAJA!G:G,MATCH($A149,PODACI_PRODAJA!$A:$A,0)),0)</f>
        <v>10</v>
      </c>
      <c r="Y149" s="23" t="n">
        <f aca="false">IFERROR(INDEX(PODACI_PRODAJA!H:H,MATCH($A149,PODACI_PRODAJA!$A:$A,0)),0)</f>
        <v>19</v>
      </c>
      <c r="Z149" s="23" t="n">
        <f aca="false">IFERROR(INDEX(PODACI_PRODAJA!I:I,MATCH($A149,PODACI_PRODAJA!$A:$A,0)),0)</f>
        <v>7</v>
      </c>
      <c r="AA149" s="23" t="n">
        <f aca="false">IFERROR(INDEX(PODACI_PRODAJA!J:J,MATCH($A149,PODACI_PRODAJA!$A:$A,0)),0)</f>
        <v>0</v>
      </c>
      <c r="AB149" s="23" t="n">
        <f aca="false">IFERROR(INDEX(PODACI_PRODAJA!K:K,MATCH($A149,PODACI_PRODAJA!$A:$A,0)),0)</f>
        <v>0</v>
      </c>
      <c r="AC149" s="23" t="n">
        <f aca="false">IFERROR(INDEX(PODACI_PRODAJA!L:L,MATCH($A149,PODACI_PRODAJA!$A:$A,0)),0)</f>
        <v>0</v>
      </c>
      <c r="AD149" s="23" t="n">
        <f aca="false">IFERROR(INDEX(PODACI_PRODAJA!M:M,MATCH($A149,PODACI_PRODAJA!$A:$A,0)),0)</f>
        <v>0</v>
      </c>
    </row>
    <row r="150" customFormat="false" ht="15" hidden="false" customHeight="false" outlineLevel="0" collapsed="false">
      <c r="A150" s="11" t="str">
        <f aca="false">PODACI_ZALIHE!A147</f>
        <v>17268</v>
      </c>
      <c r="B150" s="8" t="str">
        <f aca="false">PODACI_ZALIHE!B147</f>
        <v>OVIEDO TUŠ VRATA 108-120x190 cm</v>
      </c>
      <c r="C150" s="9" t="str">
        <f aca="false">PODACI_ZALIHE!C147</f>
        <v>6762</v>
      </c>
      <c r="D150" s="8" t="str">
        <f aca="false">PODACI_ZALIHE!D147</f>
        <v>ZHEJIANG QUICKLINE SHOWERING CO., LTD.</v>
      </c>
      <c r="E150" s="19" t="n">
        <f aca="false">IF(PODACI_ZALIHE!E147="","",PODACI_ZALIHE!E147)</f>
        <v>57</v>
      </c>
      <c r="F150" s="20" t="n">
        <f aca="false">PODACI_ZALIHE!F147</f>
        <v>56</v>
      </c>
      <c r="G150" s="19" t="n">
        <f aca="false">IF(E150="","",E150-F150)</f>
        <v>1</v>
      </c>
      <c r="H150" s="9" t="n">
        <f aca="false">PODACI_PRODAJA!N164</f>
        <v>1.88</v>
      </c>
      <c r="I150" s="21" t="n">
        <f aca="false">IF(H150&lt;=0,999,ROUND(F150/H150,1))</f>
        <v>29.8</v>
      </c>
      <c r="J150" s="9" t="n">
        <f aca="false">SUMIFS(ROBA_U_DOLASKU!$C$6:$C$95,ROBA_U_DOLASKU!$A$6:$A$95,A150,ROBA_U_DOLASKU!$H$6:$H$95,1)</f>
        <v>0</v>
      </c>
      <c r="K150" s="9" t="n">
        <f aca="false">SUMIFS(ROBA_U_DOLASKU!$B$6:$B$95,ROBA_U_DOLASKU!$A$6:$A$95,A150,ROBA_U_DOLASKU!$H$6:$H$95,1)</f>
        <v>0</v>
      </c>
      <c r="L150" s="9" t="n">
        <f aca="false">SUMIFS(ROBA_U_DOLASKU!$C$6:$C$95,ROBA_U_DOLASKU!$A$6:$A$95,A150,ROBA_U_DOLASKU!$H$6:$H$95,2)</f>
        <v>0</v>
      </c>
      <c r="M150" s="9" t="n">
        <f aca="false">SUMIFS(ROBA_U_DOLASKU!$B$6:$B$95,ROBA_U_DOLASKU!$A$6:$A$95,A150,ROBA_U_DOLASKU!$H$6:$H$95,2)</f>
        <v>0</v>
      </c>
      <c r="N150" s="9" t="n">
        <f aca="false">SUMIFS(ROBA_U_DOLASKU!$C$6:$C$95,ROBA_U_DOLASKU!$A$6:$A$95,A150,ROBA_U_DOLASKU!$H$6:$H$95,3)</f>
        <v>0</v>
      </c>
      <c r="O150" s="9" t="n">
        <f aca="false">SUMIFS(ROBA_U_DOLASKU!$B$6:$B$95,ROBA_U_DOLASKU!$A$6:$A$95,A150,ROBA_U_DOLASKU!$H$6:$H$95,3)</f>
        <v>0</v>
      </c>
      <c r="P150" s="9" t="n">
        <f aca="false">IF(H150&lt;=0,999,IF(O150&gt;0,ROUND((F150-H150*N150+K150+M150+O150)/H150,1),IF(M150&gt;0,ROUND((F150-H150*L150+K150+M150)/H150,1),IF(K150&gt;0,ROUND((F150-H150*J150+K150)/H150,1),I150))))</f>
        <v>29.8</v>
      </c>
      <c r="Q150" s="22" t="str">
        <f aca="false">IF(H150&lt;=0,"Nema prodaje",IF(AND(K150=0,M150=0,O150=0),IF(I150&lt;POSTAVKE!$B$6,"Naruči odmah","Sve u redu"),IF(F150-H150*J150&lt;0,"Rupa za ~"&amp;TEXT(I150,"0.0")&amp;" mj.",IF(AND(M150&gt;0,F150-H150*L150+K150&lt;0),"Rupa nakon 1. dolaska",IF(AND(O150&gt;0,F150-H150*N150+K150+M150&lt;0),"Rupa nakon 2. dolaska",IF(P150&lt;POSTAVKE!$B$6,"Količina nije dovoljna",IF(I150&gt;=POSTAVKE!$B$6,"Sve u redu","Stiže na vrijeme")))))))</f>
        <v>Sve u redu</v>
      </c>
      <c r="S150" s="23" t="n">
        <f aca="false">IFERROR(INDEX(PODACI_PRODAJA!B:B,MATCH($A150,PODACI_PRODAJA!$A:$A,0)),0)</f>
        <v>3</v>
      </c>
      <c r="T150" s="23" t="n">
        <f aca="false">IFERROR(INDEX(PODACI_PRODAJA!C:C,MATCH($A150,PODACI_PRODAJA!$A:$A,0)),0)</f>
        <v>0</v>
      </c>
      <c r="U150" s="23" t="n">
        <f aca="false">IFERROR(INDEX(PODACI_PRODAJA!D:D,MATCH($A150,PODACI_PRODAJA!$A:$A,0)),0)</f>
        <v>2</v>
      </c>
      <c r="V150" s="23" t="n">
        <f aca="false">IFERROR(INDEX(PODACI_PRODAJA!E:E,MATCH($A150,PODACI_PRODAJA!$A:$A,0)),0)</f>
        <v>1</v>
      </c>
      <c r="W150" s="23" t="n">
        <f aca="false">IFERROR(INDEX(PODACI_PRODAJA!F:F,MATCH($A150,PODACI_PRODAJA!$A:$A,0)),0)</f>
        <v>2</v>
      </c>
      <c r="X150" s="23" t="n">
        <f aca="false">IFERROR(INDEX(PODACI_PRODAJA!G:G,MATCH($A150,PODACI_PRODAJA!$A:$A,0)),0)</f>
        <v>2</v>
      </c>
      <c r="Y150" s="23" t="n">
        <f aca="false">IFERROR(INDEX(PODACI_PRODAJA!H:H,MATCH($A150,PODACI_PRODAJA!$A:$A,0)),0)</f>
        <v>2</v>
      </c>
      <c r="Z150" s="23" t="n">
        <f aca="false">IFERROR(INDEX(PODACI_PRODAJA!I:I,MATCH($A150,PODACI_PRODAJA!$A:$A,0)),0)</f>
        <v>3</v>
      </c>
      <c r="AA150" s="23" t="n">
        <f aca="false">IFERROR(INDEX(PODACI_PRODAJA!J:J,MATCH($A150,PODACI_PRODAJA!$A:$A,0)),0)</f>
        <v>1</v>
      </c>
      <c r="AB150" s="23" t="n">
        <f aca="false">IFERROR(INDEX(PODACI_PRODAJA!K:K,MATCH($A150,PODACI_PRODAJA!$A:$A,0)),0)</f>
        <v>0</v>
      </c>
      <c r="AC150" s="23" t="n">
        <f aca="false">IFERROR(INDEX(PODACI_PRODAJA!L:L,MATCH($A150,PODACI_PRODAJA!$A:$A,0)),0)</f>
        <v>0</v>
      </c>
      <c r="AD150" s="23" t="n">
        <f aca="false">IFERROR(INDEX(PODACI_PRODAJA!M:M,MATCH($A150,PODACI_PRODAJA!$A:$A,0)),0)</f>
        <v>0</v>
      </c>
    </row>
    <row r="151" customFormat="false" ht="15" hidden="false" customHeight="false" outlineLevel="0" collapsed="false">
      <c r="A151" s="11" t="str">
        <f aca="false">PODACI_ZALIHE!A148</f>
        <v>042290</v>
      </c>
      <c r="B151" s="8" t="str">
        <f aca="false">PODACI_ZALIHE!B148</f>
        <v>VETRO TRS 90 TUŠ STIJENA 90x200 cm</v>
      </c>
      <c r="C151" s="9" t="str">
        <f aca="false">PODACI_ZALIHE!C148</f>
        <v>6762</v>
      </c>
      <c r="D151" s="8" t="str">
        <f aca="false">PODACI_ZALIHE!D148</f>
        <v>ZHEJIANG QUICKLINE SHOWERING CO., LTD.</v>
      </c>
      <c r="E151" s="19" t="n">
        <f aca="false">IF(PODACI_ZALIHE!E148="","",PODACI_ZALIHE!E148)</f>
        <v>55</v>
      </c>
      <c r="F151" s="20" t="n">
        <f aca="false">PODACI_ZALIHE!F148</f>
        <v>55</v>
      </c>
      <c r="G151" s="19" t="n">
        <f aca="false">IF(E151="","",E151-F151)</f>
        <v>0</v>
      </c>
      <c r="H151" s="9" t="n">
        <f aca="false">PODACI_PRODAJA!N66</f>
        <v>14.25</v>
      </c>
      <c r="I151" s="21" t="n">
        <f aca="false">IF(H151&lt;=0,999,ROUND(F151/H151,1))</f>
        <v>3.9</v>
      </c>
      <c r="J151" s="9" t="n">
        <f aca="false">SUMIFS(ROBA_U_DOLASKU!$C$6:$C$95,ROBA_U_DOLASKU!$A$6:$A$95,A151,ROBA_U_DOLASKU!$H$6:$H$95,1)</f>
        <v>0</v>
      </c>
      <c r="K151" s="9" t="n">
        <f aca="false">SUMIFS(ROBA_U_DOLASKU!$B$6:$B$95,ROBA_U_DOLASKU!$A$6:$A$95,A151,ROBA_U_DOLASKU!$H$6:$H$95,1)</f>
        <v>0</v>
      </c>
      <c r="L151" s="9" t="n">
        <f aca="false">SUMIFS(ROBA_U_DOLASKU!$C$6:$C$95,ROBA_U_DOLASKU!$A$6:$A$95,A151,ROBA_U_DOLASKU!$H$6:$H$95,2)</f>
        <v>0</v>
      </c>
      <c r="M151" s="9" t="n">
        <f aca="false">SUMIFS(ROBA_U_DOLASKU!$B$6:$B$95,ROBA_U_DOLASKU!$A$6:$A$95,A151,ROBA_U_DOLASKU!$H$6:$H$95,2)</f>
        <v>0</v>
      </c>
      <c r="N151" s="9" t="n">
        <f aca="false">SUMIFS(ROBA_U_DOLASKU!$C$6:$C$95,ROBA_U_DOLASKU!$A$6:$A$95,A151,ROBA_U_DOLASKU!$H$6:$H$95,3)</f>
        <v>0</v>
      </c>
      <c r="O151" s="9" t="n">
        <f aca="false">SUMIFS(ROBA_U_DOLASKU!$B$6:$B$95,ROBA_U_DOLASKU!$A$6:$A$95,A151,ROBA_U_DOLASKU!$H$6:$H$95,3)</f>
        <v>0</v>
      </c>
      <c r="P151" s="9" t="n">
        <f aca="false">IF(H151&lt;=0,999,IF(O151&gt;0,ROUND((F151-H151*N151+K151+M151+O151)/H151,1),IF(M151&gt;0,ROUND((F151-H151*L151+K151+M151)/H151,1),IF(K151&gt;0,ROUND((F151-H151*J151+K151)/H151,1),I151))))</f>
        <v>3.9</v>
      </c>
      <c r="Q151" s="22" t="str">
        <f aca="false">IF(H151&lt;=0,"Nema prodaje",IF(AND(K151=0,M151=0,O151=0),IF(I151&lt;POSTAVKE!$B$6,"Naruči odmah","Sve u redu"),IF(F151-H151*J151&lt;0,"Rupa za ~"&amp;TEXT(I151,"0.0")&amp;" mj.",IF(AND(M151&gt;0,F151-H151*L151+K151&lt;0),"Rupa nakon 1. dolaska",IF(AND(O151&gt;0,F151-H151*N151+K151+M151&lt;0),"Rupa nakon 2. dolaska",IF(P151&lt;POSTAVKE!$B$6,"Količina nije dovoljna",IF(I151&gt;=POSTAVKE!$B$6,"Sve u redu","Stiže na vrijeme")))))))</f>
        <v>Naruči odmah</v>
      </c>
      <c r="S151" s="23" t="n">
        <f aca="false">IFERROR(INDEX(PODACI_PRODAJA!B:B,MATCH($A151,PODACI_PRODAJA!$A:$A,0)),0)</f>
        <v>11</v>
      </c>
      <c r="T151" s="23" t="n">
        <f aca="false">IFERROR(INDEX(PODACI_PRODAJA!C:C,MATCH($A151,PODACI_PRODAJA!$A:$A,0)),0)</f>
        <v>13</v>
      </c>
      <c r="U151" s="23" t="n">
        <f aca="false">IFERROR(INDEX(PODACI_PRODAJA!D:D,MATCH($A151,PODACI_PRODAJA!$A:$A,0)),0)</f>
        <v>16</v>
      </c>
      <c r="V151" s="23" t="n">
        <f aca="false">IFERROR(INDEX(PODACI_PRODAJA!E:E,MATCH($A151,PODACI_PRODAJA!$A:$A,0)),0)</f>
        <v>8</v>
      </c>
      <c r="W151" s="23" t="n">
        <f aca="false">IFERROR(INDEX(PODACI_PRODAJA!F:F,MATCH($A151,PODACI_PRODAJA!$A:$A,0)),0)</f>
        <v>5</v>
      </c>
      <c r="X151" s="23" t="n">
        <f aca="false">IFERROR(INDEX(PODACI_PRODAJA!G:G,MATCH($A151,PODACI_PRODAJA!$A:$A,0)),0)</f>
        <v>20</v>
      </c>
      <c r="Y151" s="23" t="n">
        <f aca="false">IFERROR(INDEX(PODACI_PRODAJA!H:H,MATCH($A151,PODACI_PRODAJA!$A:$A,0)),0)</f>
        <v>30</v>
      </c>
      <c r="Z151" s="23" t="n">
        <f aca="false">IFERROR(INDEX(PODACI_PRODAJA!I:I,MATCH($A151,PODACI_PRODAJA!$A:$A,0)),0)</f>
        <v>11</v>
      </c>
      <c r="AA151" s="23" t="n">
        <f aca="false">IFERROR(INDEX(PODACI_PRODAJA!J:J,MATCH($A151,PODACI_PRODAJA!$A:$A,0)),0)</f>
        <v>0</v>
      </c>
      <c r="AB151" s="23" t="n">
        <f aca="false">IFERROR(INDEX(PODACI_PRODAJA!K:K,MATCH($A151,PODACI_PRODAJA!$A:$A,0)),0)</f>
        <v>0</v>
      </c>
      <c r="AC151" s="23" t="n">
        <f aca="false">IFERROR(INDEX(PODACI_PRODAJA!L:L,MATCH($A151,PODACI_PRODAJA!$A:$A,0)),0)</f>
        <v>0</v>
      </c>
      <c r="AD151" s="23" t="n">
        <f aca="false">IFERROR(INDEX(PODACI_PRODAJA!M:M,MATCH($A151,PODACI_PRODAJA!$A:$A,0)),0)</f>
        <v>0</v>
      </c>
    </row>
    <row r="152" customFormat="false" ht="15" hidden="false" customHeight="false" outlineLevel="0" collapsed="false">
      <c r="A152" s="11" t="str">
        <f aca="false">PODACI_ZALIHE!A149</f>
        <v>16969</v>
      </c>
      <c r="B152" s="8" t="str">
        <f aca="false">PODACI_ZALIHE!B149</f>
        <v>CLEAR SIDE 80 CHROME STAKLENA STRANICA 800x1950 mm</v>
      </c>
      <c r="C152" s="9" t="str">
        <f aca="false">PODACI_ZALIHE!C149</f>
        <v>6163</v>
      </c>
      <c r="D152" s="8" t="str">
        <f aca="false">PODACI_ZALIHE!D149</f>
        <v>HANGZHOU TIANMEI INDUSTRY CO.,LTD</v>
      </c>
      <c r="E152" s="19" t="n">
        <f aca="false">IF(PODACI_ZALIHE!E149="","",PODACI_ZALIHE!E149)</f>
        <v>59</v>
      </c>
      <c r="F152" s="20" t="n">
        <f aca="false">PODACI_ZALIHE!F149</f>
        <v>54</v>
      </c>
      <c r="G152" s="19" t="n">
        <f aca="false">IF(E152="","",E152-F152)</f>
        <v>5</v>
      </c>
      <c r="H152" s="9" t="n">
        <f aca="false">PODACI_PRODAJA!N206</f>
        <v>2.13</v>
      </c>
      <c r="I152" s="21" t="n">
        <f aca="false">IF(H152&lt;=0,999,ROUND(F152/H152,1))</f>
        <v>25.4</v>
      </c>
      <c r="J152" s="9" t="n">
        <f aca="false">SUMIFS(ROBA_U_DOLASKU!$C$6:$C$95,ROBA_U_DOLASKU!$A$6:$A$95,A152,ROBA_U_DOLASKU!$H$6:$H$95,1)</f>
        <v>0</v>
      </c>
      <c r="K152" s="9" t="n">
        <f aca="false">SUMIFS(ROBA_U_DOLASKU!$B$6:$B$95,ROBA_U_DOLASKU!$A$6:$A$95,A152,ROBA_U_DOLASKU!$H$6:$H$95,1)</f>
        <v>0</v>
      </c>
      <c r="L152" s="9" t="n">
        <f aca="false">SUMIFS(ROBA_U_DOLASKU!$C$6:$C$95,ROBA_U_DOLASKU!$A$6:$A$95,A152,ROBA_U_DOLASKU!$H$6:$H$95,2)</f>
        <v>0</v>
      </c>
      <c r="M152" s="9" t="n">
        <f aca="false">SUMIFS(ROBA_U_DOLASKU!$B$6:$B$95,ROBA_U_DOLASKU!$A$6:$A$95,A152,ROBA_U_DOLASKU!$H$6:$H$95,2)</f>
        <v>0</v>
      </c>
      <c r="N152" s="9" t="n">
        <f aca="false">SUMIFS(ROBA_U_DOLASKU!$C$6:$C$95,ROBA_U_DOLASKU!$A$6:$A$95,A152,ROBA_U_DOLASKU!$H$6:$H$95,3)</f>
        <v>0</v>
      </c>
      <c r="O152" s="9" t="n">
        <f aca="false">SUMIFS(ROBA_U_DOLASKU!$B$6:$B$95,ROBA_U_DOLASKU!$A$6:$A$95,A152,ROBA_U_DOLASKU!$H$6:$H$95,3)</f>
        <v>0</v>
      </c>
      <c r="P152" s="9" t="n">
        <f aca="false">IF(H152&lt;=0,999,IF(O152&gt;0,ROUND((F152-H152*N152+K152+M152+O152)/H152,1),IF(M152&gt;0,ROUND((F152-H152*L152+K152+M152)/H152,1),IF(K152&gt;0,ROUND((F152-H152*J152+K152)/H152,1),I152))))</f>
        <v>25.4</v>
      </c>
      <c r="Q152" s="22" t="str">
        <f aca="false">IF(H152&lt;=0,"Nema prodaje",IF(AND(K152=0,M152=0,O152=0),IF(I152&lt;POSTAVKE!$B$6,"Naruči odmah","Sve u redu"),IF(F152-H152*J152&lt;0,"Rupa za ~"&amp;TEXT(I152,"0.0")&amp;" mj.",IF(AND(M152&gt;0,F152-H152*L152+K152&lt;0),"Rupa nakon 1. dolaska",IF(AND(O152&gt;0,F152-H152*N152+K152+M152&lt;0),"Rupa nakon 2. dolaska",IF(P152&lt;POSTAVKE!$B$6,"Količina nije dovoljna",IF(I152&gt;=POSTAVKE!$B$6,"Sve u redu","Stiže na vrijeme")))))))</f>
        <v>Sve u redu</v>
      </c>
      <c r="S152" s="23" t="n">
        <f aca="false">IFERROR(INDEX(PODACI_PRODAJA!B:B,MATCH($A152,PODACI_PRODAJA!$A:$A,0)),0)</f>
        <v>2</v>
      </c>
      <c r="T152" s="23" t="n">
        <f aca="false">IFERROR(INDEX(PODACI_PRODAJA!C:C,MATCH($A152,PODACI_PRODAJA!$A:$A,0)),0)</f>
        <v>5</v>
      </c>
      <c r="U152" s="23" t="n">
        <f aca="false">IFERROR(INDEX(PODACI_PRODAJA!D:D,MATCH($A152,PODACI_PRODAJA!$A:$A,0)),0)</f>
        <v>0</v>
      </c>
      <c r="V152" s="23" t="n">
        <f aca="false">IFERROR(INDEX(PODACI_PRODAJA!E:E,MATCH($A152,PODACI_PRODAJA!$A:$A,0)),0)</f>
        <v>0</v>
      </c>
      <c r="W152" s="23" t="n">
        <f aca="false">IFERROR(INDEX(PODACI_PRODAJA!F:F,MATCH($A152,PODACI_PRODAJA!$A:$A,0)),0)</f>
        <v>1</v>
      </c>
      <c r="X152" s="23" t="n">
        <f aca="false">IFERROR(INDEX(PODACI_PRODAJA!G:G,MATCH($A152,PODACI_PRODAJA!$A:$A,0)),0)</f>
        <v>1</v>
      </c>
      <c r="Y152" s="23" t="n">
        <f aca="false">IFERROR(INDEX(PODACI_PRODAJA!H:H,MATCH($A152,PODACI_PRODAJA!$A:$A,0)),0)</f>
        <v>5</v>
      </c>
      <c r="Z152" s="23" t="n">
        <f aca="false">IFERROR(INDEX(PODACI_PRODAJA!I:I,MATCH($A152,PODACI_PRODAJA!$A:$A,0)),0)</f>
        <v>3</v>
      </c>
      <c r="AA152" s="23" t="n">
        <f aca="false">IFERROR(INDEX(PODACI_PRODAJA!J:J,MATCH($A152,PODACI_PRODAJA!$A:$A,0)),0)</f>
        <v>5</v>
      </c>
      <c r="AB152" s="23" t="n">
        <f aca="false">IFERROR(INDEX(PODACI_PRODAJA!K:K,MATCH($A152,PODACI_PRODAJA!$A:$A,0)),0)</f>
        <v>0</v>
      </c>
      <c r="AC152" s="23" t="n">
        <f aca="false">IFERROR(INDEX(PODACI_PRODAJA!L:L,MATCH($A152,PODACI_PRODAJA!$A:$A,0)),0)</f>
        <v>0</v>
      </c>
      <c r="AD152" s="23" t="n">
        <f aca="false">IFERROR(INDEX(PODACI_PRODAJA!M:M,MATCH($A152,PODACI_PRODAJA!$A:$A,0)),0)</f>
        <v>0</v>
      </c>
    </row>
    <row r="153" customFormat="false" ht="15" hidden="false" customHeight="false" outlineLevel="0" collapsed="false">
      <c r="A153" s="11" t="str">
        <f aca="false">PODACI_ZALIHE!A150</f>
        <v>15937</v>
      </c>
      <c r="B153" s="8" t="str">
        <f aca="false">PODACI_ZALIHE!B150</f>
        <v>TK SILVER LINE 80 KVADRATNA TUŠ KABINA 80x80x195 cm</v>
      </c>
      <c r="C153" s="9" t="str">
        <f aca="false">PODACI_ZALIHE!C150</f>
        <v>4328</v>
      </c>
      <c r="D153" s="8" t="str">
        <f aca="false">PODACI_ZALIHE!D150</f>
        <v>HANGZHOU DUHUI IMPORT AND EXPORT CO.,LTD</v>
      </c>
      <c r="E153" s="19" t="n">
        <f aca="false">IF(PODACI_ZALIHE!E150="","",PODACI_ZALIHE!E150)</f>
        <v>53</v>
      </c>
      <c r="F153" s="20" t="n">
        <f aca="false">PODACI_ZALIHE!F150</f>
        <v>53</v>
      </c>
      <c r="G153" s="19" t="n">
        <f aca="false">IF(E153="","",E153-F153)</f>
        <v>0</v>
      </c>
      <c r="H153" s="9" t="n">
        <f aca="false">PODACI_PRODAJA!N189</f>
        <v>0.63</v>
      </c>
      <c r="I153" s="21" t="n">
        <f aca="false">IF(H153&lt;=0,999,ROUND(F153/H153,1))</f>
        <v>84.1</v>
      </c>
      <c r="J153" s="9" t="n">
        <f aca="false">SUMIFS(ROBA_U_DOLASKU!$C$6:$C$95,ROBA_U_DOLASKU!$A$6:$A$95,A153,ROBA_U_DOLASKU!$H$6:$H$95,1)</f>
        <v>0</v>
      </c>
      <c r="K153" s="9" t="n">
        <f aca="false">SUMIFS(ROBA_U_DOLASKU!$B$6:$B$95,ROBA_U_DOLASKU!$A$6:$A$95,A153,ROBA_U_DOLASKU!$H$6:$H$95,1)</f>
        <v>0</v>
      </c>
      <c r="L153" s="9" t="n">
        <f aca="false">SUMIFS(ROBA_U_DOLASKU!$C$6:$C$95,ROBA_U_DOLASKU!$A$6:$A$95,A153,ROBA_U_DOLASKU!$H$6:$H$95,2)</f>
        <v>0</v>
      </c>
      <c r="M153" s="9" t="n">
        <f aca="false">SUMIFS(ROBA_U_DOLASKU!$B$6:$B$95,ROBA_U_DOLASKU!$A$6:$A$95,A153,ROBA_U_DOLASKU!$H$6:$H$95,2)</f>
        <v>0</v>
      </c>
      <c r="N153" s="9" t="n">
        <f aca="false">SUMIFS(ROBA_U_DOLASKU!$C$6:$C$95,ROBA_U_DOLASKU!$A$6:$A$95,A153,ROBA_U_DOLASKU!$H$6:$H$95,3)</f>
        <v>0</v>
      </c>
      <c r="O153" s="9" t="n">
        <f aca="false">SUMIFS(ROBA_U_DOLASKU!$B$6:$B$95,ROBA_U_DOLASKU!$A$6:$A$95,A153,ROBA_U_DOLASKU!$H$6:$H$95,3)</f>
        <v>0</v>
      </c>
      <c r="P153" s="9" t="n">
        <f aca="false">IF(H153&lt;=0,999,IF(O153&gt;0,ROUND((F153-H153*N153+K153+M153+O153)/H153,1),IF(M153&gt;0,ROUND((F153-H153*L153+K153+M153)/H153,1),IF(K153&gt;0,ROUND((F153-H153*J153+K153)/H153,1),I153))))</f>
        <v>84.1</v>
      </c>
      <c r="Q153" s="22" t="str">
        <f aca="false">IF(H153&lt;=0,"Nema prodaje",IF(AND(K153=0,M153=0,O153=0),IF(I153&lt;POSTAVKE!$B$6,"Naruči odmah","Sve u redu"),IF(F153-H153*J153&lt;0,"Rupa za ~"&amp;TEXT(I153,"0.0")&amp;" mj.",IF(AND(M153&gt;0,F153-H153*L153+K153&lt;0),"Rupa nakon 1. dolaska",IF(AND(O153&gt;0,F153-H153*N153+K153+M153&lt;0),"Rupa nakon 2. dolaska",IF(P153&lt;POSTAVKE!$B$6,"Količina nije dovoljna",IF(I153&gt;=POSTAVKE!$B$6,"Sve u redu","Stiže na vrijeme")))))))</f>
        <v>Sve u redu</v>
      </c>
      <c r="S153" s="23" t="n">
        <f aca="false">IFERROR(INDEX(PODACI_PRODAJA!B:B,MATCH($A153,PODACI_PRODAJA!$A:$A,0)),0)</f>
        <v>2</v>
      </c>
      <c r="T153" s="23" t="n">
        <f aca="false">IFERROR(INDEX(PODACI_PRODAJA!C:C,MATCH($A153,PODACI_PRODAJA!$A:$A,0)),0)</f>
        <v>0</v>
      </c>
      <c r="U153" s="23" t="n">
        <f aca="false">IFERROR(INDEX(PODACI_PRODAJA!D:D,MATCH($A153,PODACI_PRODAJA!$A:$A,0)),0)</f>
        <v>0</v>
      </c>
      <c r="V153" s="23" t="n">
        <f aca="false">IFERROR(INDEX(PODACI_PRODAJA!E:E,MATCH($A153,PODACI_PRODAJA!$A:$A,0)),0)</f>
        <v>0</v>
      </c>
      <c r="W153" s="23" t="n">
        <f aca="false">IFERROR(INDEX(PODACI_PRODAJA!F:F,MATCH($A153,PODACI_PRODAJA!$A:$A,0)),0)</f>
        <v>0</v>
      </c>
      <c r="X153" s="23" t="n">
        <f aca="false">IFERROR(INDEX(PODACI_PRODAJA!G:G,MATCH($A153,PODACI_PRODAJA!$A:$A,0)),0)</f>
        <v>3</v>
      </c>
      <c r="Y153" s="23" t="n">
        <f aca="false">IFERROR(INDEX(PODACI_PRODAJA!H:H,MATCH($A153,PODACI_PRODAJA!$A:$A,0)),0)</f>
        <v>0</v>
      </c>
      <c r="Z153" s="23" t="n">
        <f aca="false">IFERROR(INDEX(PODACI_PRODAJA!I:I,MATCH($A153,PODACI_PRODAJA!$A:$A,0)),0)</f>
        <v>0</v>
      </c>
      <c r="AA153" s="23" t="n">
        <f aca="false">IFERROR(INDEX(PODACI_PRODAJA!J:J,MATCH($A153,PODACI_PRODAJA!$A:$A,0)),0)</f>
        <v>0</v>
      </c>
      <c r="AB153" s="23" t="n">
        <f aca="false">IFERROR(INDEX(PODACI_PRODAJA!K:K,MATCH($A153,PODACI_PRODAJA!$A:$A,0)),0)</f>
        <v>0</v>
      </c>
      <c r="AC153" s="23" t="n">
        <f aca="false">IFERROR(INDEX(PODACI_PRODAJA!L:L,MATCH($A153,PODACI_PRODAJA!$A:$A,0)),0)</f>
        <v>0</v>
      </c>
      <c r="AD153" s="23" t="n">
        <f aca="false">IFERROR(INDEX(PODACI_PRODAJA!M:M,MATCH($A153,PODACI_PRODAJA!$A:$A,0)),0)</f>
        <v>0</v>
      </c>
    </row>
    <row r="154" customFormat="false" ht="15" hidden="false" customHeight="false" outlineLevel="0" collapsed="false">
      <c r="A154" s="11" t="str">
        <f aca="false">PODACI_ZALIHE!A151</f>
        <v>18031</v>
      </c>
      <c r="B154" s="8" t="str">
        <f aca="false">PODACI_ZALIHE!B151</f>
        <v>TK ROTA 80120 CHROME TUŠ KABINA 80x120x200cm</v>
      </c>
      <c r="C154" s="9" t="str">
        <f aca="false">PODACI_ZALIHE!C151</f>
        <v>6762</v>
      </c>
      <c r="D154" s="8" t="str">
        <f aca="false">PODACI_ZALIHE!D151</f>
        <v>ZHEJIANG QUICKLINE SHOWERING CO., LTD.</v>
      </c>
      <c r="E154" s="19" t="n">
        <f aca="false">IF(PODACI_ZALIHE!E151="","",PODACI_ZALIHE!E151)</f>
        <v>53</v>
      </c>
      <c r="F154" s="20" t="n">
        <f aca="false">PODACI_ZALIHE!F151</f>
        <v>53</v>
      </c>
      <c r="G154" s="19" t="n">
        <f aca="false">IF(E154="","",E154-F154)</f>
        <v>0</v>
      </c>
      <c r="H154" s="9" t="n">
        <f aca="false">PODACI_PRODAJA!N284</f>
        <v>0.88</v>
      </c>
      <c r="I154" s="21" t="n">
        <f aca="false">IF(H154&lt;=0,999,ROUND(F154/H154,1))</f>
        <v>60.2</v>
      </c>
      <c r="J154" s="9" t="n">
        <f aca="false">SUMIFS(ROBA_U_DOLASKU!$C$6:$C$95,ROBA_U_DOLASKU!$A$6:$A$95,A154,ROBA_U_DOLASKU!$H$6:$H$95,1)</f>
        <v>0</v>
      </c>
      <c r="K154" s="9" t="n">
        <f aca="false">SUMIFS(ROBA_U_DOLASKU!$B$6:$B$95,ROBA_U_DOLASKU!$A$6:$A$95,A154,ROBA_U_DOLASKU!$H$6:$H$95,1)</f>
        <v>0</v>
      </c>
      <c r="L154" s="9" t="n">
        <f aca="false">SUMIFS(ROBA_U_DOLASKU!$C$6:$C$95,ROBA_U_DOLASKU!$A$6:$A$95,A154,ROBA_U_DOLASKU!$H$6:$H$95,2)</f>
        <v>0</v>
      </c>
      <c r="M154" s="9" t="n">
        <f aca="false">SUMIFS(ROBA_U_DOLASKU!$B$6:$B$95,ROBA_U_DOLASKU!$A$6:$A$95,A154,ROBA_U_DOLASKU!$H$6:$H$95,2)</f>
        <v>0</v>
      </c>
      <c r="N154" s="9" t="n">
        <f aca="false">SUMIFS(ROBA_U_DOLASKU!$C$6:$C$95,ROBA_U_DOLASKU!$A$6:$A$95,A154,ROBA_U_DOLASKU!$H$6:$H$95,3)</f>
        <v>0</v>
      </c>
      <c r="O154" s="9" t="n">
        <f aca="false">SUMIFS(ROBA_U_DOLASKU!$B$6:$B$95,ROBA_U_DOLASKU!$A$6:$A$95,A154,ROBA_U_DOLASKU!$H$6:$H$95,3)</f>
        <v>0</v>
      </c>
      <c r="P154" s="9" t="n">
        <f aca="false">IF(H154&lt;=0,999,IF(O154&gt;0,ROUND((F154-H154*N154+K154+M154+O154)/H154,1),IF(M154&gt;0,ROUND((F154-H154*L154+K154+M154)/H154,1),IF(K154&gt;0,ROUND((F154-H154*J154+K154)/H154,1),I154))))</f>
        <v>60.2</v>
      </c>
      <c r="Q154" s="22" t="str">
        <f aca="false">IF(H154&lt;=0,"Nema prodaje",IF(AND(K154=0,M154=0,O154=0),IF(I154&lt;POSTAVKE!$B$6,"Naruči odmah","Sve u redu"),IF(F154-H154*J154&lt;0,"Rupa za ~"&amp;TEXT(I154,"0.0")&amp;" mj.",IF(AND(M154&gt;0,F154-H154*L154+K154&lt;0),"Rupa nakon 1. dolaska",IF(AND(O154&gt;0,F154-H154*N154+K154+M154&lt;0),"Rupa nakon 2. dolaska",IF(P154&lt;POSTAVKE!$B$6,"Količina nije dovoljna",IF(I154&gt;=POSTAVKE!$B$6,"Sve u redu","Stiže na vrijeme")))))))</f>
        <v>Sve u redu</v>
      </c>
      <c r="S154" s="23" t="n">
        <f aca="false">IFERROR(INDEX(PODACI_PRODAJA!B:B,MATCH($A154,PODACI_PRODAJA!$A:$A,0)),0)</f>
        <v>1</v>
      </c>
      <c r="T154" s="23" t="n">
        <f aca="false">IFERROR(INDEX(PODACI_PRODAJA!C:C,MATCH($A154,PODACI_PRODAJA!$A:$A,0)),0)</f>
        <v>0</v>
      </c>
      <c r="U154" s="23" t="n">
        <f aca="false">IFERROR(INDEX(PODACI_PRODAJA!D:D,MATCH($A154,PODACI_PRODAJA!$A:$A,0)),0)</f>
        <v>1</v>
      </c>
      <c r="V154" s="23" t="n">
        <f aca="false">IFERROR(INDEX(PODACI_PRODAJA!E:E,MATCH($A154,PODACI_PRODAJA!$A:$A,0)),0)</f>
        <v>0</v>
      </c>
      <c r="W154" s="23" t="n">
        <f aca="false">IFERROR(INDEX(PODACI_PRODAJA!F:F,MATCH($A154,PODACI_PRODAJA!$A:$A,0)),0)</f>
        <v>2</v>
      </c>
      <c r="X154" s="23" t="n">
        <f aca="false">IFERROR(INDEX(PODACI_PRODAJA!G:G,MATCH($A154,PODACI_PRODAJA!$A:$A,0)),0)</f>
        <v>2</v>
      </c>
      <c r="Y154" s="23" t="n">
        <f aca="false">IFERROR(INDEX(PODACI_PRODAJA!H:H,MATCH($A154,PODACI_PRODAJA!$A:$A,0)),0)</f>
        <v>0</v>
      </c>
      <c r="Z154" s="23" t="n">
        <f aca="false">IFERROR(INDEX(PODACI_PRODAJA!I:I,MATCH($A154,PODACI_PRODAJA!$A:$A,0)),0)</f>
        <v>1</v>
      </c>
      <c r="AA154" s="23" t="n">
        <f aca="false">IFERROR(INDEX(PODACI_PRODAJA!J:J,MATCH($A154,PODACI_PRODAJA!$A:$A,0)),0)</f>
        <v>0</v>
      </c>
      <c r="AB154" s="23" t="n">
        <f aca="false">IFERROR(INDEX(PODACI_PRODAJA!K:K,MATCH($A154,PODACI_PRODAJA!$A:$A,0)),0)</f>
        <v>0</v>
      </c>
      <c r="AC154" s="23" t="n">
        <f aca="false">IFERROR(INDEX(PODACI_PRODAJA!L:L,MATCH($A154,PODACI_PRODAJA!$A:$A,0)),0)</f>
        <v>0</v>
      </c>
      <c r="AD154" s="23" t="n">
        <f aca="false">IFERROR(INDEX(PODACI_PRODAJA!M:M,MATCH($A154,PODACI_PRODAJA!$A:$A,0)),0)</f>
        <v>0</v>
      </c>
    </row>
    <row r="155" customFormat="false" ht="15" hidden="false" customHeight="false" outlineLevel="0" collapsed="false">
      <c r="A155" s="11" t="str">
        <f aca="false">PODACI_ZALIHE!A152</f>
        <v>15938</v>
      </c>
      <c r="B155" s="8" t="str">
        <f aca="false">PODACI_ZALIHE!B152</f>
        <v>TK SILVER LINE 90 KVADRATNA TUŠ KABINA 90x90x195 cm</v>
      </c>
      <c r="C155" s="9" t="str">
        <f aca="false">PODACI_ZALIHE!C152</f>
        <v>4328</v>
      </c>
      <c r="D155" s="8" t="str">
        <f aca="false">PODACI_ZALIHE!D152</f>
        <v>HANGZHOU DUHUI IMPORT AND EXPORT CO.,LTD</v>
      </c>
      <c r="E155" s="19" t="n">
        <f aca="false">IF(PODACI_ZALIHE!E152="","",PODACI_ZALIHE!E152)</f>
        <v>51</v>
      </c>
      <c r="F155" s="20" t="n">
        <f aca="false">PODACI_ZALIHE!F152</f>
        <v>51</v>
      </c>
      <c r="G155" s="19" t="n">
        <f aca="false">IF(E155="","",E155-F155)</f>
        <v>0</v>
      </c>
      <c r="H155" s="9" t="n">
        <f aca="false">PODACI_PRODAJA!N243</f>
        <v>2.75</v>
      </c>
      <c r="I155" s="21" t="n">
        <f aca="false">IF(H155&lt;=0,999,ROUND(F155/H155,1))</f>
        <v>18.5</v>
      </c>
      <c r="J155" s="9" t="n">
        <f aca="false">SUMIFS(ROBA_U_DOLASKU!$C$6:$C$95,ROBA_U_DOLASKU!$A$6:$A$95,A155,ROBA_U_DOLASKU!$H$6:$H$95,1)</f>
        <v>0</v>
      </c>
      <c r="K155" s="9" t="n">
        <f aca="false">SUMIFS(ROBA_U_DOLASKU!$B$6:$B$95,ROBA_U_DOLASKU!$A$6:$A$95,A155,ROBA_U_DOLASKU!$H$6:$H$95,1)</f>
        <v>0</v>
      </c>
      <c r="L155" s="9" t="n">
        <f aca="false">SUMIFS(ROBA_U_DOLASKU!$C$6:$C$95,ROBA_U_DOLASKU!$A$6:$A$95,A155,ROBA_U_DOLASKU!$H$6:$H$95,2)</f>
        <v>0</v>
      </c>
      <c r="M155" s="9" t="n">
        <f aca="false">SUMIFS(ROBA_U_DOLASKU!$B$6:$B$95,ROBA_U_DOLASKU!$A$6:$A$95,A155,ROBA_U_DOLASKU!$H$6:$H$95,2)</f>
        <v>0</v>
      </c>
      <c r="N155" s="9" t="n">
        <f aca="false">SUMIFS(ROBA_U_DOLASKU!$C$6:$C$95,ROBA_U_DOLASKU!$A$6:$A$95,A155,ROBA_U_DOLASKU!$H$6:$H$95,3)</f>
        <v>0</v>
      </c>
      <c r="O155" s="9" t="n">
        <f aca="false">SUMIFS(ROBA_U_DOLASKU!$B$6:$B$95,ROBA_U_DOLASKU!$A$6:$A$95,A155,ROBA_U_DOLASKU!$H$6:$H$95,3)</f>
        <v>0</v>
      </c>
      <c r="P155" s="9" t="n">
        <f aca="false">IF(H155&lt;=0,999,IF(O155&gt;0,ROUND((F155-H155*N155+K155+M155+O155)/H155,1),IF(M155&gt;0,ROUND((F155-H155*L155+K155+M155)/H155,1),IF(K155&gt;0,ROUND((F155-H155*J155+K155)/H155,1),I155))))</f>
        <v>18.5</v>
      </c>
      <c r="Q155" s="22" t="str">
        <f aca="false">IF(H155&lt;=0,"Nema prodaje",IF(AND(K155=0,M155=0,O155=0),IF(I155&lt;POSTAVKE!$B$6,"Naruči odmah","Sve u redu"),IF(F155-H155*J155&lt;0,"Rupa za ~"&amp;TEXT(I155,"0.0")&amp;" mj.",IF(AND(M155&gt;0,F155-H155*L155+K155&lt;0),"Rupa nakon 1. dolaska",IF(AND(O155&gt;0,F155-H155*N155+K155+M155&lt;0),"Rupa nakon 2. dolaska",IF(P155&lt;POSTAVKE!$B$6,"Količina nije dovoljna",IF(I155&gt;=POSTAVKE!$B$6,"Sve u redu","Stiže na vrijeme")))))))</f>
        <v>Sve u redu</v>
      </c>
      <c r="S155" s="23" t="n">
        <f aca="false">IFERROR(INDEX(PODACI_PRODAJA!B:B,MATCH($A155,PODACI_PRODAJA!$A:$A,0)),0)</f>
        <v>1</v>
      </c>
      <c r="T155" s="23" t="n">
        <f aca="false">IFERROR(INDEX(PODACI_PRODAJA!C:C,MATCH($A155,PODACI_PRODAJA!$A:$A,0)),0)</f>
        <v>4</v>
      </c>
      <c r="U155" s="23" t="n">
        <f aca="false">IFERROR(INDEX(PODACI_PRODAJA!D:D,MATCH($A155,PODACI_PRODAJA!$A:$A,0)),0)</f>
        <v>0</v>
      </c>
      <c r="V155" s="23" t="n">
        <f aca="false">IFERROR(INDEX(PODACI_PRODAJA!E:E,MATCH($A155,PODACI_PRODAJA!$A:$A,0)),0)</f>
        <v>9</v>
      </c>
      <c r="W155" s="23" t="n">
        <f aca="false">IFERROR(INDEX(PODACI_PRODAJA!F:F,MATCH($A155,PODACI_PRODAJA!$A:$A,0)),0)</f>
        <v>1</v>
      </c>
      <c r="X155" s="23" t="n">
        <f aca="false">IFERROR(INDEX(PODACI_PRODAJA!G:G,MATCH($A155,PODACI_PRODAJA!$A:$A,0)),0)</f>
        <v>2</v>
      </c>
      <c r="Y155" s="23" t="n">
        <f aca="false">IFERROR(INDEX(PODACI_PRODAJA!H:H,MATCH($A155,PODACI_PRODAJA!$A:$A,0)),0)</f>
        <v>4</v>
      </c>
      <c r="Z155" s="23" t="n">
        <f aca="false">IFERROR(INDEX(PODACI_PRODAJA!I:I,MATCH($A155,PODACI_PRODAJA!$A:$A,0)),0)</f>
        <v>1</v>
      </c>
      <c r="AA155" s="23" t="n">
        <f aca="false">IFERROR(INDEX(PODACI_PRODAJA!J:J,MATCH($A155,PODACI_PRODAJA!$A:$A,0)),0)</f>
        <v>0</v>
      </c>
      <c r="AB155" s="23" t="n">
        <f aca="false">IFERROR(INDEX(PODACI_PRODAJA!K:K,MATCH($A155,PODACI_PRODAJA!$A:$A,0)),0)</f>
        <v>0</v>
      </c>
      <c r="AC155" s="23" t="n">
        <f aca="false">IFERROR(INDEX(PODACI_PRODAJA!L:L,MATCH($A155,PODACI_PRODAJA!$A:$A,0)),0)</f>
        <v>0</v>
      </c>
      <c r="AD155" s="23" t="n">
        <f aca="false">IFERROR(INDEX(PODACI_PRODAJA!M:M,MATCH($A155,PODACI_PRODAJA!$A:$A,0)),0)</f>
        <v>0</v>
      </c>
    </row>
    <row r="156" customFormat="false" ht="15" hidden="false" customHeight="false" outlineLevel="0" collapsed="false">
      <c r="A156" s="11" t="str">
        <f aca="false">PODACI_ZALIHE!A153</f>
        <v>16086</v>
      </c>
      <c r="B156" s="8" t="str">
        <f aca="false">PODACI_ZALIHE!B153</f>
        <v>IMPULSE LED OGLEDALO 80x60 cm</v>
      </c>
      <c r="C156" s="9" t="n">
        <f aca="false">PODACI_ZALIHE!C153</f>
        <v>0</v>
      </c>
      <c r="D156" s="8" t="n">
        <f aca="false">PODACI_ZALIHE!D153</f>
        <v>0</v>
      </c>
      <c r="E156" s="19" t="n">
        <f aca="false">IF(PODACI_ZALIHE!E153="","",PODACI_ZALIHE!E153)</f>
        <v>51</v>
      </c>
      <c r="F156" s="20" t="n">
        <f aca="false">PODACI_ZALIHE!F153</f>
        <v>51</v>
      </c>
      <c r="G156" s="19" t="n">
        <f aca="false">IF(E156="","",E156-F156)</f>
        <v>0</v>
      </c>
      <c r="H156" s="9" t="n">
        <f aca="false">PODACI_PRODAJA!N92</f>
        <v>13.63</v>
      </c>
      <c r="I156" s="21" t="n">
        <f aca="false">IF(H156&lt;=0,999,ROUND(F156/H156,1))</f>
        <v>3.7</v>
      </c>
      <c r="J156" s="9" t="n">
        <f aca="false">SUMIFS(ROBA_U_DOLASKU!$C$6:$C$95,ROBA_U_DOLASKU!$A$6:$A$95,A156,ROBA_U_DOLASKU!$H$6:$H$95,1)</f>
        <v>2.2</v>
      </c>
      <c r="K156" s="9" t="n">
        <f aca="false">SUMIFS(ROBA_U_DOLASKU!$B$6:$B$95,ROBA_U_DOLASKU!$A$6:$A$95,A156,ROBA_U_DOLASKU!$H$6:$H$95,1)</f>
        <v>30</v>
      </c>
      <c r="L156" s="9" t="n">
        <f aca="false">SUMIFS(ROBA_U_DOLASKU!$C$6:$C$95,ROBA_U_DOLASKU!$A$6:$A$95,A156,ROBA_U_DOLASKU!$H$6:$H$95,2)</f>
        <v>0</v>
      </c>
      <c r="M156" s="9" t="n">
        <f aca="false">SUMIFS(ROBA_U_DOLASKU!$B$6:$B$95,ROBA_U_DOLASKU!$A$6:$A$95,A156,ROBA_U_DOLASKU!$H$6:$H$95,2)</f>
        <v>0</v>
      </c>
      <c r="N156" s="9" t="n">
        <f aca="false">SUMIFS(ROBA_U_DOLASKU!$C$6:$C$95,ROBA_U_DOLASKU!$A$6:$A$95,A156,ROBA_U_DOLASKU!$H$6:$H$95,3)</f>
        <v>0</v>
      </c>
      <c r="O156" s="9" t="n">
        <f aca="false">SUMIFS(ROBA_U_DOLASKU!$B$6:$B$95,ROBA_U_DOLASKU!$A$6:$A$95,A156,ROBA_U_DOLASKU!$H$6:$H$95,3)</f>
        <v>0</v>
      </c>
      <c r="P156" s="9" t="n">
        <f aca="false">IF(H156&lt;=0,999,IF(O156&gt;0,ROUND((F156-H156*N156+K156+M156+O156)/H156,1),IF(M156&gt;0,ROUND((F156-H156*L156+K156+M156)/H156,1),IF(K156&gt;0,ROUND((F156-H156*J156+K156)/H156,1),I156))))</f>
        <v>3.7</v>
      </c>
      <c r="Q156" s="22" t="str">
        <f aca="false">IF(H156&lt;=0,"Nema prodaje",IF(AND(K156=0,M156=0,O156=0),IF(I156&lt;POSTAVKE!$B$6,"Naruči odmah","Sve u redu"),IF(F156-H156*J156&lt;0,"Rupa za ~"&amp;TEXT(I156,"0.0")&amp;" mj.",IF(AND(M156&gt;0,F156-H156*L156+K156&lt;0),"Rupa nakon 1. dolaska",IF(AND(O156&gt;0,F156-H156*N156+K156+M156&lt;0),"Rupa nakon 2. dolaska",IF(P156&lt;POSTAVKE!$B$6,"Količina nije dovoljna",IF(I156&gt;=POSTAVKE!$B$6,"Sve u redu","Stiže na vrijeme")))))))</f>
        <v>Količina nije dovoljna</v>
      </c>
      <c r="S156" s="23" t="n">
        <f aca="false">IFERROR(INDEX(PODACI_PRODAJA!B:B,MATCH($A156,PODACI_PRODAJA!$A:$A,0)),0)</f>
        <v>7</v>
      </c>
      <c r="T156" s="23" t="n">
        <f aca="false">IFERROR(INDEX(PODACI_PRODAJA!C:C,MATCH($A156,PODACI_PRODAJA!$A:$A,0)),0)</f>
        <v>15</v>
      </c>
      <c r="U156" s="23" t="n">
        <f aca="false">IFERROR(INDEX(PODACI_PRODAJA!D:D,MATCH($A156,PODACI_PRODAJA!$A:$A,0)),0)</f>
        <v>19</v>
      </c>
      <c r="V156" s="23" t="n">
        <f aca="false">IFERROR(INDEX(PODACI_PRODAJA!E:E,MATCH($A156,PODACI_PRODAJA!$A:$A,0)),0)</f>
        <v>17</v>
      </c>
      <c r="W156" s="23" t="n">
        <f aca="false">IFERROR(INDEX(PODACI_PRODAJA!F:F,MATCH($A156,PODACI_PRODAJA!$A:$A,0)),0)</f>
        <v>10</v>
      </c>
      <c r="X156" s="23" t="n">
        <f aca="false">IFERROR(INDEX(PODACI_PRODAJA!G:G,MATCH($A156,PODACI_PRODAJA!$A:$A,0)),0)</f>
        <v>24</v>
      </c>
      <c r="Y156" s="23" t="n">
        <f aca="false">IFERROR(INDEX(PODACI_PRODAJA!H:H,MATCH($A156,PODACI_PRODAJA!$A:$A,0)),0)</f>
        <v>8</v>
      </c>
      <c r="Z156" s="23" t="n">
        <f aca="false">IFERROR(INDEX(PODACI_PRODAJA!I:I,MATCH($A156,PODACI_PRODAJA!$A:$A,0)),0)</f>
        <v>9</v>
      </c>
      <c r="AA156" s="23" t="n">
        <f aca="false">IFERROR(INDEX(PODACI_PRODAJA!J:J,MATCH($A156,PODACI_PRODAJA!$A:$A,0)),0)</f>
        <v>0</v>
      </c>
      <c r="AB156" s="23" t="n">
        <f aca="false">IFERROR(INDEX(PODACI_PRODAJA!K:K,MATCH($A156,PODACI_PRODAJA!$A:$A,0)),0)</f>
        <v>0</v>
      </c>
      <c r="AC156" s="23" t="n">
        <f aca="false">IFERROR(INDEX(PODACI_PRODAJA!L:L,MATCH($A156,PODACI_PRODAJA!$A:$A,0)),0)</f>
        <v>0</v>
      </c>
      <c r="AD156" s="23" t="n">
        <f aca="false">IFERROR(INDEX(PODACI_PRODAJA!M:M,MATCH($A156,PODACI_PRODAJA!$A:$A,0)),0)</f>
        <v>0</v>
      </c>
    </row>
    <row r="157" customFormat="false" ht="15" hidden="false" customHeight="false" outlineLevel="0" collapsed="false">
      <c r="A157" s="11" t="str">
        <f aca="false">PODACI_ZALIHE!A154</f>
        <v>16968</v>
      </c>
      <c r="B157" s="8" t="str">
        <f aca="false">PODACI_ZALIHE!B154</f>
        <v>CLEAR WALL 120 CHROME TUŠ VRATA 1200x1950 mm</v>
      </c>
      <c r="C157" s="9" t="str">
        <f aca="false">PODACI_ZALIHE!C154</f>
        <v>6163</v>
      </c>
      <c r="D157" s="8" t="str">
        <f aca="false">PODACI_ZALIHE!D154</f>
        <v>HANGZHOU TIANMEI INDUSTRY CO.,LTD</v>
      </c>
      <c r="E157" s="19" t="n">
        <f aca="false">IF(PODACI_ZALIHE!E154="","",PODACI_ZALIHE!E154)</f>
        <v>52</v>
      </c>
      <c r="F157" s="20" t="n">
        <f aca="false">PODACI_ZALIHE!F154</f>
        <v>51</v>
      </c>
      <c r="G157" s="19" t="n">
        <f aca="false">IF(E157="","",E157-F157)</f>
        <v>1</v>
      </c>
      <c r="H157" s="9" t="n">
        <f aca="false">PODACI_PRODAJA!N205</f>
        <v>2.88</v>
      </c>
      <c r="I157" s="21" t="n">
        <f aca="false">IF(H157&lt;=0,999,ROUND(F157/H157,1))</f>
        <v>17.7</v>
      </c>
      <c r="J157" s="9" t="n">
        <f aca="false">SUMIFS(ROBA_U_DOLASKU!$C$6:$C$95,ROBA_U_DOLASKU!$A$6:$A$95,A157,ROBA_U_DOLASKU!$H$6:$H$95,1)</f>
        <v>0</v>
      </c>
      <c r="K157" s="9" t="n">
        <f aca="false">SUMIFS(ROBA_U_DOLASKU!$B$6:$B$95,ROBA_U_DOLASKU!$A$6:$A$95,A157,ROBA_U_DOLASKU!$H$6:$H$95,1)</f>
        <v>0</v>
      </c>
      <c r="L157" s="9" t="n">
        <f aca="false">SUMIFS(ROBA_U_DOLASKU!$C$6:$C$95,ROBA_U_DOLASKU!$A$6:$A$95,A157,ROBA_U_DOLASKU!$H$6:$H$95,2)</f>
        <v>0</v>
      </c>
      <c r="M157" s="9" t="n">
        <f aca="false">SUMIFS(ROBA_U_DOLASKU!$B$6:$B$95,ROBA_U_DOLASKU!$A$6:$A$95,A157,ROBA_U_DOLASKU!$H$6:$H$95,2)</f>
        <v>0</v>
      </c>
      <c r="N157" s="9" t="n">
        <f aca="false">SUMIFS(ROBA_U_DOLASKU!$C$6:$C$95,ROBA_U_DOLASKU!$A$6:$A$95,A157,ROBA_U_DOLASKU!$H$6:$H$95,3)</f>
        <v>0</v>
      </c>
      <c r="O157" s="9" t="n">
        <f aca="false">SUMIFS(ROBA_U_DOLASKU!$B$6:$B$95,ROBA_U_DOLASKU!$A$6:$A$95,A157,ROBA_U_DOLASKU!$H$6:$H$95,3)</f>
        <v>0</v>
      </c>
      <c r="P157" s="9" t="n">
        <f aca="false">IF(H157&lt;=0,999,IF(O157&gt;0,ROUND((F157-H157*N157+K157+M157+O157)/H157,1),IF(M157&gt;0,ROUND((F157-H157*L157+K157+M157)/H157,1),IF(K157&gt;0,ROUND((F157-H157*J157+K157)/H157,1),I157))))</f>
        <v>17.7</v>
      </c>
      <c r="Q157" s="22" t="str">
        <f aca="false">IF(H157&lt;=0,"Nema prodaje",IF(AND(K157=0,M157=0,O157=0),IF(I157&lt;POSTAVKE!$B$6,"Naruči odmah","Sve u redu"),IF(F157-H157*J157&lt;0,"Rupa za ~"&amp;TEXT(I157,"0.0")&amp;" mj.",IF(AND(M157&gt;0,F157-H157*L157+K157&lt;0),"Rupa nakon 1. dolaska",IF(AND(O157&gt;0,F157-H157*N157+K157+M157&lt;0),"Rupa nakon 2. dolaska",IF(P157&lt;POSTAVKE!$B$6,"Količina nije dovoljna",IF(I157&gt;=POSTAVKE!$B$6,"Sve u redu","Stiže na vrijeme")))))))</f>
        <v>Sve u redu</v>
      </c>
      <c r="S157" s="23" t="n">
        <f aca="false">IFERROR(INDEX(PODACI_PRODAJA!B:B,MATCH($A157,PODACI_PRODAJA!$A:$A,0)),0)</f>
        <v>2</v>
      </c>
      <c r="T157" s="23" t="n">
        <f aca="false">IFERROR(INDEX(PODACI_PRODAJA!C:C,MATCH($A157,PODACI_PRODAJA!$A:$A,0)),0)</f>
        <v>4</v>
      </c>
      <c r="U157" s="23" t="n">
        <f aca="false">IFERROR(INDEX(PODACI_PRODAJA!D:D,MATCH($A157,PODACI_PRODAJA!$A:$A,0)),0)</f>
        <v>4</v>
      </c>
      <c r="V157" s="23" t="n">
        <f aca="false">IFERROR(INDEX(PODACI_PRODAJA!E:E,MATCH($A157,PODACI_PRODAJA!$A:$A,0)),0)</f>
        <v>1</v>
      </c>
      <c r="W157" s="23" t="n">
        <f aca="false">IFERROR(INDEX(PODACI_PRODAJA!F:F,MATCH($A157,PODACI_PRODAJA!$A:$A,0)),0)</f>
        <v>1</v>
      </c>
      <c r="X157" s="23" t="n">
        <f aca="false">IFERROR(INDEX(PODACI_PRODAJA!G:G,MATCH($A157,PODACI_PRODAJA!$A:$A,0)),0)</f>
        <v>4</v>
      </c>
      <c r="Y157" s="23" t="n">
        <f aca="false">IFERROR(INDEX(PODACI_PRODAJA!H:H,MATCH($A157,PODACI_PRODAJA!$A:$A,0)),0)</f>
        <v>5</v>
      </c>
      <c r="Z157" s="23" t="n">
        <f aca="false">IFERROR(INDEX(PODACI_PRODAJA!I:I,MATCH($A157,PODACI_PRODAJA!$A:$A,0)),0)</f>
        <v>2</v>
      </c>
      <c r="AA157" s="23" t="n">
        <f aca="false">IFERROR(INDEX(PODACI_PRODAJA!J:J,MATCH($A157,PODACI_PRODAJA!$A:$A,0)),0)</f>
        <v>0</v>
      </c>
      <c r="AB157" s="23" t="n">
        <f aca="false">IFERROR(INDEX(PODACI_PRODAJA!K:K,MATCH($A157,PODACI_PRODAJA!$A:$A,0)),0)</f>
        <v>0</v>
      </c>
      <c r="AC157" s="23" t="n">
        <f aca="false">IFERROR(INDEX(PODACI_PRODAJA!L:L,MATCH($A157,PODACI_PRODAJA!$A:$A,0)),0)</f>
        <v>0</v>
      </c>
      <c r="AD157" s="23" t="n">
        <f aca="false">IFERROR(INDEX(PODACI_PRODAJA!M:M,MATCH($A157,PODACI_PRODAJA!$A:$A,0)),0)</f>
        <v>0</v>
      </c>
    </row>
    <row r="158" customFormat="false" ht="15" hidden="false" customHeight="false" outlineLevel="0" collapsed="false">
      <c r="A158" s="11" t="str">
        <f aca="false">PODACI_ZALIHE!A155</f>
        <v>18001</v>
      </c>
      <c r="B158" s="8" t="str">
        <f aca="false">PODACI_ZALIHE!B155</f>
        <v>VETRO CR TRS 6mm ECO TUŠ STIJENA 90x200</v>
      </c>
      <c r="C158" s="9" t="str">
        <f aca="false">PODACI_ZALIHE!C155</f>
        <v>6762</v>
      </c>
      <c r="D158" s="8" t="str">
        <f aca="false">PODACI_ZALIHE!D155</f>
        <v>ZHEJIANG QUICKLINE SHOWERING CO., LTD.</v>
      </c>
      <c r="E158" s="19" t="n">
        <f aca="false">IF(PODACI_ZALIHE!E155="","",PODACI_ZALIHE!E155)</f>
        <v>51</v>
      </c>
      <c r="F158" s="20" t="n">
        <f aca="false">PODACI_ZALIHE!F155</f>
        <v>51</v>
      </c>
      <c r="G158" s="19" t="n">
        <f aca="false">IF(E158="","",E158-F158)</f>
        <v>0</v>
      </c>
      <c r="H158" s="9" t="n">
        <f aca="false">PODACI_PRODAJA!N642</f>
        <v>5.5</v>
      </c>
      <c r="I158" s="21" t="n">
        <f aca="false">IF(H158&lt;=0,999,ROUND(F158/H158,1))</f>
        <v>9.3</v>
      </c>
      <c r="J158" s="9" t="n">
        <f aca="false">SUMIFS(ROBA_U_DOLASKU!$C$6:$C$95,ROBA_U_DOLASKU!$A$6:$A$95,A158,ROBA_U_DOLASKU!$H$6:$H$95,1)</f>
        <v>0</v>
      </c>
      <c r="K158" s="9" t="n">
        <f aca="false">SUMIFS(ROBA_U_DOLASKU!$B$6:$B$95,ROBA_U_DOLASKU!$A$6:$A$95,A158,ROBA_U_DOLASKU!$H$6:$H$95,1)</f>
        <v>0</v>
      </c>
      <c r="L158" s="9" t="n">
        <f aca="false">SUMIFS(ROBA_U_DOLASKU!$C$6:$C$95,ROBA_U_DOLASKU!$A$6:$A$95,A158,ROBA_U_DOLASKU!$H$6:$H$95,2)</f>
        <v>0</v>
      </c>
      <c r="M158" s="9" t="n">
        <f aca="false">SUMIFS(ROBA_U_DOLASKU!$B$6:$B$95,ROBA_U_DOLASKU!$A$6:$A$95,A158,ROBA_U_DOLASKU!$H$6:$H$95,2)</f>
        <v>0</v>
      </c>
      <c r="N158" s="9" t="n">
        <f aca="false">SUMIFS(ROBA_U_DOLASKU!$C$6:$C$95,ROBA_U_DOLASKU!$A$6:$A$95,A158,ROBA_U_DOLASKU!$H$6:$H$95,3)</f>
        <v>0</v>
      </c>
      <c r="O158" s="9" t="n">
        <f aca="false">SUMIFS(ROBA_U_DOLASKU!$B$6:$B$95,ROBA_U_DOLASKU!$A$6:$A$95,A158,ROBA_U_DOLASKU!$H$6:$H$95,3)</f>
        <v>0</v>
      </c>
      <c r="P158" s="9" t="n">
        <f aca="false">IF(H158&lt;=0,999,IF(O158&gt;0,ROUND((F158-H158*N158+K158+M158+O158)/H158,1),IF(M158&gt;0,ROUND((F158-H158*L158+K158+M158)/H158,1),IF(K158&gt;0,ROUND((F158-H158*J158+K158)/H158,1),I158))))</f>
        <v>9.3</v>
      </c>
      <c r="Q158" s="22" t="str">
        <f aca="false">IF(H158&lt;=0,"Nema prodaje",IF(AND(K158=0,M158=0,O158=0),IF(I158&lt;POSTAVKE!$B$6,"Naruči odmah","Sve u redu"),IF(F158-H158*J158&lt;0,"Rupa za ~"&amp;TEXT(I158,"0.0")&amp;" mj.",IF(AND(M158&gt;0,F158-H158*L158+K158&lt;0),"Rupa nakon 1. dolaska",IF(AND(O158&gt;0,F158-H158*N158+K158+M158&lt;0),"Rupa nakon 2. dolaska",IF(P158&lt;POSTAVKE!$B$6,"Količina nije dovoljna",IF(I158&gt;=POSTAVKE!$B$6,"Sve u redu","Stiže na vrijeme")))))))</f>
        <v>Sve u redu</v>
      </c>
      <c r="S158" s="23" t="n">
        <f aca="false">IFERROR(INDEX(PODACI_PRODAJA!B:B,MATCH($A158,PODACI_PRODAJA!$A:$A,0)),0)</f>
        <v>0</v>
      </c>
      <c r="T158" s="23" t="n">
        <f aca="false">IFERROR(INDEX(PODACI_PRODAJA!C:C,MATCH($A158,PODACI_PRODAJA!$A:$A,0)),0)</f>
        <v>0</v>
      </c>
      <c r="U158" s="23" t="n">
        <f aca="false">IFERROR(INDEX(PODACI_PRODAJA!D:D,MATCH($A158,PODACI_PRODAJA!$A:$A,0)),0)</f>
        <v>42</v>
      </c>
      <c r="V158" s="23" t="n">
        <f aca="false">IFERROR(INDEX(PODACI_PRODAJA!E:E,MATCH($A158,PODACI_PRODAJA!$A:$A,0)),0)</f>
        <v>0</v>
      </c>
      <c r="W158" s="23" t="n">
        <f aca="false">IFERROR(INDEX(PODACI_PRODAJA!F:F,MATCH($A158,PODACI_PRODAJA!$A:$A,0)),0)</f>
        <v>0</v>
      </c>
      <c r="X158" s="23" t="n">
        <f aca="false">IFERROR(INDEX(PODACI_PRODAJA!G:G,MATCH($A158,PODACI_PRODAJA!$A:$A,0)),0)</f>
        <v>2</v>
      </c>
      <c r="Y158" s="23" t="n">
        <f aca="false">IFERROR(INDEX(PODACI_PRODAJA!H:H,MATCH($A158,PODACI_PRODAJA!$A:$A,0)),0)</f>
        <v>0</v>
      </c>
      <c r="Z158" s="23" t="n">
        <f aca="false">IFERROR(INDEX(PODACI_PRODAJA!I:I,MATCH($A158,PODACI_PRODAJA!$A:$A,0)),0)</f>
        <v>0</v>
      </c>
      <c r="AA158" s="23" t="n">
        <f aca="false">IFERROR(INDEX(PODACI_PRODAJA!J:J,MATCH($A158,PODACI_PRODAJA!$A:$A,0)),0)</f>
        <v>0</v>
      </c>
      <c r="AB158" s="23" t="n">
        <f aca="false">IFERROR(INDEX(PODACI_PRODAJA!K:K,MATCH($A158,PODACI_PRODAJA!$A:$A,0)),0)</f>
        <v>0</v>
      </c>
      <c r="AC158" s="23" t="n">
        <f aca="false">IFERROR(INDEX(PODACI_PRODAJA!L:L,MATCH($A158,PODACI_PRODAJA!$A:$A,0)),0)</f>
        <v>0</v>
      </c>
      <c r="AD158" s="23" t="n">
        <f aca="false">IFERROR(INDEX(PODACI_PRODAJA!M:M,MATCH($A158,PODACI_PRODAJA!$A:$A,0)),0)</f>
        <v>0</v>
      </c>
    </row>
    <row r="159" customFormat="false" ht="15" hidden="false" customHeight="false" outlineLevel="0" collapsed="false">
      <c r="A159" s="11" t="str">
        <f aca="false">PODACI_ZALIHE!A156</f>
        <v>18008</v>
      </c>
      <c r="B159" s="8" t="str">
        <f aca="false">PODACI_ZALIHE!B156</f>
        <v>VETRO CR TRS 6mm ECO TUŠ STIJENA 160x200</v>
      </c>
      <c r="C159" s="9" t="str">
        <f aca="false">PODACI_ZALIHE!C156</f>
        <v>6762</v>
      </c>
      <c r="D159" s="8" t="str">
        <f aca="false">PODACI_ZALIHE!D156</f>
        <v>ZHEJIANG QUICKLINE SHOWERING CO., LTD.</v>
      </c>
      <c r="E159" s="19" t="n">
        <f aca="false">IF(PODACI_ZALIHE!E156="","",PODACI_ZALIHE!E156)</f>
        <v>51</v>
      </c>
      <c r="F159" s="20" t="n">
        <f aca="false">PODACI_ZALIHE!F156</f>
        <v>51</v>
      </c>
      <c r="G159" s="19" t="n">
        <f aca="false">IF(E159="","",E159-F159)</f>
        <v>0</v>
      </c>
      <c r="H159" s="9" t="n">
        <f aca="false">PODACI_PRODAJA!N649</f>
        <v>4.88</v>
      </c>
      <c r="I159" s="21" t="n">
        <f aca="false">IF(H159&lt;=0,999,ROUND(F159/H159,1))</f>
        <v>10.5</v>
      </c>
      <c r="J159" s="9" t="n">
        <f aca="false">SUMIFS(ROBA_U_DOLASKU!$C$6:$C$95,ROBA_U_DOLASKU!$A$6:$A$95,A159,ROBA_U_DOLASKU!$H$6:$H$95,1)</f>
        <v>0</v>
      </c>
      <c r="K159" s="9" t="n">
        <f aca="false">SUMIFS(ROBA_U_DOLASKU!$B$6:$B$95,ROBA_U_DOLASKU!$A$6:$A$95,A159,ROBA_U_DOLASKU!$H$6:$H$95,1)</f>
        <v>0</v>
      </c>
      <c r="L159" s="9" t="n">
        <f aca="false">SUMIFS(ROBA_U_DOLASKU!$C$6:$C$95,ROBA_U_DOLASKU!$A$6:$A$95,A159,ROBA_U_DOLASKU!$H$6:$H$95,2)</f>
        <v>0</v>
      </c>
      <c r="M159" s="9" t="n">
        <f aca="false">SUMIFS(ROBA_U_DOLASKU!$B$6:$B$95,ROBA_U_DOLASKU!$A$6:$A$95,A159,ROBA_U_DOLASKU!$H$6:$H$95,2)</f>
        <v>0</v>
      </c>
      <c r="N159" s="9" t="n">
        <f aca="false">SUMIFS(ROBA_U_DOLASKU!$C$6:$C$95,ROBA_U_DOLASKU!$A$6:$A$95,A159,ROBA_U_DOLASKU!$H$6:$H$95,3)</f>
        <v>0</v>
      </c>
      <c r="O159" s="9" t="n">
        <f aca="false">SUMIFS(ROBA_U_DOLASKU!$B$6:$B$95,ROBA_U_DOLASKU!$A$6:$A$95,A159,ROBA_U_DOLASKU!$H$6:$H$95,3)</f>
        <v>0</v>
      </c>
      <c r="P159" s="9" t="n">
        <f aca="false">IF(H159&lt;=0,999,IF(O159&gt;0,ROUND((F159-H159*N159+K159+M159+O159)/H159,1),IF(M159&gt;0,ROUND((F159-H159*L159+K159+M159)/H159,1),IF(K159&gt;0,ROUND((F159-H159*J159+K159)/H159,1),I159))))</f>
        <v>10.5</v>
      </c>
      <c r="Q159" s="22" t="str">
        <f aca="false">IF(H159&lt;=0,"Nema prodaje",IF(AND(K159=0,M159=0,O159=0),IF(I159&lt;POSTAVKE!$B$6,"Naruči odmah","Sve u redu"),IF(F159-H159*J159&lt;0,"Rupa za ~"&amp;TEXT(I159,"0.0")&amp;" mj.",IF(AND(M159&gt;0,F159-H159*L159+K159&lt;0),"Rupa nakon 1. dolaska",IF(AND(O159&gt;0,F159-H159*N159+K159+M159&lt;0),"Rupa nakon 2. dolaska",IF(P159&lt;POSTAVKE!$B$6,"Količina nije dovoljna",IF(I159&gt;=POSTAVKE!$B$6,"Sve u redu","Stiže na vrijeme")))))))</f>
        <v>Sve u redu</v>
      </c>
      <c r="S159" s="23" t="n">
        <f aca="false">IFERROR(INDEX(PODACI_PRODAJA!B:B,MATCH($A159,PODACI_PRODAJA!$A:$A,0)),0)</f>
        <v>0</v>
      </c>
      <c r="T159" s="23" t="n">
        <f aca="false">IFERROR(INDEX(PODACI_PRODAJA!C:C,MATCH($A159,PODACI_PRODAJA!$A:$A,0)),0)</f>
        <v>0</v>
      </c>
      <c r="U159" s="23" t="n">
        <f aca="false">IFERROR(INDEX(PODACI_PRODAJA!D:D,MATCH($A159,PODACI_PRODAJA!$A:$A,0)),0)</f>
        <v>23</v>
      </c>
      <c r="V159" s="23" t="n">
        <f aca="false">IFERROR(INDEX(PODACI_PRODAJA!E:E,MATCH($A159,PODACI_PRODAJA!$A:$A,0)),0)</f>
        <v>0</v>
      </c>
      <c r="W159" s="23" t="n">
        <f aca="false">IFERROR(INDEX(PODACI_PRODAJA!F:F,MATCH($A159,PODACI_PRODAJA!$A:$A,0)),0)</f>
        <v>8</v>
      </c>
      <c r="X159" s="23" t="n">
        <f aca="false">IFERROR(INDEX(PODACI_PRODAJA!G:G,MATCH($A159,PODACI_PRODAJA!$A:$A,0)),0)</f>
        <v>8</v>
      </c>
      <c r="Y159" s="23" t="n">
        <f aca="false">IFERROR(INDEX(PODACI_PRODAJA!H:H,MATCH($A159,PODACI_PRODAJA!$A:$A,0)),0)</f>
        <v>0</v>
      </c>
      <c r="Z159" s="23" t="n">
        <f aca="false">IFERROR(INDEX(PODACI_PRODAJA!I:I,MATCH($A159,PODACI_PRODAJA!$A:$A,0)),0)</f>
        <v>0</v>
      </c>
      <c r="AA159" s="23" t="n">
        <f aca="false">IFERROR(INDEX(PODACI_PRODAJA!J:J,MATCH($A159,PODACI_PRODAJA!$A:$A,0)),0)</f>
        <v>0</v>
      </c>
      <c r="AB159" s="23" t="n">
        <f aca="false">IFERROR(INDEX(PODACI_PRODAJA!K:K,MATCH($A159,PODACI_PRODAJA!$A:$A,0)),0)</f>
        <v>0</v>
      </c>
      <c r="AC159" s="23" t="n">
        <f aca="false">IFERROR(INDEX(PODACI_PRODAJA!L:L,MATCH($A159,PODACI_PRODAJA!$A:$A,0)),0)</f>
        <v>0</v>
      </c>
      <c r="AD159" s="23" t="n">
        <f aca="false">IFERROR(INDEX(PODACI_PRODAJA!M:M,MATCH($A159,PODACI_PRODAJA!$A:$A,0)),0)</f>
        <v>0</v>
      </c>
    </row>
    <row r="160" customFormat="false" ht="15" hidden="false" customHeight="false" outlineLevel="0" collapsed="false">
      <c r="A160" s="11" t="str">
        <f aca="false">PODACI_ZALIHE!A157</f>
        <v>002341</v>
      </c>
      <c r="B160" s="8" t="str">
        <f aca="false">PODACI_ZALIHE!B157</f>
        <v>ESSEN MIJEŠALICA ZA SUDOPER H 14,2 cm</v>
      </c>
      <c r="C160" s="9" t="str">
        <f aca="false">PODACI_ZALIHE!C157</f>
        <v>6022</v>
      </c>
      <c r="D160" s="8" t="str">
        <f aca="false">PODACI_ZALIHE!D157</f>
        <v>RUIAN HAIBA SANITARY CO.,LTD</v>
      </c>
      <c r="E160" s="19" t="n">
        <f aca="false">IF(PODACI_ZALIHE!E157="","",PODACI_ZALIHE!E157)</f>
        <v>50</v>
      </c>
      <c r="F160" s="20" t="n">
        <f aca="false">PODACI_ZALIHE!F157</f>
        <v>50</v>
      </c>
      <c r="G160" s="19" t="n">
        <f aca="false">IF(E160="","",E160-F160)</f>
        <v>0</v>
      </c>
      <c r="H160" s="9" t="n">
        <f aca="false">PODACI_PRODAJA!N221</f>
        <v>1.13</v>
      </c>
      <c r="I160" s="21" t="n">
        <f aca="false">IF(H160&lt;=0,999,ROUND(F160/H160,1))</f>
        <v>44.2</v>
      </c>
      <c r="J160" s="9" t="n">
        <f aca="false">SUMIFS(ROBA_U_DOLASKU!$C$6:$C$95,ROBA_U_DOLASKU!$A$6:$A$95,A160,ROBA_U_DOLASKU!$H$6:$H$95,1)</f>
        <v>0</v>
      </c>
      <c r="K160" s="9" t="n">
        <f aca="false">SUMIFS(ROBA_U_DOLASKU!$B$6:$B$95,ROBA_U_DOLASKU!$A$6:$A$95,A160,ROBA_U_DOLASKU!$H$6:$H$95,1)</f>
        <v>0</v>
      </c>
      <c r="L160" s="9" t="n">
        <f aca="false">SUMIFS(ROBA_U_DOLASKU!$C$6:$C$95,ROBA_U_DOLASKU!$A$6:$A$95,A160,ROBA_U_DOLASKU!$H$6:$H$95,2)</f>
        <v>0</v>
      </c>
      <c r="M160" s="9" t="n">
        <f aca="false">SUMIFS(ROBA_U_DOLASKU!$B$6:$B$95,ROBA_U_DOLASKU!$A$6:$A$95,A160,ROBA_U_DOLASKU!$H$6:$H$95,2)</f>
        <v>0</v>
      </c>
      <c r="N160" s="9" t="n">
        <f aca="false">SUMIFS(ROBA_U_DOLASKU!$C$6:$C$95,ROBA_U_DOLASKU!$A$6:$A$95,A160,ROBA_U_DOLASKU!$H$6:$H$95,3)</f>
        <v>0</v>
      </c>
      <c r="O160" s="9" t="n">
        <f aca="false">SUMIFS(ROBA_U_DOLASKU!$B$6:$B$95,ROBA_U_DOLASKU!$A$6:$A$95,A160,ROBA_U_DOLASKU!$H$6:$H$95,3)</f>
        <v>0</v>
      </c>
      <c r="P160" s="9" t="n">
        <f aca="false">IF(H160&lt;=0,999,IF(O160&gt;0,ROUND((F160-H160*N160+K160+M160+O160)/H160,1),IF(M160&gt;0,ROUND((F160-H160*L160+K160+M160)/H160,1),IF(K160&gt;0,ROUND((F160-H160*J160+K160)/H160,1),I160))))</f>
        <v>44.2</v>
      </c>
      <c r="Q160" s="22" t="str">
        <f aca="false">IF(H160&lt;=0,"Nema prodaje",IF(AND(K160=0,M160=0,O160=0),IF(I160&lt;POSTAVKE!$B$6,"Naruči odmah","Sve u redu"),IF(F160-H160*J160&lt;0,"Rupa za ~"&amp;TEXT(I160,"0.0")&amp;" mj.",IF(AND(M160&gt;0,F160-H160*L160+K160&lt;0),"Rupa nakon 1. dolaska",IF(AND(O160&gt;0,F160-H160*N160+K160+M160&lt;0),"Rupa nakon 2. dolaska",IF(P160&lt;POSTAVKE!$B$6,"Količina nije dovoljna",IF(I160&gt;=POSTAVKE!$B$6,"Sve u redu","Stiže na vrijeme")))))))</f>
        <v>Sve u redu</v>
      </c>
      <c r="S160" s="23" t="n">
        <f aca="false">IFERROR(INDEX(PODACI_PRODAJA!B:B,MATCH($A160,PODACI_PRODAJA!$A:$A,0)),0)</f>
        <v>1</v>
      </c>
      <c r="T160" s="23" t="n">
        <f aca="false">IFERROR(INDEX(PODACI_PRODAJA!C:C,MATCH($A160,PODACI_PRODAJA!$A:$A,0)),0)</f>
        <v>0</v>
      </c>
      <c r="U160" s="23" t="n">
        <f aca="false">IFERROR(INDEX(PODACI_PRODAJA!D:D,MATCH($A160,PODACI_PRODAJA!$A:$A,0)),0)</f>
        <v>2</v>
      </c>
      <c r="V160" s="23" t="n">
        <f aca="false">IFERROR(INDEX(PODACI_PRODAJA!E:E,MATCH($A160,PODACI_PRODAJA!$A:$A,0)),0)</f>
        <v>0</v>
      </c>
      <c r="W160" s="23" t="n">
        <f aca="false">IFERROR(INDEX(PODACI_PRODAJA!F:F,MATCH($A160,PODACI_PRODAJA!$A:$A,0)),0)</f>
        <v>0</v>
      </c>
      <c r="X160" s="23" t="n">
        <f aca="false">IFERROR(INDEX(PODACI_PRODAJA!G:G,MATCH($A160,PODACI_PRODAJA!$A:$A,0)),0)</f>
        <v>0</v>
      </c>
      <c r="Y160" s="23" t="n">
        <f aca="false">IFERROR(INDEX(PODACI_PRODAJA!H:H,MATCH($A160,PODACI_PRODAJA!$A:$A,0)),0)</f>
        <v>6</v>
      </c>
      <c r="Z160" s="23" t="n">
        <f aca="false">IFERROR(INDEX(PODACI_PRODAJA!I:I,MATCH($A160,PODACI_PRODAJA!$A:$A,0)),0)</f>
        <v>0</v>
      </c>
      <c r="AA160" s="23" t="n">
        <f aca="false">IFERROR(INDEX(PODACI_PRODAJA!J:J,MATCH($A160,PODACI_PRODAJA!$A:$A,0)),0)</f>
        <v>0</v>
      </c>
      <c r="AB160" s="23" t="n">
        <f aca="false">IFERROR(INDEX(PODACI_PRODAJA!K:K,MATCH($A160,PODACI_PRODAJA!$A:$A,0)),0)</f>
        <v>0</v>
      </c>
      <c r="AC160" s="23" t="n">
        <f aca="false">IFERROR(INDEX(PODACI_PRODAJA!L:L,MATCH($A160,PODACI_PRODAJA!$A:$A,0)),0)</f>
        <v>0</v>
      </c>
      <c r="AD160" s="23" t="n">
        <f aca="false">IFERROR(INDEX(PODACI_PRODAJA!M:M,MATCH($A160,PODACI_PRODAJA!$A:$A,0)),0)</f>
        <v>0</v>
      </c>
    </row>
    <row r="161" customFormat="false" ht="15" hidden="false" customHeight="false" outlineLevel="0" collapsed="false">
      <c r="A161" s="11" t="str">
        <f aca="false">PODACI_ZALIHE!A158</f>
        <v>1584505-00</v>
      </c>
      <c r="B161" s="8" t="str">
        <f aca="false">PODACI_ZALIHE!B158</f>
        <v>KLUDI KUTNI VENTIL KERAMIČKA KARTUŠA 1/2" X 3/8"</v>
      </c>
      <c r="C161" s="9" t="str">
        <f aca="false">PODACI_ZALIHE!C158</f>
        <v>7485</v>
      </c>
      <c r="D161" s="8" t="str">
        <f aca="false">PODACI_ZALIHE!D158</f>
        <v>KLUDI GmbH &amp; Co. KG.,</v>
      </c>
      <c r="E161" s="19" t="n">
        <f aca="false">IF(PODACI_ZALIHE!E158="","",PODACI_ZALIHE!E158)</f>
        <v>50</v>
      </c>
      <c r="F161" s="20" t="n">
        <f aca="false">PODACI_ZALIHE!F158</f>
        <v>50</v>
      </c>
      <c r="G161" s="19" t="n">
        <f aca="false">IF(E161="","",E161-F161)</f>
        <v>0</v>
      </c>
      <c r="H161" s="9" t="n">
        <f aca="false">PODACI_PRODAJA!N542</f>
        <v>0</v>
      </c>
      <c r="I161" s="21" t="n">
        <f aca="false">IF(H161&lt;=0,999,ROUND(F161/H161,1))</f>
        <v>999</v>
      </c>
      <c r="J161" s="9" t="n">
        <f aca="false">SUMIFS(ROBA_U_DOLASKU!$C$6:$C$95,ROBA_U_DOLASKU!$A$6:$A$95,A161,ROBA_U_DOLASKU!$H$6:$H$95,1)</f>
        <v>0</v>
      </c>
      <c r="K161" s="9" t="n">
        <f aca="false">SUMIFS(ROBA_U_DOLASKU!$B$6:$B$95,ROBA_U_DOLASKU!$A$6:$A$95,A161,ROBA_U_DOLASKU!$H$6:$H$95,1)</f>
        <v>0</v>
      </c>
      <c r="L161" s="9" t="n">
        <f aca="false">SUMIFS(ROBA_U_DOLASKU!$C$6:$C$95,ROBA_U_DOLASKU!$A$6:$A$95,A161,ROBA_U_DOLASKU!$H$6:$H$95,2)</f>
        <v>0</v>
      </c>
      <c r="M161" s="9" t="n">
        <f aca="false">SUMIFS(ROBA_U_DOLASKU!$B$6:$B$95,ROBA_U_DOLASKU!$A$6:$A$95,A161,ROBA_U_DOLASKU!$H$6:$H$95,2)</f>
        <v>0</v>
      </c>
      <c r="N161" s="9" t="n">
        <f aca="false">SUMIFS(ROBA_U_DOLASKU!$C$6:$C$95,ROBA_U_DOLASKU!$A$6:$A$95,A161,ROBA_U_DOLASKU!$H$6:$H$95,3)</f>
        <v>0</v>
      </c>
      <c r="O161" s="9" t="n">
        <f aca="false">SUMIFS(ROBA_U_DOLASKU!$B$6:$B$95,ROBA_U_DOLASKU!$A$6:$A$95,A161,ROBA_U_DOLASKU!$H$6:$H$95,3)</f>
        <v>0</v>
      </c>
      <c r="P161" s="9" t="n">
        <f aca="false">IF(H161&lt;=0,999,IF(O161&gt;0,ROUND((F161-H161*N161+K161+M161+O161)/H161,1),IF(M161&gt;0,ROUND((F161-H161*L161+K161+M161)/H161,1),IF(K161&gt;0,ROUND((F161-H161*J161+K161)/H161,1),I161))))</f>
        <v>999</v>
      </c>
      <c r="Q161" s="22" t="str">
        <f aca="false">IF(H161&lt;=0,"Nema prodaje",IF(AND(K161=0,M161=0,O161=0),IF(I161&lt;POSTAVKE!$B$6,"Naruči odmah","Sve u redu"),IF(F161-H161*J161&lt;0,"Rupa za ~"&amp;TEXT(I161,"0.0")&amp;" mj.",IF(AND(M161&gt;0,F161-H161*L161+K161&lt;0),"Rupa nakon 1. dolaska",IF(AND(O161&gt;0,F161-H161*N161+K161+M161&lt;0),"Rupa nakon 2. dolaska",IF(P161&lt;POSTAVKE!$B$6,"Količina nije dovoljna",IF(I161&gt;=POSTAVKE!$B$6,"Sve u redu","Stiže na vrijeme")))))))</f>
        <v>Nema prodaje</v>
      </c>
      <c r="S161" s="23" t="n">
        <f aca="false">IFERROR(INDEX(PODACI_PRODAJA!B:B,MATCH($A161,PODACI_PRODAJA!$A:$A,0)),0)</f>
        <v>0</v>
      </c>
      <c r="T161" s="23" t="n">
        <f aca="false">IFERROR(INDEX(PODACI_PRODAJA!C:C,MATCH($A161,PODACI_PRODAJA!$A:$A,0)),0)</f>
        <v>0</v>
      </c>
      <c r="U161" s="23" t="n">
        <f aca="false">IFERROR(INDEX(PODACI_PRODAJA!D:D,MATCH($A161,PODACI_PRODAJA!$A:$A,0)),0)</f>
        <v>0</v>
      </c>
      <c r="V161" s="23" t="n">
        <f aca="false">IFERROR(INDEX(PODACI_PRODAJA!E:E,MATCH($A161,PODACI_PRODAJA!$A:$A,0)),0)</f>
        <v>0</v>
      </c>
      <c r="W161" s="23" t="n">
        <f aca="false">IFERROR(INDEX(PODACI_PRODAJA!F:F,MATCH($A161,PODACI_PRODAJA!$A:$A,0)),0)</f>
        <v>0</v>
      </c>
      <c r="X161" s="23" t="n">
        <f aca="false">IFERROR(INDEX(PODACI_PRODAJA!G:G,MATCH($A161,PODACI_PRODAJA!$A:$A,0)),0)</f>
        <v>0</v>
      </c>
      <c r="Y161" s="23" t="n">
        <f aca="false">IFERROR(INDEX(PODACI_PRODAJA!H:H,MATCH($A161,PODACI_PRODAJA!$A:$A,0)),0)</f>
        <v>0</v>
      </c>
      <c r="Z161" s="23" t="n">
        <f aca="false">IFERROR(INDEX(PODACI_PRODAJA!I:I,MATCH($A161,PODACI_PRODAJA!$A:$A,0)),0)</f>
        <v>0</v>
      </c>
      <c r="AA161" s="23" t="n">
        <f aca="false">IFERROR(INDEX(PODACI_PRODAJA!J:J,MATCH($A161,PODACI_PRODAJA!$A:$A,0)),0)</f>
        <v>0</v>
      </c>
      <c r="AB161" s="23" t="n">
        <f aca="false">IFERROR(INDEX(PODACI_PRODAJA!K:K,MATCH($A161,PODACI_PRODAJA!$A:$A,0)),0)</f>
        <v>0</v>
      </c>
      <c r="AC161" s="23" t="n">
        <f aca="false">IFERROR(INDEX(PODACI_PRODAJA!L:L,MATCH($A161,PODACI_PRODAJA!$A:$A,0)),0)</f>
        <v>0</v>
      </c>
      <c r="AD161" s="23" t="n">
        <f aca="false">IFERROR(INDEX(PODACI_PRODAJA!M:M,MATCH($A161,PODACI_PRODAJA!$A:$A,0)),0)</f>
        <v>0</v>
      </c>
    </row>
    <row r="162" customFormat="false" ht="15" hidden="false" customHeight="false" outlineLevel="0" collapsed="false">
      <c r="A162" s="11" t="str">
        <f aca="false">PODACI_ZALIHE!A159</f>
        <v>16852</v>
      </c>
      <c r="B162" s="8" t="str">
        <f aca="false">PODACI_ZALIHE!B159</f>
        <v>EVA 90 POLUKRUŽNA TUŠ KABINA 90x90x205 cm</v>
      </c>
      <c r="C162" s="9" t="str">
        <f aca="false">PODACI_ZALIHE!C159</f>
        <v>6163</v>
      </c>
      <c r="D162" s="8" t="str">
        <f aca="false">PODACI_ZALIHE!D159</f>
        <v>HANGZHOU TIANMEI INDUSTRY CO.,LTD</v>
      </c>
      <c r="E162" s="19" t="n">
        <f aca="false">IF(PODACI_ZALIHE!E159="","",PODACI_ZALIHE!E159)</f>
        <v>53</v>
      </c>
      <c r="F162" s="20" t="n">
        <f aca="false">PODACI_ZALIHE!F159</f>
        <v>50</v>
      </c>
      <c r="G162" s="19" t="n">
        <f aca="false">IF(E162="","",E162-F162)</f>
        <v>3</v>
      </c>
      <c r="H162" s="9" t="n">
        <f aca="false">PODACI_PRODAJA!N47</f>
        <v>14.63</v>
      </c>
      <c r="I162" s="21" t="n">
        <f aca="false">IF(H162&lt;=0,999,ROUND(F162/H162,1))</f>
        <v>3.4</v>
      </c>
      <c r="J162" s="9" t="n">
        <f aca="false">SUMIFS(ROBA_U_DOLASKU!$C$6:$C$95,ROBA_U_DOLASKU!$A$6:$A$95,A162,ROBA_U_DOLASKU!$H$6:$H$95,1)</f>
        <v>2.4</v>
      </c>
      <c r="K162" s="9" t="n">
        <f aca="false">SUMIFS(ROBA_U_DOLASKU!$B$6:$B$95,ROBA_U_DOLASKU!$A$6:$A$95,A162,ROBA_U_DOLASKU!$H$6:$H$95,1)</f>
        <v>30</v>
      </c>
      <c r="L162" s="9" t="n">
        <f aca="false">SUMIFS(ROBA_U_DOLASKU!$C$6:$C$95,ROBA_U_DOLASKU!$A$6:$A$95,A162,ROBA_U_DOLASKU!$H$6:$H$95,2)</f>
        <v>0</v>
      </c>
      <c r="M162" s="9" t="n">
        <f aca="false">SUMIFS(ROBA_U_DOLASKU!$B$6:$B$95,ROBA_U_DOLASKU!$A$6:$A$95,A162,ROBA_U_DOLASKU!$H$6:$H$95,2)</f>
        <v>0</v>
      </c>
      <c r="N162" s="9" t="n">
        <f aca="false">SUMIFS(ROBA_U_DOLASKU!$C$6:$C$95,ROBA_U_DOLASKU!$A$6:$A$95,A162,ROBA_U_DOLASKU!$H$6:$H$95,3)</f>
        <v>0</v>
      </c>
      <c r="O162" s="9" t="n">
        <f aca="false">SUMIFS(ROBA_U_DOLASKU!$B$6:$B$95,ROBA_U_DOLASKU!$A$6:$A$95,A162,ROBA_U_DOLASKU!$H$6:$H$95,3)</f>
        <v>0</v>
      </c>
      <c r="P162" s="9" t="n">
        <f aca="false">IF(H162&lt;=0,999,IF(O162&gt;0,ROUND((F162-H162*N162+K162+M162+O162)/H162,1),IF(M162&gt;0,ROUND((F162-H162*L162+K162+M162)/H162,1),IF(K162&gt;0,ROUND((F162-H162*J162+K162)/H162,1),I162))))</f>
        <v>3.1</v>
      </c>
      <c r="Q162" s="22" t="str">
        <f aca="false">IF(H162&lt;=0,"Nema prodaje",IF(AND(K162=0,M162=0,O162=0),IF(I162&lt;POSTAVKE!$B$6,"Naruči odmah","Sve u redu"),IF(F162-H162*J162&lt;0,"Rupa za ~"&amp;TEXT(I162,"0.0")&amp;" mj.",IF(AND(M162&gt;0,F162-H162*L162+K162&lt;0),"Rupa nakon 1. dolaska",IF(AND(O162&gt;0,F162-H162*N162+K162+M162&lt;0),"Rupa nakon 2. dolaska",IF(P162&lt;POSTAVKE!$B$6,"Količina nije dovoljna",IF(I162&gt;=POSTAVKE!$B$6,"Sve u redu","Stiže na vrijeme")))))))</f>
        <v>Količina nije dovoljna</v>
      </c>
      <c r="S162" s="23" t="n">
        <f aca="false">IFERROR(INDEX(PODACI_PRODAJA!B:B,MATCH($A162,PODACI_PRODAJA!$A:$A,0)),0)</f>
        <v>19</v>
      </c>
      <c r="T162" s="23" t="n">
        <f aca="false">IFERROR(INDEX(PODACI_PRODAJA!C:C,MATCH($A162,PODACI_PRODAJA!$A:$A,0)),0)</f>
        <v>13</v>
      </c>
      <c r="U162" s="23" t="n">
        <f aca="false">IFERROR(INDEX(PODACI_PRODAJA!D:D,MATCH($A162,PODACI_PRODAJA!$A:$A,0)),0)</f>
        <v>22</v>
      </c>
      <c r="V162" s="23" t="n">
        <f aca="false">IFERROR(INDEX(PODACI_PRODAJA!E:E,MATCH($A162,PODACI_PRODAJA!$A:$A,0)),0)</f>
        <v>39</v>
      </c>
      <c r="W162" s="23" t="n">
        <f aca="false">IFERROR(INDEX(PODACI_PRODAJA!F:F,MATCH($A162,PODACI_PRODAJA!$A:$A,0)),0)</f>
        <v>2</v>
      </c>
      <c r="X162" s="23" t="n">
        <f aca="false">IFERROR(INDEX(PODACI_PRODAJA!G:G,MATCH($A162,PODACI_PRODAJA!$A:$A,0)),0)</f>
        <v>0</v>
      </c>
      <c r="Y162" s="23" t="n">
        <f aca="false">IFERROR(INDEX(PODACI_PRODAJA!H:H,MATCH($A162,PODACI_PRODAJA!$A:$A,0)),0)</f>
        <v>0</v>
      </c>
      <c r="Z162" s="23" t="n">
        <f aca="false">IFERROR(INDEX(PODACI_PRODAJA!I:I,MATCH($A162,PODACI_PRODAJA!$A:$A,0)),0)</f>
        <v>22</v>
      </c>
      <c r="AA162" s="23" t="n">
        <f aca="false">IFERROR(INDEX(PODACI_PRODAJA!J:J,MATCH($A162,PODACI_PRODAJA!$A:$A,0)),0)</f>
        <v>3</v>
      </c>
      <c r="AB162" s="23" t="n">
        <f aca="false">IFERROR(INDEX(PODACI_PRODAJA!K:K,MATCH($A162,PODACI_PRODAJA!$A:$A,0)),0)</f>
        <v>0</v>
      </c>
      <c r="AC162" s="23" t="n">
        <f aca="false">IFERROR(INDEX(PODACI_PRODAJA!L:L,MATCH($A162,PODACI_PRODAJA!$A:$A,0)),0)</f>
        <v>0</v>
      </c>
      <c r="AD162" s="23" t="n">
        <f aca="false">IFERROR(INDEX(PODACI_PRODAJA!M:M,MATCH($A162,PODACI_PRODAJA!$A:$A,0)),0)</f>
        <v>0</v>
      </c>
    </row>
    <row r="163" customFormat="false" ht="15" hidden="false" customHeight="false" outlineLevel="0" collapsed="false">
      <c r="A163" s="11" t="str">
        <f aca="false">PODACI_ZALIHE!A160</f>
        <v>18703</v>
      </c>
      <c r="B163" s="8" t="str">
        <f aca="false">PODACI_ZALIHE!B160</f>
        <v>VETRO MIRROR 90 CHROME TUŠ STIJENA 90x200 cm</v>
      </c>
      <c r="C163" s="9" t="str">
        <f aca="false">PODACI_ZALIHE!C160</f>
        <v>3933</v>
      </c>
      <c r="D163" s="8" t="str">
        <f aca="false">PODACI_ZALIHE!D160</f>
        <v>PINGHU AONISI SANITARY WARE CO.,LTD</v>
      </c>
      <c r="E163" s="19" t="n">
        <f aca="false">IF(PODACI_ZALIHE!E160="","",PODACI_ZALIHE!E160)</f>
        <v>50</v>
      </c>
      <c r="F163" s="20" t="n">
        <f aca="false">PODACI_ZALIHE!F160</f>
        <v>50</v>
      </c>
      <c r="G163" s="19" t="n">
        <f aca="false">IF(E163="","",E163-F163)</f>
        <v>0</v>
      </c>
      <c r="H163" s="9" t="n">
        <f aca="false">PODACI_PRODAJA!N695</f>
        <v>0</v>
      </c>
      <c r="I163" s="21" t="n">
        <f aca="false">IF(H163&lt;=0,999,ROUND(F163/H163,1))</f>
        <v>999</v>
      </c>
      <c r="J163" s="9" t="n">
        <f aca="false">SUMIFS(ROBA_U_DOLASKU!$C$6:$C$95,ROBA_U_DOLASKU!$A$6:$A$95,A163,ROBA_U_DOLASKU!$H$6:$H$95,1)</f>
        <v>0</v>
      </c>
      <c r="K163" s="9" t="n">
        <f aca="false">SUMIFS(ROBA_U_DOLASKU!$B$6:$B$95,ROBA_U_DOLASKU!$A$6:$A$95,A163,ROBA_U_DOLASKU!$H$6:$H$95,1)</f>
        <v>0</v>
      </c>
      <c r="L163" s="9" t="n">
        <f aca="false">SUMIFS(ROBA_U_DOLASKU!$C$6:$C$95,ROBA_U_DOLASKU!$A$6:$A$95,A163,ROBA_U_DOLASKU!$H$6:$H$95,2)</f>
        <v>0</v>
      </c>
      <c r="M163" s="9" t="n">
        <f aca="false">SUMIFS(ROBA_U_DOLASKU!$B$6:$B$95,ROBA_U_DOLASKU!$A$6:$A$95,A163,ROBA_U_DOLASKU!$H$6:$H$95,2)</f>
        <v>0</v>
      </c>
      <c r="N163" s="9" t="n">
        <f aca="false">SUMIFS(ROBA_U_DOLASKU!$C$6:$C$95,ROBA_U_DOLASKU!$A$6:$A$95,A163,ROBA_U_DOLASKU!$H$6:$H$95,3)</f>
        <v>0</v>
      </c>
      <c r="O163" s="9" t="n">
        <f aca="false">SUMIFS(ROBA_U_DOLASKU!$B$6:$B$95,ROBA_U_DOLASKU!$A$6:$A$95,A163,ROBA_U_DOLASKU!$H$6:$H$95,3)</f>
        <v>0</v>
      </c>
      <c r="P163" s="9" t="n">
        <f aca="false">IF(H163&lt;=0,999,IF(O163&gt;0,ROUND((F163-H163*N163+K163+M163+O163)/H163,1),IF(M163&gt;0,ROUND((F163-H163*L163+K163+M163)/H163,1),IF(K163&gt;0,ROUND((F163-H163*J163+K163)/H163,1),I163))))</f>
        <v>999</v>
      </c>
      <c r="Q163" s="22" t="str">
        <f aca="false">IF(H163&lt;=0,"Nema prodaje",IF(AND(K163=0,M163=0,O163=0),IF(I163&lt;POSTAVKE!$B$6,"Naruči odmah","Sve u redu"),IF(F163-H163*J163&lt;0,"Rupa za ~"&amp;TEXT(I163,"0.0")&amp;" mj.",IF(AND(M163&gt;0,F163-H163*L163+K163&lt;0),"Rupa nakon 1. dolaska",IF(AND(O163&gt;0,F163-H163*N163+K163+M163&lt;0),"Rupa nakon 2. dolaska",IF(P163&lt;POSTAVKE!$B$6,"Količina nije dovoljna",IF(I163&gt;=POSTAVKE!$B$6,"Sve u redu","Stiže na vrijeme")))))))</f>
        <v>Nema prodaje</v>
      </c>
      <c r="S163" s="23" t="n">
        <f aca="false">IFERROR(INDEX(PODACI_PRODAJA!B:B,MATCH($A163,PODACI_PRODAJA!$A:$A,0)),0)</f>
        <v>0</v>
      </c>
      <c r="T163" s="23" t="n">
        <f aca="false">IFERROR(INDEX(PODACI_PRODAJA!C:C,MATCH($A163,PODACI_PRODAJA!$A:$A,0)),0)</f>
        <v>0</v>
      </c>
      <c r="U163" s="23" t="n">
        <f aca="false">IFERROR(INDEX(PODACI_PRODAJA!D:D,MATCH($A163,PODACI_PRODAJA!$A:$A,0)),0)</f>
        <v>0</v>
      </c>
      <c r="V163" s="23" t="n">
        <f aca="false">IFERROR(INDEX(PODACI_PRODAJA!E:E,MATCH($A163,PODACI_PRODAJA!$A:$A,0)),0)</f>
        <v>0</v>
      </c>
      <c r="W163" s="23" t="n">
        <f aca="false">IFERROR(INDEX(PODACI_PRODAJA!F:F,MATCH($A163,PODACI_PRODAJA!$A:$A,0)),0)</f>
        <v>0</v>
      </c>
      <c r="X163" s="23" t="n">
        <f aca="false">IFERROR(INDEX(PODACI_PRODAJA!G:G,MATCH($A163,PODACI_PRODAJA!$A:$A,0)),0)</f>
        <v>0</v>
      </c>
      <c r="Y163" s="23" t="n">
        <f aca="false">IFERROR(INDEX(PODACI_PRODAJA!H:H,MATCH($A163,PODACI_PRODAJA!$A:$A,0)),0)</f>
        <v>0</v>
      </c>
      <c r="Z163" s="23" t="n">
        <f aca="false">IFERROR(INDEX(PODACI_PRODAJA!I:I,MATCH($A163,PODACI_PRODAJA!$A:$A,0)),0)</f>
        <v>0</v>
      </c>
      <c r="AA163" s="23" t="n">
        <f aca="false">IFERROR(INDEX(PODACI_PRODAJA!J:J,MATCH($A163,PODACI_PRODAJA!$A:$A,0)),0)</f>
        <v>0</v>
      </c>
      <c r="AB163" s="23" t="n">
        <f aca="false">IFERROR(INDEX(PODACI_PRODAJA!K:K,MATCH($A163,PODACI_PRODAJA!$A:$A,0)),0)</f>
        <v>0</v>
      </c>
      <c r="AC163" s="23" t="n">
        <f aca="false">IFERROR(INDEX(PODACI_PRODAJA!L:L,MATCH($A163,PODACI_PRODAJA!$A:$A,0)),0)</f>
        <v>0</v>
      </c>
      <c r="AD163" s="23" t="n">
        <f aca="false">IFERROR(INDEX(PODACI_PRODAJA!M:M,MATCH($A163,PODACI_PRODAJA!$A:$A,0)),0)</f>
        <v>0</v>
      </c>
    </row>
    <row r="164" customFormat="false" ht="15" hidden="false" customHeight="false" outlineLevel="0" collapsed="false">
      <c r="A164" s="11" t="str">
        <f aca="false">PODACI_ZALIHE!A161</f>
        <v>18705</v>
      </c>
      <c r="B164" s="8" t="str">
        <f aca="false">PODACI_ZALIHE!B161</f>
        <v>VETRO MIRROR 100 CHROME TUŠ STIJENA 100x200 cm</v>
      </c>
      <c r="C164" s="9" t="str">
        <f aca="false">PODACI_ZALIHE!C161</f>
        <v>3933</v>
      </c>
      <c r="D164" s="8" t="str">
        <f aca="false">PODACI_ZALIHE!D161</f>
        <v>PINGHU AONISI SANITARY WARE CO.,LTD</v>
      </c>
      <c r="E164" s="19" t="n">
        <f aca="false">IF(PODACI_ZALIHE!E161="","",PODACI_ZALIHE!E161)</f>
        <v>50</v>
      </c>
      <c r="F164" s="20" t="n">
        <f aca="false">PODACI_ZALIHE!F161</f>
        <v>50</v>
      </c>
      <c r="G164" s="19" t="n">
        <f aca="false">IF(E164="","",E164-F164)</f>
        <v>0</v>
      </c>
      <c r="H164" s="9" t="n">
        <f aca="false">PODACI_PRODAJA!N697</f>
        <v>0</v>
      </c>
      <c r="I164" s="21" t="n">
        <f aca="false">IF(H164&lt;=0,999,ROUND(F164/H164,1))</f>
        <v>999</v>
      </c>
      <c r="J164" s="9" t="n">
        <f aca="false">SUMIFS(ROBA_U_DOLASKU!$C$6:$C$95,ROBA_U_DOLASKU!$A$6:$A$95,A164,ROBA_U_DOLASKU!$H$6:$H$95,1)</f>
        <v>0</v>
      </c>
      <c r="K164" s="9" t="n">
        <f aca="false">SUMIFS(ROBA_U_DOLASKU!$B$6:$B$95,ROBA_U_DOLASKU!$A$6:$A$95,A164,ROBA_U_DOLASKU!$H$6:$H$95,1)</f>
        <v>0</v>
      </c>
      <c r="L164" s="9" t="n">
        <f aca="false">SUMIFS(ROBA_U_DOLASKU!$C$6:$C$95,ROBA_U_DOLASKU!$A$6:$A$95,A164,ROBA_U_DOLASKU!$H$6:$H$95,2)</f>
        <v>0</v>
      </c>
      <c r="M164" s="9" t="n">
        <f aca="false">SUMIFS(ROBA_U_DOLASKU!$B$6:$B$95,ROBA_U_DOLASKU!$A$6:$A$95,A164,ROBA_U_DOLASKU!$H$6:$H$95,2)</f>
        <v>0</v>
      </c>
      <c r="N164" s="9" t="n">
        <f aca="false">SUMIFS(ROBA_U_DOLASKU!$C$6:$C$95,ROBA_U_DOLASKU!$A$6:$A$95,A164,ROBA_U_DOLASKU!$H$6:$H$95,3)</f>
        <v>0</v>
      </c>
      <c r="O164" s="9" t="n">
        <f aca="false">SUMIFS(ROBA_U_DOLASKU!$B$6:$B$95,ROBA_U_DOLASKU!$A$6:$A$95,A164,ROBA_U_DOLASKU!$H$6:$H$95,3)</f>
        <v>0</v>
      </c>
      <c r="P164" s="9" t="n">
        <f aca="false">IF(H164&lt;=0,999,IF(O164&gt;0,ROUND((F164-H164*N164+K164+M164+O164)/H164,1),IF(M164&gt;0,ROUND((F164-H164*L164+K164+M164)/H164,1),IF(K164&gt;0,ROUND((F164-H164*J164+K164)/H164,1),I164))))</f>
        <v>999</v>
      </c>
      <c r="Q164" s="22" t="str">
        <f aca="false">IF(H164&lt;=0,"Nema prodaje",IF(AND(K164=0,M164=0,O164=0),IF(I164&lt;POSTAVKE!$B$6,"Naruči odmah","Sve u redu"),IF(F164-H164*J164&lt;0,"Rupa za ~"&amp;TEXT(I164,"0.0")&amp;" mj.",IF(AND(M164&gt;0,F164-H164*L164+K164&lt;0),"Rupa nakon 1. dolaska",IF(AND(O164&gt;0,F164-H164*N164+K164+M164&lt;0),"Rupa nakon 2. dolaska",IF(P164&lt;POSTAVKE!$B$6,"Količina nije dovoljna",IF(I164&gt;=POSTAVKE!$B$6,"Sve u redu","Stiže na vrijeme")))))))</f>
        <v>Nema prodaje</v>
      </c>
      <c r="S164" s="23" t="n">
        <f aca="false">IFERROR(INDEX(PODACI_PRODAJA!B:B,MATCH($A164,PODACI_PRODAJA!$A:$A,0)),0)</f>
        <v>0</v>
      </c>
      <c r="T164" s="23" t="n">
        <f aca="false">IFERROR(INDEX(PODACI_PRODAJA!C:C,MATCH($A164,PODACI_PRODAJA!$A:$A,0)),0)</f>
        <v>0</v>
      </c>
      <c r="U164" s="23" t="n">
        <f aca="false">IFERROR(INDEX(PODACI_PRODAJA!D:D,MATCH($A164,PODACI_PRODAJA!$A:$A,0)),0)</f>
        <v>0</v>
      </c>
      <c r="V164" s="23" t="n">
        <f aca="false">IFERROR(INDEX(PODACI_PRODAJA!E:E,MATCH($A164,PODACI_PRODAJA!$A:$A,0)),0)</f>
        <v>0</v>
      </c>
      <c r="W164" s="23" t="n">
        <f aca="false">IFERROR(INDEX(PODACI_PRODAJA!F:F,MATCH($A164,PODACI_PRODAJA!$A:$A,0)),0)</f>
        <v>0</v>
      </c>
      <c r="X164" s="23" t="n">
        <f aca="false">IFERROR(INDEX(PODACI_PRODAJA!G:G,MATCH($A164,PODACI_PRODAJA!$A:$A,0)),0)</f>
        <v>0</v>
      </c>
      <c r="Y164" s="23" t="n">
        <f aca="false">IFERROR(INDEX(PODACI_PRODAJA!H:H,MATCH($A164,PODACI_PRODAJA!$A:$A,0)),0)</f>
        <v>0</v>
      </c>
      <c r="Z164" s="23" t="n">
        <f aca="false">IFERROR(INDEX(PODACI_PRODAJA!I:I,MATCH($A164,PODACI_PRODAJA!$A:$A,0)),0)</f>
        <v>0</v>
      </c>
      <c r="AA164" s="23" t="n">
        <f aca="false">IFERROR(INDEX(PODACI_PRODAJA!J:J,MATCH($A164,PODACI_PRODAJA!$A:$A,0)),0)</f>
        <v>0</v>
      </c>
      <c r="AB164" s="23" t="n">
        <f aca="false">IFERROR(INDEX(PODACI_PRODAJA!K:K,MATCH($A164,PODACI_PRODAJA!$A:$A,0)),0)</f>
        <v>0</v>
      </c>
      <c r="AC164" s="23" t="n">
        <f aca="false">IFERROR(INDEX(PODACI_PRODAJA!L:L,MATCH($A164,PODACI_PRODAJA!$A:$A,0)),0)</f>
        <v>0</v>
      </c>
      <c r="AD164" s="23" t="n">
        <f aca="false">IFERROR(INDEX(PODACI_PRODAJA!M:M,MATCH($A164,PODACI_PRODAJA!$A:$A,0)),0)</f>
        <v>0</v>
      </c>
    </row>
    <row r="165" customFormat="false" ht="15" hidden="false" customHeight="false" outlineLevel="0" collapsed="false">
      <c r="A165" s="11" t="str">
        <f aca="false">PODACI_ZALIHE!A162</f>
        <v>18707</v>
      </c>
      <c r="B165" s="8" t="str">
        <f aca="false">PODACI_ZALIHE!B162</f>
        <v>VETRO MIRROR 120 CHROME TUŠ STIJENA 120x200 cm</v>
      </c>
      <c r="C165" s="9" t="str">
        <f aca="false">PODACI_ZALIHE!C162</f>
        <v>3933</v>
      </c>
      <c r="D165" s="8" t="str">
        <f aca="false">PODACI_ZALIHE!D162</f>
        <v>PINGHU AONISI SANITARY WARE CO.,LTD</v>
      </c>
      <c r="E165" s="19" t="n">
        <f aca="false">IF(PODACI_ZALIHE!E162="","",PODACI_ZALIHE!E162)</f>
        <v>50</v>
      </c>
      <c r="F165" s="20" t="n">
        <f aca="false">PODACI_ZALIHE!F162</f>
        <v>50</v>
      </c>
      <c r="G165" s="19" t="n">
        <f aca="false">IF(E165="","",E165-F165)</f>
        <v>0</v>
      </c>
      <c r="H165" s="9" t="n">
        <f aca="false">PODACI_PRODAJA!N699</f>
        <v>0</v>
      </c>
      <c r="I165" s="21" t="n">
        <f aca="false">IF(H165&lt;=0,999,ROUND(F165/H165,1))</f>
        <v>999</v>
      </c>
      <c r="J165" s="9" t="n">
        <f aca="false">SUMIFS(ROBA_U_DOLASKU!$C$6:$C$95,ROBA_U_DOLASKU!$A$6:$A$95,A165,ROBA_U_DOLASKU!$H$6:$H$95,1)</f>
        <v>0</v>
      </c>
      <c r="K165" s="9" t="n">
        <f aca="false">SUMIFS(ROBA_U_DOLASKU!$B$6:$B$95,ROBA_U_DOLASKU!$A$6:$A$95,A165,ROBA_U_DOLASKU!$H$6:$H$95,1)</f>
        <v>0</v>
      </c>
      <c r="L165" s="9" t="n">
        <f aca="false">SUMIFS(ROBA_U_DOLASKU!$C$6:$C$95,ROBA_U_DOLASKU!$A$6:$A$95,A165,ROBA_U_DOLASKU!$H$6:$H$95,2)</f>
        <v>0</v>
      </c>
      <c r="M165" s="9" t="n">
        <f aca="false">SUMIFS(ROBA_U_DOLASKU!$B$6:$B$95,ROBA_U_DOLASKU!$A$6:$A$95,A165,ROBA_U_DOLASKU!$H$6:$H$95,2)</f>
        <v>0</v>
      </c>
      <c r="N165" s="9" t="n">
        <f aca="false">SUMIFS(ROBA_U_DOLASKU!$C$6:$C$95,ROBA_U_DOLASKU!$A$6:$A$95,A165,ROBA_U_DOLASKU!$H$6:$H$95,3)</f>
        <v>0</v>
      </c>
      <c r="O165" s="9" t="n">
        <f aca="false">SUMIFS(ROBA_U_DOLASKU!$B$6:$B$95,ROBA_U_DOLASKU!$A$6:$A$95,A165,ROBA_U_DOLASKU!$H$6:$H$95,3)</f>
        <v>0</v>
      </c>
      <c r="P165" s="9" t="n">
        <f aca="false">IF(H165&lt;=0,999,IF(O165&gt;0,ROUND((F165-H165*N165+K165+M165+O165)/H165,1),IF(M165&gt;0,ROUND((F165-H165*L165+K165+M165)/H165,1),IF(K165&gt;0,ROUND((F165-H165*J165+K165)/H165,1),I165))))</f>
        <v>999</v>
      </c>
      <c r="Q165" s="22" t="str">
        <f aca="false">IF(H165&lt;=0,"Nema prodaje",IF(AND(K165=0,M165=0,O165=0),IF(I165&lt;POSTAVKE!$B$6,"Naruči odmah","Sve u redu"),IF(F165-H165*J165&lt;0,"Rupa za ~"&amp;TEXT(I165,"0.0")&amp;" mj.",IF(AND(M165&gt;0,F165-H165*L165+K165&lt;0),"Rupa nakon 1. dolaska",IF(AND(O165&gt;0,F165-H165*N165+K165+M165&lt;0),"Rupa nakon 2. dolaska",IF(P165&lt;POSTAVKE!$B$6,"Količina nije dovoljna",IF(I165&gt;=POSTAVKE!$B$6,"Sve u redu","Stiže na vrijeme")))))))</f>
        <v>Nema prodaje</v>
      </c>
      <c r="S165" s="23" t="n">
        <f aca="false">IFERROR(INDEX(PODACI_PRODAJA!B:B,MATCH($A165,PODACI_PRODAJA!$A:$A,0)),0)</f>
        <v>0</v>
      </c>
      <c r="T165" s="23" t="n">
        <f aca="false">IFERROR(INDEX(PODACI_PRODAJA!C:C,MATCH($A165,PODACI_PRODAJA!$A:$A,0)),0)</f>
        <v>0</v>
      </c>
      <c r="U165" s="23" t="n">
        <f aca="false">IFERROR(INDEX(PODACI_PRODAJA!D:D,MATCH($A165,PODACI_PRODAJA!$A:$A,0)),0)</f>
        <v>0</v>
      </c>
      <c r="V165" s="23" t="n">
        <f aca="false">IFERROR(INDEX(PODACI_PRODAJA!E:E,MATCH($A165,PODACI_PRODAJA!$A:$A,0)),0)</f>
        <v>0</v>
      </c>
      <c r="W165" s="23" t="n">
        <f aca="false">IFERROR(INDEX(PODACI_PRODAJA!F:F,MATCH($A165,PODACI_PRODAJA!$A:$A,0)),0)</f>
        <v>0</v>
      </c>
      <c r="X165" s="23" t="n">
        <f aca="false">IFERROR(INDEX(PODACI_PRODAJA!G:G,MATCH($A165,PODACI_PRODAJA!$A:$A,0)),0)</f>
        <v>0</v>
      </c>
      <c r="Y165" s="23" t="n">
        <f aca="false">IFERROR(INDEX(PODACI_PRODAJA!H:H,MATCH($A165,PODACI_PRODAJA!$A:$A,0)),0)</f>
        <v>0</v>
      </c>
      <c r="Z165" s="23" t="n">
        <f aca="false">IFERROR(INDEX(PODACI_PRODAJA!I:I,MATCH($A165,PODACI_PRODAJA!$A:$A,0)),0)</f>
        <v>0</v>
      </c>
      <c r="AA165" s="23" t="n">
        <f aca="false">IFERROR(INDEX(PODACI_PRODAJA!J:J,MATCH($A165,PODACI_PRODAJA!$A:$A,0)),0)</f>
        <v>0</v>
      </c>
      <c r="AB165" s="23" t="n">
        <f aca="false">IFERROR(INDEX(PODACI_PRODAJA!K:K,MATCH($A165,PODACI_PRODAJA!$A:$A,0)),0)</f>
        <v>0</v>
      </c>
      <c r="AC165" s="23" t="n">
        <f aca="false">IFERROR(INDEX(PODACI_PRODAJA!L:L,MATCH($A165,PODACI_PRODAJA!$A:$A,0)),0)</f>
        <v>0</v>
      </c>
      <c r="AD165" s="23" t="n">
        <f aca="false">IFERROR(INDEX(PODACI_PRODAJA!M:M,MATCH($A165,PODACI_PRODAJA!$A:$A,0)),0)</f>
        <v>0</v>
      </c>
    </row>
    <row r="166" customFormat="false" ht="15" hidden="false" customHeight="false" outlineLevel="0" collapsed="false">
      <c r="A166" s="11" t="str">
        <f aca="false">PODACI_ZALIHE!A163</f>
        <v>16937</v>
      </c>
      <c r="B166" s="8" t="str">
        <f aca="false">PODACI_ZALIHE!B163</f>
        <v>TK LORCA BLACK 80 KVADRATNA TUŠ KABINA 80x80x195cm</v>
      </c>
      <c r="C166" s="9" t="str">
        <f aca="false">PODACI_ZALIHE!C163</f>
        <v>3933</v>
      </c>
      <c r="D166" s="8" t="str">
        <f aca="false">PODACI_ZALIHE!D163</f>
        <v>PINGHU AONISI SANITARY WARE CO.,LTD</v>
      </c>
      <c r="E166" s="19" t="n">
        <f aca="false">IF(PODACI_ZALIHE!E163="","",PODACI_ZALIHE!E163)</f>
        <v>49</v>
      </c>
      <c r="F166" s="20" t="n">
        <f aca="false">PODACI_ZALIHE!F163</f>
        <v>49</v>
      </c>
      <c r="G166" s="19" t="n">
        <f aca="false">IF(E166="","",E166-F166)</f>
        <v>0</v>
      </c>
      <c r="H166" s="9" t="n">
        <f aca="false">PODACI_PRODAJA!N75</f>
        <v>6.5</v>
      </c>
      <c r="I166" s="21" t="n">
        <f aca="false">IF(H166&lt;=0,999,ROUND(F166/H166,1))</f>
        <v>7.5</v>
      </c>
      <c r="J166" s="9" t="n">
        <f aca="false">SUMIFS(ROBA_U_DOLASKU!$C$6:$C$95,ROBA_U_DOLASKU!$A$6:$A$95,A166,ROBA_U_DOLASKU!$H$6:$H$95,1)</f>
        <v>0</v>
      </c>
      <c r="K166" s="9" t="n">
        <f aca="false">SUMIFS(ROBA_U_DOLASKU!$B$6:$B$95,ROBA_U_DOLASKU!$A$6:$A$95,A166,ROBA_U_DOLASKU!$H$6:$H$95,1)</f>
        <v>0</v>
      </c>
      <c r="L166" s="9" t="n">
        <f aca="false">SUMIFS(ROBA_U_DOLASKU!$C$6:$C$95,ROBA_U_DOLASKU!$A$6:$A$95,A166,ROBA_U_DOLASKU!$H$6:$H$95,2)</f>
        <v>0</v>
      </c>
      <c r="M166" s="9" t="n">
        <f aca="false">SUMIFS(ROBA_U_DOLASKU!$B$6:$B$95,ROBA_U_DOLASKU!$A$6:$A$95,A166,ROBA_U_DOLASKU!$H$6:$H$95,2)</f>
        <v>0</v>
      </c>
      <c r="N166" s="9" t="n">
        <f aca="false">SUMIFS(ROBA_U_DOLASKU!$C$6:$C$95,ROBA_U_DOLASKU!$A$6:$A$95,A166,ROBA_U_DOLASKU!$H$6:$H$95,3)</f>
        <v>0</v>
      </c>
      <c r="O166" s="9" t="n">
        <f aca="false">SUMIFS(ROBA_U_DOLASKU!$B$6:$B$95,ROBA_U_DOLASKU!$A$6:$A$95,A166,ROBA_U_DOLASKU!$H$6:$H$95,3)</f>
        <v>0</v>
      </c>
      <c r="P166" s="9" t="n">
        <f aca="false">IF(H166&lt;=0,999,IF(O166&gt;0,ROUND((F166-H166*N166+K166+M166+O166)/H166,1),IF(M166&gt;0,ROUND((F166-H166*L166+K166+M166)/H166,1),IF(K166&gt;0,ROUND((F166-H166*J166+K166)/H166,1),I166))))</f>
        <v>7.5</v>
      </c>
      <c r="Q166" s="22" t="str">
        <f aca="false">IF(H166&lt;=0,"Nema prodaje",IF(AND(K166=0,M166=0,O166=0),IF(I166&lt;POSTAVKE!$B$6,"Naruči odmah","Sve u redu"),IF(F166-H166*J166&lt;0,"Rupa za ~"&amp;TEXT(I166,"0.0")&amp;" mj.",IF(AND(M166&gt;0,F166-H166*L166+K166&lt;0),"Rupa nakon 1. dolaska",IF(AND(O166&gt;0,F166-H166*N166+K166+M166&lt;0),"Rupa nakon 2. dolaska",IF(P166&lt;POSTAVKE!$B$6,"Količina nije dovoljna",IF(I166&gt;=POSTAVKE!$B$6,"Sve u redu","Stiže na vrijeme")))))))</f>
        <v>Sve u redu</v>
      </c>
      <c r="S166" s="23" t="n">
        <f aca="false">IFERROR(INDEX(PODACI_PRODAJA!B:B,MATCH($A166,PODACI_PRODAJA!$A:$A,0)),0)</f>
        <v>9</v>
      </c>
      <c r="T166" s="23" t="n">
        <f aca="false">IFERROR(INDEX(PODACI_PRODAJA!C:C,MATCH($A166,PODACI_PRODAJA!$A:$A,0)),0)</f>
        <v>0</v>
      </c>
      <c r="U166" s="23" t="n">
        <f aca="false">IFERROR(INDEX(PODACI_PRODAJA!D:D,MATCH($A166,PODACI_PRODAJA!$A:$A,0)),0)</f>
        <v>15</v>
      </c>
      <c r="V166" s="23" t="n">
        <f aca="false">IFERROR(INDEX(PODACI_PRODAJA!E:E,MATCH($A166,PODACI_PRODAJA!$A:$A,0)),0)</f>
        <v>11</v>
      </c>
      <c r="W166" s="23" t="n">
        <f aca="false">IFERROR(INDEX(PODACI_PRODAJA!F:F,MATCH($A166,PODACI_PRODAJA!$A:$A,0)),0)</f>
        <v>7</v>
      </c>
      <c r="X166" s="23" t="n">
        <f aca="false">IFERROR(INDEX(PODACI_PRODAJA!G:G,MATCH($A166,PODACI_PRODAJA!$A:$A,0)),0)</f>
        <v>1</v>
      </c>
      <c r="Y166" s="23" t="n">
        <f aca="false">IFERROR(INDEX(PODACI_PRODAJA!H:H,MATCH($A166,PODACI_PRODAJA!$A:$A,0)),0)</f>
        <v>2</v>
      </c>
      <c r="Z166" s="23" t="n">
        <f aca="false">IFERROR(INDEX(PODACI_PRODAJA!I:I,MATCH($A166,PODACI_PRODAJA!$A:$A,0)),0)</f>
        <v>7</v>
      </c>
      <c r="AA166" s="23" t="n">
        <f aca="false">IFERROR(INDEX(PODACI_PRODAJA!J:J,MATCH($A166,PODACI_PRODAJA!$A:$A,0)),0)</f>
        <v>0</v>
      </c>
      <c r="AB166" s="23" t="n">
        <f aca="false">IFERROR(INDEX(PODACI_PRODAJA!K:K,MATCH($A166,PODACI_PRODAJA!$A:$A,0)),0)</f>
        <v>0</v>
      </c>
      <c r="AC166" s="23" t="n">
        <f aca="false">IFERROR(INDEX(PODACI_PRODAJA!L:L,MATCH($A166,PODACI_PRODAJA!$A:$A,0)),0)</f>
        <v>0</v>
      </c>
      <c r="AD166" s="23" t="n">
        <f aca="false">IFERROR(INDEX(PODACI_PRODAJA!M:M,MATCH($A166,PODACI_PRODAJA!$A:$A,0)),0)</f>
        <v>0</v>
      </c>
    </row>
    <row r="167" customFormat="false" ht="15" hidden="false" customHeight="false" outlineLevel="0" collapsed="false">
      <c r="A167" s="11" t="str">
        <f aca="false">PODACI_ZALIHE!A164</f>
        <v>18018</v>
      </c>
      <c r="B167" s="8" t="str">
        <f aca="false">PODACI_ZALIHE!B164</f>
        <v>TK ROTA 80KV CHROME TUŠ KABINA 80x80x200cm</v>
      </c>
      <c r="C167" s="9" t="str">
        <f aca="false">PODACI_ZALIHE!C164</f>
        <v>6762</v>
      </c>
      <c r="D167" s="8" t="str">
        <f aca="false">PODACI_ZALIHE!D164</f>
        <v>ZHEJIANG QUICKLINE SHOWERING CO., LTD.</v>
      </c>
      <c r="E167" s="19" t="n">
        <f aca="false">IF(PODACI_ZALIHE!E164="","",PODACI_ZALIHE!E164)</f>
        <v>49</v>
      </c>
      <c r="F167" s="20" t="n">
        <f aca="false">PODACI_ZALIHE!F164</f>
        <v>49</v>
      </c>
      <c r="G167" s="19" t="n">
        <f aca="false">IF(E167="","",E167-F167)</f>
        <v>0</v>
      </c>
      <c r="H167" s="9" t="n">
        <f aca="false">PODACI_PRODAJA!N659</f>
        <v>1.13</v>
      </c>
      <c r="I167" s="21" t="n">
        <f aca="false">IF(H167&lt;=0,999,ROUND(F167/H167,1))</f>
        <v>43.4</v>
      </c>
      <c r="J167" s="9" t="n">
        <f aca="false">SUMIFS(ROBA_U_DOLASKU!$C$6:$C$95,ROBA_U_DOLASKU!$A$6:$A$95,A167,ROBA_U_DOLASKU!$H$6:$H$95,1)</f>
        <v>0</v>
      </c>
      <c r="K167" s="9" t="n">
        <f aca="false">SUMIFS(ROBA_U_DOLASKU!$B$6:$B$95,ROBA_U_DOLASKU!$A$6:$A$95,A167,ROBA_U_DOLASKU!$H$6:$H$95,1)</f>
        <v>0</v>
      </c>
      <c r="L167" s="9" t="n">
        <f aca="false">SUMIFS(ROBA_U_DOLASKU!$C$6:$C$95,ROBA_U_DOLASKU!$A$6:$A$95,A167,ROBA_U_DOLASKU!$H$6:$H$95,2)</f>
        <v>0</v>
      </c>
      <c r="M167" s="9" t="n">
        <f aca="false">SUMIFS(ROBA_U_DOLASKU!$B$6:$B$95,ROBA_U_DOLASKU!$A$6:$A$95,A167,ROBA_U_DOLASKU!$H$6:$H$95,2)</f>
        <v>0</v>
      </c>
      <c r="N167" s="9" t="n">
        <f aca="false">SUMIFS(ROBA_U_DOLASKU!$C$6:$C$95,ROBA_U_DOLASKU!$A$6:$A$95,A167,ROBA_U_DOLASKU!$H$6:$H$95,3)</f>
        <v>0</v>
      </c>
      <c r="O167" s="9" t="n">
        <f aca="false">SUMIFS(ROBA_U_DOLASKU!$B$6:$B$95,ROBA_U_DOLASKU!$A$6:$A$95,A167,ROBA_U_DOLASKU!$H$6:$H$95,3)</f>
        <v>0</v>
      </c>
      <c r="P167" s="9" t="n">
        <f aca="false">IF(H167&lt;=0,999,IF(O167&gt;0,ROUND((F167-H167*N167+K167+M167+O167)/H167,1),IF(M167&gt;0,ROUND((F167-H167*L167+K167+M167)/H167,1),IF(K167&gt;0,ROUND((F167-H167*J167+K167)/H167,1),I167))))</f>
        <v>43.4</v>
      </c>
      <c r="Q167" s="22" t="str">
        <f aca="false">IF(H167&lt;=0,"Nema prodaje",IF(AND(K167=0,M167=0,O167=0),IF(I167&lt;POSTAVKE!$B$6,"Naruči odmah","Sve u redu"),IF(F167-H167*J167&lt;0,"Rupa za ~"&amp;TEXT(I167,"0.0")&amp;" mj.",IF(AND(M167&gt;0,F167-H167*L167+K167&lt;0),"Rupa nakon 1. dolaska",IF(AND(O167&gt;0,F167-H167*N167+K167+M167&lt;0),"Rupa nakon 2. dolaska",IF(P167&lt;POSTAVKE!$B$6,"Količina nije dovoljna",IF(I167&gt;=POSTAVKE!$B$6,"Sve u redu","Stiže na vrijeme")))))))</f>
        <v>Sve u redu</v>
      </c>
      <c r="S167" s="23" t="n">
        <f aca="false">IFERROR(INDEX(PODACI_PRODAJA!B:B,MATCH($A167,PODACI_PRODAJA!$A:$A,0)),0)</f>
        <v>0</v>
      </c>
      <c r="T167" s="23" t="n">
        <f aca="false">IFERROR(INDEX(PODACI_PRODAJA!C:C,MATCH($A167,PODACI_PRODAJA!$A:$A,0)),0)</f>
        <v>0</v>
      </c>
      <c r="U167" s="23" t="n">
        <f aca="false">IFERROR(INDEX(PODACI_PRODAJA!D:D,MATCH($A167,PODACI_PRODAJA!$A:$A,0)),0)</f>
        <v>1</v>
      </c>
      <c r="V167" s="23" t="n">
        <f aca="false">IFERROR(INDEX(PODACI_PRODAJA!E:E,MATCH($A167,PODACI_PRODAJA!$A:$A,0)),0)</f>
        <v>0</v>
      </c>
      <c r="W167" s="23" t="n">
        <f aca="false">IFERROR(INDEX(PODACI_PRODAJA!F:F,MATCH($A167,PODACI_PRODAJA!$A:$A,0)),0)</f>
        <v>2</v>
      </c>
      <c r="X167" s="23" t="n">
        <f aca="false">IFERROR(INDEX(PODACI_PRODAJA!G:G,MATCH($A167,PODACI_PRODAJA!$A:$A,0)),0)</f>
        <v>2</v>
      </c>
      <c r="Y167" s="23" t="n">
        <f aca="false">IFERROR(INDEX(PODACI_PRODAJA!H:H,MATCH($A167,PODACI_PRODAJA!$A:$A,0)),0)</f>
        <v>3</v>
      </c>
      <c r="Z167" s="23" t="n">
        <f aca="false">IFERROR(INDEX(PODACI_PRODAJA!I:I,MATCH($A167,PODACI_PRODAJA!$A:$A,0)),0)</f>
        <v>1</v>
      </c>
      <c r="AA167" s="23" t="n">
        <f aca="false">IFERROR(INDEX(PODACI_PRODAJA!J:J,MATCH($A167,PODACI_PRODAJA!$A:$A,0)),0)</f>
        <v>0</v>
      </c>
      <c r="AB167" s="23" t="n">
        <f aca="false">IFERROR(INDEX(PODACI_PRODAJA!K:K,MATCH($A167,PODACI_PRODAJA!$A:$A,0)),0)</f>
        <v>0</v>
      </c>
      <c r="AC167" s="23" t="n">
        <f aca="false">IFERROR(INDEX(PODACI_PRODAJA!L:L,MATCH($A167,PODACI_PRODAJA!$A:$A,0)),0)</f>
        <v>0</v>
      </c>
      <c r="AD167" s="23" t="n">
        <f aca="false">IFERROR(INDEX(PODACI_PRODAJA!M:M,MATCH($A167,PODACI_PRODAJA!$A:$A,0)),0)</f>
        <v>0</v>
      </c>
    </row>
    <row r="168" customFormat="false" ht="15" hidden="false" customHeight="false" outlineLevel="0" collapsed="false">
      <c r="A168" s="11" t="str">
        <f aca="false">PODACI_ZALIHE!A165</f>
        <v>00601</v>
      </c>
      <c r="B168" s="8" t="str">
        <f aca="false">PODACI_ZALIHE!B165</f>
        <v>HERA STOJEĆA MIJEŠALICA ZA BIDE</v>
      </c>
      <c r="C168" s="9" t="str">
        <f aca="false">PODACI_ZALIHE!C165</f>
        <v>2974</v>
      </c>
      <c r="D168" s="8" t="str">
        <f aca="false">PODACI_ZALIHE!D165</f>
        <v>TAIZHOU MINUOTE SANITARY WARES CO.,LTD.</v>
      </c>
      <c r="E168" s="19" t="n">
        <f aca="false">IF(PODACI_ZALIHE!E165="","",PODACI_ZALIHE!E165)</f>
        <v>48</v>
      </c>
      <c r="F168" s="20" t="n">
        <f aca="false">PODACI_ZALIHE!F165</f>
        <v>48</v>
      </c>
      <c r="G168" s="19" t="n">
        <f aca="false">IF(E168="","",E168-F168)</f>
        <v>0</v>
      </c>
      <c r="H168" s="9" t="n">
        <f aca="false">PODACI_PRODAJA!N139</f>
        <v>0.38</v>
      </c>
      <c r="I168" s="21" t="n">
        <f aca="false">IF(H168&lt;=0,999,ROUND(F168/H168,1))</f>
        <v>126.3</v>
      </c>
      <c r="J168" s="9" t="n">
        <f aca="false">SUMIFS(ROBA_U_DOLASKU!$C$6:$C$95,ROBA_U_DOLASKU!$A$6:$A$95,A168,ROBA_U_DOLASKU!$H$6:$H$95,1)</f>
        <v>0</v>
      </c>
      <c r="K168" s="9" t="n">
        <f aca="false">SUMIFS(ROBA_U_DOLASKU!$B$6:$B$95,ROBA_U_DOLASKU!$A$6:$A$95,A168,ROBA_U_DOLASKU!$H$6:$H$95,1)</f>
        <v>0</v>
      </c>
      <c r="L168" s="9" t="n">
        <f aca="false">SUMIFS(ROBA_U_DOLASKU!$C$6:$C$95,ROBA_U_DOLASKU!$A$6:$A$95,A168,ROBA_U_DOLASKU!$H$6:$H$95,2)</f>
        <v>0</v>
      </c>
      <c r="M168" s="9" t="n">
        <f aca="false">SUMIFS(ROBA_U_DOLASKU!$B$6:$B$95,ROBA_U_DOLASKU!$A$6:$A$95,A168,ROBA_U_DOLASKU!$H$6:$H$95,2)</f>
        <v>0</v>
      </c>
      <c r="N168" s="9" t="n">
        <f aca="false">SUMIFS(ROBA_U_DOLASKU!$C$6:$C$95,ROBA_U_DOLASKU!$A$6:$A$95,A168,ROBA_U_DOLASKU!$H$6:$H$95,3)</f>
        <v>0</v>
      </c>
      <c r="O168" s="9" t="n">
        <f aca="false">SUMIFS(ROBA_U_DOLASKU!$B$6:$B$95,ROBA_U_DOLASKU!$A$6:$A$95,A168,ROBA_U_DOLASKU!$H$6:$H$95,3)</f>
        <v>0</v>
      </c>
      <c r="P168" s="9" t="n">
        <f aca="false">IF(H168&lt;=0,999,IF(O168&gt;0,ROUND((F168-H168*N168+K168+M168+O168)/H168,1),IF(M168&gt;0,ROUND((F168-H168*L168+K168+M168)/H168,1),IF(K168&gt;0,ROUND((F168-H168*J168+K168)/H168,1),I168))))</f>
        <v>126.3</v>
      </c>
      <c r="Q168" s="22" t="str">
        <f aca="false">IF(H168&lt;=0,"Nema prodaje",IF(AND(K168=0,M168=0,O168=0),IF(I168&lt;POSTAVKE!$B$6,"Naruči odmah","Sve u redu"),IF(F168-H168*J168&lt;0,"Rupa za ~"&amp;TEXT(I168,"0.0")&amp;" mj.",IF(AND(M168&gt;0,F168-H168*L168+K168&lt;0),"Rupa nakon 1. dolaska",IF(AND(O168&gt;0,F168-H168*N168+K168+M168&lt;0),"Rupa nakon 2. dolaska",IF(P168&lt;POSTAVKE!$B$6,"Količina nije dovoljna",IF(I168&gt;=POSTAVKE!$B$6,"Sve u redu","Stiže na vrijeme")))))))</f>
        <v>Sve u redu</v>
      </c>
      <c r="S168" s="23" t="n">
        <f aca="false">IFERROR(INDEX(PODACI_PRODAJA!B:B,MATCH($A168,PODACI_PRODAJA!$A:$A,0)),0)</f>
        <v>3</v>
      </c>
      <c r="T168" s="23" t="n">
        <f aca="false">IFERROR(INDEX(PODACI_PRODAJA!C:C,MATCH($A168,PODACI_PRODAJA!$A:$A,0)),0)</f>
        <v>0</v>
      </c>
      <c r="U168" s="23" t="n">
        <f aca="false">IFERROR(INDEX(PODACI_PRODAJA!D:D,MATCH($A168,PODACI_PRODAJA!$A:$A,0)),0)</f>
        <v>0</v>
      </c>
      <c r="V168" s="23" t="n">
        <f aca="false">IFERROR(INDEX(PODACI_PRODAJA!E:E,MATCH($A168,PODACI_PRODAJA!$A:$A,0)),0)</f>
        <v>0</v>
      </c>
      <c r="W168" s="23" t="n">
        <f aca="false">IFERROR(INDEX(PODACI_PRODAJA!F:F,MATCH($A168,PODACI_PRODAJA!$A:$A,0)),0)</f>
        <v>0</v>
      </c>
      <c r="X168" s="23" t="n">
        <f aca="false">IFERROR(INDEX(PODACI_PRODAJA!G:G,MATCH($A168,PODACI_PRODAJA!$A:$A,0)),0)</f>
        <v>0</v>
      </c>
      <c r="Y168" s="23" t="n">
        <f aca="false">IFERROR(INDEX(PODACI_PRODAJA!H:H,MATCH($A168,PODACI_PRODAJA!$A:$A,0)),0)</f>
        <v>0</v>
      </c>
      <c r="Z168" s="23" t="n">
        <f aca="false">IFERROR(INDEX(PODACI_PRODAJA!I:I,MATCH($A168,PODACI_PRODAJA!$A:$A,0)),0)</f>
        <v>0</v>
      </c>
      <c r="AA168" s="23" t="n">
        <f aca="false">IFERROR(INDEX(PODACI_PRODAJA!J:J,MATCH($A168,PODACI_PRODAJA!$A:$A,0)),0)</f>
        <v>0</v>
      </c>
      <c r="AB168" s="23" t="n">
        <f aca="false">IFERROR(INDEX(PODACI_PRODAJA!K:K,MATCH($A168,PODACI_PRODAJA!$A:$A,0)),0)</f>
        <v>0</v>
      </c>
      <c r="AC168" s="23" t="n">
        <f aca="false">IFERROR(INDEX(PODACI_PRODAJA!L:L,MATCH($A168,PODACI_PRODAJA!$A:$A,0)),0)</f>
        <v>0</v>
      </c>
      <c r="AD168" s="23" t="n">
        <f aca="false">IFERROR(INDEX(PODACI_PRODAJA!M:M,MATCH($A168,PODACI_PRODAJA!$A:$A,0)),0)</f>
        <v>0</v>
      </c>
    </row>
    <row r="169" customFormat="false" ht="15" hidden="false" customHeight="false" outlineLevel="0" collapsed="false">
      <c r="A169" s="11" t="str">
        <f aca="false">PODACI_ZALIHE!A166</f>
        <v>16060</v>
      </c>
      <c r="B169" s="8" t="str">
        <f aca="false">PODACI_ZALIHE!B166</f>
        <v>TK SPRING 80 KVADRATNA TUŠ KABINA 80x80x180 cm</v>
      </c>
      <c r="C169" s="9" t="str">
        <f aca="false">PODACI_ZALIHE!C166</f>
        <v>2515</v>
      </c>
      <c r="D169" s="8" t="str">
        <f aca="false">PODACI_ZALIHE!D166</f>
        <v>HANGZHOU ZHUGELAI JINGYI CO., LTD.</v>
      </c>
      <c r="E169" s="19" t="n">
        <f aca="false">IF(PODACI_ZALIHE!E166="","",PODACI_ZALIHE!E166)</f>
        <v>48</v>
      </c>
      <c r="F169" s="20" t="n">
        <f aca="false">PODACI_ZALIHE!F166</f>
        <v>48</v>
      </c>
      <c r="G169" s="19" t="n">
        <f aca="false">IF(E169="","",E169-F169)</f>
        <v>0</v>
      </c>
      <c r="H169" s="9" t="n">
        <f aca="false">PODACI_PRODAJA!N555</f>
        <v>0.5</v>
      </c>
      <c r="I169" s="21" t="n">
        <f aca="false">IF(H169&lt;=0,999,ROUND(F169/H169,1))</f>
        <v>96</v>
      </c>
      <c r="J169" s="9" t="n">
        <f aca="false">SUMIFS(ROBA_U_DOLASKU!$C$6:$C$95,ROBA_U_DOLASKU!$A$6:$A$95,A169,ROBA_U_DOLASKU!$H$6:$H$95,1)</f>
        <v>0</v>
      </c>
      <c r="K169" s="9" t="n">
        <f aca="false">SUMIFS(ROBA_U_DOLASKU!$B$6:$B$95,ROBA_U_DOLASKU!$A$6:$A$95,A169,ROBA_U_DOLASKU!$H$6:$H$95,1)</f>
        <v>0</v>
      </c>
      <c r="L169" s="9" t="n">
        <f aca="false">SUMIFS(ROBA_U_DOLASKU!$C$6:$C$95,ROBA_U_DOLASKU!$A$6:$A$95,A169,ROBA_U_DOLASKU!$H$6:$H$95,2)</f>
        <v>0</v>
      </c>
      <c r="M169" s="9" t="n">
        <f aca="false">SUMIFS(ROBA_U_DOLASKU!$B$6:$B$95,ROBA_U_DOLASKU!$A$6:$A$95,A169,ROBA_U_DOLASKU!$H$6:$H$95,2)</f>
        <v>0</v>
      </c>
      <c r="N169" s="9" t="n">
        <f aca="false">SUMIFS(ROBA_U_DOLASKU!$C$6:$C$95,ROBA_U_DOLASKU!$A$6:$A$95,A169,ROBA_U_DOLASKU!$H$6:$H$95,3)</f>
        <v>0</v>
      </c>
      <c r="O169" s="9" t="n">
        <f aca="false">SUMIFS(ROBA_U_DOLASKU!$B$6:$B$95,ROBA_U_DOLASKU!$A$6:$A$95,A169,ROBA_U_DOLASKU!$H$6:$H$95,3)</f>
        <v>0</v>
      </c>
      <c r="P169" s="9" t="n">
        <f aca="false">IF(H169&lt;=0,999,IF(O169&gt;0,ROUND((F169-H169*N169+K169+M169+O169)/H169,1),IF(M169&gt;0,ROUND((F169-H169*L169+K169+M169)/H169,1),IF(K169&gt;0,ROUND((F169-H169*J169+K169)/H169,1),I169))))</f>
        <v>96</v>
      </c>
      <c r="Q169" s="22" t="str">
        <f aca="false">IF(H169&lt;=0,"Nema prodaje",IF(AND(K169=0,M169=0,O169=0),IF(I169&lt;POSTAVKE!$B$6,"Naruči odmah","Sve u redu"),IF(F169-H169*J169&lt;0,"Rupa za ~"&amp;TEXT(I169,"0.0")&amp;" mj.",IF(AND(M169&gt;0,F169-H169*L169+K169&lt;0),"Rupa nakon 1. dolaska",IF(AND(O169&gt;0,F169-H169*N169+K169+M169&lt;0),"Rupa nakon 2. dolaska",IF(P169&lt;POSTAVKE!$B$6,"Količina nije dovoljna",IF(I169&gt;=POSTAVKE!$B$6,"Sve u redu","Stiže na vrijeme")))))))</f>
        <v>Sve u redu</v>
      </c>
      <c r="S169" s="23" t="n">
        <f aca="false">IFERROR(INDEX(PODACI_PRODAJA!B:B,MATCH($A169,PODACI_PRODAJA!$A:$A,0)),0)</f>
        <v>0</v>
      </c>
      <c r="T169" s="23" t="n">
        <f aca="false">IFERROR(INDEX(PODACI_PRODAJA!C:C,MATCH($A169,PODACI_PRODAJA!$A:$A,0)),0)</f>
        <v>1</v>
      </c>
      <c r="U169" s="23" t="n">
        <f aca="false">IFERROR(INDEX(PODACI_PRODAJA!D:D,MATCH($A169,PODACI_PRODAJA!$A:$A,0)),0)</f>
        <v>1</v>
      </c>
      <c r="V169" s="23" t="n">
        <f aca="false">IFERROR(INDEX(PODACI_PRODAJA!E:E,MATCH($A169,PODACI_PRODAJA!$A:$A,0)),0)</f>
        <v>0</v>
      </c>
      <c r="W169" s="23" t="n">
        <f aca="false">IFERROR(INDEX(PODACI_PRODAJA!F:F,MATCH($A169,PODACI_PRODAJA!$A:$A,0)),0)</f>
        <v>0</v>
      </c>
      <c r="X169" s="23" t="n">
        <f aca="false">IFERROR(INDEX(PODACI_PRODAJA!G:G,MATCH($A169,PODACI_PRODAJA!$A:$A,0)),0)</f>
        <v>1</v>
      </c>
      <c r="Y169" s="23" t="n">
        <f aca="false">IFERROR(INDEX(PODACI_PRODAJA!H:H,MATCH($A169,PODACI_PRODAJA!$A:$A,0)),0)</f>
        <v>0</v>
      </c>
      <c r="Z169" s="23" t="n">
        <f aca="false">IFERROR(INDEX(PODACI_PRODAJA!I:I,MATCH($A169,PODACI_PRODAJA!$A:$A,0)),0)</f>
        <v>1</v>
      </c>
      <c r="AA169" s="23" t="n">
        <f aca="false">IFERROR(INDEX(PODACI_PRODAJA!J:J,MATCH($A169,PODACI_PRODAJA!$A:$A,0)),0)</f>
        <v>0</v>
      </c>
      <c r="AB169" s="23" t="n">
        <f aca="false">IFERROR(INDEX(PODACI_PRODAJA!K:K,MATCH($A169,PODACI_PRODAJA!$A:$A,0)),0)</f>
        <v>0</v>
      </c>
      <c r="AC169" s="23" t="n">
        <f aca="false">IFERROR(INDEX(PODACI_PRODAJA!L:L,MATCH($A169,PODACI_PRODAJA!$A:$A,0)),0)</f>
        <v>0</v>
      </c>
      <c r="AD169" s="23" t="n">
        <f aca="false">IFERROR(INDEX(PODACI_PRODAJA!M:M,MATCH($A169,PODACI_PRODAJA!$A:$A,0)),0)</f>
        <v>0</v>
      </c>
    </row>
    <row r="170" customFormat="false" ht="15" hidden="false" customHeight="false" outlineLevel="0" collapsed="false">
      <c r="A170" s="11" t="str">
        <f aca="false">PODACI_ZALIHE!A167</f>
        <v>041980</v>
      </c>
      <c r="B170" s="8" t="str">
        <f aca="false">PODACI_ZALIHE!B167</f>
        <v>TK MADERA 90 POLUKRUŽNA TUŠ KABINA 90x90x185 cm</v>
      </c>
      <c r="C170" s="9" t="str">
        <f aca="false">PODACI_ZALIHE!C167</f>
        <v>4981</v>
      </c>
      <c r="D170" s="8" t="str">
        <f aca="false">PODACI_ZALIHE!D167</f>
        <v>HANGZHOU SUNLIGHT TRADE CO., LTD.</v>
      </c>
      <c r="E170" s="19" t="n">
        <f aca="false">IF(PODACI_ZALIHE!E167="","",PODACI_ZALIHE!E167)</f>
        <v>47</v>
      </c>
      <c r="F170" s="20" t="n">
        <f aca="false">PODACI_ZALIHE!F167</f>
        <v>47</v>
      </c>
      <c r="G170" s="19" t="n">
        <f aca="false">IF(E170="","",E170-F170)</f>
        <v>0</v>
      </c>
      <c r="H170" s="9" t="n">
        <f aca="false">PODACI_PRODAJA!N176</f>
        <v>0.75</v>
      </c>
      <c r="I170" s="21" t="n">
        <f aca="false">IF(H170&lt;=0,999,ROUND(F170/H170,1))</f>
        <v>62.7</v>
      </c>
      <c r="J170" s="9" t="n">
        <f aca="false">SUMIFS(ROBA_U_DOLASKU!$C$6:$C$95,ROBA_U_DOLASKU!$A$6:$A$95,A170,ROBA_U_DOLASKU!$H$6:$H$95,1)</f>
        <v>0</v>
      </c>
      <c r="K170" s="9" t="n">
        <f aca="false">SUMIFS(ROBA_U_DOLASKU!$B$6:$B$95,ROBA_U_DOLASKU!$A$6:$A$95,A170,ROBA_U_DOLASKU!$H$6:$H$95,1)</f>
        <v>0</v>
      </c>
      <c r="L170" s="9" t="n">
        <f aca="false">SUMIFS(ROBA_U_DOLASKU!$C$6:$C$95,ROBA_U_DOLASKU!$A$6:$A$95,A170,ROBA_U_DOLASKU!$H$6:$H$95,2)</f>
        <v>0</v>
      </c>
      <c r="M170" s="9" t="n">
        <f aca="false">SUMIFS(ROBA_U_DOLASKU!$B$6:$B$95,ROBA_U_DOLASKU!$A$6:$A$95,A170,ROBA_U_DOLASKU!$H$6:$H$95,2)</f>
        <v>0</v>
      </c>
      <c r="N170" s="9" t="n">
        <f aca="false">SUMIFS(ROBA_U_DOLASKU!$C$6:$C$95,ROBA_U_DOLASKU!$A$6:$A$95,A170,ROBA_U_DOLASKU!$H$6:$H$95,3)</f>
        <v>0</v>
      </c>
      <c r="O170" s="9" t="n">
        <f aca="false">SUMIFS(ROBA_U_DOLASKU!$B$6:$B$95,ROBA_U_DOLASKU!$A$6:$A$95,A170,ROBA_U_DOLASKU!$H$6:$H$95,3)</f>
        <v>0</v>
      </c>
      <c r="P170" s="9" t="n">
        <f aca="false">IF(H170&lt;=0,999,IF(O170&gt;0,ROUND((F170-H170*N170+K170+M170+O170)/H170,1),IF(M170&gt;0,ROUND((F170-H170*L170+K170+M170)/H170,1),IF(K170&gt;0,ROUND((F170-H170*J170+K170)/H170,1),I170))))</f>
        <v>62.7</v>
      </c>
      <c r="Q170" s="22" t="str">
        <f aca="false">IF(H170&lt;=0,"Nema prodaje",IF(AND(K170=0,M170=0,O170=0),IF(I170&lt;POSTAVKE!$B$6,"Naruči odmah","Sve u redu"),IF(F170-H170*J170&lt;0,"Rupa za ~"&amp;TEXT(I170,"0.0")&amp;" mj.",IF(AND(M170&gt;0,F170-H170*L170+K170&lt;0),"Rupa nakon 1. dolaska",IF(AND(O170&gt;0,F170-H170*N170+K170+M170&lt;0),"Rupa nakon 2. dolaska",IF(P170&lt;POSTAVKE!$B$6,"Količina nije dovoljna",IF(I170&gt;=POSTAVKE!$B$6,"Sve u redu","Stiže na vrijeme")))))))</f>
        <v>Sve u redu</v>
      </c>
      <c r="S170" s="23" t="n">
        <f aca="false">IFERROR(INDEX(PODACI_PRODAJA!B:B,MATCH($A170,PODACI_PRODAJA!$A:$A,0)),0)</f>
        <v>2</v>
      </c>
      <c r="T170" s="23" t="n">
        <f aca="false">IFERROR(INDEX(PODACI_PRODAJA!C:C,MATCH($A170,PODACI_PRODAJA!$A:$A,0)),0)</f>
        <v>1</v>
      </c>
      <c r="U170" s="23" t="n">
        <f aca="false">IFERROR(INDEX(PODACI_PRODAJA!D:D,MATCH($A170,PODACI_PRODAJA!$A:$A,0)),0)</f>
        <v>1</v>
      </c>
      <c r="V170" s="23" t="n">
        <f aca="false">IFERROR(INDEX(PODACI_PRODAJA!E:E,MATCH($A170,PODACI_PRODAJA!$A:$A,0)),0)</f>
        <v>0</v>
      </c>
      <c r="W170" s="23" t="n">
        <f aca="false">IFERROR(INDEX(PODACI_PRODAJA!F:F,MATCH($A170,PODACI_PRODAJA!$A:$A,0)),0)</f>
        <v>1</v>
      </c>
      <c r="X170" s="23" t="n">
        <f aca="false">IFERROR(INDEX(PODACI_PRODAJA!G:G,MATCH($A170,PODACI_PRODAJA!$A:$A,0)),0)</f>
        <v>0</v>
      </c>
      <c r="Y170" s="23" t="n">
        <f aca="false">IFERROR(INDEX(PODACI_PRODAJA!H:H,MATCH($A170,PODACI_PRODAJA!$A:$A,0)),0)</f>
        <v>0</v>
      </c>
      <c r="Z170" s="23" t="n">
        <f aca="false">IFERROR(INDEX(PODACI_PRODAJA!I:I,MATCH($A170,PODACI_PRODAJA!$A:$A,0)),0)</f>
        <v>1</v>
      </c>
      <c r="AA170" s="23" t="n">
        <f aca="false">IFERROR(INDEX(PODACI_PRODAJA!J:J,MATCH($A170,PODACI_PRODAJA!$A:$A,0)),0)</f>
        <v>0</v>
      </c>
      <c r="AB170" s="23" t="n">
        <f aca="false">IFERROR(INDEX(PODACI_PRODAJA!K:K,MATCH($A170,PODACI_PRODAJA!$A:$A,0)),0)</f>
        <v>0</v>
      </c>
      <c r="AC170" s="23" t="n">
        <f aca="false">IFERROR(INDEX(PODACI_PRODAJA!L:L,MATCH($A170,PODACI_PRODAJA!$A:$A,0)),0)</f>
        <v>0</v>
      </c>
      <c r="AD170" s="23" t="n">
        <f aca="false">IFERROR(INDEX(PODACI_PRODAJA!M:M,MATCH($A170,PODACI_PRODAJA!$A:$A,0)),0)</f>
        <v>0</v>
      </c>
    </row>
    <row r="171" customFormat="false" ht="15" hidden="false" customHeight="false" outlineLevel="0" collapsed="false">
      <c r="A171" s="11" t="str">
        <f aca="false">PODACI_ZALIHE!A168</f>
        <v>16966</v>
      </c>
      <c r="B171" s="8" t="str">
        <f aca="false">PODACI_ZALIHE!B168</f>
        <v>CLEAR WALL 100 CHROME TUŠ VRATA 1000x1950 mm</v>
      </c>
      <c r="C171" s="9" t="str">
        <f aca="false">PODACI_ZALIHE!C168</f>
        <v>6163</v>
      </c>
      <c r="D171" s="8" t="str">
        <f aca="false">PODACI_ZALIHE!D168</f>
        <v>HANGZHOU TIANMEI INDUSTRY CO.,LTD</v>
      </c>
      <c r="E171" s="19" t="n">
        <f aca="false">IF(PODACI_ZALIHE!E168="","",PODACI_ZALIHE!E168)</f>
        <v>51</v>
      </c>
      <c r="F171" s="20" t="n">
        <f aca="false">PODACI_ZALIHE!F168</f>
        <v>46</v>
      </c>
      <c r="G171" s="19" t="n">
        <f aca="false">IF(E171="","",E171-F171)</f>
        <v>5</v>
      </c>
      <c r="H171" s="9" t="n">
        <f aca="false">PODACI_PRODAJA!N259</f>
        <v>2.75</v>
      </c>
      <c r="I171" s="21" t="n">
        <f aca="false">IF(H171&lt;=0,999,ROUND(F171/H171,1))</f>
        <v>16.7</v>
      </c>
      <c r="J171" s="9" t="n">
        <f aca="false">SUMIFS(ROBA_U_DOLASKU!$C$6:$C$95,ROBA_U_DOLASKU!$A$6:$A$95,A171,ROBA_U_DOLASKU!$H$6:$H$95,1)</f>
        <v>0</v>
      </c>
      <c r="K171" s="9" t="n">
        <f aca="false">SUMIFS(ROBA_U_DOLASKU!$B$6:$B$95,ROBA_U_DOLASKU!$A$6:$A$95,A171,ROBA_U_DOLASKU!$H$6:$H$95,1)</f>
        <v>0</v>
      </c>
      <c r="L171" s="9" t="n">
        <f aca="false">SUMIFS(ROBA_U_DOLASKU!$C$6:$C$95,ROBA_U_DOLASKU!$A$6:$A$95,A171,ROBA_U_DOLASKU!$H$6:$H$95,2)</f>
        <v>0</v>
      </c>
      <c r="M171" s="9" t="n">
        <f aca="false">SUMIFS(ROBA_U_DOLASKU!$B$6:$B$95,ROBA_U_DOLASKU!$A$6:$A$95,A171,ROBA_U_DOLASKU!$H$6:$H$95,2)</f>
        <v>0</v>
      </c>
      <c r="N171" s="9" t="n">
        <f aca="false">SUMIFS(ROBA_U_DOLASKU!$C$6:$C$95,ROBA_U_DOLASKU!$A$6:$A$95,A171,ROBA_U_DOLASKU!$H$6:$H$95,3)</f>
        <v>0</v>
      </c>
      <c r="O171" s="9" t="n">
        <f aca="false">SUMIFS(ROBA_U_DOLASKU!$B$6:$B$95,ROBA_U_DOLASKU!$A$6:$A$95,A171,ROBA_U_DOLASKU!$H$6:$H$95,3)</f>
        <v>0</v>
      </c>
      <c r="P171" s="9" t="n">
        <f aca="false">IF(H171&lt;=0,999,IF(O171&gt;0,ROUND((F171-H171*N171+K171+M171+O171)/H171,1),IF(M171&gt;0,ROUND((F171-H171*L171+K171+M171)/H171,1),IF(K171&gt;0,ROUND((F171-H171*J171+K171)/H171,1),I171))))</f>
        <v>16.7</v>
      </c>
      <c r="Q171" s="22" t="str">
        <f aca="false">IF(H171&lt;=0,"Nema prodaje",IF(AND(K171=0,M171=0,O171=0),IF(I171&lt;POSTAVKE!$B$6,"Naruči odmah","Sve u redu"),IF(F171-H171*J171&lt;0,"Rupa za ~"&amp;TEXT(I171,"0.0")&amp;" mj.",IF(AND(M171&gt;0,F171-H171*L171+K171&lt;0),"Rupa nakon 1. dolaska",IF(AND(O171&gt;0,F171-H171*N171+K171+M171&lt;0),"Rupa nakon 2. dolaska",IF(P171&lt;POSTAVKE!$B$6,"Količina nije dovoljna",IF(I171&gt;=POSTAVKE!$B$6,"Sve u redu","Stiže na vrijeme")))))))</f>
        <v>Sve u redu</v>
      </c>
      <c r="S171" s="23" t="n">
        <f aca="false">IFERROR(INDEX(PODACI_PRODAJA!B:B,MATCH($A171,PODACI_PRODAJA!$A:$A,0)),0)</f>
        <v>1</v>
      </c>
      <c r="T171" s="23" t="n">
        <f aca="false">IFERROR(INDEX(PODACI_PRODAJA!C:C,MATCH($A171,PODACI_PRODAJA!$A:$A,0)),0)</f>
        <v>4</v>
      </c>
      <c r="U171" s="23" t="n">
        <f aca="false">IFERROR(INDEX(PODACI_PRODAJA!D:D,MATCH($A171,PODACI_PRODAJA!$A:$A,0)),0)</f>
        <v>8</v>
      </c>
      <c r="V171" s="23" t="n">
        <f aca="false">IFERROR(INDEX(PODACI_PRODAJA!E:E,MATCH($A171,PODACI_PRODAJA!$A:$A,0)),0)</f>
        <v>4</v>
      </c>
      <c r="W171" s="23" t="n">
        <f aca="false">IFERROR(INDEX(PODACI_PRODAJA!F:F,MATCH($A171,PODACI_PRODAJA!$A:$A,0)),0)</f>
        <v>1</v>
      </c>
      <c r="X171" s="23" t="n">
        <f aca="false">IFERROR(INDEX(PODACI_PRODAJA!G:G,MATCH($A171,PODACI_PRODAJA!$A:$A,0)),0)</f>
        <v>0</v>
      </c>
      <c r="Y171" s="23" t="n">
        <f aca="false">IFERROR(INDEX(PODACI_PRODAJA!H:H,MATCH($A171,PODACI_PRODAJA!$A:$A,0)),0)</f>
        <v>1</v>
      </c>
      <c r="Z171" s="23" t="n">
        <f aca="false">IFERROR(INDEX(PODACI_PRODAJA!I:I,MATCH($A171,PODACI_PRODAJA!$A:$A,0)),0)</f>
        <v>3</v>
      </c>
      <c r="AA171" s="23" t="n">
        <f aca="false">IFERROR(INDEX(PODACI_PRODAJA!J:J,MATCH($A171,PODACI_PRODAJA!$A:$A,0)),0)</f>
        <v>5</v>
      </c>
      <c r="AB171" s="23" t="n">
        <f aca="false">IFERROR(INDEX(PODACI_PRODAJA!K:K,MATCH($A171,PODACI_PRODAJA!$A:$A,0)),0)</f>
        <v>0</v>
      </c>
      <c r="AC171" s="23" t="n">
        <f aca="false">IFERROR(INDEX(PODACI_PRODAJA!L:L,MATCH($A171,PODACI_PRODAJA!$A:$A,0)),0)</f>
        <v>0</v>
      </c>
      <c r="AD171" s="23" t="n">
        <f aca="false">IFERROR(INDEX(PODACI_PRODAJA!M:M,MATCH($A171,PODACI_PRODAJA!$A:$A,0)),0)</f>
        <v>0</v>
      </c>
    </row>
    <row r="172" customFormat="false" ht="15" hidden="false" customHeight="false" outlineLevel="0" collapsed="false">
      <c r="A172" s="11" t="str">
        <f aca="false">PODACI_ZALIHE!A169</f>
        <v>17251</v>
      </c>
      <c r="B172" s="8" t="str">
        <f aca="false">PODACI_ZALIHE!B169</f>
        <v>TK RAPIDO 90 CHROME KVADRATNA TUŠ KABINA 90X90X195 cm</v>
      </c>
      <c r="C172" s="9" t="str">
        <f aca="false">PODACI_ZALIHE!C169</f>
        <v>6762</v>
      </c>
      <c r="D172" s="8" t="str">
        <f aca="false">PODACI_ZALIHE!D169</f>
        <v>ZHEJIANG QUICKLINE SHOWERING CO., LTD.</v>
      </c>
      <c r="E172" s="19" t="n">
        <f aca="false">IF(PODACI_ZALIHE!E169="","",PODACI_ZALIHE!E169)</f>
        <v>46</v>
      </c>
      <c r="F172" s="20" t="n">
        <f aca="false">PODACI_ZALIHE!F169</f>
        <v>46</v>
      </c>
      <c r="G172" s="19" t="n">
        <f aca="false">IF(E172="","",E172-F172)</f>
        <v>0</v>
      </c>
      <c r="H172" s="9" t="n">
        <f aca="false">PODACI_PRODAJA!N626</f>
        <v>1.13</v>
      </c>
      <c r="I172" s="21" t="n">
        <f aca="false">IF(H172&lt;=0,999,ROUND(F172/H172,1))</f>
        <v>40.7</v>
      </c>
      <c r="J172" s="9" t="n">
        <f aca="false">SUMIFS(ROBA_U_DOLASKU!$C$6:$C$95,ROBA_U_DOLASKU!$A$6:$A$95,A172,ROBA_U_DOLASKU!$H$6:$H$95,1)</f>
        <v>0</v>
      </c>
      <c r="K172" s="9" t="n">
        <f aca="false">SUMIFS(ROBA_U_DOLASKU!$B$6:$B$95,ROBA_U_DOLASKU!$A$6:$A$95,A172,ROBA_U_DOLASKU!$H$6:$H$95,1)</f>
        <v>0</v>
      </c>
      <c r="L172" s="9" t="n">
        <f aca="false">SUMIFS(ROBA_U_DOLASKU!$C$6:$C$95,ROBA_U_DOLASKU!$A$6:$A$95,A172,ROBA_U_DOLASKU!$H$6:$H$95,2)</f>
        <v>0</v>
      </c>
      <c r="M172" s="9" t="n">
        <f aca="false">SUMIFS(ROBA_U_DOLASKU!$B$6:$B$95,ROBA_U_DOLASKU!$A$6:$A$95,A172,ROBA_U_DOLASKU!$H$6:$H$95,2)</f>
        <v>0</v>
      </c>
      <c r="N172" s="9" t="n">
        <f aca="false">SUMIFS(ROBA_U_DOLASKU!$C$6:$C$95,ROBA_U_DOLASKU!$A$6:$A$95,A172,ROBA_U_DOLASKU!$H$6:$H$95,3)</f>
        <v>0</v>
      </c>
      <c r="O172" s="9" t="n">
        <f aca="false">SUMIFS(ROBA_U_DOLASKU!$B$6:$B$95,ROBA_U_DOLASKU!$A$6:$A$95,A172,ROBA_U_DOLASKU!$H$6:$H$95,3)</f>
        <v>0</v>
      </c>
      <c r="P172" s="9" t="n">
        <f aca="false">IF(H172&lt;=0,999,IF(O172&gt;0,ROUND((F172-H172*N172+K172+M172+O172)/H172,1),IF(M172&gt;0,ROUND((F172-H172*L172+K172+M172)/H172,1),IF(K172&gt;0,ROUND((F172-H172*J172+K172)/H172,1),I172))))</f>
        <v>40.7</v>
      </c>
      <c r="Q172" s="22" t="str">
        <f aca="false">IF(H172&lt;=0,"Nema prodaje",IF(AND(K172=0,M172=0,O172=0),IF(I172&lt;POSTAVKE!$B$6,"Naruči odmah","Sve u redu"),IF(F172-H172*J172&lt;0,"Rupa za ~"&amp;TEXT(I172,"0.0")&amp;" mj.",IF(AND(M172&gt;0,F172-H172*L172+K172&lt;0),"Rupa nakon 1. dolaska",IF(AND(O172&gt;0,F172-H172*N172+K172+M172&lt;0),"Rupa nakon 2. dolaska",IF(P172&lt;POSTAVKE!$B$6,"Količina nije dovoljna",IF(I172&gt;=POSTAVKE!$B$6,"Sve u redu","Stiže na vrijeme")))))))</f>
        <v>Sve u redu</v>
      </c>
      <c r="S172" s="23" t="n">
        <f aca="false">IFERROR(INDEX(PODACI_PRODAJA!B:B,MATCH($A172,PODACI_PRODAJA!$A:$A,0)),0)</f>
        <v>0</v>
      </c>
      <c r="T172" s="23" t="n">
        <f aca="false">IFERROR(INDEX(PODACI_PRODAJA!C:C,MATCH($A172,PODACI_PRODAJA!$A:$A,0)),0)</f>
        <v>3</v>
      </c>
      <c r="U172" s="23" t="n">
        <f aca="false">IFERROR(INDEX(PODACI_PRODAJA!D:D,MATCH($A172,PODACI_PRODAJA!$A:$A,0)),0)</f>
        <v>1</v>
      </c>
      <c r="V172" s="23" t="n">
        <f aca="false">IFERROR(INDEX(PODACI_PRODAJA!E:E,MATCH($A172,PODACI_PRODAJA!$A:$A,0)),0)</f>
        <v>-1</v>
      </c>
      <c r="W172" s="23" t="n">
        <f aca="false">IFERROR(INDEX(PODACI_PRODAJA!F:F,MATCH($A172,PODACI_PRODAJA!$A:$A,0)),0)</f>
        <v>0</v>
      </c>
      <c r="X172" s="23" t="n">
        <f aca="false">IFERROR(INDEX(PODACI_PRODAJA!G:G,MATCH($A172,PODACI_PRODAJA!$A:$A,0)),0)</f>
        <v>1</v>
      </c>
      <c r="Y172" s="23" t="n">
        <f aca="false">IFERROR(INDEX(PODACI_PRODAJA!H:H,MATCH($A172,PODACI_PRODAJA!$A:$A,0)),0)</f>
        <v>4</v>
      </c>
      <c r="Z172" s="23" t="n">
        <f aca="false">IFERROR(INDEX(PODACI_PRODAJA!I:I,MATCH($A172,PODACI_PRODAJA!$A:$A,0)),0)</f>
        <v>1</v>
      </c>
      <c r="AA172" s="23" t="n">
        <f aca="false">IFERROR(INDEX(PODACI_PRODAJA!J:J,MATCH($A172,PODACI_PRODAJA!$A:$A,0)),0)</f>
        <v>0</v>
      </c>
      <c r="AB172" s="23" t="n">
        <f aca="false">IFERROR(INDEX(PODACI_PRODAJA!K:K,MATCH($A172,PODACI_PRODAJA!$A:$A,0)),0)</f>
        <v>0</v>
      </c>
      <c r="AC172" s="23" t="n">
        <f aca="false">IFERROR(INDEX(PODACI_PRODAJA!L:L,MATCH($A172,PODACI_PRODAJA!$A:$A,0)),0)</f>
        <v>0</v>
      </c>
      <c r="AD172" s="23" t="n">
        <f aca="false">IFERROR(INDEX(PODACI_PRODAJA!M:M,MATCH($A172,PODACI_PRODAJA!$A:$A,0)),0)</f>
        <v>0</v>
      </c>
    </row>
    <row r="173" customFormat="false" ht="15" hidden="false" customHeight="false" outlineLevel="0" collapsed="false">
      <c r="A173" s="11" t="str">
        <f aca="false">PODACI_ZALIHE!A170</f>
        <v>18249</v>
      </c>
      <c r="B173" s="8" t="str">
        <f aca="false">PODACI_ZALIHE!B170</f>
        <v>TALIA OGLEDALO S LED RASVJETOM D70 cm</v>
      </c>
      <c r="C173" s="9" t="str">
        <f aca="false">PODACI_ZALIHE!C170</f>
        <v>6032</v>
      </c>
      <c r="D173" s="8" t="str">
        <f aca="false">PODACI_ZALIHE!D170</f>
        <v>HANGZHOU ZIHAN MIRROR INDUSTRY CO., LTD.</v>
      </c>
      <c r="E173" s="19" t="n">
        <f aca="false">IF(PODACI_ZALIHE!E170="","",PODACI_ZALIHE!E170)</f>
        <v>47</v>
      </c>
      <c r="F173" s="20" t="n">
        <f aca="false">PODACI_ZALIHE!F170</f>
        <v>46</v>
      </c>
      <c r="G173" s="19" t="n">
        <f aca="false">IF(E173="","",E173-F173)</f>
        <v>1</v>
      </c>
      <c r="H173" s="9" t="n">
        <f aca="false">PODACI_PRODAJA!N51</f>
        <v>14.25</v>
      </c>
      <c r="I173" s="21" t="n">
        <f aca="false">IF(H173&lt;=0,999,ROUND(F173/H173,1))</f>
        <v>3.2</v>
      </c>
      <c r="J173" s="9" t="n">
        <f aca="false">SUMIFS(ROBA_U_DOLASKU!$C$6:$C$95,ROBA_U_DOLASKU!$A$6:$A$95,A173,ROBA_U_DOLASKU!$H$6:$H$95,1)</f>
        <v>2.2</v>
      </c>
      <c r="K173" s="9" t="n">
        <f aca="false">SUMIFS(ROBA_U_DOLASKU!$B$6:$B$95,ROBA_U_DOLASKU!$A$6:$A$95,A173,ROBA_U_DOLASKU!$H$6:$H$95,1)</f>
        <v>40</v>
      </c>
      <c r="L173" s="9" t="n">
        <f aca="false">SUMIFS(ROBA_U_DOLASKU!$C$6:$C$95,ROBA_U_DOLASKU!$A$6:$A$95,A173,ROBA_U_DOLASKU!$H$6:$H$95,2)</f>
        <v>0</v>
      </c>
      <c r="M173" s="9" t="n">
        <f aca="false">SUMIFS(ROBA_U_DOLASKU!$B$6:$B$95,ROBA_U_DOLASKU!$A$6:$A$95,A173,ROBA_U_DOLASKU!$H$6:$H$95,2)</f>
        <v>0</v>
      </c>
      <c r="N173" s="9" t="n">
        <f aca="false">SUMIFS(ROBA_U_DOLASKU!$C$6:$C$95,ROBA_U_DOLASKU!$A$6:$A$95,A173,ROBA_U_DOLASKU!$H$6:$H$95,3)</f>
        <v>0</v>
      </c>
      <c r="O173" s="9" t="n">
        <f aca="false">SUMIFS(ROBA_U_DOLASKU!$B$6:$B$95,ROBA_U_DOLASKU!$A$6:$A$95,A173,ROBA_U_DOLASKU!$H$6:$H$95,3)</f>
        <v>0</v>
      </c>
      <c r="P173" s="9" t="n">
        <f aca="false">IF(H173&lt;=0,999,IF(O173&gt;0,ROUND((F173-H173*N173+K173+M173+O173)/H173,1),IF(M173&gt;0,ROUND((F173-H173*L173+K173+M173)/H173,1),IF(K173&gt;0,ROUND((F173-H173*J173+K173)/H173,1),I173))))</f>
        <v>3.8</v>
      </c>
      <c r="Q173" s="22" t="str">
        <f aca="false">IF(H173&lt;=0,"Nema prodaje",IF(AND(K173=0,M173=0,O173=0),IF(I173&lt;POSTAVKE!$B$6,"Naruči odmah","Sve u redu"),IF(F173-H173*J173&lt;0,"Rupa za ~"&amp;TEXT(I173,"0.0")&amp;" mj.",IF(AND(M173&gt;0,F173-H173*L173+K173&lt;0),"Rupa nakon 1. dolaska",IF(AND(O173&gt;0,F173-H173*N173+K173+M173&lt;0),"Rupa nakon 2. dolaska",IF(P173&lt;POSTAVKE!$B$6,"Količina nije dovoljna",IF(I173&gt;=POSTAVKE!$B$6,"Sve u redu","Stiže na vrijeme")))))))</f>
        <v>Količina nije dovoljna</v>
      </c>
      <c r="S173" s="23" t="n">
        <f aca="false">IFERROR(INDEX(PODACI_PRODAJA!B:B,MATCH($A173,PODACI_PRODAJA!$A:$A,0)),0)</f>
        <v>18</v>
      </c>
      <c r="T173" s="23" t="n">
        <f aca="false">IFERROR(INDEX(PODACI_PRODAJA!C:C,MATCH($A173,PODACI_PRODAJA!$A:$A,0)),0)</f>
        <v>12</v>
      </c>
      <c r="U173" s="23" t="n">
        <f aca="false">IFERROR(INDEX(PODACI_PRODAJA!D:D,MATCH($A173,PODACI_PRODAJA!$A:$A,0)),0)</f>
        <v>34</v>
      </c>
      <c r="V173" s="23" t="n">
        <f aca="false">IFERROR(INDEX(PODACI_PRODAJA!E:E,MATCH($A173,PODACI_PRODAJA!$A:$A,0)),0)</f>
        <v>12</v>
      </c>
      <c r="W173" s="23" t="n">
        <f aca="false">IFERROR(INDEX(PODACI_PRODAJA!F:F,MATCH($A173,PODACI_PRODAJA!$A:$A,0)),0)</f>
        <v>11</v>
      </c>
      <c r="X173" s="23" t="n">
        <f aca="false">IFERROR(INDEX(PODACI_PRODAJA!G:G,MATCH($A173,PODACI_PRODAJA!$A:$A,0)),0)</f>
        <v>12</v>
      </c>
      <c r="Y173" s="23" t="n">
        <f aca="false">IFERROR(INDEX(PODACI_PRODAJA!H:H,MATCH($A173,PODACI_PRODAJA!$A:$A,0)),0)</f>
        <v>2</v>
      </c>
      <c r="Z173" s="23" t="n">
        <f aca="false">IFERROR(INDEX(PODACI_PRODAJA!I:I,MATCH($A173,PODACI_PRODAJA!$A:$A,0)),0)</f>
        <v>13</v>
      </c>
      <c r="AA173" s="23" t="n">
        <f aca="false">IFERROR(INDEX(PODACI_PRODAJA!J:J,MATCH($A173,PODACI_PRODAJA!$A:$A,0)),0)</f>
        <v>1</v>
      </c>
      <c r="AB173" s="23" t="n">
        <f aca="false">IFERROR(INDEX(PODACI_PRODAJA!K:K,MATCH($A173,PODACI_PRODAJA!$A:$A,0)),0)</f>
        <v>0</v>
      </c>
      <c r="AC173" s="23" t="n">
        <f aca="false">IFERROR(INDEX(PODACI_PRODAJA!L:L,MATCH($A173,PODACI_PRODAJA!$A:$A,0)),0)</f>
        <v>0</v>
      </c>
      <c r="AD173" s="23" t="n">
        <f aca="false">IFERROR(INDEX(PODACI_PRODAJA!M:M,MATCH($A173,PODACI_PRODAJA!$A:$A,0)),0)</f>
        <v>0</v>
      </c>
    </row>
    <row r="174" customFormat="false" ht="15" hidden="false" customHeight="false" outlineLevel="0" collapsed="false">
      <c r="A174" s="11" t="str">
        <f aca="false">PODACI_ZALIHE!A171</f>
        <v>1568500</v>
      </c>
      <c r="B174" s="8" t="str">
        <f aca="false">PODACI_ZALIHE!B171</f>
        <v>BOLD S BIJELA 100140 MINERALSOLID TUŠ KADA 1000x1400x30 mm</v>
      </c>
      <c r="C174" s="9" t="str">
        <f aca="false">PODACI_ZALIHE!C171</f>
        <v>5140</v>
      </c>
      <c r="D174" s="8" t="str">
        <f aca="false">PODACI_ZALIHE!D171</f>
        <v>GUANGDONG OCEAN SANITARY WARE CO., LTD.</v>
      </c>
      <c r="E174" s="19" t="n">
        <f aca="false">IF(PODACI_ZALIHE!E171="","",PODACI_ZALIHE!E171)</f>
        <v>45</v>
      </c>
      <c r="F174" s="20" t="n">
        <f aca="false">PODACI_ZALIHE!F171</f>
        <v>45</v>
      </c>
      <c r="G174" s="19" t="n">
        <f aca="false">IF(E174="","",E174-F174)</f>
        <v>0</v>
      </c>
      <c r="H174" s="9" t="n">
        <f aca="false">PODACI_PRODAJA!N521</f>
        <v>1.88</v>
      </c>
      <c r="I174" s="21" t="n">
        <f aca="false">IF(H174&lt;=0,999,ROUND(F174/H174,1))</f>
        <v>23.9</v>
      </c>
      <c r="J174" s="9" t="n">
        <f aca="false">SUMIFS(ROBA_U_DOLASKU!$C$6:$C$95,ROBA_U_DOLASKU!$A$6:$A$95,A174,ROBA_U_DOLASKU!$H$6:$H$95,1)</f>
        <v>0</v>
      </c>
      <c r="K174" s="9" t="n">
        <f aca="false">SUMIFS(ROBA_U_DOLASKU!$B$6:$B$95,ROBA_U_DOLASKU!$A$6:$A$95,A174,ROBA_U_DOLASKU!$H$6:$H$95,1)</f>
        <v>0</v>
      </c>
      <c r="L174" s="9" t="n">
        <f aca="false">SUMIFS(ROBA_U_DOLASKU!$C$6:$C$95,ROBA_U_DOLASKU!$A$6:$A$95,A174,ROBA_U_DOLASKU!$H$6:$H$95,2)</f>
        <v>0</v>
      </c>
      <c r="M174" s="9" t="n">
        <f aca="false">SUMIFS(ROBA_U_DOLASKU!$B$6:$B$95,ROBA_U_DOLASKU!$A$6:$A$95,A174,ROBA_U_DOLASKU!$H$6:$H$95,2)</f>
        <v>0</v>
      </c>
      <c r="N174" s="9" t="n">
        <f aca="false">SUMIFS(ROBA_U_DOLASKU!$C$6:$C$95,ROBA_U_DOLASKU!$A$6:$A$95,A174,ROBA_U_DOLASKU!$H$6:$H$95,3)</f>
        <v>0</v>
      </c>
      <c r="O174" s="9" t="n">
        <f aca="false">SUMIFS(ROBA_U_DOLASKU!$B$6:$B$95,ROBA_U_DOLASKU!$A$6:$A$95,A174,ROBA_U_DOLASKU!$H$6:$H$95,3)</f>
        <v>0</v>
      </c>
      <c r="P174" s="9" t="n">
        <f aca="false">IF(H174&lt;=0,999,IF(O174&gt;0,ROUND((F174-H174*N174+K174+M174+O174)/H174,1),IF(M174&gt;0,ROUND((F174-H174*L174+K174+M174)/H174,1),IF(K174&gt;0,ROUND((F174-H174*J174+K174)/H174,1),I174))))</f>
        <v>23.9</v>
      </c>
      <c r="Q174" s="22" t="str">
        <f aca="false">IF(H174&lt;=0,"Nema prodaje",IF(AND(K174=0,M174=0,O174=0),IF(I174&lt;POSTAVKE!$B$6,"Naruči odmah","Sve u redu"),IF(F174-H174*J174&lt;0,"Rupa za ~"&amp;TEXT(I174,"0.0")&amp;" mj.",IF(AND(M174&gt;0,F174-H174*L174+K174&lt;0),"Rupa nakon 1. dolaska",IF(AND(O174&gt;0,F174-H174*N174+K174+M174&lt;0),"Rupa nakon 2. dolaska",IF(P174&lt;POSTAVKE!$B$6,"Količina nije dovoljna",IF(I174&gt;=POSTAVKE!$B$6,"Sve u redu","Stiže na vrijeme")))))))</f>
        <v>Sve u redu</v>
      </c>
      <c r="S174" s="23" t="n">
        <f aca="false">IFERROR(INDEX(PODACI_PRODAJA!B:B,MATCH($A174,PODACI_PRODAJA!$A:$A,0)),0)</f>
        <v>0</v>
      </c>
      <c r="T174" s="23" t="n">
        <f aca="false">IFERROR(INDEX(PODACI_PRODAJA!C:C,MATCH($A174,PODACI_PRODAJA!$A:$A,0)),0)</f>
        <v>0</v>
      </c>
      <c r="U174" s="23" t="n">
        <f aca="false">IFERROR(INDEX(PODACI_PRODAJA!D:D,MATCH($A174,PODACI_PRODAJA!$A:$A,0)),0)</f>
        <v>10</v>
      </c>
      <c r="V174" s="23" t="n">
        <f aca="false">IFERROR(INDEX(PODACI_PRODAJA!E:E,MATCH($A174,PODACI_PRODAJA!$A:$A,0)),0)</f>
        <v>0</v>
      </c>
      <c r="W174" s="23" t="n">
        <f aca="false">IFERROR(INDEX(PODACI_PRODAJA!F:F,MATCH($A174,PODACI_PRODAJA!$A:$A,0)),0)</f>
        <v>0</v>
      </c>
      <c r="X174" s="23" t="n">
        <f aca="false">IFERROR(INDEX(PODACI_PRODAJA!G:G,MATCH($A174,PODACI_PRODAJA!$A:$A,0)),0)</f>
        <v>2</v>
      </c>
      <c r="Y174" s="23" t="n">
        <f aca="false">IFERROR(INDEX(PODACI_PRODAJA!H:H,MATCH($A174,PODACI_PRODAJA!$A:$A,0)),0)</f>
        <v>-1</v>
      </c>
      <c r="Z174" s="23" t="n">
        <f aca="false">IFERROR(INDEX(PODACI_PRODAJA!I:I,MATCH($A174,PODACI_PRODAJA!$A:$A,0)),0)</f>
        <v>4</v>
      </c>
      <c r="AA174" s="23" t="n">
        <f aca="false">IFERROR(INDEX(PODACI_PRODAJA!J:J,MATCH($A174,PODACI_PRODAJA!$A:$A,0)),0)</f>
        <v>0</v>
      </c>
      <c r="AB174" s="23" t="n">
        <f aca="false">IFERROR(INDEX(PODACI_PRODAJA!K:K,MATCH($A174,PODACI_PRODAJA!$A:$A,0)),0)</f>
        <v>0</v>
      </c>
      <c r="AC174" s="23" t="n">
        <f aca="false">IFERROR(INDEX(PODACI_PRODAJA!L:L,MATCH($A174,PODACI_PRODAJA!$A:$A,0)),0)</f>
        <v>0</v>
      </c>
      <c r="AD174" s="23" t="n">
        <f aca="false">IFERROR(INDEX(PODACI_PRODAJA!M:M,MATCH($A174,PODACI_PRODAJA!$A:$A,0)),0)</f>
        <v>0</v>
      </c>
    </row>
    <row r="175" customFormat="false" ht="15" hidden="false" customHeight="false" outlineLevel="0" collapsed="false">
      <c r="A175" s="11" t="str">
        <f aca="false">PODACI_ZALIHE!A172</f>
        <v>17181</v>
      </c>
      <c r="B175" s="8" t="str">
        <f aca="false">PODACI_ZALIHE!B172</f>
        <v>REFLECT DRŽAČ ZA RUČNIK 61 CM - KROM</v>
      </c>
      <c r="C175" s="9" t="str">
        <f aca="false">PODACI_ZALIHE!C172</f>
        <v>6458</v>
      </c>
      <c r="D175" s="8" t="str">
        <f aca="false">PODACI_ZALIHE!D172</f>
        <v>BOJIA TRADING LIMITED</v>
      </c>
      <c r="E175" s="19" t="n">
        <f aca="false">IF(PODACI_ZALIHE!E172="","",PODACI_ZALIHE!E172)</f>
        <v>45</v>
      </c>
      <c r="F175" s="20" t="n">
        <f aca="false">PODACI_ZALIHE!F172</f>
        <v>45</v>
      </c>
      <c r="G175" s="19" t="n">
        <f aca="false">IF(E175="","",E175-F175)</f>
        <v>0</v>
      </c>
      <c r="H175" s="9" t="n">
        <f aca="false">PODACI_PRODAJA!N209</f>
        <v>1.5</v>
      </c>
      <c r="I175" s="21" t="n">
        <f aca="false">IF(H175&lt;=0,999,ROUND(F175/H175,1))</f>
        <v>30</v>
      </c>
      <c r="J175" s="9" t="n">
        <f aca="false">SUMIFS(ROBA_U_DOLASKU!$C$6:$C$95,ROBA_U_DOLASKU!$A$6:$A$95,A175,ROBA_U_DOLASKU!$H$6:$H$95,1)</f>
        <v>0</v>
      </c>
      <c r="K175" s="9" t="n">
        <f aca="false">SUMIFS(ROBA_U_DOLASKU!$B$6:$B$95,ROBA_U_DOLASKU!$A$6:$A$95,A175,ROBA_U_DOLASKU!$H$6:$H$95,1)</f>
        <v>0</v>
      </c>
      <c r="L175" s="9" t="n">
        <f aca="false">SUMIFS(ROBA_U_DOLASKU!$C$6:$C$95,ROBA_U_DOLASKU!$A$6:$A$95,A175,ROBA_U_DOLASKU!$H$6:$H$95,2)</f>
        <v>0</v>
      </c>
      <c r="M175" s="9" t="n">
        <f aca="false">SUMIFS(ROBA_U_DOLASKU!$B$6:$B$95,ROBA_U_DOLASKU!$A$6:$A$95,A175,ROBA_U_DOLASKU!$H$6:$H$95,2)</f>
        <v>0</v>
      </c>
      <c r="N175" s="9" t="n">
        <f aca="false">SUMIFS(ROBA_U_DOLASKU!$C$6:$C$95,ROBA_U_DOLASKU!$A$6:$A$95,A175,ROBA_U_DOLASKU!$H$6:$H$95,3)</f>
        <v>0</v>
      </c>
      <c r="O175" s="9" t="n">
        <f aca="false">SUMIFS(ROBA_U_DOLASKU!$B$6:$B$95,ROBA_U_DOLASKU!$A$6:$A$95,A175,ROBA_U_DOLASKU!$H$6:$H$95,3)</f>
        <v>0</v>
      </c>
      <c r="P175" s="9" t="n">
        <f aca="false">IF(H175&lt;=0,999,IF(O175&gt;0,ROUND((F175-H175*N175+K175+M175+O175)/H175,1),IF(M175&gt;0,ROUND((F175-H175*L175+K175+M175)/H175,1),IF(K175&gt;0,ROUND((F175-H175*J175+K175)/H175,1),I175))))</f>
        <v>30</v>
      </c>
      <c r="Q175" s="22" t="str">
        <f aca="false">IF(H175&lt;=0,"Nema prodaje",IF(AND(K175=0,M175=0,O175=0),IF(I175&lt;POSTAVKE!$B$6,"Naruči odmah","Sve u redu"),IF(F175-H175*J175&lt;0,"Rupa za ~"&amp;TEXT(I175,"0.0")&amp;" mj.",IF(AND(M175&gt;0,F175-H175*L175+K175&lt;0),"Rupa nakon 1. dolaska",IF(AND(O175&gt;0,F175-H175*N175+K175+M175&lt;0),"Rupa nakon 2. dolaska",IF(P175&lt;POSTAVKE!$B$6,"Količina nije dovoljna",IF(I175&gt;=POSTAVKE!$B$6,"Sve u redu","Stiže na vrijeme")))))))</f>
        <v>Sve u redu</v>
      </c>
      <c r="S175" s="23" t="n">
        <f aca="false">IFERROR(INDEX(PODACI_PRODAJA!B:B,MATCH($A175,PODACI_PRODAJA!$A:$A,0)),0)</f>
        <v>2</v>
      </c>
      <c r="T175" s="23" t="n">
        <f aca="false">IFERROR(INDEX(PODACI_PRODAJA!C:C,MATCH($A175,PODACI_PRODAJA!$A:$A,0)),0)</f>
        <v>0</v>
      </c>
      <c r="U175" s="23" t="n">
        <f aca="false">IFERROR(INDEX(PODACI_PRODAJA!D:D,MATCH($A175,PODACI_PRODAJA!$A:$A,0)),0)</f>
        <v>1</v>
      </c>
      <c r="V175" s="23" t="n">
        <f aca="false">IFERROR(INDEX(PODACI_PRODAJA!E:E,MATCH($A175,PODACI_PRODAJA!$A:$A,0)),0)</f>
        <v>4</v>
      </c>
      <c r="W175" s="23" t="n">
        <f aca="false">IFERROR(INDEX(PODACI_PRODAJA!F:F,MATCH($A175,PODACI_PRODAJA!$A:$A,0)),0)</f>
        <v>0</v>
      </c>
      <c r="X175" s="23" t="n">
        <f aca="false">IFERROR(INDEX(PODACI_PRODAJA!G:G,MATCH($A175,PODACI_PRODAJA!$A:$A,0)),0)</f>
        <v>5</v>
      </c>
      <c r="Y175" s="23" t="n">
        <f aca="false">IFERROR(INDEX(PODACI_PRODAJA!H:H,MATCH($A175,PODACI_PRODAJA!$A:$A,0)),0)</f>
        <v>0</v>
      </c>
      <c r="Z175" s="23" t="n">
        <f aca="false">IFERROR(INDEX(PODACI_PRODAJA!I:I,MATCH($A175,PODACI_PRODAJA!$A:$A,0)),0)</f>
        <v>0</v>
      </c>
      <c r="AA175" s="23" t="n">
        <f aca="false">IFERROR(INDEX(PODACI_PRODAJA!J:J,MATCH($A175,PODACI_PRODAJA!$A:$A,0)),0)</f>
        <v>0</v>
      </c>
      <c r="AB175" s="23" t="n">
        <f aca="false">IFERROR(INDEX(PODACI_PRODAJA!K:K,MATCH($A175,PODACI_PRODAJA!$A:$A,0)),0)</f>
        <v>0</v>
      </c>
      <c r="AC175" s="23" t="n">
        <f aca="false">IFERROR(INDEX(PODACI_PRODAJA!L:L,MATCH($A175,PODACI_PRODAJA!$A:$A,0)),0)</f>
        <v>0</v>
      </c>
      <c r="AD175" s="23" t="n">
        <f aca="false">IFERROR(INDEX(PODACI_PRODAJA!M:M,MATCH($A175,PODACI_PRODAJA!$A:$A,0)),0)</f>
        <v>0</v>
      </c>
    </row>
    <row r="176" customFormat="false" ht="15" hidden="false" customHeight="false" outlineLevel="0" collapsed="false">
      <c r="A176" s="11" t="str">
        <f aca="false">PODACI_ZALIHE!A173</f>
        <v>002479</v>
      </c>
      <c r="B176" s="8" t="str">
        <f aca="false">PODACI_ZALIHE!B173</f>
        <v>ESSEN MIJEŠALICA ZA TUŠ</v>
      </c>
      <c r="C176" s="9" t="str">
        <f aca="false">PODACI_ZALIHE!C173</f>
        <v>6022</v>
      </c>
      <c r="D176" s="8" t="str">
        <f aca="false">PODACI_ZALIHE!D173</f>
        <v>RUIAN HAIBA SANITARY CO.,LTD</v>
      </c>
      <c r="E176" s="19" t="n">
        <f aca="false">IF(PODACI_ZALIHE!E173="","",PODACI_ZALIHE!E173)</f>
        <v>44</v>
      </c>
      <c r="F176" s="20" t="n">
        <f aca="false">PODACI_ZALIHE!F173</f>
        <v>44</v>
      </c>
      <c r="G176" s="19" t="n">
        <f aca="false">IF(E176="","",E176-F176)</f>
        <v>0</v>
      </c>
      <c r="H176" s="9" t="n">
        <f aca="false">PODACI_PRODAJA!N358</f>
        <v>3.38</v>
      </c>
      <c r="I176" s="21" t="n">
        <f aca="false">IF(H176&lt;=0,999,ROUND(F176/H176,1))</f>
        <v>13</v>
      </c>
      <c r="J176" s="9" t="n">
        <f aca="false">SUMIFS(ROBA_U_DOLASKU!$C$6:$C$95,ROBA_U_DOLASKU!$A$6:$A$95,A176,ROBA_U_DOLASKU!$H$6:$H$95,1)</f>
        <v>0</v>
      </c>
      <c r="K176" s="9" t="n">
        <f aca="false">SUMIFS(ROBA_U_DOLASKU!$B$6:$B$95,ROBA_U_DOLASKU!$A$6:$A$95,A176,ROBA_U_DOLASKU!$H$6:$H$95,1)</f>
        <v>0</v>
      </c>
      <c r="L176" s="9" t="n">
        <f aca="false">SUMIFS(ROBA_U_DOLASKU!$C$6:$C$95,ROBA_U_DOLASKU!$A$6:$A$95,A176,ROBA_U_DOLASKU!$H$6:$H$95,2)</f>
        <v>0</v>
      </c>
      <c r="M176" s="9" t="n">
        <f aca="false">SUMIFS(ROBA_U_DOLASKU!$B$6:$B$95,ROBA_U_DOLASKU!$A$6:$A$95,A176,ROBA_U_DOLASKU!$H$6:$H$95,2)</f>
        <v>0</v>
      </c>
      <c r="N176" s="9" t="n">
        <f aca="false">SUMIFS(ROBA_U_DOLASKU!$C$6:$C$95,ROBA_U_DOLASKU!$A$6:$A$95,A176,ROBA_U_DOLASKU!$H$6:$H$95,3)</f>
        <v>0</v>
      </c>
      <c r="O176" s="9" t="n">
        <f aca="false">SUMIFS(ROBA_U_DOLASKU!$B$6:$B$95,ROBA_U_DOLASKU!$A$6:$A$95,A176,ROBA_U_DOLASKU!$H$6:$H$95,3)</f>
        <v>0</v>
      </c>
      <c r="P176" s="9" t="n">
        <f aca="false">IF(H176&lt;=0,999,IF(O176&gt;0,ROUND((F176-H176*N176+K176+M176+O176)/H176,1),IF(M176&gt;0,ROUND((F176-H176*L176+K176+M176)/H176,1),IF(K176&gt;0,ROUND((F176-H176*J176+K176)/H176,1),I176))))</f>
        <v>13</v>
      </c>
      <c r="Q176" s="22" t="str">
        <f aca="false">IF(H176&lt;=0,"Nema prodaje",IF(AND(K176=0,M176=0,O176=0),IF(I176&lt;POSTAVKE!$B$6,"Naruči odmah","Sve u redu"),IF(F176-H176*J176&lt;0,"Rupa za ~"&amp;TEXT(I176,"0.0")&amp;" mj.",IF(AND(M176&gt;0,F176-H176*L176+K176&lt;0),"Rupa nakon 1. dolaska",IF(AND(O176&gt;0,F176-H176*N176+K176+M176&lt;0),"Rupa nakon 2. dolaska",IF(P176&lt;POSTAVKE!$B$6,"Količina nije dovoljna",IF(I176&gt;=POSTAVKE!$B$6,"Sve u redu","Stiže na vrijeme")))))))</f>
        <v>Sve u redu</v>
      </c>
      <c r="S176" s="23" t="n">
        <f aca="false">IFERROR(INDEX(PODACI_PRODAJA!B:B,MATCH($A176,PODACI_PRODAJA!$A:$A,0)),0)</f>
        <v>0</v>
      </c>
      <c r="T176" s="23" t="n">
        <f aca="false">IFERROR(INDEX(PODACI_PRODAJA!C:C,MATCH($A176,PODACI_PRODAJA!$A:$A,0)),0)</f>
        <v>13</v>
      </c>
      <c r="U176" s="23" t="n">
        <f aca="false">IFERROR(INDEX(PODACI_PRODAJA!D:D,MATCH($A176,PODACI_PRODAJA!$A:$A,0)),0)</f>
        <v>1</v>
      </c>
      <c r="V176" s="23" t="n">
        <f aca="false">IFERROR(INDEX(PODACI_PRODAJA!E:E,MATCH($A176,PODACI_PRODAJA!$A:$A,0)),0)</f>
        <v>3</v>
      </c>
      <c r="W176" s="23" t="n">
        <f aca="false">IFERROR(INDEX(PODACI_PRODAJA!F:F,MATCH($A176,PODACI_PRODAJA!$A:$A,0)),0)</f>
        <v>1</v>
      </c>
      <c r="X176" s="23" t="n">
        <f aca="false">IFERROR(INDEX(PODACI_PRODAJA!G:G,MATCH($A176,PODACI_PRODAJA!$A:$A,0)),0)</f>
        <v>4</v>
      </c>
      <c r="Y176" s="23" t="n">
        <f aca="false">IFERROR(INDEX(PODACI_PRODAJA!H:H,MATCH($A176,PODACI_PRODAJA!$A:$A,0)),0)</f>
        <v>5</v>
      </c>
      <c r="Z176" s="23" t="n">
        <f aca="false">IFERROR(INDEX(PODACI_PRODAJA!I:I,MATCH($A176,PODACI_PRODAJA!$A:$A,0)),0)</f>
        <v>0</v>
      </c>
      <c r="AA176" s="23" t="n">
        <f aca="false">IFERROR(INDEX(PODACI_PRODAJA!J:J,MATCH($A176,PODACI_PRODAJA!$A:$A,0)),0)</f>
        <v>0</v>
      </c>
      <c r="AB176" s="23" t="n">
        <f aca="false">IFERROR(INDEX(PODACI_PRODAJA!K:K,MATCH($A176,PODACI_PRODAJA!$A:$A,0)),0)</f>
        <v>0</v>
      </c>
      <c r="AC176" s="23" t="n">
        <f aca="false">IFERROR(INDEX(PODACI_PRODAJA!L:L,MATCH($A176,PODACI_PRODAJA!$A:$A,0)),0)</f>
        <v>0</v>
      </c>
      <c r="AD176" s="23" t="n">
        <f aca="false">IFERROR(INDEX(PODACI_PRODAJA!M:M,MATCH($A176,PODACI_PRODAJA!$A:$A,0)),0)</f>
        <v>0</v>
      </c>
    </row>
    <row r="177" customFormat="false" ht="15" hidden="false" customHeight="false" outlineLevel="0" collapsed="false">
      <c r="A177" s="11" t="str">
        <f aca="false">PODACI_ZALIHE!A174</f>
        <v>00842</v>
      </c>
      <c r="B177" s="8" t="str">
        <f aca="false">PODACI_ZALIHE!B174</f>
        <v>GL00005 FLEXIBILNI WC NASTAVAK NISKOMONTAŽNI</v>
      </c>
      <c r="C177" s="9" t="str">
        <f aca="false">PODACI_ZALIHE!C174</f>
        <v>3291</v>
      </c>
      <c r="D177" s="8" t="str">
        <f aca="false">PODACI_ZALIHE!D174</f>
        <v>TEHNOEXPORT D.O.O.</v>
      </c>
      <c r="E177" s="19" t="n">
        <f aca="false">IF(PODACI_ZALIHE!E174="","",PODACI_ZALIHE!E174)</f>
        <v>44</v>
      </c>
      <c r="F177" s="20" t="n">
        <f aca="false">PODACI_ZALIHE!F174</f>
        <v>44</v>
      </c>
      <c r="G177" s="19" t="n">
        <f aca="false">IF(E177="","",E177-F177)</f>
        <v>0</v>
      </c>
      <c r="H177" s="9" t="n">
        <f aca="false">PODACI_PRODAJA!N71</f>
        <v>9.63</v>
      </c>
      <c r="I177" s="21" t="n">
        <f aca="false">IF(H177&lt;=0,999,ROUND(F177/H177,1))</f>
        <v>4.6</v>
      </c>
      <c r="J177" s="9" t="n">
        <f aca="false">SUMIFS(ROBA_U_DOLASKU!$C$6:$C$95,ROBA_U_DOLASKU!$A$6:$A$95,A177,ROBA_U_DOLASKU!$H$6:$H$95,1)</f>
        <v>0</v>
      </c>
      <c r="K177" s="9" t="n">
        <f aca="false">SUMIFS(ROBA_U_DOLASKU!$B$6:$B$95,ROBA_U_DOLASKU!$A$6:$A$95,A177,ROBA_U_DOLASKU!$H$6:$H$95,1)</f>
        <v>0</v>
      </c>
      <c r="L177" s="9" t="n">
        <f aca="false">SUMIFS(ROBA_U_DOLASKU!$C$6:$C$95,ROBA_U_DOLASKU!$A$6:$A$95,A177,ROBA_U_DOLASKU!$H$6:$H$95,2)</f>
        <v>0</v>
      </c>
      <c r="M177" s="9" t="n">
        <f aca="false">SUMIFS(ROBA_U_DOLASKU!$B$6:$B$95,ROBA_U_DOLASKU!$A$6:$A$95,A177,ROBA_U_DOLASKU!$H$6:$H$95,2)</f>
        <v>0</v>
      </c>
      <c r="N177" s="9" t="n">
        <f aca="false">SUMIFS(ROBA_U_DOLASKU!$C$6:$C$95,ROBA_U_DOLASKU!$A$6:$A$95,A177,ROBA_U_DOLASKU!$H$6:$H$95,3)</f>
        <v>0</v>
      </c>
      <c r="O177" s="9" t="n">
        <f aca="false">SUMIFS(ROBA_U_DOLASKU!$B$6:$B$95,ROBA_U_DOLASKU!$A$6:$A$95,A177,ROBA_U_DOLASKU!$H$6:$H$95,3)</f>
        <v>0</v>
      </c>
      <c r="P177" s="9" t="n">
        <f aca="false">IF(H177&lt;=0,999,IF(O177&gt;0,ROUND((F177-H177*N177+K177+M177+O177)/H177,1),IF(M177&gt;0,ROUND((F177-H177*L177+K177+M177)/H177,1),IF(K177&gt;0,ROUND((F177-H177*J177+K177)/H177,1),I177))))</f>
        <v>4.6</v>
      </c>
      <c r="Q177" s="22" t="str">
        <f aca="false">IF(H177&lt;=0,"Nema prodaje",IF(AND(K177=0,M177=0,O177=0),IF(I177&lt;POSTAVKE!$B$6,"Naruči odmah","Sve u redu"),IF(F177-H177*J177&lt;0,"Rupa za ~"&amp;TEXT(I177,"0.0")&amp;" mj.",IF(AND(M177&gt;0,F177-H177*L177+K177&lt;0),"Rupa nakon 1. dolaska",IF(AND(O177&gt;0,F177-H177*N177+K177+M177&lt;0),"Rupa nakon 2. dolaska",IF(P177&lt;POSTAVKE!$B$6,"Količina nije dovoljna",IF(I177&gt;=POSTAVKE!$B$6,"Sve u redu","Stiže na vrijeme")))))))</f>
        <v>Naruči odmah</v>
      </c>
      <c r="S177" s="23" t="n">
        <f aca="false">IFERROR(INDEX(PODACI_PRODAJA!B:B,MATCH($A177,PODACI_PRODAJA!$A:$A,0)),0)</f>
        <v>9</v>
      </c>
      <c r="T177" s="23" t="n">
        <f aca="false">IFERROR(INDEX(PODACI_PRODAJA!C:C,MATCH($A177,PODACI_PRODAJA!$A:$A,0)),0)</f>
        <v>20</v>
      </c>
      <c r="U177" s="23" t="n">
        <f aca="false">IFERROR(INDEX(PODACI_PRODAJA!D:D,MATCH($A177,PODACI_PRODAJA!$A:$A,0)),0)</f>
        <v>6</v>
      </c>
      <c r="V177" s="23" t="n">
        <f aca="false">IFERROR(INDEX(PODACI_PRODAJA!E:E,MATCH($A177,PODACI_PRODAJA!$A:$A,0)),0)</f>
        <v>13</v>
      </c>
      <c r="W177" s="23" t="n">
        <f aca="false">IFERROR(INDEX(PODACI_PRODAJA!F:F,MATCH($A177,PODACI_PRODAJA!$A:$A,0)),0)</f>
        <v>12</v>
      </c>
      <c r="X177" s="23" t="n">
        <f aca="false">IFERROR(INDEX(PODACI_PRODAJA!G:G,MATCH($A177,PODACI_PRODAJA!$A:$A,0)),0)</f>
        <v>6</v>
      </c>
      <c r="Y177" s="23" t="n">
        <f aca="false">IFERROR(INDEX(PODACI_PRODAJA!H:H,MATCH($A177,PODACI_PRODAJA!$A:$A,0)),0)</f>
        <v>11</v>
      </c>
      <c r="Z177" s="23" t="n">
        <f aca="false">IFERROR(INDEX(PODACI_PRODAJA!I:I,MATCH($A177,PODACI_PRODAJA!$A:$A,0)),0)</f>
        <v>0</v>
      </c>
      <c r="AA177" s="23" t="n">
        <f aca="false">IFERROR(INDEX(PODACI_PRODAJA!J:J,MATCH($A177,PODACI_PRODAJA!$A:$A,0)),0)</f>
        <v>0</v>
      </c>
      <c r="AB177" s="23" t="n">
        <f aca="false">IFERROR(INDEX(PODACI_PRODAJA!K:K,MATCH($A177,PODACI_PRODAJA!$A:$A,0)),0)</f>
        <v>0</v>
      </c>
      <c r="AC177" s="23" t="n">
        <f aca="false">IFERROR(INDEX(PODACI_PRODAJA!L:L,MATCH($A177,PODACI_PRODAJA!$A:$A,0)),0)</f>
        <v>0</v>
      </c>
      <c r="AD177" s="23" t="n">
        <f aca="false">IFERROR(INDEX(PODACI_PRODAJA!M:M,MATCH($A177,PODACI_PRODAJA!$A:$A,0)),0)</f>
        <v>0</v>
      </c>
    </row>
    <row r="178" customFormat="false" ht="15" hidden="false" customHeight="false" outlineLevel="0" collapsed="false">
      <c r="A178" s="11" t="str">
        <f aca="false">PODACI_ZALIHE!A175</f>
        <v>042000</v>
      </c>
      <c r="B178" s="8" t="str">
        <f aca="false">PODACI_ZALIHE!B175</f>
        <v>TK MADERA 90 KVADRATNA TUŠ KABINA 90x90x185 cm</v>
      </c>
      <c r="C178" s="9" t="str">
        <f aca="false">PODACI_ZALIHE!C175</f>
        <v>4981</v>
      </c>
      <c r="D178" s="8" t="str">
        <f aca="false">PODACI_ZALIHE!D175</f>
        <v>HANGZHOU SUNLIGHT TRADE CO., LTD.</v>
      </c>
      <c r="E178" s="19" t="n">
        <f aca="false">IF(PODACI_ZALIHE!E175="","",PODACI_ZALIHE!E175)</f>
        <v>44</v>
      </c>
      <c r="F178" s="20" t="n">
        <f aca="false">PODACI_ZALIHE!F175</f>
        <v>44</v>
      </c>
      <c r="G178" s="19" t="n">
        <f aca="false">IF(E178="","",E178-F178)</f>
        <v>0</v>
      </c>
      <c r="H178" s="9" t="n">
        <f aca="false">PODACI_PRODAJA!N419</f>
        <v>0.63</v>
      </c>
      <c r="I178" s="21" t="n">
        <f aca="false">IF(H178&lt;=0,999,ROUND(F178/H178,1))</f>
        <v>69.8</v>
      </c>
      <c r="J178" s="9" t="n">
        <f aca="false">SUMIFS(ROBA_U_DOLASKU!$C$6:$C$95,ROBA_U_DOLASKU!$A$6:$A$95,A178,ROBA_U_DOLASKU!$H$6:$H$95,1)</f>
        <v>0</v>
      </c>
      <c r="K178" s="9" t="n">
        <f aca="false">SUMIFS(ROBA_U_DOLASKU!$B$6:$B$95,ROBA_U_DOLASKU!$A$6:$A$95,A178,ROBA_U_DOLASKU!$H$6:$H$95,1)</f>
        <v>0</v>
      </c>
      <c r="L178" s="9" t="n">
        <f aca="false">SUMIFS(ROBA_U_DOLASKU!$C$6:$C$95,ROBA_U_DOLASKU!$A$6:$A$95,A178,ROBA_U_DOLASKU!$H$6:$H$95,2)</f>
        <v>0</v>
      </c>
      <c r="M178" s="9" t="n">
        <f aca="false">SUMIFS(ROBA_U_DOLASKU!$B$6:$B$95,ROBA_U_DOLASKU!$A$6:$A$95,A178,ROBA_U_DOLASKU!$H$6:$H$95,2)</f>
        <v>0</v>
      </c>
      <c r="N178" s="9" t="n">
        <f aca="false">SUMIFS(ROBA_U_DOLASKU!$C$6:$C$95,ROBA_U_DOLASKU!$A$6:$A$95,A178,ROBA_U_DOLASKU!$H$6:$H$95,3)</f>
        <v>0</v>
      </c>
      <c r="O178" s="9" t="n">
        <f aca="false">SUMIFS(ROBA_U_DOLASKU!$B$6:$B$95,ROBA_U_DOLASKU!$A$6:$A$95,A178,ROBA_U_DOLASKU!$H$6:$H$95,3)</f>
        <v>0</v>
      </c>
      <c r="P178" s="9" t="n">
        <f aca="false">IF(H178&lt;=0,999,IF(O178&gt;0,ROUND((F178-H178*N178+K178+M178+O178)/H178,1),IF(M178&gt;0,ROUND((F178-H178*L178+K178+M178)/H178,1),IF(K178&gt;0,ROUND((F178-H178*J178+K178)/H178,1),I178))))</f>
        <v>69.8</v>
      </c>
      <c r="Q178" s="22" t="str">
        <f aca="false">IF(H178&lt;=0,"Nema prodaje",IF(AND(K178=0,M178=0,O178=0),IF(I178&lt;POSTAVKE!$B$6,"Naruči odmah","Sve u redu"),IF(F178-H178*J178&lt;0,"Rupa za ~"&amp;TEXT(I178,"0.0")&amp;" mj.",IF(AND(M178&gt;0,F178-H178*L178+K178&lt;0),"Rupa nakon 1. dolaska",IF(AND(O178&gt;0,F178-H178*N178+K178+M178&lt;0),"Rupa nakon 2. dolaska",IF(P178&lt;POSTAVKE!$B$6,"Količina nije dovoljna",IF(I178&gt;=POSTAVKE!$B$6,"Sve u redu","Stiže na vrijeme")))))))</f>
        <v>Sve u redu</v>
      </c>
      <c r="S178" s="23" t="n">
        <f aca="false">IFERROR(INDEX(PODACI_PRODAJA!B:B,MATCH($A178,PODACI_PRODAJA!$A:$A,0)),0)</f>
        <v>0</v>
      </c>
      <c r="T178" s="23" t="n">
        <f aca="false">IFERROR(INDEX(PODACI_PRODAJA!C:C,MATCH($A178,PODACI_PRODAJA!$A:$A,0)),0)</f>
        <v>1</v>
      </c>
      <c r="U178" s="23" t="n">
        <f aca="false">IFERROR(INDEX(PODACI_PRODAJA!D:D,MATCH($A178,PODACI_PRODAJA!$A:$A,0)),0)</f>
        <v>0</v>
      </c>
      <c r="V178" s="23" t="n">
        <f aca="false">IFERROR(INDEX(PODACI_PRODAJA!E:E,MATCH($A178,PODACI_PRODAJA!$A:$A,0)),0)</f>
        <v>1</v>
      </c>
      <c r="W178" s="23" t="n">
        <f aca="false">IFERROR(INDEX(PODACI_PRODAJA!F:F,MATCH($A178,PODACI_PRODAJA!$A:$A,0)),0)</f>
        <v>2</v>
      </c>
      <c r="X178" s="23" t="n">
        <f aca="false">IFERROR(INDEX(PODACI_PRODAJA!G:G,MATCH($A178,PODACI_PRODAJA!$A:$A,0)),0)</f>
        <v>1</v>
      </c>
      <c r="Y178" s="23" t="n">
        <f aca="false">IFERROR(INDEX(PODACI_PRODAJA!H:H,MATCH($A178,PODACI_PRODAJA!$A:$A,0)),0)</f>
        <v>0</v>
      </c>
      <c r="Z178" s="23" t="n">
        <f aca="false">IFERROR(INDEX(PODACI_PRODAJA!I:I,MATCH($A178,PODACI_PRODAJA!$A:$A,0)),0)</f>
        <v>0</v>
      </c>
      <c r="AA178" s="23" t="n">
        <f aca="false">IFERROR(INDEX(PODACI_PRODAJA!J:J,MATCH($A178,PODACI_PRODAJA!$A:$A,0)),0)</f>
        <v>0</v>
      </c>
      <c r="AB178" s="23" t="n">
        <f aca="false">IFERROR(INDEX(PODACI_PRODAJA!K:K,MATCH($A178,PODACI_PRODAJA!$A:$A,0)),0)</f>
        <v>0</v>
      </c>
      <c r="AC178" s="23" t="n">
        <f aca="false">IFERROR(INDEX(PODACI_PRODAJA!L:L,MATCH($A178,PODACI_PRODAJA!$A:$A,0)),0)</f>
        <v>0</v>
      </c>
      <c r="AD178" s="23" t="n">
        <f aca="false">IFERROR(INDEX(PODACI_PRODAJA!M:M,MATCH($A178,PODACI_PRODAJA!$A:$A,0)),0)</f>
        <v>0</v>
      </c>
    </row>
    <row r="179" customFormat="false" ht="15" hidden="false" customHeight="false" outlineLevel="0" collapsed="false">
      <c r="A179" s="11" t="str">
        <f aca="false">PODACI_ZALIHE!A176</f>
        <v>1566100</v>
      </c>
      <c r="B179" s="8" t="str">
        <f aca="false">PODACI_ZALIHE!B176</f>
        <v>BOLD S BIJELA 80 KV MINERALSOLID TUŠ KADA 800x800x30 mm</v>
      </c>
      <c r="C179" s="9" t="str">
        <f aca="false">PODACI_ZALIHE!C176</f>
        <v>5140</v>
      </c>
      <c r="D179" s="8" t="str">
        <f aca="false">PODACI_ZALIHE!D176</f>
        <v>GUANGDONG OCEAN SANITARY WARE CO., LTD.</v>
      </c>
      <c r="E179" s="19" t="n">
        <f aca="false">IF(PODACI_ZALIHE!E176="","",PODACI_ZALIHE!E176)</f>
        <v>44</v>
      </c>
      <c r="F179" s="20" t="n">
        <f aca="false">PODACI_ZALIHE!F176</f>
        <v>44</v>
      </c>
      <c r="G179" s="19" t="n">
        <f aca="false">IF(E179="","",E179-F179)</f>
        <v>0</v>
      </c>
      <c r="H179" s="9" t="n">
        <f aca="false">PODACI_PRODAJA!N240</f>
        <v>2.63</v>
      </c>
      <c r="I179" s="21" t="n">
        <f aca="false">IF(H179&lt;=0,999,ROUND(F179/H179,1))</f>
        <v>16.7</v>
      </c>
      <c r="J179" s="9" t="n">
        <f aca="false">SUMIFS(ROBA_U_DOLASKU!$C$6:$C$95,ROBA_U_DOLASKU!$A$6:$A$95,A179,ROBA_U_DOLASKU!$H$6:$H$95,1)</f>
        <v>0</v>
      </c>
      <c r="K179" s="9" t="n">
        <f aca="false">SUMIFS(ROBA_U_DOLASKU!$B$6:$B$95,ROBA_U_DOLASKU!$A$6:$A$95,A179,ROBA_U_DOLASKU!$H$6:$H$95,1)</f>
        <v>0</v>
      </c>
      <c r="L179" s="9" t="n">
        <f aca="false">SUMIFS(ROBA_U_DOLASKU!$C$6:$C$95,ROBA_U_DOLASKU!$A$6:$A$95,A179,ROBA_U_DOLASKU!$H$6:$H$95,2)</f>
        <v>0</v>
      </c>
      <c r="M179" s="9" t="n">
        <f aca="false">SUMIFS(ROBA_U_DOLASKU!$B$6:$B$95,ROBA_U_DOLASKU!$A$6:$A$95,A179,ROBA_U_DOLASKU!$H$6:$H$95,2)</f>
        <v>0</v>
      </c>
      <c r="N179" s="9" t="n">
        <f aca="false">SUMIFS(ROBA_U_DOLASKU!$C$6:$C$95,ROBA_U_DOLASKU!$A$6:$A$95,A179,ROBA_U_DOLASKU!$H$6:$H$95,3)</f>
        <v>0</v>
      </c>
      <c r="O179" s="9" t="n">
        <f aca="false">SUMIFS(ROBA_U_DOLASKU!$B$6:$B$95,ROBA_U_DOLASKU!$A$6:$A$95,A179,ROBA_U_DOLASKU!$H$6:$H$95,3)</f>
        <v>0</v>
      </c>
      <c r="P179" s="9" t="n">
        <f aca="false">IF(H179&lt;=0,999,IF(O179&gt;0,ROUND((F179-H179*N179+K179+M179+O179)/H179,1),IF(M179&gt;0,ROUND((F179-H179*L179+K179+M179)/H179,1),IF(K179&gt;0,ROUND((F179-H179*J179+K179)/H179,1),I179))))</f>
        <v>16.7</v>
      </c>
      <c r="Q179" s="22" t="str">
        <f aca="false">IF(H179&lt;=0,"Nema prodaje",IF(AND(K179=0,M179=0,O179=0),IF(I179&lt;POSTAVKE!$B$6,"Naruči odmah","Sve u redu"),IF(F179-H179*J179&lt;0,"Rupa za ~"&amp;TEXT(I179,"0.0")&amp;" mj.",IF(AND(M179&gt;0,F179-H179*L179+K179&lt;0),"Rupa nakon 1. dolaska",IF(AND(O179&gt;0,F179-H179*N179+K179+M179&lt;0),"Rupa nakon 2. dolaska",IF(P179&lt;POSTAVKE!$B$6,"Količina nije dovoljna",IF(I179&gt;=POSTAVKE!$B$6,"Sve u redu","Stiže na vrijeme")))))))</f>
        <v>Sve u redu</v>
      </c>
      <c r="S179" s="23" t="n">
        <f aca="false">IFERROR(INDEX(PODACI_PRODAJA!B:B,MATCH($A179,PODACI_PRODAJA!$A:$A,0)),0)</f>
        <v>1</v>
      </c>
      <c r="T179" s="23" t="n">
        <f aca="false">IFERROR(INDEX(PODACI_PRODAJA!C:C,MATCH($A179,PODACI_PRODAJA!$A:$A,0)),0)</f>
        <v>4</v>
      </c>
      <c r="U179" s="23" t="n">
        <f aca="false">IFERROR(INDEX(PODACI_PRODAJA!D:D,MATCH($A179,PODACI_PRODAJA!$A:$A,0)),0)</f>
        <v>8</v>
      </c>
      <c r="V179" s="23" t="n">
        <f aca="false">IFERROR(INDEX(PODACI_PRODAJA!E:E,MATCH($A179,PODACI_PRODAJA!$A:$A,0)),0)</f>
        <v>6</v>
      </c>
      <c r="W179" s="23" t="n">
        <f aca="false">IFERROR(INDEX(PODACI_PRODAJA!F:F,MATCH($A179,PODACI_PRODAJA!$A:$A,0)),0)</f>
        <v>0</v>
      </c>
      <c r="X179" s="23" t="n">
        <f aca="false">IFERROR(INDEX(PODACI_PRODAJA!G:G,MATCH($A179,PODACI_PRODAJA!$A:$A,0)),0)</f>
        <v>2</v>
      </c>
      <c r="Y179" s="23" t="n">
        <f aca="false">IFERROR(INDEX(PODACI_PRODAJA!H:H,MATCH($A179,PODACI_PRODAJA!$A:$A,0)),0)</f>
        <v>0</v>
      </c>
      <c r="Z179" s="23" t="n">
        <f aca="false">IFERROR(INDEX(PODACI_PRODAJA!I:I,MATCH($A179,PODACI_PRODAJA!$A:$A,0)),0)</f>
        <v>0</v>
      </c>
      <c r="AA179" s="23" t="n">
        <f aca="false">IFERROR(INDEX(PODACI_PRODAJA!J:J,MATCH($A179,PODACI_PRODAJA!$A:$A,0)),0)</f>
        <v>0</v>
      </c>
      <c r="AB179" s="23" t="n">
        <f aca="false">IFERROR(INDEX(PODACI_PRODAJA!K:K,MATCH($A179,PODACI_PRODAJA!$A:$A,0)),0)</f>
        <v>0</v>
      </c>
      <c r="AC179" s="23" t="n">
        <f aca="false">IFERROR(INDEX(PODACI_PRODAJA!L:L,MATCH($A179,PODACI_PRODAJA!$A:$A,0)),0)</f>
        <v>0</v>
      </c>
      <c r="AD179" s="23" t="n">
        <f aca="false">IFERROR(INDEX(PODACI_PRODAJA!M:M,MATCH($A179,PODACI_PRODAJA!$A:$A,0)),0)</f>
        <v>0</v>
      </c>
    </row>
    <row r="180" customFormat="false" ht="15" hidden="false" customHeight="false" outlineLevel="0" collapsed="false">
      <c r="A180" s="11" t="str">
        <f aca="false">PODACI_ZALIHE!A177</f>
        <v>18013</v>
      </c>
      <c r="B180" s="8" t="str">
        <f aca="false">PODACI_ZALIHE!B177</f>
        <v>VETRO BL TRS 6mm ECO TUŠ STIJENA 120x200</v>
      </c>
      <c r="C180" s="9" t="str">
        <f aca="false">PODACI_ZALIHE!C177</f>
        <v>6762</v>
      </c>
      <c r="D180" s="8" t="str">
        <f aca="false">PODACI_ZALIHE!D177</f>
        <v>ZHEJIANG QUICKLINE SHOWERING CO., LTD.</v>
      </c>
      <c r="E180" s="19" t="n">
        <f aca="false">IF(PODACI_ZALIHE!E177="","",PODACI_ZALIHE!E177)</f>
        <v>44</v>
      </c>
      <c r="F180" s="20" t="n">
        <f aca="false">PODACI_ZALIHE!F177</f>
        <v>44</v>
      </c>
      <c r="G180" s="19" t="n">
        <f aca="false">IF(E180="","",E180-F180)</f>
        <v>0</v>
      </c>
      <c r="H180" s="9" t="n">
        <f aca="false">PODACI_PRODAJA!N654</f>
        <v>21.63</v>
      </c>
      <c r="I180" s="21" t="n">
        <f aca="false">IF(H180&lt;=0,999,ROUND(F180/H180,1))</f>
        <v>2</v>
      </c>
      <c r="J180" s="9" t="n">
        <f aca="false">SUMIFS(ROBA_U_DOLASKU!$C$6:$C$95,ROBA_U_DOLASKU!$A$6:$A$95,A180,ROBA_U_DOLASKU!$H$6:$H$95,1)</f>
        <v>0</v>
      </c>
      <c r="K180" s="9" t="n">
        <f aca="false">SUMIFS(ROBA_U_DOLASKU!$B$6:$B$95,ROBA_U_DOLASKU!$A$6:$A$95,A180,ROBA_U_DOLASKU!$H$6:$H$95,1)</f>
        <v>0</v>
      </c>
      <c r="L180" s="9" t="n">
        <f aca="false">SUMIFS(ROBA_U_DOLASKU!$C$6:$C$95,ROBA_U_DOLASKU!$A$6:$A$95,A180,ROBA_U_DOLASKU!$H$6:$H$95,2)</f>
        <v>0</v>
      </c>
      <c r="M180" s="9" t="n">
        <f aca="false">SUMIFS(ROBA_U_DOLASKU!$B$6:$B$95,ROBA_U_DOLASKU!$A$6:$A$95,A180,ROBA_U_DOLASKU!$H$6:$H$95,2)</f>
        <v>0</v>
      </c>
      <c r="N180" s="9" t="n">
        <f aca="false">SUMIFS(ROBA_U_DOLASKU!$C$6:$C$95,ROBA_U_DOLASKU!$A$6:$A$95,A180,ROBA_U_DOLASKU!$H$6:$H$95,3)</f>
        <v>0</v>
      </c>
      <c r="O180" s="9" t="n">
        <f aca="false">SUMIFS(ROBA_U_DOLASKU!$B$6:$B$95,ROBA_U_DOLASKU!$A$6:$A$95,A180,ROBA_U_DOLASKU!$H$6:$H$95,3)</f>
        <v>0</v>
      </c>
      <c r="P180" s="9" t="n">
        <f aca="false">IF(H180&lt;=0,999,IF(O180&gt;0,ROUND((F180-H180*N180+K180+M180+O180)/H180,1),IF(M180&gt;0,ROUND((F180-H180*L180+K180+M180)/H180,1),IF(K180&gt;0,ROUND((F180-H180*J180+K180)/H180,1),I180))))</f>
        <v>2</v>
      </c>
      <c r="Q180" s="22" t="str">
        <f aca="false">IF(H180&lt;=0,"Nema prodaje",IF(AND(K180=0,M180=0,O180=0),IF(I180&lt;POSTAVKE!$B$6,"Naruči odmah","Sve u redu"),IF(F180-H180*J180&lt;0,"Rupa za ~"&amp;TEXT(I180,"0.0")&amp;" mj.",IF(AND(M180&gt;0,F180-H180*L180+K180&lt;0),"Rupa nakon 1. dolaska",IF(AND(O180&gt;0,F180-H180*N180+K180+M180&lt;0),"Rupa nakon 2. dolaska",IF(P180&lt;POSTAVKE!$B$6,"Količina nije dovoljna",IF(I180&gt;=POSTAVKE!$B$6,"Sve u redu","Stiže na vrijeme")))))))</f>
        <v>Naruči odmah</v>
      </c>
      <c r="S180" s="23" t="n">
        <f aca="false">IFERROR(INDEX(PODACI_PRODAJA!B:B,MATCH($A180,PODACI_PRODAJA!$A:$A,0)),0)</f>
        <v>0</v>
      </c>
      <c r="T180" s="23" t="n">
        <f aca="false">IFERROR(INDEX(PODACI_PRODAJA!C:C,MATCH($A180,PODACI_PRODAJA!$A:$A,0)),0)</f>
        <v>0</v>
      </c>
      <c r="U180" s="23" t="n">
        <f aca="false">IFERROR(INDEX(PODACI_PRODAJA!D:D,MATCH($A180,PODACI_PRODAJA!$A:$A,0)),0)</f>
        <v>83</v>
      </c>
      <c r="V180" s="23" t="n">
        <f aca="false">IFERROR(INDEX(PODACI_PRODAJA!E:E,MATCH($A180,PODACI_PRODAJA!$A:$A,0)),0)</f>
        <v>0</v>
      </c>
      <c r="W180" s="23" t="n">
        <f aca="false">IFERROR(INDEX(PODACI_PRODAJA!F:F,MATCH($A180,PODACI_PRODAJA!$A:$A,0)),0)</f>
        <v>15</v>
      </c>
      <c r="X180" s="23" t="n">
        <f aca="false">IFERROR(INDEX(PODACI_PRODAJA!G:G,MATCH($A180,PODACI_PRODAJA!$A:$A,0)),0)</f>
        <v>20</v>
      </c>
      <c r="Y180" s="23" t="n">
        <f aca="false">IFERROR(INDEX(PODACI_PRODAJA!H:H,MATCH($A180,PODACI_PRODAJA!$A:$A,0)),0)</f>
        <v>0</v>
      </c>
      <c r="Z180" s="23" t="n">
        <f aca="false">IFERROR(INDEX(PODACI_PRODAJA!I:I,MATCH($A180,PODACI_PRODAJA!$A:$A,0)),0)</f>
        <v>55</v>
      </c>
      <c r="AA180" s="23" t="n">
        <f aca="false">IFERROR(INDEX(PODACI_PRODAJA!J:J,MATCH($A180,PODACI_PRODAJA!$A:$A,0)),0)</f>
        <v>0</v>
      </c>
      <c r="AB180" s="23" t="n">
        <f aca="false">IFERROR(INDEX(PODACI_PRODAJA!K:K,MATCH($A180,PODACI_PRODAJA!$A:$A,0)),0)</f>
        <v>0</v>
      </c>
      <c r="AC180" s="23" t="n">
        <f aca="false">IFERROR(INDEX(PODACI_PRODAJA!L:L,MATCH($A180,PODACI_PRODAJA!$A:$A,0)),0)</f>
        <v>0</v>
      </c>
      <c r="AD180" s="23" t="n">
        <f aca="false">IFERROR(INDEX(PODACI_PRODAJA!M:M,MATCH($A180,PODACI_PRODAJA!$A:$A,0)),0)</f>
        <v>0</v>
      </c>
    </row>
    <row r="181" customFormat="false" ht="15" hidden="false" customHeight="false" outlineLevel="0" collapsed="false">
      <c r="A181" s="11" t="str">
        <f aca="false">PODACI_ZALIHE!A178</f>
        <v>18020</v>
      </c>
      <c r="B181" s="8" t="str">
        <f aca="false">PODACI_ZALIHE!B178</f>
        <v>TK ROTA 80KV BLACK TUŠ KABINA 80x80x200cm</v>
      </c>
      <c r="C181" s="9" t="str">
        <f aca="false">PODACI_ZALIHE!C178</f>
        <v>6762</v>
      </c>
      <c r="D181" s="8" t="str">
        <f aca="false">PODACI_ZALIHE!D178</f>
        <v>ZHEJIANG QUICKLINE SHOWERING CO., LTD.</v>
      </c>
      <c r="E181" s="19" t="n">
        <f aca="false">IF(PODACI_ZALIHE!E178="","",PODACI_ZALIHE!E178)</f>
        <v>44</v>
      </c>
      <c r="F181" s="20" t="n">
        <f aca="false">PODACI_ZALIHE!F178</f>
        <v>44</v>
      </c>
      <c r="G181" s="19" t="n">
        <f aca="false">IF(E181="","",E181-F181)</f>
        <v>0</v>
      </c>
      <c r="H181" s="9" t="n">
        <f aca="false">PODACI_PRODAJA!N661</f>
        <v>0.25</v>
      </c>
      <c r="I181" s="21" t="n">
        <f aca="false">IF(H181&lt;=0,999,ROUND(F181/H181,1))</f>
        <v>176</v>
      </c>
      <c r="J181" s="9" t="n">
        <f aca="false">SUMIFS(ROBA_U_DOLASKU!$C$6:$C$95,ROBA_U_DOLASKU!$A$6:$A$95,A181,ROBA_U_DOLASKU!$H$6:$H$95,1)</f>
        <v>0</v>
      </c>
      <c r="K181" s="9" t="n">
        <f aca="false">SUMIFS(ROBA_U_DOLASKU!$B$6:$B$95,ROBA_U_DOLASKU!$A$6:$A$95,A181,ROBA_U_DOLASKU!$H$6:$H$95,1)</f>
        <v>0</v>
      </c>
      <c r="L181" s="9" t="n">
        <f aca="false">SUMIFS(ROBA_U_DOLASKU!$C$6:$C$95,ROBA_U_DOLASKU!$A$6:$A$95,A181,ROBA_U_DOLASKU!$H$6:$H$95,2)</f>
        <v>0</v>
      </c>
      <c r="M181" s="9" t="n">
        <f aca="false">SUMIFS(ROBA_U_DOLASKU!$B$6:$B$95,ROBA_U_DOLASKU!$A$6:$A$95,A181,ROBA_U_DOLASKU!$H$6:$H$95,2)</f>
        <v>0</v>
      </c>
      <c r="N181" s="9" t="n">
        <f aca="false">SUMIFS(ROBA_U_DOLASKU!$C$6:$C$95,ROBA_U_DOLASKU!$A$6:$A$95,A181,ROBA_U_DOLASKU!$H$6:$H$95,3)</f>
        <v>0</v>
      </c>
      <c r="O181" s="9" t="n">
        <f aca="false">SUMIFS(ROBA_U_DOLASKU!$B$6:$B$95,ROBA_U_DOLASKU!$A$6:$A$95,A181,ROBA_U_DOLASKU!$H$6:$H$95,3)</f>
        <v>0</v>
      </c>
      <c r="P181" s="9" t="n">
        <f aca="false">IF(H181&lt;=0,999,IF(O181&gt;0,ROUND((F181-H181*N181+K181+M181+O181)/H181,1),IF(M181&gt;0,ROUND((F181-H181*L181+K181+M181)/H181,1),IF(K181&gt;0,ROUND((F181-H181*J181+K181)/H181,1),I181))))</f>
        <v>176</v>
      </c>
      <c r="Q181" s="22" t="str">
        <f aca="false">IF(H181&lt;=0,"Nema prodaje",IF(AND(K181=0,M181=0,O181=0),IF(I181&lt;POSTAVKE!$B$6,"Naruči odmah","Sve u redu"),IF(F181-H181*J181&lt;0,"Rupa za ~"&amp;TEXT(I181,"0.0")&amp;" mj.",IF(AND(M181&gt;0,F181-H181*L181+K181&lt;0),"Rupa nakon 1. dolaska",IF(AND(O181&gt;0,F181-H181*N181+K181+M181&lt;0),"Rupa nakon 2. dolaska",IF(P181&lt;POSTAVKE!$B$6,"Količina nije dovoljna",IF(I181&gt;=POSTAVKE!$B$6,"Sve u redu","Stiže na vrijeme")))))))</f>
        <v>Sve u redu</v>
      </c>
      <c r="S181" s="23" t="n">
        <f aca="false">IFERROR(INDEX(PODACI_PRODAJA!B:B,MATCH($A181,PODACI_PRODAJA!$A:$A,0)),0)</f>
        <v>0</v>
      </c>
      <c r="T181" s="23" t="n">
        <f aca="false">IFERROR(INDEX(PODACI_PRODAJA!C:C,MATCH($A181,PODACI_PRODAJA!$A:$A,0)),0)</f>
        <v>0</v>
      </c>
      <c r="U181" s="23" t="n">
        <f aca="false">IFERROR(INDEX(PODACI_PRODAJA!D:D,MATCH($A181,PODACI_PRODAJA!$A:$A,0)),0)</f>
        <v>0</v>
      </c>
      <c r="V181" s="23" t="n">
        <f aca="false">IFERROR(INDEX(PODACI_PRODAJA!E:E,MATCH($A181,PODACI_PRODAJA!$A:$A,0)),0)</f>
        <v>0</v>
      </c>
      <c r="W181" s="23" t="n">
        <f aca="false">IFERROR(INDEX(PODACI_PRODAJA!F:F,MATCH($A181,PODACI_PRODAJA!$A:$A,0)),0)</f>
        <v>1</v>
      </c>
      <c r="X181" s="23" t="n">
        <f aca="false">IFERROR(INDEX(PODACI_PRODAJA!G:G,MATCH($A181,PODACI_PRODAJA!$A:$A,0)),0)</f>
        <v>1</v>
      </c>
      <c r="Y181" s="23" t="n">
        <f aca="false">IFERROR(INDEX(PODACI_PRODAJA!H:H,MATCH($A181,PODACI_PRODAJA!$A:$A,0)),0)</f>
        <v>0</v>
      </c>
      <c r="Z181" s="23" t="n">
        <f aca="false">IFERROR(INDEX(PODACI_PRODAJA!I:I,MATCH($A181,PODACI_PRODAJA!$A:$A,0)),0)</f>
        <v>0</v>
      </c>
      <c r="AA181" s="23" t="n">
        <f aca="false">IFERROR(INDEX(PODACI_PRODAJA!J:J,MATCH($A181,PODACI_PRODAJA!$A:$A,0)),0)</f>
        <v>0</v>
      </c>
      <c r="AB181" s="23" t="n">
        <f aca="false">IFERROR(INDEX(PODACI_PRODAJA!K:K,MATCH($A181,PODACI_PRODAJA!$A:$A,0)),0)</f>
        <v>0</v>
      </c>
      <c r="AC181" s="23" t="n">
        <f aca="false">IFERROR(INDEX(PODACI_PRODAJA!L:L,MATCH($A181,PODACI_PRODAJA!$A:$A,0)),0)</f>
        <v>0</v>
      </c>
      <c r="AD181" s="23" t="n">
        <f aca="false">IFERROR(INDEX(PODACI_PRODAJA!M:M,MATCH($A181,PODACI_PRODAJA!$A:$A,0)),0)</f>
        <v>0</v>
      </c>
    </row>
    <row r="182" customFormat="false" ht="15" hidden="false" customHeight="false" outlineLevel="0" collapsed="false">
      <c r="A182" s="11" t="str">
        <f aca="false">PODACI_ZALIHE!A179</f>
        <v>002946</v>
      </c>
      <c r="B182" s="8" t="str">
        <f aca="false">PODACI_ZALIHE!B179</f>
        <v>TK LUGO 80 POLUKRUŽNA TUŠ KABINA 80x80x185 cm</v>
      </c>
      <c r="C182" s="9" t="str">
        <f aca="false">PODACI_ZALIHE!C179</f>
        <v>4328</v>
      </c>
      <c r="D182" s="8" t="str">
        <f aca="false">PODACI_ZALIHE!D179</f>
        <v>HANGZHOU DUHUI IMPORT AND EXPORT CO.,LTD</v>
      </c>
      <c r="E182" s="19" t="n">
        <f aca="false">IF(PODACI_ZALIHE!E179="","",PODACI_ZALIHE!E179)</f>
        <v>45</v>
      </c>
      <c r="F182" s="20" t="n">
        <f aca="false">PODACI_ZALIHE!F179</f>
        <v>43</v>
      </c>
      <c r="G182" s="19" t="n">
        <f aca="false">IF(E182="","",E182-F182)</f>
        <v>2</v>
      </c>
      <c r="H182" s="9" t="n">
        <f aca="false">PODACI_PRODAJA!N367</f>
        <v>0.75</v>
      </c>
      <c r="I182" s="21" t="n">
        <f aca="false">IF(H182&lt;=0,999,ROUND(F182/H182,1))</f>
        <v>57.3</v>
      </c>
      <c r="J182" s="9" t="n">
        <f aca="false">SUMIFS(ROBA_U_DOLASKU!$C$6:$C$95,ROBA_U_DOLASKU!$A$6:$A$95,A182,ROBA_U_DOLASKU!$H$6:$H$95,1)</f>
        <v>0</v>
      </c>
      <c r="K182" s="9" t="n">
        <f aca="false">SUMIFS(ROBA_U_DOLASKU!$B$6:$B$95,ROBA_U_DOLASKU!$A$6:$A$95,A182,ROBA_U_DOLASKU!$H$6:$H$95,1)</f>
        <v>0</v>
      </c>
      <c r="L182" s="9" t="n">
        <f aca="false">SUMIFS(ROBA_U_DOLASKU!$C$6:$C$95,ROBA_U_DOLASKU!$A$6:$A$95,A182,ROBA_U_DOLASKU!$H$6:$H$95,2)</f>
        <v>0</v>
      </c>
      <c r="M182" s="9" t="n">
        <f aca="false">SUMIFS(ROBA_U_DOLASKU!$B$6:$B$95,ROBA_U_DOLASKU!$A$6:$A$95,A182,ROBA_U_DOLASKU!$H$6:$H$95,2)</f>
        <v>0</v>
      </c>
      <c r="N182" s="9" t="n">
        <f aca="false">SUMIFS(ROBA_U_DOLASKU!$C$6:$C$95,ROBA_U_DOLASKU!$A$6:$A$95,A182,ROBA_U_DOLASKU!$H$6:$H$95,3)</f>
        <v>0</v>
      </c>
      <c r="O182" s="9" t="n">
        <f aca="false">SUMIFS(ROBA_U_DOLASKU!$B$6:$B$95,ROBA_U_DOLASKU!$A$6:$A$95,A182,ROBA_U_DOLASKU!$H$6:$H$95,3)</f>
        <v>0</v>
      </c>
      <c r="P182" s="9" t="n">
        <f aca="false">IF(H182&lt;=0,999,IF(O182&gt;0,ROUND((F182-H182*N182+K182+M182+O182)/H182,1),IF(M182&gt;0,ROUND((F182-H182*L182+K182+M182)/H182,1),IF(K182&gt;0,ROUND((F182-H182*J182+K182)/H182,1),I182))))</f>
        <v>57.3</v>
      </c>
      <c r="Q182" s="22" t="str">
        <f aca="false">IF(H182&lt;=0,"Nema prodaje",IF(AND(K182=0,M182=0,O182=0),IF(I182&lt;POSTAVKE!$B$6,"Naruči odmah","Sve u redu"),IF(F182-H182*J182&lt;0,"Rupa za ~"&amp;TEXT(I182,"0.0")&amp;" mj.",IF(AND(M182&gt;0,F182-H182*L182+K182&lt;0),"Rupa nakon 1. dolaska",IF(AND(O182&gt;0,F182-H182*N182+K182+M182&lt;0),"Rupa nakon 2. dolaska",IF(P182&lt;POSTAVKE!$B$6,"Količina nije dovoljna",IF(I182&gt;=POSTAVKE!$B$6,"Sve u redu","Stiže na vrijeme")))))))</f>
        <v>Sve u redu</v>
      </c>
      <c r="S182" s="23" t="n">
        <f aca="false">IFERROR(INDEX(PODACI_PRODAJA!B:B,MATCH($A182,PODACI_PRODAJA!$A:$A,0)),0)</f>
        <v>0</v>
      </c>
      <c r="T182" s="23" t="n">
        <f aca="false">IFERROR(INDEX(PODACI_PRODAJA!C:C,MATCH($A182,PODACI_PRODAJA!$A:$A,0)),0)</f>
        <v>1</v>
      </c>
      <c r="U182" s="23" t="n">
        <f aca="false">IFERROR(INDEX(PODACI_PRODAJA!D:D,MATCH($A182,PODACI_PRODAJA!$A:$A,0)),0)</f>
        <v>1</v>
      </c>
      <c r="V182" s="23" t="n">
        <f aca="false">IFERROR(INDEX(PODACI_PRODAJA!E:E,MATCH($A182,PODACI_PRODAJA!$A:$A,0)),0)</f>
        <v>0</v>
      </c>
      <c r="W182" s="23" t="n">
        <f aca="false">IFERROR(INDEX(PODACI_PRODAJA!F:F,MATCH($A182,PODACI_PRODAJA!$A:$A,0)),0)</f>
        <v>0</v>
      </c>
      <c r="X182" s="23" t="n">
        <f aca="false">IFERROR(INDEX(PODACI_PRODAJA!G:G,MATCH($A182,PODACI_PRODAJA!$A:$A,0)),0)</f>
        <v>1</v>
      </c>
      <c r="Y182" s="23" t="n">
        <f aca="false">IFERROR(INDEX(PODACI_PRODAJA!H:H,MATCH($A182,PODACI_PRODAJA!$A:$A,0)),0)</f>
        <v>1</v>
      </c>
      <c r="Z182" s="23" t="n">
        <f aca="false">IFERROR(INDEX(PODACI_PRODAJA!I:I,MATCH($A182,PODACI_PRODAJA!$A:$A,0)),0)</f>
        <v>2</v>
      </c>
      <c r="AA182" s="23" t="n">
        <f aca="false">IFERROR(INDEX(PODACI_PRODAJA!J:J,MATCH($A182,PODACI_PRODAJA!$A:$A,0)),0)</f>
        <v>0</v>
      </c>
      <c r="AB182" s="23" t="n">
        <f aca="false">IFERROR(INDEX(PODACI_PRODAJA!K:K,MATCH($A182,PODACI_PRODAJA!$A:$A,0)),0)</f>
        <v>0</v>
      </c>
      <c r="AC182" s="23" t="n">
        <f aca="false">IFERROR(INDEX(PODACI_PRODAJA!L:L,MATCH($A182,PODACI_PRODAJA!$A:$A,0)),0)</f>
        <v>0</v>
      </c>
      <c r="AD182" s="23" t="n">
        <f aca="false">IFERROR(INDEX(PODACI_PRODAJA!M:M,MATCH($A182,PODACI_PRODAJA!$A:$A,0)),0)</f>
        <v>0</v>
      </c>
    </row>
    <row r="183" customFormat="false" ht="15" hidden="false" customHeight="false" outlineLevel="0" collapsed="false">
      <c r="A183" s="11" t="str">
        <f aca="false">PODACI_ZALIHE!A180</f>
        <v>16140</v>
      </c>
      <c r="B183" s="8" t="str">
        <f aca="false">PODACI_ZALIHE!B180</f>
        <v>AURA BRONZE  MIJEŠALICA ZA TUŠ</v>
      </c>
      <c r="C183" s="9" t="str">
        <f aca="false">PODACI_ZALIHE!C180</f>
        <v>5150</v>
      </c>
      <c r="D183" s="8" t="str">
        <f aca="false">PODACI_ZALIHE!D180</f>
        <v>ZHEJIANG VOLONG SANITARY WARES CO.,LTD.</v>
      </c>
      <c r="E183" s="19" t="n">
        <f aca="false">IF(PODACI_ZALIHE!E180="","",PODACI_ZALIHE!E180)</f>
        <v>43</v>
      </c>
      <c r="F183" s="20" t="n">
        <f aca="false">PODACI_ZALIHE!F180</f>
        <v>43</v>
      </c>
      <c r="G183" s="19" t="n">
        <f aca="false">IF(E183="","",E183-F183)</f>
        <v>0</v>
      </c>
      <c r="H183" s="9" t="n">
        <f aca="false">PODACI_PRODAJA!N568</f>
        <v>0.13</v>
      </c>
      <c r="I183" s="21" t="n">
        <f aca="false">IF(H183&lt;=0,999,ROUND(F183/H183,1))</f>
        <v>330.8</v>
      </c>
      <c r="J183" s="9" t="n">
        <f aca="false">SUMIFS(ROBA_U_DOLASKU!$C$6:$C$95,ROBA_U_DOLASKU!$A$6:$A$95,A183,ROBA_U_DOLASKU!$H$6:$H$95,1)</f>
        <v>0</v>
      </c>
      <c r="K183" s="9" t="n">
        <f aca="false">SUMIFS(ROBA_U_DOLASKU!$B$6:$B$95,ROBA_U_DOLASKU!$A$6:$A$95,A183,ROBA_U_DOLASKU!$H$6:$H$95,1)</f>
        <v>0</v>
      </c>
      <c r="L183" s="9" t="n">
        <f aca="false">SUMIFS(ROBA_U_DOLASKU!$C$6:$C$95,ROBA_U_DOLASKU!$A$6:$A$95,A183,ROBA_U_DOLASKU!$H$6:$H$95,2)</f>
        <v>0</v>
      </c>
      <c r="M183" s="9" t="n">
        <f aca="false">SUMIFS(ROBA_U_DOLASKU!$B$6:$B$95,ROBA_U_DOLASKU!$A$6:$A$95,A183,ROBA_U_DOLASKU!$H$6:$H$95,2)</f>
        <v>0</v>
      </c>
      <c r="N183" s="9" t="n">
        <f aca="false">SUMIFS(ROBA_U_DOLASKU!$C$6:$C$95,ROBA_U_DOLASKU!$A$6:$A$95,A183,ROBA_U_DOLASKU!$H$6:$H$95,3)</f>
        <v>0</v>
      </c>
      <c r="O183" s="9" t="n">
        <f aca="false">SUMIFS(ROBA_U_DOLASKU!$B$6:$B$95,ROBA_U_DOLASKU!$A$6:$A$95,A183,ROBA_U_DOLASKU!$H$6:$H$95,3)</f>
        <v>0</v>
      </c>
      <c r="P183" s="9" t="n">
        <f aca="false">IF(H183&lt;=0,999,IF(O183&gt;0,ROUND((F183-H183*N183+K183+M183+O183)/H183,1),IF(M183&gt;0,ROUND((F183-H183*L183+K183+M183)/H183,1),IF(K183&gt;0,ROUND((F183-H183*J183+K183)/H183,1),I183))))</f>
        <v>330.8</v>
      </c>
      <c r="Q183" s="22" t="str">
        <f aca="false">IF(H183&lt;=0,"Nema prodaje",IF(AND(K183=0,M183=0,O183=0),IF(I183&lt;POSTAVKE!$B$6,"Naruči odmah","Sve u redu"),IF(F183-H183*J183&lt;0,"Rupa za ~"&amp;TEXT(I183,"0.0")&amp;" mj.",IF(AND(M183&gt;0,F183-H183*L183+K183&lt;0),"Rupa nakon 1. dolaska",IF(AND(O183&gt;0,F183-H183*N183+K183+M183&lt;0),"Rupa nakon 2. dolaska",IF(P183&lt;POSTAVKE!$B$6,"Količina nije dovoljna",IF(I183&gt;=POSTAVKE!$B$6,"Sve u redu","Stiže na vrijeme")))))))</f>
        <v>Sve u redu</v>
      </c>
      <c r="S183" s="23" t="n">
        <f aca="false">IFERROR(INDEX(PODACI_PRODAJA!B:B,MATCH($A183,PODACI_PRODAJA!$A:$A,0)),0)</f>
        <v>0</v>
      </c>
      <c r="T183" s="23" t="n">
        <f aca="false">IFERROR(INDEX(PODACI_PRODAJA!C:C,MATCH($A183,PODACI_PRODAJA!$A:$A,0)),0)</f>
        <v>0</v>
      </c>
      <c r="U183" s="23" t="n">
        <f aca="false">IFERROR(INDEX(PODACI_PRODAJA!D:D,MATCH($A183,PODACI_PRODAJA!$A:$A,0)),0)</f>
        <v>0</v>
      </c>
      <c r="V183" s="23" t="n">
        <f aca="false">IFERROR(INDEX(PODACI_PRODAJA!E:E,MATCH($A183,PODACI_PRODAJA!$A:$A,0)),0)</f>
        <v>1</v>
      </c>
      <c r="W183" s="23" t="n">
        <f aca="false">IFERROR(INDEX(PODACI_PRODAJA!F:F,MATCH($A183,PODACI_PRODAJA!$A:$A,0)),0)</f>
        <v>0</v>
      </c>
      <c r="X183" s="23" t="n">
        <f aca="false">IFERROR(INDEX(PODACI_PRODAJA!G:G,MATCH($A183,PODACI_PRODAJA!$A:$A,0)),0)</f>
        <v>0</v>
      </c>
      <c r="Y183" s="23" t="n">
        <f aca="false">IFERROR(INDEX(PODACI_PRODAJA!H:H,MATCH($A183,PODACI_PRODAJA!$A:$A,0)),0)</f>
        <v>0</v>
      </c>
      <c r="Z183" s="23" t="n">
        <f aca="false">IFERROR(INDEX(PODACI_PRODAJA!I:I,MATCH($A183,PODACI_PRODAJA!$A:$A,0)),0)</f>
        <v>0</v>
      </c>
      <c r="AA183" s="23" t="n">
        <f aca="false">IFERROR(INDEX(PODACI_PRODAJA!J:J,MATCH($A183,PODACI_PRODAJA!$A:$A,0)),0)</f>
        <v>0</v>
      </c>
      <c r="AB183" s="23" t="n">
        <f aca="false">IFERROR(INDEX(PODACI_PRODAJA!K:K,MATCH($A183,PODACI_PRODAJA!$A:$A,0)),0)</f>
        <v>0</v>
      </c>
      <c r="AC183" s="23" t="n">
        <f aca="false">IFERROR(INDEX(PODACI_PRODAJA!L:L,MATCH($A183,PODACI_PRODAJA!$A:$A,0)),0)</f>
        <v>0</v>
      </c>
      <c r="AD183" s="23" t="n">
        <f aca="false">IFERROR(INDEX(PODACI_PRODAJA!M:M,MATCH($A183,PODACI_PRODAJA!$A:$A,0)),0)</f>
        <v>0</v>
      </c>
    </row>
    <row r="184" customFormat="false" ht="15" hidden="false" customHeight="false" outlineLevel="0" collapsed="false">
      <c r="A184" s="11" t="str">
        <f aca="false">PODACI_ZALIHE!A181</f>
        <v>16962</v>
      </c>
      <c r="B184" s="8" t="str">
        <f aca="false">PODACI_ZALIHE!B181</f>
        <v>CLEAR WALL 120 BLACK TUŠ VRATA 1200x1950 mm</v>
      </c>
      <c r="C184" s="9" t="str">
        <f aca="false">PODACI_ZALIHE!C181</f>
        <v>6163</v>
      </c>
      <c r="D184" s="8" t="str">
        <f aca="false">PODACI_ZALIHE!D181</f>
        <v>HANGZHOU TIANMEI INDUSTRY CO.,LTD</v>
      </c>
      <c r="E184" s="19" t="n">
        <f aca="false">IF(PODACI_ZALIHE!E181="","",PODACI_ZALIHE!E181)</f>
        <v>44</v>
      </c>
      <c r="F184" s="20" t="n">
        <f aca="false">PODACI_ZALIHE!F181</f>
        <v>43</v>
      </c>
      <c r="G184" s="19" t="n">
        <f aca="false">IF(E184="","",E184-F184)</f>
        <v>1</v>
      </c>
      <c r="H184" s="9" t="n">
        <f aca="false">PODACI_PRODAJA!N121</f>
        <v>5.38</v>
      </c>
      <c r="I184" s="21" t="n">
        <f aca="false">IF(H184&lt;=0,999,ROUND(F184/H184,1))</f>
        <v>8</v>
      </c>
      <c r="J184" s="9" t="n">
        <f aca="false">SUMIFS(ROBA_U_DOLASKU!$C$6:$C$95,ROBA_U_DOLASKU!$A$6:$A$95,A184,ROBA_U_DOLASKU!$H$6:$H$95,1)</f>
        <v>0</v>
      </c>
      <c r="K184" s="9" t="n">
        <f aca="false">SUMIFS(ROBA_U_DOLASKU!$B$6:$B$95,ROBA_U_DOLASKU!$A$6:$A$95,A184,ROBA_U_DOLASKU!$H$6:$H$95,1)</f>
        <v>0</v>
      </c>
      <c r="L184" s="9" t="n">
        <f aca="false">SUMIFS(ROBA_U_DOLASKU!$C$6:$C$95,ROBA_U_DOLASKU!$A$6:$A$95,A184,ROBA_U_DOLASKU!$H$6:$H$95,2)</f>
        <v>0</v>
      </c>
      <c r="M184" s="9" t="n">
        <f aca="false">SUMIFS(ROBA_U_DOLASKU!$B$6:$B$95,ROBA_U_DOLASKU!$A$6:$A$95,A184,ROBA_U_DOLASKU!$H$6:$H$95,2)</f>
        <v>0</v>
      </c>
      <c r="N184" s="9" t="n">
        <f aca="false">SUMIFS(ROBA_U_DOLASKU!$C$6:$C$95,ROBA_U_DOLASKU!$A$6:$A$95,A184,ROBA_U_DOLASKU!$H$6:$H$95,3)</f>
        <v>0</v>
      </c>
      <c r="O184" s="9" t="n">
        <f aca="false">SUMIFS(ROBA_U_DOLASKU!$B$6:$B$95,ROBA_U_DOLASKU!$A$6:$A$95,A184,ROBA_U_DOLASKU!$H$6:$H$95,3)</f>
        <v>0</v>
      </c>
      <c r="P184" s="9" t="n">
        <f aca="false">IF(H184&lt;=0,999,IF(O184&gt;0,ROUND((F184-H184*N184+K184+M184+O184)/H184,1),IF(M184&gt;0,ROUND((F184-H184*L184+K184+M184)/H184,1),IF(K184&gt;0,ROUND((F184-H184*J184+K184)/H184,1),I184))))</f>
        <v>8</v>
      </c>
      <c r="Q184" s="22" t="str">
        <f aca="false">IF(H184&lt;=0,"Nema prodaje",IF(AND(K184=0,M184=0,O184=0),IF(I184&lt;POSTAVKE!$B$6,"Naruči odmah","Sve u redu"),IF(F184-H184*J184&lt;0,"Rupa za ~"&amp;TEXT(I184,"0.0")&amp;" mj.",IF(AND(M184&gt;0,F184-H184*L184+K184&lt;0),"Rupa nakon 1. dolaska",IF(AND(O184&gt;0,F184-H184*N184+K184+M184&lt;0),"Rupa nakon 2. dolaska",IF(P184&lt;POSTAVKE!$B$6,"Količina nije dovoljna",IF(I184&gt;=POSTAVKE!$B$6,"Sve u redu","Stiže na vrijeme")))))))</f>
        <v>Sve u redu</v>
      </c>
      <c r="S184" s="23" t="n">
        <f aca="false">IFERROR(INDEX(PODACI_PRODAJA!B:B,MATCH($A184,PODACI_PRODAJA!$A:$A,0)),0)</f>
        <v>5</v>
      </c>
      <c r="T184" s="23" t="n">
        <f aca="false">IFERROR(INDEX(PODACI_PRODAJA!C:C,MATCH($A184,PODACI_PRODAJA!$A:$A,0)),0)</f>
        <v>3</v>
      </c>
      <c r="U184" s="23" t="n">
        <f aca="false">IFERROR(INDEX(PODACI_PRODAJA!D:D,MATCH($A184,PODACI_PRODAJA!$A:$A,0)),0)</f>
        <v>5</v>
      </c>
      <c r="V184" s="23" t="n">
        <f aca="false">IFERROR(INDEX(PODACI_PRODAJA!E:E,MATCH($A184,PODACI_PRODAJA!$A:$A,0)),0)</f>
        <v>12</v>
      </c>
      <c r="W184" s="23" t="n">
        <f aca="false">IFERROR(INDEX(PODACI_PRODAJA!F:F,MATCH($A184,PODACI_PRODAJA!$A:$A,0)),0)</f>
        <v>4</v>
      </c>
      <c r="X184" s="23" t="n">
        <f aca="false">IFERROR(INDEX(PODACI_PRODAJA!G:G,MATCH($A184,PODACI_PRODAJA!$A:$A,0)),0)</f>
        <v>7</v>
      </c>
      <c r="Y184" s="23" t="n">
        <f aca="false">IFERROR(INDEX(PODACI_PRODAJA!H:H,MATCH($A184,PODACI_PRODAJA!$A:$A,0)),0)</f>
        <v>5</v>
      </c>
      <c r="Z184" s="23" t="n">
        <f aca="false">IFERROR(INDEX(PODACI_PRODAJA!I:I,MATCH($A184,PODACI_PRODAJA!$A:$A,0)),0)</f>
        <v>2</v>
      </c>
      <c r="AA184" s="23" t="n">
        <f aca="false">IFERROR(INDEX(PODACI_PRODAJA!J:J,MATCH($A184,PODACI_PRODAJA!$A:$A,0)),0)</f>
        <v>1</v>
      </c>
      <c r="AB184" s="23" t="n">
        <f aca="false">IFERROR(INDEX(PODACI_PRODAJA!K:K,MATCH($A184,PODACI_PRODAJA!$A:$A,0)),0)</f>
        <v>0</v>
      </c>
      <c r="AC184" s="23" t="n">
        <f aca="false">IFERROR(INDEX(PODACI_PRODAJA!L:L,MATCH($A184,PODACI_PRODAJA!$A:$A,0)),0)</f>
        <v>0</v>
      </c>
      <c r="AD184" s="23" t="n">
        <f aca="false">IFERROR(INDEX(PODACI_PRODAJA!M:M,MATCH($A184,PODACI_PRODAJA!$A:$A,0)),0)</f>
        <v>0</v>
      </c>
    </row>
    <row r="185" customFormat="false" ht="15" hidden="false" customHeight="false" outlineLevel="0" collapsed="false">
      <c r="A185" s="11" t="str">
        <f aca="false">PODACI_ZALIHE!A182</f>
        <v>16991</v>
      </c>
      <c r="B185" s="8" t="str">
        <f aca="false">PODACI_ZALIHE!B182</f>
        <v>TK SEVILLA 90 POLUKRUŽNA TUŠ KABINA 90x90x190 cm</v>
      </c>
      <c r="C185" s="9" t="str">
        <f aca="false">PODACI_ZALIHE!C182</f>
        <v>5590</v>
      </c>
      <c r="D185" s="8" t="str">
        <f aca="false">PODACI_ZALIHE!D182</f>
        <v>PINGHU YINUO SANITARY WARE CO.,LTD</v>
      </c>
      <c r="E185" s="19" t="n">
        <f aca="false">IF(PODACI_ZALIHE!E182="","",PODACI_ZALIHE!E182)</f>
        <v>43</v>
      </c>
      <c r="F185" s="20" t="n">
        <f aca="false">PODACI_ZALIHE!F182</f>
        <v>43</v>
      </c>
      <c r="G185" s="19" t="n">
        <f aca="false">IF(E185="","",E185-F185)</f>
        <v>0</v>
      </c>
      <c r="H185" s="9" t="n">
        <f aca="false">PODACI_PRODAJA!N133</f>
        <v>15.75</v>
      </c>
      <c r="I185" s="21" t="n">
        <f aca="false">IF(H185&lt;=0,999,ROUND(F185/H185,1))</f>
        <v>2.7</v>
      </c>
      <c r="J185" s="9" t="n">
        <f aca="false">SUMIFS(ROBA_U_DOLASKU!$C$6:$C$95,ROBA_U_DOLASKU!$A$6:$A$95,A185,ROBA_U_DOLASKU!$H$6:$H$95,1)</f>
        <v>0</v>
      </c>
      <c r="K185" s="9" t="n">
        <f aca="false">SUMIFS(ROBA_U_DOLASKU!$B$6:$B$95,ROBA_U_DOLASKU!$A$6:$A$95,A185,ROBA_U_DOLASKU!$H$6:$H$95,1)</f>
        <v>0</v>
      </c>
      <c r="L185" s="9" t="n">
        <f aca="false">SUMIFS(ROBA_U_DOLASKU!$C$6:$C$95,ROBA_U_DOLASKU!$A$6:$A$95,A185,ROBA_U_DOLASKU!$H$6:$H$95,2)</f>
        <v>0</v>
      </c>
      <c r="M185" s="9" t="n">
        <f aca="false">SUMIFS(ROBA_U_DOLASKU!$B$6:$B$95,ROBA_U_DOLASKU!$A$6:$A$95,A185,ROBA_U_DOLASKU!$H$6:$H$95,2)</f>
        <v>0</v>
      </c>
      <c r="N185" s="9" t="n">
        <f aca="false">SUMIFS(ROBA_U_DOLASKU!$C$6:$C$95,ROBA_U_DOLASKU!$A$6:$A$95,A185,ROBA_U_DOLASKU!$H$6:$H$95,3)</f>
        <v>0</v>
      </c>
      <c r="O185" s="9" t="n">
        <f aca="false">SUMIFS(ROBA_U_DOLASKU!$B$6:$B$95,ROBA_U_DOLASKU!$A$6:$A$95,A185,ROBA_U_DOLASKU!$H$6:$H$95,3)</f>
        <v>0</v>
      </c>
      <c r="P185" s="9" t="n">
        <f aca="false">IF(H185&lt;=0,999,IF(O185&gt;0,ROUND((F185-H185*N185+K185+M185+O185)/H185,1),IF(M185&gt;0,ROUND((F185-H185*L185+K185+M185)/H185,1),IF(K185&gt;0,ROUND((F185-H185*J185+K185)/H185,1),I185))))</f>
        <v>2.7</v>
      </c>
      <c r="Q185" s="22" t="str">
        <f aca="false">IF(H185&lt;=0,"Nema prodaje",IF(AND(K185=0,M185=0,O185=0),IF(I185&lt;POSTAVKE!$B$6,"Naruči odmah","Sve u redu"),IF(F185-H185*J185&lt;0,"Rupa za ~"&amp;TEXT(I185,"0.0")&amp;" mj.",IF(AND(M185&gt;0,F185-H185*L185+K185&lt;0),"Rupa nakon 1. dolaska",IF(AND(O185&gt;0,F185-H185*N185+K185+M185&lt;0),"Rupa nakon 2. dolaska",IF(P185&lt;POSTAVKE!$B$6,"Količina nije dovoljna",IF(I185&gt;=POSTAVKE!$B$6,"Sve u redu","Stiže na vrijeme")))))))</f>
        <v>Naruči odmah</v>
      </c>
      <c r="S185" s="23" t="n">
        <f aca="false">IFERROR(INDEX(PODACI_PRODAJA!B:B,MATCH($A185,PODACI_PRODAJA!$A:$A,0)),0)</f>
        <v>4</v>
      </c>
      <c r="T185" s="23" t="n">
        <f aca="false">IFERROR(INDEX(PODACI_PRODAJA!C:C,MATCH($A185,PODACI_PRODAJA!$A:$A,0)),0)</f>
        <v>27</v>
      </c>
      <c r="U185" s="23" t="n">
        <f aca="false">IFERROR(INDEX(PODACI_PRODAJA!D:D,MATCH($A185,PODACI_PRODAJA!$A:$A,0)),0)</f>
        <v>13</v>
      </c>
      <c r="V185" s="23" t="n">
        <f aca="false">IFERROR(INDEX(PODACI_PRODAJA!E:E,MATCH($A185,PODACI_PRODAJA!$A:$A,0)),0)</f>
        <v>27</v>
      </c>
      <c r="W185" s="23" t="n">
        <f aca="false">IFERROR(INDEX(PODACI_PRODAJA!F:F,MATCH($A185,PODACI_PRODAJA!$A:$A,0)),0)</f>
        <v>10</v>
      </c>
      <c r="X185" s="23" t="n">
        <f aca="false">IFERROR(INDEX(PODACI_PRODAJA!G:G,MATCH($A185,PODACI_PRODAJA!$A:$A,0)),0)</f>
        <v>13</v>
      </c>
      <c r="Y185" s="23" t="n">
        <f aca="false">IFERROR(INDEX(PODACI_PRODAJA!H:H,MATCH($A185,PODACI_PRODAJA!$A:$A,0)),0)</f>
        <v>3</v>
      </c>
      <c r="Z185" s="23" t="n">
        <f aca="false">IFERROR(INDEX(PODACI_PRODAJA!I:I,MATCH($A185,PODACI_PRODAJA!$A:$A,0)),0)</f>
        <v>29</v>
      </c>
      <c r="AA185" s="23" t="n">
        <f aca="false">IFERROR(INDEX(PODACI_PRODAJA!J:J,MATCH($A185,PODACI_PRODAJA!$A:$A,0)),0)</f>
        <v>0</v>
      </c>
      <c r="AB185" s="23" t="n">
        <f aca="false">IFERROR(INDEX(PODACI_PRODAJA!K:K,MATCH($A185,PODACI_PRODAJA!$A:$A,0)),0)</f>
        <v>0</v>
      </c>
      <c r="AC185" s="23" t="n">
        <f aca="false">IFERROR(INDEX(PODACI_PRODAJA!L:L,MATCH($A185,PODACI_PRODAJA!$A:$A,0)),0)</f>
        <v>0</v>
      </c>
      <c r="AD185" s="23" t="n">
        <f aca="false">IFERROR(INDEX(PODACI_PRODAJA!M:M,MATCH($A185,PODACI_PRODAJA!$A:$A,0)),0)</f>
        <v>0</v>
      </c>
    </row>
    <row r="186" customFormat="false" ht="15" hidden="false" customHeight="false" outlineLevel="0" collapsed="false">
      <c r="A186" s="11" t="str">
        <f aca="false">PODACI_ZALIHE!A183</f>
        <v>18786</v>
      </c>
      <c r="B186" s="8" t="str">
        <f aca="false">PODACI_ZALIHE!B183</f>
        <v>AKUSTIČNI ZIDNI PANEL MDF LETVICE ZLATNI 2700x605x21 mm</v>
      </c>
      <c r="C186" s="9" t="str">
        <f aca="false">PODACI_ZALIHE!C183</f>
        <v>6931</v>
      </c>
      <c r="D186" s="8" t="str">
        <f aca="false">PODACI_ZALIHE!D183</f>
        <v>INTCO INTERNATIONAL (HK) CO., LIMITED</v>
      </c>
      <c r="E186" s="19" t="n">
        <f aca="false">IF(PODACI_ZALIHE!E183="","",PODACI_ZALIHE!E183)</f>
        <v>43</v>
      </c>
      <c r="F186" s="20" t="n">
        <f aca="false">PODACI_ZALIHE!F183</f>
        <v>43</v>
      </c>
      <c r="G186" s="19" t="n">
        <f aca="false">IF(E186="","",E186-F186)</f>
        <v>0</v>
      </c>
      <c r="H186" s="9" t="n">
        <f aca="false">PODACI_PRODAJA!N708</f>
        <v>0.75</v>
      </c>
      <c r="I186" s="21" t="n">
        <f aca="false">IF(H186&lt;=0,999,ROUND(F186/H186,1))</f>
        <v>57.3</v>
      </c>
      <c r="J186" s="9" t="n">
        <f aca="false">SUMIFS(ROBA_U_DOLASKU!$C$6:$C$95,ROBA_U_DOLASKU!$A$6:$A$95,A186,ROBA_U_DOLASKU!$H$6:$H$95,1)</f>
        <v>0</v>
      </c>
      <c r="K186" s="9" t="n">
        <f aca="false">SUMIFS(ROBA_U_DOLASKU!$B$6:$B$95,ROBA_U_DOLASKU!$A$6:$A$95,A186,ROBA_U_DOLASKU!$H$6:$H$95,1)</f>
        <v>0</v>
      </c>
      <c r="L186" s="9" t="n">
        <f aca="false">SUMIFS(ROBA_U_DOLASKU!$C$6:$C$95,ROBA_U_DOLASKU!$A$6:$A$95,A186,ROBA_U_DOLASKU!$H$6:$H$95,2)</f>
        <v>0</v>
      </c>
      <c r="M186" s="9" t="n">
        <f aca="false">SUMIFS(ROBA_U_DOLASKU!$B$6:$B$95,ROBA_U_DOLASKU!$A$6:$A$95,A186,ROBA_U_DOLASKU!$H$6:$H$95,2)</f>
        <v>0</v>
      </c>
      <c r="N186" s="9" t="n">
        <f aca="false">SUMIFS(ROBA_U_DOLASKU!$C$6:$C$95,ROBA_U_DOLASKU!$A$6:$A$95,A186,ROBA_U_DOLASKU!$H$6:$H$95,3)</f>
        <v>0</v>
      </c>
      <c r="O186" s="9" t="n">
        <f aca="false">SUMIFS(ROBA_U_DOLASKU!$B$6:$B$95,ROBA_U_DOLASKU!$A$6:$A$95,A186,ROBA_U_DOLASKU!$H$6:$H$95,3)</f>
        <v>0</v>
      </c>
      <c r="P186" s="9" t="n">
        <f aca="false">IF(H186&lt;=0,999,IF(O186&gt;0,ROUND((F186-H186*N186+K186+M186+O186)/H186,1),IF(M186&gt;0,ROUND((F186-H186*L186+K186+M186)/H186,1),IF(K186&gt;0,ROUND((F186-H186*J186+K186)/H186,1),I186))))</f>
        <v>57.3</v>
      </c>
      <c r="Q186" s="22" t="str">
        <f aca="false">IF(H186&lt;=0,"Nema prodaje",IF(AND(K186=0,M186=0,O186=0),IF(I186&lt;POSTAVKE!$B$6,"Naruči odmah","Sve u redu"),IF(F186-H186*J186&lt;0,"Rupa za ~"&amp;TEXT(I186,"0.0")&amp;" mj.",IF(AND(M186&gt;0,F186-H186*L186+K186&lt;0),"Rupa nakon 1. dolaska",IF(AND(O186&gt;0,F186-H186*N186+K186+M186&lt;0),"Rupa nakon 2. dolaska",IF(P186&lt;POSTAVKE!$B$6,"Količina nije dovoljna",IF(I186&gt;=POSTAVKE!$B$6,"Sve u redu","Stiže na vrijeme")))))))</f>
        <v>Sve u redu</v>
      </c>
      <c r="S186" s="23" t="n">
        <f aca="false">IFERROR(INDEX(PODACI_PRODAJA!B:B,MATCH($A186,PODACI_PRODAJA!$A:$A,0)),0)</f>
        <v>0</v>
      </c>
      <c r="T186" s="23" t="n">
        <f aca="false">IFERROR(INDEX(PODACI_PRODAJA!C:C,MATCH($A186,PODACI_PRODAJA!$A:$A,0)),0)</f>
        <v>0</v>
      </c>
      <c r="U186" s="23" t="n">
        <f aca="false">IFERROR(INDEX(PODACI_PRODAJA!D:D,MATCH($A186,PODACI_PRODAJA!$A:$A,0)),0)</f>
        <v>0</v>
      </c>
      <c r="V186" s="23" t="n">
        <f aca="false">IFERROR(INDEX(PODACI_PRODAJA!E:E,MATCH($A186,PODACI_PRODAJA!$A:$A,0)),0)</f>
        <v>0</v>
      </c>
      <c r="W186" s="23" t="n">
        <f aca="false">IFERROR(INDEX(PODACI_PRODAJA!F:F,MATCH($A186,PODACI_PRODAJA!$A:$A,0)),0)</f>
        <v>0</v>
      </c>
      <c r="X186" s="23" t="n">
        <f aca="false">IFERROR(INDEX(PODACI_PRODAJA!G:G,MATCH($A186,PODACI_PRODAJA!$A:$A,0)),0)</f>
        <v>0</v>
      </c>
      <c r="Y186" s="23" t="n">
        <f aca="false">IFERROR(INDEX(PODACI_PRODAJA!H:H,MATCH($A186,PODACI_PRODAJA!$A:$A,0)),0)</f>
        <v>6</v>
      </c>
      <c r="Z186" s="23" t="n">
        <f aca="false">IFERROR(INDEX(PODACI_PRODAJA!I:I,MATCH($A186,PODACI_PRODAJA!$A:$A,0)),0)</f>
        <v>0</v>
      </c>
      <c r="AA186" s="23" t="n">
        <f aca="false">IFERROR(INDEX(PODACI_PRODAJA!J:J,MATCH($A186,PODACI_PRODAJA!$A:$A,0)),0)</f>
        <v>0</v>
      </c>
      <c r="AB186" s="23" t="n">
        <f aca="false">IFERROR(INDEX(PODACI_PRODAJA!K:K,MATCH($A186,PODACI_PRODAJA!$A:$A,0)),0)</f>
        <v>0</v>
      </c>
      <c r="AC186" s="23" t="n">
        <f aca="false">IFERROR(INDEX(PODACI_PRODAJA!L:L,MATCH($A186,PODACI_PRODAJA!$A:$A,0)),0)</f>
        <v>0</v>
      </c>
      <c r="AD186" s="23" t="n">
        <f aca="false">IFERROR(INDEX(PODACI_PRODAJA!M:M,MATCH($A186,PODACI_PRODAJA!$A:$A,0)),0)</f>
        <v>0</v>
      </c>
    </row>
    <row r="187" customFormat="false" ht="15" hidden="false" customHeight="false" outlineLevel="0" collapsed="false">
      <c r="A187" s="11" t="str">
        <f aca="false">PODACI_ZALIHE!A184</f>
        <v>002692</v>
      </c>
      <c r="B187" s="8" t="str">
        <f aca="false">PODACI_ZALIHE!B184</f>
        <v>SIENA TUŠ SET S MIJEŠALICOM</v>
      </c>
      <c r="C187" s="9" t="str">
        <f aca="false">PODACI_ZALIHE!C184</f>
        <v>4053</v>
      </c>
      <c r="D187" s="8" t="str">
        <f aca="false">PODACI_ZALIHE!D184</f>
        <v>TAIZHOU ZHENGSHING VALVE CO .,LTD</v>
      </c>
      <c r="E187" s="19" t="n">
        <f aca="false">IF(PODACI_ZALIHE!E184="","",PODACI_ZALIHE!E184)</f>
        <v>42</v>
      </c>
      <c r="F187" s="20" t="n">
        <f aca="false">PODACI_ZALIHE!F184</f>
        <v>42</v>
      </c>
      <c r="G187" s="19" t="n">
        <f aca="false">IF(E187="","",E187-F187)</f>
        <v>0</v>
      </c>
      <c r="H187" s="9" t="n">
        <f aca="false">PODACI_PRODAJA!N46</f>
        <v>17.38</v>
      </c>
      <c r="I187" s="21" t="n">
        <f aca="false">IF(H187&lt;=0,999,ROUND(F187/H187,1))</f>
        <v>2.4</v>
      </c>
      <c r="J187" s="9" t="n">
        <f aca="false">SUMIFS(ROBA_U_DOLASKU!$C$6:$C$95,ROBA_U_DOLASKU!$A$6:$A$95,A187,ROBA_U_DOLASKU!$H$6:$H$95,1)</f>
        <v>0</v>
      </c>
      <c r="K187" s="9" t="n">
        <f aca="false">SUMIFS(ROBA_U_DOLASKU!$B$6:$B$95,ROBA_U_DOLASKU!$A$6:$A$95,A187,ROBA_U_DOLASKU!$H$6:$H$95,1)</f>
        <v>0</v>
      </c>
      <c r="L187" s="9" t="n">
        <f aca="false">SUMIFS(ROBA_U_DOLASKU!$C$6:$C$95,ROBA_U_DOLASKU!$A$6:$A$95,A187,ROBA_U_DOLASKU!$H$6:$H$95,2)</f>
        <v>0</v>
      </c>
      <c r="M187" s="9" t="n">
        <f aca="false">SUMIFS(ROBA_U_DOLASKU!$B$6:$B$95,ROBA_U_DOLASKU!$A$6:$A$95,A187,ROBA_U_DOLASKU!$H$6:$H$95,2)</f>
        <v>0</v>
      </c>
      <c r="N187" s="9" t="n">
        <f aca="false">SUMIFS(ROBA_U_DOLASKU!$C$6:$C$95,ROBA_U_DOLASKU!$A$6:$A$95,A187,ROBA_U_DOLASKU!$H$6:$H$95,3)</f>
        <v>0</v>
      </c>
      <c r="O187" s="9" t="n">
        <f aca="false">SUMIFS(ROBA_U_DOLASKU!$B$6:$B$95,ROBA_U_DOLASKU!$A$6:$A$95,A187,ROBA_U_DOLASKU!$H$6:$H$95,3)</f>
        <v>0</v>
      </c>
      <c r="P187" s="9" t="n">
        <f aca="false">IF(H187&lt;=0,999,IF(O187&gt;0,ROUND((F187-H187*N187+K187+M187+O187)/H187,1),IF(M187&gt;0,ROUND((F187-H187*L187+K187+M187)/H187,1),IF(K187&gt;0,ROUND((F187-H187*J187+K187)/H187,1),I187))))</f>
        <v>2.4</v>
      </c>
      <c r="Q187" s="22" t="str">
        <f aca="false">IF(H187&lt;=0,"Nema prodaje",IF(AND(K187=0,M187=0,O187=0),IF(I187&lt;POSTAVKE!$B$6,"Naruči odmah","Sve u redu"),IF(F187-H187*J187&lt;0,"Rupa za ~"&amp;TEXT(I187,"0.0")&amp;" mj.",IF(AND(M187&gt;0,F187-H187*L187+K187&lt;0),"Rupa nakon 1. dolaska",IF(AND(O187&gt;0,F187-H187*N187+K187+M187&lt;0),"Rupa nakon 2. dolaska",IF(P187&lt;POSTAVKE!$B$6,"Količina nije dovoljna",IF(I187&gt;=POSTAVKE!$B$6,"Sve u redu","Stiže na vrijeme")))))))</f>
        <v>Naruči odmah</v>
      </c>
      <c r="S187" s="23" t="n">
        <f aca="false">IFERROR(INDEX(PODACI_PRODAJA!B:B,MATCH($A187,PODACI_PRODAJA!$A:$A,0)),0)</f>
        <v>19</v>
      </c>
      <c r="T187" s="23" t="n">
        <f aca="false">IFERROR(INDEX(PODACI_PRODAJA!C:C,MATCH($A187,PODACI_PRODAJA!$A:$A,0)),0)</f>
        <v>7</v>
      </c>
      <c r="U187" s="23" t="n">
        <f aca="false">IFERROR(INDEX(PODACI_PRODAJA!D:D,MATCH($A187,PODACI_PRODAJA!$A:$A,0)),0)</f>
        <v>21</v>
      </c>
      <c r="V187" s="23" t="n">
        <f aca="false">IFERROR(INDEX(PODACI_PRODAJA!E:E,MATCH($A187,PODACI_PRODAJA!$A:$A,0)),0)</f>
        <v>19</v>
      </c>
      <c r="W187" s="23" t="n">
        <f aca="false">IFERROR(INDEX(PODACI_PRODAJA!F:F,MATCH($A187,PODACI_PRODAJA!$A:$A,0)),0)</f>
        <v>27</v>
      </c>
      <c r="X187" s="23" t="n">
        <f aca="false">IFERROR(INDEX(PODACI_PRODAJA!G:G,MATCH($A187,PODACI_PRODAJA!$A:$A,0)),0)</f>
        <v>11</v>
      </c>
      <c r="Y187" s="23" t="n">
        <f aca="false">IFERROR(INDEX(PODACI_PRODAJA!H:H,MATCH($A187,PODACI_PRODAJA!$A:$A,0)),0)</f>
        <v>14</v>
      </c>
      <c r="Z187" s="23" t="n">
        <f aca="false">IFERROR(INDEX(PODACI_PRODAJA!I:I,MATCH($A187,PODACI_PRODAJA!$A:$A,0)),0)</f>
        <v>21</v>
      </c>
      <c r="AA187" s="23" t="n">
        <f aca="false">IFERROR(INDEX(PODACI_PRODAJA!J:J,MATCH($A187,PODACI_PRODAJA!$A:$A,0)),0)</f>
        <v>0</v>
      </c>
      <c r="AB187" s="23" t="n">
        <f aca="false">IFERROR(INDEX(PODACI_PRODAJA!K:K,MATCH($A187,PODACI_PRODAJA!$A:$A,0)),0)</f>
        <v>0</v>
      </c>
      <c r="AC187" s="23" t="n">
        <f aca="false">IFERROR(INDEX(PODACI_PRODAJA!L:L,MATCH($A187,PODACI_PRODAJA!$A:$A,0)),0)</f>
        <v>0</v>
      </c>
      <c r="AD187" s="23" t="n">
        <f aca="false">IFERROR(INDEX(PODACI_PRODAJA!M:M,MATCH($A187,PODACI_PRODAJA!$A:$A,0)),0)</f>
        <v>0</v>
      </c>
    </row>
    <row r="188" customFormat="false" ht="15" hidden="false" customHeight="false" outlineLevel="0" collapsed="false">
      <c r="A188" s="11" t="str">
        <f aca="false">PODACI_ZALIHE!A185</f>
        <v>003907</v>
      </c>
      <c r="B188" s="8" t="str">
        <f aca="false">PODACI_ZALIHE!B185</f>
        <v>SIENA MJEŠALICA ZA UMIVAONIK</v>
      </c>
      <c r="C188" s="9" t="str">
        <f aca="false">PODACI_ZALIHE!C185</f>
        <v>4053</v>
      </c>
      <c r="D188" s="8" t="str">
        <f aca="false">PODACI_ZALIHE!D185</f>
        <v>TAIZHOU ZHENGSHING VALVE CO .,LTD</v>
      </c>
      <c r="E188" s="19" t="n">
        <f aca="false">IF(PODACI_ZALIHE!E185="","",PODACI_ZALIHE!E185)</f>
        <v>42</v>
      </c>
      <c r="F188" s="20" t="n">
        <f aca="false">PODACI_ZALIHE!F185</f>
        <v>42</v>
      </c>
      <c r="G188" s="19" t="n">
        <f aca="false">IF(E188="","",E188-F188)</f>
        <v>0</v>
      </c>
      <c r="H188" s="9" t="n">
        <f aca="false">PODACI_PRODAJA!N28</f>
        <v>25.63</v>
      </c>
      <c r="I188" s="21" t="n">
        <f aca="false">IF(H188&lt;=0,999,ROUND(F188/H188,1))</f>
        <v>1.6</v>
      </c>
      <c r="J188" s="9" t="n">
        <f aca="false">SUMIFS(ROBA_U_DOLASKU!$C$6:$C$95,ROBA_U_DOLASKU!$A$6:$A$95,A188,ROBA_U_DOLASKU!$H$6:$H$95,1)</f>
        <v>0</v>
      </c>
      <c r="K188" s="9" t="n">
        <f aca="false">SUMIFS(ROBA_U_DOLASKU!$B$6:$B$95,ROBA_U_DOLASKU!$A$6:$A$95,A188,ROBA_U_DOLASKU!$H$6:$H$95,1)</f>
        <v>0</v>
      </c>
      <c r="L188" s="9" t="n">
        <f aca="false">SUMIFS(ROBA_U_DOLASKU!$C$6:$C$95,ROBA_U_DOLASKU!$A$6:$A$95,A188,ROBA_U_DOLASKU!$H$6:$H$95,2)</f>
        <v>0</v>
      </c>
      <c r="M188" s="9" t="n">
        <f aca="false">SUMIFS(ROBA_U_DOLASKU!$B$6:$B$95,ROBA_U_DOLASKU!$A$6:$A$95,A188,ROBA_U_DOLASKU!$H$6:$H$95,2)</f>
        <v>0</v>
      </c>
      <c r="N188" s="9" t="n">
        <f aca="false">SUMIFS(ROBA_U_DOLASKU!$C$6:$C$95,ROBA_U_DOLASKU!$A$6:$A$95,A188,ROBA_U_DOLASKU!$H$6:$H$95,3)</f>
        <v>0</v>
      </c>
      <c r="O188" s="9" t="n">
        <f aca="false">SUMIFS(ROBA_U_DOLASKU!$B$6:$B$95,ROBA_U_DOLASKU!$A$6:$A$95,A188,ROBA_U_DOLASKU!$H$6:$H$95,3)</f>
        <v>0</v>
      </c>
      <c r="P188" s="9" t="n">
        <f aca="false">IF(H188&lt;=0,999,IF(O188&gt;0,ROUND((F188-H188*N188+K188+M188+O188)/H188,1),IF(M188&gt;0,ROUND((F188-H188*L188+K188+M188)/H188,1),IF(K188&gt;0,ROUND((F188-H188*J188+K188)/H188,1),I188))))</f>
        <v>1.6</v>
      </c>
      <c r="Q188" s="22" t="str">
        <f aca="false">IF(H188&lt;=0,"Nema prodaje",IF(AND(K188=0,M188=0,O188=0),IF(I188&lt;POSTAVKE!$B$6,"Naruči odmah","Sve u redu"),IF(F188-H188*J188&lt;0,"Rupa za ~"&amp;TEXT(I188,"0.0")&amp;" mj.",IF(AND(M188&gt;0,F188-H188*L188+K188&lt;0),"Rupa nakon 1. dolaska",IF(AND(O188&gt;0,F188-H188*N188+K188+M188&lt;0),"Rupa nakon 2. dolaska",IF(P188&lt;POSTAVKE!$B$6,"Količina nije dovoljna",IF(I188&gt;=POSTAVKE!$B$6,"Sve u redu","Stiže na vrijeme")))))))</f>
        <v>Naruči odmah</v>
      </c>
      <c r="S188" s="23" t="n">
        <f aca="false">IFERROR(INDEX(PODACI_PRODAJA!B:B,MATCH($A188,PODACI_PRODAJA!$A:$A,0)),0)</f>
        <v>30</v>
      </c>
      <c r="T188" s="23" t="n">
        <f aca="false">IFERROR(INDEX(PODACI_PRODAJA!C:C,MATCH($A188,PODACI_PRODAJA!$A:$A,0)),0)</f>
        <v>13</v>
      </c>
      <c r="U188" s="23" t="n">
        <f aca="false">IFERROR(INDEX(PODACI_PRODAJA!D:D,MATCH($A188,PODACI_PRODAJA!$A:$A,0)),0)</f>
        <v>44</v>
      </c>
      <c r="V188" s="23" t="n">
        <f aca="false">IFERROR(INDEX(PODACI_PRODAJA!E:E,MATCH($A188,PODACI_PRODAJA!$A:$A,0)),0)</f>
        <v>34</v>
      </c>
      <c r="W188" s="23" t="n">
        <f aca="false">IFERROR(INDEX(PODACI_PRODAJA!F:F,MATCH($A188,PODACI_PRODAJA!$A:$A,0)),0)</f>
        <v>23</v>
      </c>
      <c r="X188" s="23" t="n">
        <f aca="false">IFERROR(INDEX(PODACI_PRODAJA!G:G,MATCH($A188,PODACI_PRODAJA!$A:$A,0)),0)</f>
        <v>18</v>
      </c>
      <c r="Y188" s="23" t="n">
        <f aca="false">IFERROR(INDEX(PODACI_PRODAJA!H:H,MATCH($A188,PODACI_PRODAJA!$A:$A,0)),0)</f>
        <v>25</v>
      </c>
      <c r="Z188" s="23" t="n">
        <f aca="false">IFERROR(INDEX(PODACI_PRODAJA!I:I,MATCH($A188,PODACI_PRODAJA!$A:$A,0)),0)</f>
        <v>18</v>
      </c>
      <c r="AA188" s="23" t="n">
        <f aca="false">IFERROR(INDEX(PODACI_PRODAJA!J:J,MATCH($A188,PODACI_PRODAJA!$A:$A,0)),0)</f>
        <v>0</v>
      </c>
      <c r="AB188" s="23" t="n">
        <f aca="false">IFERROR(INDEX(PODACI_PRODAJA!K:K,MATCH($A188,PODACI_PRODAJA!$A:$A,0)),0)</f>
        <v>0</v>
      </c>
      <c r="AC188" s="23" t="n">
        <f aca="false">IFERROR(INDEX(PODACI_PRODAJA!L:L,MATCH($A188,PODACI_PRODAJA!$A:$A,0)),0)</f>
        <v>0</v>
      </c>
      <c r="AD188" s="23" t="n">
        <f aca="false">IFERROR(INDEX(PODACI_PRODAJA!M:M,MATCH($A188,PODACI_PRODAJA!$A:$A,0)),0)</f>
        <v>0</v>
      </c>
    </row>
    <row r="189" customFormat="false" ht="15" hidden="false" customHeight="false" outlineLevel="0" collapsed="false">
      <c r="A189" s="11" t="str">
        <f aca="false">PODACI_ZALIHE!A186</f>
        <v>16058</v>
      </c>
      <c r="B189" s="8" t="str">
        <f aca="false">PODACI_ZALIHE!B186</f>
        <v>TK SPRING 80 POLUKRUŽNA TUŠ KABINA 80x80x180 cm</v>
      </c>
      <c r="C189" s="9" t="str">
        <f aca="false">PODACI_ZALIHE!C186</f>
        <v>2515</v>
      </c>
      <c r="D189" s="8" t="str">
        <f aca="false">PODACI_ZALIHE!D186</f>
        <v>HANGZHOU ZHUGELAI JINGYI CO., LTD.</v>
      </c>
      <c r="E189" s="19" t="n">
        <f aca="false">IF(PODACI_ZALIHE!E186="","",PODACI_ZALIHE!E186)</f>
        <v>42</v>
      </c>
      <c r="F189" s="20" t="n">
        <f aca="false">PODACI_ZALIHE!F186</f>
        <v>42</v>
      </c>
      <c r="G189" s="19" t="n">
        <f aca="false">IF(E189="","",E189-F189)</f>
        <v>0</v>
      </c>
      <c r="H189" s="9" t="n">
        <f aca="false">PODACI_PRODAJA!N553</f>
        <v>0.5</v>
      </c>
      <c r="I189" s="21" t="n">
        <f aca="false">IF(H189&lt;=0,999,ROUND(F189/H189,1))</f>
        <v>84</v>
      </c>
      <c r="J189" s="9" t="n">
        <f aca="false">SUMIFS(ROBA_U_DOLASKU!$C$6:$C$95,ROBA_U_DOLASKU!$A$6:$A$95,A189,ROBA_U_DOLASKU!$H$6:$H$95,1)</f>
        <v>0</v>
      </c>
      <c r="K189" s="9" t="n">
        <f aca="false">SUMIFS(ROBA_U_DOLASKU!$B$6:$B$95,ROBA_U_DOLASKU!$A$6:$A$95,A189,ROBA_U_DOLASKU!$H$6:$H$95,1)</f>
        <v>0</v>
      </c>
      <c r="L189" s="9" t="n">
        <f aca="false">SUMIFS(ROBA_U_DOLASKU!$C$6:$C$95,ROBA_U_DOLASKU!$A$6:$A$95,A189,ROBA_U_DOLASKU!$H$6:$H$95,2)</f>
        <v>0</v>
      </c>
      <c r="M189" s="9" t="n">
        <f aca="false">SUMIFS(ROBA_U_DOLASKU!$B$6:$B$95,ROBA_U_DOLASKU!$A$6:$A$95,A189,ROBA_U_DOLASKU!$H$6:$H$95,2)</f>
        <v>0</v>
      </c>
      <c r="N189" s="9" t="n">
        <f aca="false">SUMIFS(ROBA_U_DOLASKU!$C$6:$C$95,ROBA_U_DOLASKU!$A$6:$A$95,A189,ROBA_U_DOLASKU!$H$6:$H$95,3)</f>
        <v>0</v>
      </c>
      <c r="O189" s="9" t="n">
        <f aca="false">SUMIFS(ROBA_U_DOLASKU!$B$6:$B$95,ROBA_U_DOLASKU!$A$6:$A$95,A189,ROBA_U_DOLASKU!$H$6:$H$95,3)</f>
        <v>0</v>
      </c>
      <c r="P189" s="9" t="n">
        <f aca="false">IF(H189&lt;=0,999,IF(O189&gt;0,ROUND((F189-H189*N189+K189+M189+O189)/H189,1),IF(M189&gt;0,ROUND((F189-H189*L189+K189+M189)/H189,1),IF(K189&gt;0,ROUND((F189-H189*J189+K189)/H189,1),I189))))</f>
        <v>84</v>
      </c>
      <c r="Q189" s="22" t="str">
        <f aca="false">IF(H189&lt;=0,"Nema prodaje",IF(AND(K189=0,M189=0,O189=0),IF(I189&lt;POSTAVKE!$B$6,"Naruči odmah","Sve u redu"),IF(F189-H189*J189&lt;0,"Rupa za ~"&amp;TEXT(I189,"0.0")&amp;" mj.",IF(AND(M189&gt;0,F189-H189*L189+K189&lt;0),"Rupa nakon 1. dolaska",IF(AND(O189&gt;0,F189-H189*N189+K189+M189&lt;0),"Rupa nakon 2. dolaska",IF(P189&lt;POSTAVKE!$B$6,"Količina nije dovoljna",IF(I189&gt;=POSTAVKE!$B$6,"Sve u redu","Stiže na vrijeme")))))))</f>
        <v>Sve u redu</v>
      </c>
      <c r="S189" s="23" t="n">
        <f aca="false">IFERROR(INDEX(PODACI_PRODAJA!B:B,MATCH($A189,PODACI_PRODAJA!$A:$A,0)),0)</f>
        <v>0</v>
      </c>
      <c r="T189" s="23" t="n">
        <f aca="false">IFERROR(INDEX(PODACI_PRODAJA!C:C,MATCH($A189,PODACI_PRODAJA!$A:$A,0)),0)</f>
        <v>1</v>
      </c>
      <c r="U189" s="23" t="n">
        <f aca="false">IFERROR(INDEX(PODACI_PRODAJA!D:D,MATCH($A189,PODACI_PRODAJA!$A:$A,0)),0)</f>
        <v>2</v>
      </c>
      <c r="V189" s="23" t="n">
        <f aca="false">IFERROR(INDEX(PODACI_PRODAJA!E:E,MATCH($A189,PODACI_PRODAJA!$A:$A,0)),0)</f>
        <v>0</v>
      </c>
      <c r="W189" s="23" t="n">
        <f aca="false">IFERROR(INDEX(PODACI_PRODAJA!F:F,MATCH($A189,PODACI_PRODAJA!$A:$A,0)),0)</f>
        <v>0</v>
      </c>
      <c r="X189" s="23" t="n">
        <f aca="false">IFERROR(INDEX(PODACI_PRODAJA!G:G,MATCH($A189,PODACI_PRODAJA!$A:$A,0)),0)</f>
        <v>0</v>
      </c>
      <c r="Y189" s="23" t="n">
        <f aca="false">IFERROR(INDEX(PODACI_PRODAJA!H:H,MATCH($A189,PODACI_PRODAJA!$A:$A,0)),0)</f>
        <v>1</v>
      </c>
      <c r="Z189" s="23" t="n">
        <f aca="false">IFERROR(INDEX(PODACI_PRODAJA!I:I,MATCH($A189,PODACI_PRODAJA!$A:$A,0)),0)</f>
        <v>0</v>
      </c>
      <c r="AA189" s="23" t="n">
        <f aca="false">IFERROR(INDEX(PODACI_PRODAJA!J:J,MATCH($A189,PODACI_PRODAJA!$A:$A,0)),0)</f>
        <v>0</v>
      </c>
      <c r="AB189" s="23" t="n">
        <f aca="false">IFERROR(INDEX(PODACI_PRODAJA!K:K,MATCH($A189,PODACI_PRODAJA!$A:$A,0)),0)</f>
        <v>0</v>
      </c>
      <c r="AC189" s="23" t="n">
        <f aca="false">IFERROR(INDEX(PODACI_PRODAJA!L:L,MATCH($A189,PODACI_PRODAJA!$A:$A,0)),0)</f>
        <v>0</v>
      </c>
      <c r="AD189" s="23" t="n">
        <f aca="false">IFERROR(INDEX(PODACI_PRODAJA!M:M,MATCH($A189,PODACI_PRODAJA!$A:$A,0)),0)</f>
        <v>0</v>
      </c>
    </row>
    <row r="190" customFormat="false" ht="15" hidden="false" customHeight="false" outlineLevel="0" collapsed="false">
      <c r="A190" s="11" t="str">
        <f aca="false">PODACI_ZALIHE!A187</f>
        <v>17255</v>
      </c>
      <c r="B190" s="8" t="str">
        <f aca="false">PODACI_ZALIHE!B187</f>
        <v>TK RAPIDO 90 CHROME POLUKRUŽNA TUŠ KABINA 90X90X195 cm</v>
      </c>
      <c r="C190" s="9" t="str">
        <f aca="false">PODACI_ZALIHE!C187</f>
        <v>6762</v>
      </c>
      <c r="D190" s="8" t="str">
        <f aca="false">PODACI_ZALIHE!D187</f>
        <v>ZHEJIANG QUICKLINE SHOWERING CO., LTD.</v>
      </c>
      <c r="E190" s="19" t="n">
        <f aca="false">IF(PODACI_ZALIHE!E187="","",PODACI_ZALIHE!E187)</f>
        <v>42</v>
      </c>
      <c r="F190" s="20" t="n">
        <f aca="false">PODACI_ZALIHE!F187</f>
        <v>42</v>
      </c>
      <c r="G190" s="19" t="n">
        <f aca="false">IF(E190="","",E190-F190)</f>
        <v>0</v>
      </c>
      <c r="H190" s="9" t="n">
        <f aca="false">PODACI_PRODAJA!N275</f>
        <v>1.13</v>
      </c>
      <c r="I190" s="21" t="n">
        <f aca="false">IF(H190&lt;=0,999,ROUND(F190/H190,1))</f>
        <v>37.2</v>
      </c>
      <c r="J190" s="9" t="n">
        <f aca="false">SUMIFS(ROBA_U_DOLASKU!$C$6:$C$95,ROBA_U_DOLASKU!$A$6:$A$95,A190,ROBA_U_DOLASKU!$H$6:$H$95,1)</f>
        <v>0</v>
      </c>
      <c r="K190" s="9" t="n">
        <f aca="false">SUMIFS(ROBA_U_DOLASKU!$B$6:$B$95,ROBA_U_DOLASKU!$A$6:$A$95,A190,ROBA_U_DOLASKU!$H$6:$H$95,1)</f>
        <v>0</v>
      </c>
      <c r="L190" s="9" t="n">
        <f aca="false">SUMIFS(ROBA_U_DOLASKU!$C$6:$C$95,ROBA_U_DOLASKU!$A$6:$A$95,A190,ROBA_U_DOLASKU!$H$6:$H$95,2)</f>
        <v>0</v>
      </c>
      <c r="M190" s="9" t="n">
        <f aca="false">SUMIFS(ROBA_U_DOLASKU!$B$6:$B$95,ROBA_U_DOLASKU!$A$6:$A$95,A190,ROBA_U_DOLASKU!$H$6:$H$95,2)</f>
        <v>0</v>
      </c>
      <c r="N190" s="9" t="n">
        <f aca="false">SUMIFS(ROBA_U_DOLASKU!$C$6:$C$95,ROBA_U_DOLASKU!$A$6:$A$95,A190,ROBA_U_DOLASKU!$H$6:$H$95,3)</f>
        <v>0</v>
      </c>
      <c r="O190" s="9" t="n">
        <f aca="false">SUMIFS(ROBA_U_DOLASKU!$B$6:$B$95,ROBA_U_DOLASKU!$A$6:$A$95,A190,ROBA_U_DOLASKU!$H$6:$H$95,3)</f>
        <v>0</v>
      </c>
      <c r="P190" s="9" t="n">
        <f aca="false">IF(H190&lt;=0,999,IF(O190&gt;0,ROUND((F190-H190*N190+K190+M190+O190)/H190,1),IF(M190&gt;0,ROUND((F190-H190*L190+K190+M190)/H190,1),IF(K190&gt;0,ROUND((F190-H190*J190+K190)/H190,1),I190))))</f>
        <v>37.2</v>
      </c>
      <c r="Q190" s="22" t="str">
        <f aca="false">IF(H190&lt;=0,"Nema prodaje",IF(AND(K190=0,M190=0,O190=0),IF(I190&lt;POSTAVKE!$B$6,"Naruči odmah","Sve u redu"),IF(F190-H190*J190&lt;0,"Rupa za ~"&amp;TEXT(I190,"0.0")&amp;" mj.",IF(AND(M190&gt;0,F190-H190*L190+K190&lt;0),"Rupa nakon 1. dolaska",IF(AND(O190&gt;0,F190-H190*N190+K190+M190&lt;0),"Rupa nakon 2. dolaska",IF(P190&lt;POSTAVKE!$B$6,"Količina nije dovoljna",IF(I190&gt;=POSTAVKE!$B$6,"Sve u redu","Stiže na vrijeme")))))))</f>
        <v>Sve u redu</v>
      </c>
      <c r="S190" s="23" t="n">
        <f aca="false">IFERROR(INDEX(PODACI_PRODAJA!B:B,MATCH($A190,PODACI_PRODAJA!$A:$A,0)),0)</f>
        <v>1</v>
      </c>
      <c r="T190" s="23" t="n">
        <f aca="false">IFERROR(INDEX(PODACI_PRODAJA!C:C,MATCH($A190,PODACI_PRODAJA!$A:$A,0)),0)</f>
        <v>1</v>
      </c>
      <c r="U190" s="23" t="n">
        <f aca="false">IFERROR(INDEX(PODACI_PRODAJA!D:D,MATCH($A190,PODACI_PRODAJA!$A:$A,0)),0)</f>
        <v>5</v>
      </c>
      <c r="V190" s="23" t="n">
        <f aca="false">IFERROR(INDEX(PODACI_PRODAJA!E:E,MATCH($A190,PODACI_PRODAJA!$A:$A,0)),0)</f>
        <v>-1</v>
      </c>
      <c r="W190" s="23" t="n">
        <f aca="false">IFERROR(INDEX(PODACI_PRODAJA!F:F,MATCH($A190,PODACI_PRODAJA!$A:$A,0)),0)</f>
        <v>1</v>
      </c>
      <c r="X190" s="23" t="n">
        <f aca="false">IFERROR(INDEX(PODACI_PRODAJA!G:G,MATCH($A190,PODACI_PRODAJA!$A:$A,0)),0)</f>
        <v>1</v>
      </c>
      <c r="Y190" s="23" t="n">
        <f aca="false">IFERROR(INDEX(PODACI_PRODAJA!H:H,MATCH($A190,PODACI_PRODAJA!$A:$A,0)),0)</f>
        <v>1</v>
      </c>
      <c r="Z190" s="23" t="n">
        <f aca="false">IFERROR(INDEX(PODACI_PRODAJA!I:I,MATCH($A190,PODACI_PRODAJA!$A:$A,0)),0)</f>
        <v>0</v>
      </c>
      <c r="AA190" s="23" t="n">
        <f aca="false">IFERROR(INDEX(PODACI_PRODAJA!J:J,MATCH($A190,PODACI_PRODAJA!$A:$A,0)),0)</f>
        <v>0</v>
      </c>
      <c r="AB190" s="23" t="n">
        <f aca="false">IFERROR(INDEX(PODACI_PRODAJA!K:K,MATCH($A190,PODACI_PRODAJA!$A:$A,0)),0)</f>
        <v>0</v>
      </c>
      <c r="AC190" s="23" t="n">
        <f aca="false">IFERROR(INDEX(PODACI_PRODAJA!L:L,MATCH($A190,PODACI_PRODAJA!$A:$A,0)),0)</f>
        <v>0</v>
      </c>
      <c r="AD190" s="23" t="n">
        <f aca="false">IFERROR(INDEX(PODACI_PRODAJA!M:M,MATCH($A190,PODACI_PRODAJA!$A:$A,0)),0)</f>
        <v>0</v>
      </c>
    </row>
    <row r="191" customFormat="false" ht="15" hidden="false" customHeight="false" outlineLevel="0" collapsed="false">
      <c r="A191" s="11" t="str">
        <f aca="false">PODACI_ZALIHE!A188</f>
        <v>00848</v>
      </c>
      <c r="B191" s="8" t="str">
        <f aca="false">PODACI_ZALIHE!B188</f>
        <v>GL00017 FLEKSIBILNI WC NASTAVAK 1,8 m</v>
      </c>
      <c r="C191" s="9" t="str">
        <f aca="false">PODACI_ZALIHE!C188</f>
        <v>3291</v>
      </c>
      <c r="D191" s="8" t="str">
        <f aca="false">PODACI_ZALIHE!D188</f>
        <v>TEHNOEXPORT D.O.O.</v>
      </c>
      <c r="E191" s="19" t="n">
        <f aca="false">IF(PODACI_ZALIHE!E188="","",PODACI_ZALIHE!E188)</f>
        <v>41</v>
      </c>
      <c r="F191" s="20" t="n">
        <f aca="false">PODACI_ZALIHE!F188</f>
        <v>41</v>
      </c>
      <c r="G191" s="19" t="n">
        <f aca="false">IF(E191="","",E191-F191)</f>
        <v>0</v>
      </c>
      <c r="H191" s="9" t="n">
        <f aca="false">PODACI_PRODAJA!N72</f>
        <v>5.75</v>
      </c>
      <c r="I191" s="21" t="n">
        <f aca="false">IF(H191&lt;=0,999,ROUND(F191/H191,1))</f>
        <v>7.1</v>
      </c>
      <c r="J191" s="9" t="n">
        <f aca="false">SUMIFS(ROBA_U_DOLASKU!$C$6:$C$95,ROBA_U_DOLASKU!$A$6:$A$95,A191,ROBA_U_DOLASKU!$H$6:$H$95,1)</f>
        <v>0</v>
      </c>
      <c r="K191" s="9" t="n">
        <f aca="false">SUMIFS(ROBA_U_DOLASKU!$B$6:$B$95,ROBA_U_DOLASKU!$A$6:$A$95,A191,ROBA_U_DOLASKU!$H$6:$H$95,1)</f>
        <v>0</v>
      </c>
      <c r="L191" s="9" t="n">
        <f aca="false">SUMIFS(ROBA_U_DOLASKU!$C$6:$C$95,ROBA_U_DOLASKU!$A$6:$A$95,A191,ROBA_U_DOLASKU!$H$6:$H$95,2)</f>
        <v>0</v>
      </c>
      <c r="M191" s="9" t="n">
        <f aca="false">SUMIFS(ROBA_U_DOLASKU!$B$6:$B$95,ROBA_U_DOLASKU!$A$6:$A$95,A191,ROBA_U_DOLASKU!$H$6:$H$95,2)</f>
        <v>0</v>
      </c>
      <c r="N191" s="9" t="n">
        <f aca="false">SUMIFS(ROBA_U_DOLASKU!$C$6:$C$95,ROBA_U_DOLASKU!$A$6:$A$95,A191,ROBA_U_DOLASKU!$H$6:$H$95,3)</f>
        <v>0</v>
      </c>
      <c r="O191" s="9" t="n">
        <f aca="false">SUMIFS(ROBA_U_DOLASKU!$B$6:$B$95,ROBA_U_DOLASKU!$A$6:$A$95,A191,ROBA_U_DOLASKU!$H$6:$H$95,3)</f>
        <v>0</v>
      </c>
      <c r="P191" s="9" t="n">
        <f aca="false">IF(H191&lt;=0,999,IF(O191&gt;0,ROUND((F191-H191*N191+K191+M191+O191)/H191,1),IF(M191&gt;0,ROUND((F191-H191*L191+K191+M191)/H191,1),IF(K191&gt;0,ROUND((F191-H191*J191+K191)/H191,1),I191))))</f>
        <v>7.1</v>
      </c>
      <c r="Q191" s="22" t="str">
        <f aca="false">IF(H191&lt;=0,"Nema prodaje",IF(AND(K191=0,M191=0,O191=0),IF(I191&lt;POSTAVKE!$B$6,"Naruči odmah","Sve u redu"),IF(F191-H191*J191&lt;0,"Rupa za ~"&amp;TEXT(I191,"0.0")&amp;" mj.",IF(AND(M191&gt;0,F191-H191*L191+K191&lt;0),"Rupa nakon 1. dolaska",IF(AND(O191&gt;0,F191-H191*N191+K191+M191&lt;0),"Rupa nakon 2. dolaska",IF(P191&lt;POSTAVKE!$B$6,"Količina nije dovoljna",IF(I191&gt;=POSTAVKE!$B$6,"Sve u redu","Stiže na vrijeme")))))))</f>
        <v>Sve u redu</v>
      </c>
      <c r="S191" s="23" t="n">
        <f aca="false">IFERROR(INDEX(PODACI_PRODAJA!B:B,MATCH($A191,PODACI_PRODAJA!$A:$A,0)),0)</f>
        <v>9</v>
      </c>
      <c r="T191" s="23" t="n">
        <f aca="false">IFERROR(INDEX(PODACI_PRODAJA!C:C,MATCH($A191,PODACI_PRODAJA!$A:$A,0)),0)</f>
        <v>4</v>
      </c>
      <c r="U191" s="23" t="n">
        <f aca="false">IFERROR(INDEX(PODACI_PRODAJA!D:D,MATCH($A191,PODACI_PRODAJA!$A:$A,0)),0)</f>
        <v>0</v>
      </c>
      <c r="V191" s="23" t="n">
        <f aca="false">IFERROR(INDEX(PODACI_PRODAJA!E:E,MATCH($A191,PODACI_PRODAJA!$A:$A,0)),0)</f>
        <v>0</v>
      </c>
      <c r="W191" s="23" t="n">
        <f aca="false">IFERROR(INDEX(PODACI_PRODAJA!F:F,MATCH($A191,PODACI_PRODAJA!$A:$A,0)),0)</f>
        <v>13</v>
      </c>
      <c r="X191" s="23" t="n">
        <f aca="false">IFERROR(INDEX(PODACI_PRODAJA!G:G,MATCH($A191,PODACI_PRODAJA!$A:$A,0)),0)</f>
        <v>0</v>
      </c>
      <c r="Y191" s="23" t="n">
        <f aca="false">IFERROR(INDEX(PODACI_PRODAJA!H:H,MATCH($A191,PODACI_PRODAJA!$A:$A,0)),0)</f>
        <v>12</v>
      </c>
      <c r="Z191" s="23" t="n">
        <f aca="false">IFERROR(INDEX(PODACI_PRODAJA!I:I,MATCH($A191,PODACI_PRODAJA!$A:$A,0)),0)</f>
        <v>8</v>
      </c>
      <c r="AA191" s="23" t="n">
        <f aca="false">IFERROR(INDEX(PODACI_PRODAJA!J:J,MATCH($A191,PODACI_PRODAJA!$A:$A,0)),0)</f>
        <v>0</v>
      </c>
      <c r="AB191" s="23" t="n">
        <f aca="false">IFERROR(INDEX(PODACI_PRODAJA!K:K,MATCH($A191,PODACI_PRODAJA!$A:$A,0)),0)</f>
        <v>0</v>
      </c>
      <c r="AC191" s="23" t="n">
        <f aca="false">IFERROR(INDEX(PODACI_PRODAJA!L:L,MATCH($A191,PODACI_PRODAJA!$A:$A,0)),0)</f>
        <v>0</v>
      </c>
      <c r="AD191" s="23" t="n">
        <f aca="false">IFERROR(INDEX(PODACI_PRODAJA!M:M,MATCH($A191,PODACI_PRODAJA!$A:$A,0)),0)</f>
        <v>0</v>
      </c>
    </row>
    <row r="192" customFormat="false" ht="15" hidden="false" customHeight="false" outlineLevel="0" collapsed="false">
      <c r="A192" s="11" t="str">
        <f aca="false">PODACI_ZALIHE!A189</f>
        <v>043840</v>
      </c>
      <c r="B192" s="8" t="str">
        <f aca="false">PODACI_ZALIHE!B189</f>
        <v>MONZA Q PODŽBUKNA MIJEŠALICA ZA UMIVAONIK</v>
      </c>
      <c r="C192" s="9" t="str">
        <f aca="false">PODACI_ZALIHE!C189</f>
        <v>5150</v>
      </c>
      <c r="D192" s="8" t="str">
        <f aca="false">PODACI_ZALIHE!D189</f>
        <v>ZHEJIANG VOLONG SANITARY WARES CO.,LTD.</v>
      </c>
      <c r="E192" s="19" t="n">
        <f aca="false">IF(PODACI_ZALIHE!E189="","",PODACI_ZALIHE!E189)</f>
        <v>41</v>
      </c>
      <c r="F192" s="20" t="n">
        <f aca="false">PODACI_ZALIHE!F189</f>
        <v>41</v>
      </c>
      <c r="G192" s="19" t="n">
        <f aca="false">IF(E192="","",E192-F192)</f>
        <v>0</v>
      </c>
      <c r="H192" s="9" t="n">
        <f aca="false">PODACI_PRODAJA!N434</f>
        <v>-0.13</v>
      </c>
      <c r="I192" s="21" t="n">
        <f aca="false">IF(H192&lt;=0,999,ROUND(F192/H192,1))</f>
        <v>999</v>
      </c>
      <c r="J192" s="9" t="n">
        <f aca="false">SUMIFS(ROBA_U_DOLASKU!$C$6:$C$95,ROBA_U_DOLASKU!$A$6:$A$95,A192,ROBA_U_DOLASKU!$H$6:$H$95,1)</f>
        <v>0</v>
      </c>
      <c r="K192" s="9" t="n">
        <f aca="false">SUMIFS(ROBA_U_DOLASKU!$B$6:$B$95,ROBA_U_DOLASKU!$A$6:$A$95,A192,ROBA_U_DOLASKU!$H$6:$H$95,1)</f>
        <v>0</v>
      </c>
      <c r="L192" s="9" t="n">
        <f aca="false">SUMIFS(ROBA_U_DOLASKU!$C$6:$C$95,ROBA_U_DOLASKU!$A$6:$A$95,A192,ROBA_U_DOLASKU!$H$6:$H$95,2)</f>
        <v>0</v>
      </c>
      <c r="M192" s="9" t="n">
        <f aca="false">SUMIFS(ROBA_U_DOLASKU!$B$6:$B$95,ROBA_U_DOLASKU!$A$6:$A$95,A192,ROBA_U_DOLASKU!$H$6:$H$95,2)</f>
        <v>0</v>
      </c>
      <c r="N192" s="9" t="n">
        <f aca="false">SUMIFS(ROBA_U_DOLASKU!$C$6:$C$95,ROBA_U_DOLASKU!$A$6:$A$95,A192,ROBA_U_DOLASKU!$H$6:$H$95,3)</f>
        <v>0</v>
      </c>
      <c r="O192" s="9" t="n">
        <f aca="false">SUMIFS(ROBA_U_DOLASKU!$B$6:$B$95,ROBA_U_DOLASKU!$A$6:$A$95,A192,ROBA_U_DOLASKU!$H$6:$H$95,3)</f>
        <v>0</v>
      </c>
      <c r="P192" s="9" t="n">
        <f aca="false">IF(H192&lt;=0,999,IF(O192&gt;0,ROUND((F192-H192*N192+K192+M192+O192)/H192,1),IF(M192&gt;0,ROUND((F192-H192*L192+K192+M192)/H192,1),IF(K192&gt;0,ROUND((F192-H192*J192+K192)/H192,1),I192))))</f>
        <v>999</v>
      </c>
      <c r="Q192" s="22" t="str">
        <f aca="false">IF(H192&lt;=0,"Nema prodaje",IF(AND(K192=0,M192=0,O192=0),IF(I192&lt;POSTAVKE!$B$6,"Naruči odmah","Sve u redu"),IF(F192-H192*J192&lt;0,"Rupa za ~"&amp;TEXT(I192,"0.0")&amp;" mj.",IF(AND(M192&gt;0,F192-H192*L192+K192&lt;0),"Rupa nakon 1. dolaska",IF(AND(O192&gt;0,F192-H192*N192+K192+M192&lt;0),"Rupa nakon 2. dolaska",IF(P192&lt;POSTAVKE!$B$6,"Količina nije dovoljna",IF(I192&gt;=POSTAVKE!$B$6,"Sve u redu","Stiže na vrijeme")))))))</f>
        <v>Nema prodaje</v>
      </c>
      <c r="S192" s="23" t="n">
        <f aca="false">IFERROR(INDEX(PODACI_PRODAJA!B:B,MATCH($A192,PODACI_PRODAJA!$A:$A,0)),0)</f>
        <v>0</v>
      </c>
      <c r="T192" s="23" t="n">
        <f aca="false">IFERROR(INDEX(PODACI_PRODAJA!C:C,MATCH($A192,PODACI_PRODAJA!$A:$A,0)),0)</f>
        <v>0</v>
      </c>
      <c r="U192" s="23" t="n">
        <f aca="false">IFERROR(INDEX(PODACI_PRODAJA!D:D,MATCH($A192,PODACI_PRODAJA!$A:$A,0)),0)</f>
        <v>0</v>
      </c>
      <c r="V192" s="23" t="n">
        <f aca="false">IFERROR(INDEX(PODACI_PRODAJA!E:E,MATCH($A192,PODACI_PRODAJA!$A:$A,0)),0)</f>
        <v>-1</v>
      </c>
      <c r="W192" s="23" t="n">
        <f aca="false">IFERROR(INDEX(PODACI_PRODAJA!F:F,MATCH($A192,PODACI_PRODAJA!$A:$A,0)),0)</f>
        <v>0</v>
      </c>
      <c r="X192" s="23" t="n">
        <f aca="false">IFERROR(INDEX(PODACI_PRODAJA!G:G,MATCH($A192,PODACI_PRODAJA!$A:$A,0)),0)</f>
        <v>0</v>
      </c>
      <c r="Y192" s="23" t="n">
        <f aca="false">IFERROR(INDEX(PODACI_PRODAJA!H:H,MATCH($A192,PODACI_PRODAJA!$A:$A,0)),0)</f>
        <v>0</v>
      </c>
      <c r="Z192" s="23" t="n">
        <f aca="false">IFERROR(INDEX(PODACI_PRODAJA!I:I,MATCH($A192,PODACI_PRODAJA!$A:$A,0)),0)</f>
        <v>0</v>
      </c>
      <c r="AA192" s="23" t="n">
        <f aca="false">IFERROR(INDEX(PODACI_PRODAJA!J:J,MATCH($A192,PODACI_PRODAJA!$A:$A,0)),0)</f>
        <v>0</v>
      </c>
      <c r="AB192" s="23" t="n">
        <f aca="false">IFERROR(INDEX(PODACI_PRODAJA!K:K,MATCH($A192,PODACI_PRODAJA!$A:$A,0)),0)</f>
        <v>0</v>
      </c>
      <c r="AC192" s="23" t="n">
        <f aca="false">IFERROR(INDEX(PODACI_PRODAJA!L:L,MATCH($A192,PODACI_PRODAJA!$A:$A,0)),0)</f>
        <v>0</v>
      </c>
      <c r="AD192" s="23" t="n">
        <f aca="false">IFERROR(INDEX(PODACI_PRODAJA!M:M,MATCH($A192,PODACI_PRODAJA!$A:$A,0)),0)</f>
        <v>0</v>
      </c>
    </row>
    <row r="193" customFormat="false" ht="15" hidden="false" customHeight="false" outlineLevel="0" collapsed="false">
      <c r="A193" s="11" t="str">
        <f aca="false">PODACI_ZALIHE!A190</f>
        <v>15005</v>
      </c>
      <c r="B193" s="8" t="str">
        <f aca="false">PODACI_ZALIHE!B190</f>
        <v>PVC PANEL 10 mm BLACK SPARKLE 2420x1000x10 mm</v>
      </c>
      <c r="C193" s="9" t="n">
        <f aca="false">PODACI_ZALIHE!C190</f>
        <v>0</v>
      </c>
      <c r="D193" s="8" t="n">
        <f aca="false">PODACI_ZALIHE!D190</f>
        <v>0</v>
      </c>
      <c r="E193" s="19" t="n">
        <f aca="false">IF(PODACI_ZALIHE!E190="","",PODACI_ZALIHE!E190)</f>
        <v>41</v>
      </c>
      <c r="F193" s="20" t="n">
        <f aca="false">PODACI_ZALIHE!F190</f>
        <v>41</v>
      </c>
      <c r="G193" s="19" t="n">
        <f aca="false">IF(E193="","",E193-F193)</f>
        <v>0</v>
      </c>
      <c r="H193" s="9" t="n">
        <v>0</v>
      </c>
      <c r="I193" s="21" t="n">
        <f aca="false">IF(H193&lt;=0,999,ROUND(F193/H193,1))</f>
        <v>999</v>
      </c>
      <c r="J193" s="9" t="n">
        <f aca="false">SUMIFS(ROBA_U_DOLASKU!$C$6:$C$95,ROBA_U_DOLASKU!$A$6:$A$95,A193,ROBA_U_DOLASKU!$H$6:$H$95,1)</f>
        <v>0</v>
      </c>
      <c r="K193" s="9" t="n">
        <f aca="false">SUMIFS(ROBA_U_DOLASKU!$B$6:$B$95,ROBA_U_DOLASKU!$A$6:$A$95,A193,ROBA_U_DOLASKU!$H$6:$H$95,1)</f>
        <v>0</v>
      </c>
      <c r="L193" s="9" t="n">
        <f aca="false">SUMIFS(ROBA_U_DOLASKU!$C$6:$C$95,ROBA_U_DOLASKU!$A$6:$A$95,A193,ROBA_U_DOLASKU!$H$6:$H$95,2)</f>
        <v>0</v>
      </c>
      <c r="M193" s="9" t="n">
        <f aca="false">SUMIFS(ROBA_U_DOLASKU!$B$6:$B$95,ROBA_U_DOLASKU!$A$6:$A$95,A193,ROBA_U_DOLASKU!$H$6:$H$95,2)</f>
        <v>0</v>
      </c>
      <c r="N193" s="9" t="n">
        <f aca="false">SUMIFS(ROBA_U_DOLASKU!$C$6:$C$95,ROBA_U_DOLASKU!$A$6:$A$95,A193,ROBA_U_DOLASKU!$H$6:$H$95,3)</f>
        <v>0</v>
      </c>
      <c r="O193" s="9" t="n">
        <f aca="false">SUMIFS(ROBA_U_DOLASKU!$B$6:$B$95,ROBA_U_DOLASKU!$A$6:$A$95,A193,ROBA_U_DOLASKU!$H$6:$H$95,3)</f>
        <v>0</v>
      </c>
      <c r="P193" s="9" t="n">
        <f aca="false">IF(H193&lt;=0,999,IF(O193&gt;0,ROUND((F193-H193*N193+K193+M193+O193)/H193,1),IF(M193&gt;0,ROUND((F193-H193*L193+K193+M193)/H193,1),IF(K193&gt;0,ROUND((F193-H193*J193+K193)/H193,1),I193))))</f>
        <v>999</v>
      </c>
      <c r="Q193" s="22" t="str">
        <f aca="false">IF(H193&lt;=0,"Nema prodaje",IF(AND(K193=0,M193=0,O193=0),IF(I193&lt;POSTAVKE!$B$6,"Naruči odmah","Sve u redu"),IF(F193-H193*J193&lt;0,"Rupa za ~"&amp;TEXT(I193,"0.0")&amp;" mj.",IF(AND(M193&gt;0,F193-H193*L193+K193&lt;0),"Rupa nakon 1. dolaska",IF(AND(O193&gt;0,F193-H193*N193+K193+M193&lt;0),"Rupa nakon 2. dolaska",IF(P193&lt;POSTAVKE!$B$6,"Količina nije dovoljna",IF(I193&gt;=POSTAVKE!$B$6,"Sve u redu","Stiže na vrijeme")))))))</f>
        <v>Nema prodaje</v>
      </c>
      <c r="S193" s="23" t="n">
        <f aca="false">IFERROR(INDEX(PODACI_PRODAJA!B:B,MATCH($A193,PODACI_PRODAJA!$A:$A,0)),0)</f>
        <v>0</v>
      </c>
      <c r="T193" s="23" t="n">
        <f aca="false">IFERROR(INDEX(PODACI_PRODAJA!C:C,MATCH($A193,PODACI_PRODAJA!$A:$A,0)),0)</f>
        <v>0</v>
      </c>
      <c r="U193" s="23" t="n">
        <f aca="false">IFERROR(INDEX(PODACI_PRODAJA!D:D,MATCH($A193,PODACI_PRODAJA!$A:$A,0)),0)</f>
        <v>0</v>
      </c>
      <c r="V193" s="23" t="n">
        <f aca="false">IFERROR(INDEX(PODACI_PRODAJA!E:E,MATCH($A193,PODACI_PRODAJA!$A:$A,0)),0)</f>
        <v>0</v>
      </c>
      <c r="W193" s="23" t="n">
        <f aca="false">IFERROR(INDEX(PODACI_PRODAJA!F:F,MATCH($A193,PODACI_PRODAJA!$A:$A,0)),0)</f>
        <v>0</v>
      </c>
      <c r="X193" s="23" t="n">
        <f aca="false">IFERROR(INDEX(PODACI_PRODAJA!G:G,MATCH($A193,PODACI_PRODAJA!$A:$A,0)),0)</f>
        <v>0</v>
      </c>
      <c r="Y193" s="23" t="n">
        <f aca="false">IFERROR(INDEX(PODACI_PRODAJA!H:H,MATCH($A193,PODACI_PRODAJA!$A:$A,0)),0)</f>
        <v>0</v>
      </c>
      <c r="Z193" s="23" t="n">
        <f aca="false">IFERROR(INDEX(PODACI_PRODAJA!I:I,MATCH($A193,PODACI_PRODAJA!$A:$A,0)),0)</f>
        <v>0</v>
      </c>
      <c r="AA193" s="23" t="n">
        <f aca="false">IFERROR(INDEX(PODACI_PRODAJA!J:J,MATCH($A193,PODACI_PRODAJA!$A:$A,0)),0)</f>
        <v>0</v>
      </c>
      <c r="AB193" s="23" t="n">
        <f aca="false">IFERROR(INDEX(PODACI_PRODAJA!K:K,MATCH($A193,PODACI_PRODAJA!$A:$A,0)),0)</f>
        <v>0</v>
      </c>
      <c r="AC193" s="23" t="n">
        <f aca="false">IFERROR(INDEX(PODACI_PRODAJA!L:L,MATCH($A193,PODACI_PRODAJA!$A:$A,0)),0)</f>
        <v>0</v>
      </c>
      <c r="AD193" s="23" t="n">
        <f aca="false">IFERROR(INDEX(PODACI_PRODAJA!M:M,MATCH($A193,PODACI_PRODAJA!$A:$A,0)),0)</f>
        <v>0</v>
      </c>
    </row>
    <row r="194" customFormat="false" ht="15" hidden="false" customHeight="false" outlineLevel="0" collapsed="false">
      <c r="A194" s="11" t="str">
        <f aca="false">PODACI_ZALIHE!A191</f>
        <v>15259</v>
      </c>
      <c r="B194" s="8" t="str">
        <f aca="false">PODACI_ZALIHE!B191</f>
        <v>PERLA MIJEŠALICA ZA TUŠ</v>
      </c>
      <c r="C194" s="9" t="str">
        <f aca="false">PODACI_ZALIHE!C191</f>
        <v>5150</v>
      </c>
      <c r="D194" s="8" t="str">
        <f aca="false">PODACI_ZALIHE!D191</f>
        <v>ZHEJIANG VOLONG SANITARY WARES CO.,LTD.</v>
      </c>
      <c r="E194" s="19" t="n">
        <f aca="false">IF(PODACI_ZALIHE!E191="","",PODACI_ZALIHE!E191)</f>
        <v>41</v>
      </c>
      <c r="F194" s="20" t="n">
        <f aca="false">PODACI_ZALIHE!F191</f>
        <v>41</v>
      </c>
      <c r="G194" s="19" t="n">
        <f aca="false">IF(E194="","",E194-F194)</f>
        <v>0</v>
      </c>
      <c r="H194" s="9" t="n">
        <f aca="false">PODACI_PRODAJA!N471</f>
        <v>0.13</v>
      </c>
      <c r="I194" s="21" t="n">
        <f aca="false">IF(H194&lt;=0,999,ROUND(F194/H194,1))</f>
        <v>315.4</v>
      </c>
      <c r="J194" s="9" t="n">
        <f aca="false">SUMIFS(ROBA_U_DOLASKU!$C$6:$C$95,ROBA_U_DOLASKU!$A$6:$A$95,A194,ROBA_U_DOLASKU!$H$6:$H$95,1)</f>
        <v>0</v>
      </c>
      <c r="K194" s="9" t="n">
        <f aca="false">SUMIFS(ROBA_U_DOLASKU!$B$6:$B$95,ROBA_U_DOLASKU!$A$6:$A$95,A194,ROBA_U_DOLASKU!$H$6:$H$95,1)</f>
        <v>0</v>
      </c>
      <c r="L194" s="9" t="n">
        <f aca="false">SUMIFS(ROBA_U_DOLASKU!$C$6:$C$95,ROBA_U_DOLASKU!$A$6:$A$95,A194,ROBA_U_DOLASKU!$H$6:$H$95,2)</f>
        <v>0</v>
      </c>
      <c r="M194" s="9" t="n">
        <f aca="false">SUMIFS(ROBA_U_DOLASKU!$B$6:$B$95,ROBA_U_DOLASKU!$A$6:$A$95,A194,ROBA_U_DOLASKU!$H$6:$H$95,2)</f>
        <v>0</v>
      </c>
      <c r="N194" s="9" t="n">
        <f aca="false">SUMIFS(ROBA_U_DOLASKU!$C$6:$C$95,ROBA_U_DOLASKU!$A$6:$A$95,A194,ROBA_U_DOLASKU!$H$6:$H$95,3)</f>
        <v>0</v>
      </c>
      <c r="O194" s="9" t="n">
        <f aca="false">SUMIFS(ROBA_U_DOLASKU!$B$6:$B$95,ROBA_U_DOLASKU!$A$6:$A$95,A194,ROBA_U_DOLASKU!$H$6:$H$95,3)</f>
        <v>0</v>
      </c>
      <c r="P194" s="9" t="n">
        <f aca="false">IF(H194&lt;=0,999,IF(O194&gt;0,ROUND((F194-H194*N194+K194+M194+O194)/H194,1),IF(M194&gt;0,ROUND((F194-H194*L194+K194+M194)/H194,1),IF(K194&gt;0,ROUND((F194-H194*J194+K194)/H194,1),I194))))</f>
        <v>315.4</v>
      </c>
      <c r="Q194" s="22" t="str">
        <f aca="false">IF(H194&lt;=0,"Nema prodaje",IF(AND(K194=0,M194=0,O194=0),IF(I194&lt;POSTAVKE!$B$6,"Naruči odmah","Sve u redu"),IF(F194-H194*J194&lt;0,"Rupa za ~"&amp;TEXT(I194,"0.0")&amp;" mj.",IF(AND(M194&gt;0,F194-H194*L194+K194&lt;0),"Rupa nakon 1. dolaska",IF(AND(O194&gt;0,F194-H194*N194+K194+M194&lt;0),"Rupa nakon 2. dolaska",IF(P194&lt;POSTAVKE!$B$6,"Količina nije dovoljna",IF(I194&gt;=POSTAVKE!$B$6,"Sve u redu","Stiže na vrijeme")))))))</f>
        <v>Sve u redu</v>
      </c>
      <c r="S194" s="23" t="n">
        <f aca="false">IFERROR(INDEX(PODACI_PRODAJA!B:B,MATCH($A194,PODACI_PRODAJA!$A:$A,0)),0)</f>
        <v>0</v>
      </c>
      <c r="T194" s="23" t="n">
        <f aca="false">IFERROR(INDEX(PODACI_PRODAJA!C:C,MATCH($A194,PODACI_PRODAJA!$A:$A,0)),0)</f>
        <v>0</v>
      </c>
      <c r="U194" s="23" t="n">
        <f aca="false">IFERROR(INDEX(PODACI_PRODAJA!D:D,MATCH($A194,PODACI_PRODAJA!$A:$A,0)),0)</f>
        <v>0</v>
      </c>
      <c r="V194" s="23" t="n">
        <f aca="false">IFERROR(INDEX(PODACI_PRODAJA!E:E,MATCH($A194,PODACI_PRODAJA!$A:$A,0)),0)</f>
        <v>1</v>
      </c>
      <c r="W194" s="23" t="n">
        <f aca="false">IFERROR(INDEX(PODACI_PRODAJA!F:F,MATCH($A194,PODACI_PRODAJA!$A:$A,0)),0)</f>
        <v>0</v>
      </c>
      <c r="X194" s="23" t="n">
        <f aca="false">IFERROR(INDEX(PODACI_PRODAJA!G:G,MATCH($A194,PODACI_PRODAJA!$A:$A,0)),0)</f>
        <v>0</v>
      </c>
      <c r="Y194" s="23" t="n">
        <f aca="false">IFERROR(INDEX(PODACI_PRODAJA!H:H,MATCH($A194,PODACI_PRODAJA!$A:$A,0)),0)</f>
        <v>0</v>
      </c>
      <c r="Z194" s="23" t="n">
        <f aca="false">IFERROR(INDEX(PODACI_PRODAJA!I:I,MATCH($A194,PODACI_PRODAJA!$A:$A,0)),0)</f>
        <v>0</v>
      </c>
      <c r="AA194" s="23" t="n">
        <f aca="false">IFERROR(INDEX(PODACI_PRODAJA!J:J,MATCH($A194,PODACI_PRODAJA!$A:$A,0)),0)</f>
        <v>0</v>
      </c>
      <c r="AB194" s="23" t="n">
        <f aca="false">IFERROR(INDEX(PODACI_PRODAJA!K:K,MATCH($A194,PODACI_PRODAJA!$A:$A,0)),0)</f>
        <v>0</v>
      </c>
      <c r="AC194" s="23" t="n">
        <f aca="false">IFERROR(INDEX(PODACI_PRODAJA!L:L,MATCH($A194,PODACI_PRODAJA!$A:$A,0)),0)</f>
        <v>0</v>
      </c>
      <c r="AD194" s="23" t="n">
        <f aca="false">IFERROR(INDEX(PODACI_PRODAJA!M:M,MATCH($A194,PODACI_PRODAJA!$A:$A,0)),0)</f>
        <v>0</v>
      </c>
    </row>
    <row r="195" customFormat="false" ht="15" hidden="false" customHeight="false" outlineLevel="0" collapsed="false">
      <c r="A195" s="11" t="str">
        <f aca="false">PODACI_ZALIHE!A192</f>
        <v>16783</v>
      </c>
      <c r="B195" s="8" t="str">
        <f aca="false">PODACI_ZALIHE!B192</f>
        <v>TK BRIGHT 90 KVADRATNA TUŠ KABINA 90x90x180 cm</v>
      </c>
      <c r="C195" s="9" t="str">
        <f aca="false">PODACI_ZALIHE!C192</f>
        <v>6163</v>
      </c>
      <c r="D195" s="8" t="str">
        <f aca="false">PODACI_ZALIHE!D192</f>
        <v>HANGZHOU TIANMEI INDUSTRY CO.,LTD</v>
      </c>
      <c r="E195" s="19" t="n">
        <f aca="false">IF(PODACI_ZALIHE!E192="","",PODACI_ZALIHE!E192)</f>
        <v>41</v>
      </c>
      <c r="F195" s="20" t="n">
        <f aca="false">PODACI_ZALIHE!F192</f>
        <v>41</v>
      </c>
      <c r="G195" s="19" t="n">
        <f aca="false">IF(E195="","",E195-F195)</f>
        <v>0</v>
      </c>
      <c r="H195" s="9" t="n">
        <f aca="false">PODACI_PRODAJA!N201</f>
        <v>1</v>
      </c>
      <c r="I195" s="21" t="n">
        <f aca="false">IF(H195&lt;=0,999,ROUND(F195/H195,1))</f>
        <v>41</v>
      </c>
      <c r="J195" s="9" t="n">
        <f aca="false">SUMIFS(ROBA_U_DOLASKU!$C$6:$C$95,ROBA_U_DOLASKU!$A$6:$A$95,A195,ROBA_U_DOLASKU!$H$6:$H$95,1)</f>
        <v>0</v>
      </c>
      <c r="K195" s="9" t="n">
        <f aca="false">SUMIFS(ROBA_U_DOLASKU!$B$6:$B$95,ROBA_U_DOLASKU!$A$6:$A$95,A195,ROBA_U_DOLASKU!$H$6:$H$95,1)</f>
        <v>0</v>
      </c>
      <c r="L195" s="9" t="n">
        <f aca="false">SUMIFS(ROBA_U_DOLASKU!$C$6:$C$95,ROBA_U_DOLASKU!$A$6:$A$95,A195,ROBA_U_DOLASKU!$H$6:$H$95,2)</f>
        <v>0</v>
      </c>
      <c r="M195" s="9" t="n">
        <f aca="false">SUMIFS(ROBA_U_DOLASKU!$B$6:$B$95,ROBA_U_DOLASKU!$A$6:$A$95,A195,ROBA_U_DOLASKU!$H$6:$H$95,2)</f>
        <v>0</v>
      </c>
      <c r="N195" s="9" t="n">
        <f aca="false">SUMIFS(ROBA_U_DOLASKU!$C$6:$C$95,ROBA_U_DOLASKU!$A$6:$A$95,A195,ROBA_U_DOLASKU!$H$6:$H$95,3)</f>
        <v>0</v>
      </c>
      <c r="O195" s="9" t="n">
        <f aca="false">SUMIFS(ROBA_U_DOLASKU!$B$6:$B$95,ROBA_U_DOLASKU!$A$6:$A$95,A195,ROBA_U_DOLASKU!$H$6:$H$95,3)</f>
        <v>0</v>
      </c>
      <c r="P195" s="9" t="n">
        <f aca="false">IF(H195&lt;=0,999,IF(O195&gt;0,ROUND((F195-H195*N195+K195+M195+O195)/H195,1),IF(M195&gt;0,ROUND((F195-H195*L195+K195+M195)/H195,1),IF(K195&gt;0,ROUND((F195-H195*J195+K195)/H195,1),I195))))</f>
        <v>41</v>
      </c>
      <c r="Q195" s="22" t="str">
        <f aca="false">IF(H195&lt;=0,"Nema prodaje",IF(AND(K195=0,M195=0,O195=0),IF(I195&lt;POSTAVKE!$B$6,"Naruči odmah","Sve u redu"),IF(F195-H195*J195&lt;0,"Rupa za ~"&amp;TEXT(I195,"0.0")&amp;" mj.",IF(AND(M195&gt;0,F195-H195*L195+K195&lt;0),"Rupa nakon 1. dolaska",IF(AND(O195&gt;0,F195-H195*N195+K195+M195&lt;0),"Rupa nakon 2. dolaska",IF(P195&lt;POSTAVKE!$B$6,"Količina nije dovoljna",IF(I195&gt;=POSTAVKE!$B$6,"Sve u redu","Stiže na vrijeme")))))))</f>
        <v>Sve u redu</v>
      </c>
      <c r="S195" s="23" t="n">
        <f aca="false">IFERROR(INDEX(PODACI_PRODAJA!B:B,MATCH($A195,PODACI_PRODAJA!$A:$A,0)),0)</f>
        <v>2</v>
      </c>
      <c r="T195" s="23" t="n">
        <f aca="false">IFERROR(INDEX(PODACI_PRODAJA!C:C,MATCH($A195,PODACI_PRODAJA!$A:$A,0)),0)</f>
        <v>1</v>
      </c>
      <c r="U195" s="23" t="n">
        <f aca="false">IFERROR(INDEX(PODACI_PRODAJA!D:D,MATCH($A195,PODACI_PRODAJA!$A:$A,0)),0)</f>
        <v>3</v>
      </c>
      <c r="V195" s="23" t="n">
        <f aca="false">IFERROR(INDEX(PODACI_PRODAJA!E:E,MATCH($A195,PODACI_PRODAJA!$A:$A,0)),0)</f>
        <v>1</v>
      </c>
      <c r="W195" s="23" t="n">
        <f aca="false">IFERROR(INDEX(PODACI_PRODAJA!F:F,MATCH($A195,PODACI_PRODAJA!$A:$A,0)),0)</f>
        <v>0</v>
      </c>
      <c r="X195" s="23" t="n">
        <f aca="false">IFERROR(INDEX(PODACI_PRODAJA!G:G,MATCH($A195,PODACI_PRODAJA!$A:$A,0)),0)</f>
        <v>1</v>
      </c>
      <c r="Y195" s="23" t="n">
        <f aca="false">IFERROR(INDEX(PODACI_PRODAJA!H:H,MATCH($A195,PODACI_PRODAJA!$A:$A,0)),0)</f>
        <v>0</v>
      </c>
      <c r="Z195" s="23" t="n">
        <f aca="false">IFERROR(INDEX(PODACI_PRODAJA!I:I,MATCH($A195,PODACI_PRODAJA!$A:$A,0)),0)</f>
        <v>0</v>
      </c>
      <c r="AA195" s="23" t="n">
        <f aca="false">IFERROR(INDEX(PODACI_PRODAJA!J:J,MATCH($A195,PODACI_PRODAJA!$A:$A,0)),0)</f>
        <v>0</v>
      </c>
      <c r="AB195" s="23" t="n">
        <f aca="false">IFERROR(INDEX(PODACI_PRODAJA!K:K,MATCH($A195,PODACI_PRODAJA!$A:$A,0)),0)</f>
        <v>0</v>
      </c>
      <c r="AC195" s="23" t="n">
        <f aca="false">IFERROR(INDEX(PODACI_PRODAJA!L:L,MATCH($A195,PODACI_PRODAJA!$A:$A,0)),0)</f>
        <v>0</v>
      </c>
      <c r="AD195" s="23" t="n">
        <f aca="false">IFERROR(INDEX(PODACI_PRODAJA!M:M,MATCH($A195,PODACI_PRODAJA!$A:$A,0)),0)</f>
        <v>0</v>
      </c>
    </row>
    <row r="196" customFormat="false" ht="15" hidden="false" customHeight="false" outlineLevel="0" collapsed="false">
      <c r="A196" s="11" t="str">
        <f aca="false">PODACI_ZALIHE!A193</f>
        <v>17210</v>
      </c>
      <c r="B196" s="8" t="str">
        <f aca="false">PODACI_ZALIHE!B193</f>
        <v>IMOLA CRNA MIJEŠALICA ZA UMIVAONIK</v>
      </c>
      <c r="C196" s="9" t="n">
        <f aca="false">PODACI_ZALIHE!C193</f>
        <v>0</v>
      </c>
      <c r="D196" s="8" t="n">
        <f aca="false">PODACI_ZALIHE!D193</f>
        <v>0</v>
      </c>
      <c r="E196" s="19" t="n">
        <f aca="false">IF(PODACI_ZALIHE!E193="","",PODACI_ZALIHE!E193)</f>
        <v>41</v>
      </c>
      <c r="F196" s="20" t="n">
        <f aca="false">PODACI_ZALIHE!F193</f>
        <v>41</v>
      </c>
      <c r="G196" s="19" t="n">
        <f aca="false">IF(E196="","",E196-F196)</f>
        <v>0</v>
      </c>
      <c r="H196" s="9" t="n">
        <f aca="false">PODACI_PRODAJA!N161</f>
        <v>5.88</v>
      </c>
      <c r="I196" s="21" t="n">
        <f aca="false">IF(H196&lt;=0,999,ROUND(F196/H196,1))</f>
        <v>7</v>
      </c>
      <c r="J196" s="9" t="n">
        <f aca="false">SUMIFS(ROBA_U_DOLASKU!$C$6:$C$95,ROBA_U_DOLASKU!$A$6:$A$95,A196,ROBA_U_DOLASKU!$H$6:$H$95,1)</f>
        <v>0</v>
      </c>
      <c r="K196" s="9" t="n">
        <f aca="false">SUMIFS(ROBA_U_DOLASKU!$B$6:$B$95,ROBA_U_DOLASKU!$A$6:$A$95,A196,ROBA_U_DOLASKU!$H$6:$H$95,1)</f>
        <v>0</v>
      </c>
      <c r="L196" s="9" t="n">
        <f aca="false">SUMIFS(ROBA_U_DOLASKU!$C$6:$C$95,ROBA_U_DOLASKU!$A$6:$A$95,A196,ROBA_U_DOLASKU!$H$6:$H$95,2)</f>
        <v>0</v>
      </c>
      <c r="M196" s="9" t="n">
        <f aca="false">SUMIFS(ROBA_U_DOLASKU!$B$6:$B$95,ROBA_U_DOLASKU!$A$6:$A$95,A196,ROBA_U_DOLASKU!$H$6:$H$95,2)</f>
        <v>0</v>
      </c>
      <c r="N196" s="9" t="n">
        <f aca="false">SUMIFS(ROBA_U_DOLASKU!$C$6:$C$95,ROBA_U_DOLASKU!$A$6:$A$95,A196,ROBA_U_DOLASKU!$H$6:$H$95,3)</f>
        <v>0</v>
      </c>
      <c r="O196" s="9" t="n">
        <f aca="false">SUMIFS(ROBA_U_DOLASKU!$B$6:$B$95,ROBA_U_DOLASKU!$A$6:$A$95,A196,ROBA_U_DOLASKU!$H$6:$H$95,3)</f>
        <v>0</v>
      </c>
      <c r="P196" s="9" t="n">
        <f aca="false">IF(H196&lt;=0,999,IF(O196&gt;0,ROUND((F196-H196*N196+K196+M196+O196)/H196,1),IF(M196&gt;0,ROUND((F196-H196*L196+K196+M196)/H196,1),IF(K196&gt;0,ROUND((F196-H196*J196+K196)/H196,1),I196))))</f>
        <v>7</v>
      </c>
      <c r="Q196" s="22" t="str">
        <f aca="false">IF(H196&lt;=0,"Nema prodaje",IF(AND(K196=0,M196=0,O196=0),IF(I196&lt;POSTAVKE!$B$6,"Naruči odmah","Sve u redu"),IF(F196-H196*J196&lt;0,"Rupa za ~"&amp;TEXT(I196,"0.0")&amp;" mj.",IF(AND(M196&gt;0,F196-H196*L196+K196&lt;0),"Rupa nakon 1. dolaska",IF(AND(O196&gt;0,F196-H196*N196+K196+M196&lt;0),"Rupa nakon 2. dolaska",IF(P196&lt;POSTAVKE!$B$6,"Količina nije dovoljna",IF(I196&gt;=POSTAVKE!$B$6,"Sve u redu","Stiže na vrijeme")))))))</f>
        <v>Sve u redu</v>
      </c>
      <c r="S196" s="23" t="n">
        <f aca="false">IFERROR(INDEX(PODACI_PRODAJA!B:B,MATCH($A196,PODACI_PRODAJA!$A:$A,0)),0)</f>
        <v>3</v>
      </c>
      <c r="T196" s="23" t="n">
        <f aca="false">IFERROR(INDEX(PODACI_PRODAJA!C:C,MATCH($A196,PODACI_PRODAJA!$A:$A,0)),0)</f>
        <v>1</v>
      </c>
      <c r="U196" s="23" t="n">
        <f aca="false">IFERROR(INDEX(PODACI_PRODAJA!D:D,MATCH($A196,PODACI_PRODAJA!$A:$A,0)),0)</f>
        <v>1</v>
      </c>
      <c r="V196" s="23" t="n">
        <f aca="false">IFERROR(INDEX(PODACI_PRODAJA!E:E,MATCH($A196,PODACI_PRODAJA!$A:$A,0)),0)</f>
        <v>2</v>
      </c>
      <c r="W196" s="23" t="n">
        <f aca="false">IFERROR(INDEX(PODACI_PRODAJA!F:F,MATCH($A196,PODACI_PRODAJA!$A:$A,0)),0)</f>
        <v>8</v>
      </c>
      <c r="X196" s="23" t="n">
        <f aca="false">IFERROR(INDEX(PODACI_PRODAJA!G:G,MATCH($A196,PODACI_PRODAJA!$A:$A,0)),0)</f>
        <v>2</v>
      </c>
      <c r="Y196" s="23" t="n">
        <f aca="false">IFERROR(INDEX(PODACI_PRODAJA!H:H,MATCH($A196,PODACI_PRODAJA!$A:$A,0)),0)</f>
        <v>25</v>
      </c>
      <c r="Z196" s="23" t="n">
        <f aca="false">IFERROR(INDEX(PODACI_PRODAJA!I:I,MATCH($A196,PODACI_PRODAJA!$A:$A,0)),0)</f>
        <v>5</v>
      </c>
      <c r="AA196" s="23" t="n">
        <f aca="false">IFERROR(INDEX(PODACI_PRODAJA!J:J,MATCH($A196,PODACI_PRODAJA!$A:$A,0)),0)</f>
        <v>0</v>
      </c>
      <c r="AB196" s="23" t="n">
        <f aca="false">IFERROR(INDEX(PODACI_PRODAJA!K:K,MATCH($A196,PODACI_PRODAJA!$A:$A,0)),0)</f>
        <v>0</v>
      </c>
      <c r="AC196" s="23" t="n">
        <f aca="false">IFERROR(INDEX(PODACI_PRODAJA!L:L,MATCH($A196,PODACI_PRODAJA!$A:$A,0)),0)</f>
        <v>0</v>
      </c>
      <c r="AD196" s="23" t="n">
        <f aca="false">IFERROR(INDEX(PODACI_PRODAJA!M:M,MATCH($A196,PODACI_PRODAJA!$A:$A,0)),0)</f>
        <v>0</v>
      </c>
    </row>
    <row r="197" customFormat="false" ht="15" hidden="false" customHeight="false" outlineLevel="0" collapsed="false">
      <c r="A197" s="11" t="str">
        <f aca="false">PODACI_ZALIHE!A194</f>
        <v>17242</v>
      </c>
      <c r="B197" s="8" t="str">
        <f aca="false">PODACI_ZALIHE!B194</f>
        <v>TK TELDE 90120 CHROME PRAVOKUTNA TUŠ KABINA 90X120X195 cm</v>
      </c>
      <c r="C197" s="9" t="str">
        <f aca="false">PODACI_ZALIHE!C194</f>
        <v>6762</v>
      </c>
      <c r="D197" s="8" t="str">
        <f aca="false">PODACI_ZALIHE!D194</f>
        <v>ZHEJIANG QUICKLINE SHOWERING CO., LTD.</v>
      </c>
      <c r="E197" s="19" t="n">
        <f aca="false">IF(PODACI_ZALIHE!E194="","",PODACI_ZALIHE!E194)</f>
        <v>41</v>
      </c>
      <c r="F197" s="20" t="n">
        <f aca="false">PODACI_ZALIHE!F194</f>
        <v>41</v>
      </c>
      <c r="G197" s="19" t="n">
        <f aca="false">IF(E197="","",E197-F197)</f>
        <v>0</v>
      </c>
      <c r="H197" s="9" t="n">
        <f aca="false">PODACI_PRODAJA!N620</f>
        <v>0.5</v>
      </c>
      <c r="I197" s="21" t="n">
        <f aca="false">IF(H197&lt;=0,999,ROUND(F197/H197,1))</f>
        <v>82</v>
      </c>
      <c r="J197" s="9" t="n">
        <f aca="false">SUMIFS(ROBA_U_DOLASKU!$C$6:$C$95,ROBA_U_DOLASKU!$A$6:$A$95,A197,ROBA_U_DOLASKU!$H$6:$H$95,1)</f>
        <v>0</v>
      </c>
      <c r="K197" s="9" t="n">
        <f aca="false">SUMIFS(ROBA_U_DOLASKU!$B$6:$B$95,ROBA_U_DOLASKU!$A$6:$A$95,A197,ROBA_U_DOLASKU!$H$6:$H$95,1)</f>
        <v>0</v>
      </c>
      <c r="L197" s="9" t="n">
        <f aca="false">SUMIFS(ROBA_U_DOLASKU!$C$6:$C$95,ROBA_U_DOLASKU!$A$6:$A$95,A197,ROBA_U_DOLASKU!$H$6:$H$95,2)</f>
        <v>0</v>
      </c>
      <c r="M197" s="9" t="n">
        <f aca="false">SUMIFS(ROBA_U_DOLASKU!$B$6:$B$95,ROBA_U_DOLASKU!$A$6:$A$95,A197,ROBA_U_DOLASKU!$H$6:$H$95,2)</f>
        <v>0</v>
      </c>
      <c r="N197" s="9" t="n">
        <f aca="false">SUMIFS(ROBA_U_DOLASKU!$C$6:$C$95,ROBA_U_DOLASKU!$A$6:$A$95,A197,ROBA_U_DOLASKU!$H$6:$H$95,3)</f>
        <v>0</v>
      </c>
      <c r="O197" s="9" t="n">
        <f aca="false">SUMIFS(ROBA_U_DOLASKU!$B$6:$B$95,ROBA_U_DOLASKU!$A$6:$A$95,A197,ROBA_U_DOLASKU!$H$6:$H$95,3)</f>
        <v>0</v>
      </c>
      <c r="P197" s="9" t="n">
        <f aca="false">IF(H197&lt;=0,999,IF(O197&gt;0,ROUND((F197-H197*N197+K197+M197+O197)/H197,1),IF(M197&gt;0,ROUND((F197-H197*L197+K197+M197)/H197,1),IF(K197&gt;0,ROUND((F197-H197*J197+K197)/H197,1),I197))))</f>
        <v>82</v>
      </c>
      <c r="Q197" s="22" t="str">
        <f aca="false">IF(H197&lt;=0,"Nema prodaje",IF(AND(K197=0,M197=0,O197=0),IF(I197&lt;POSTAVKE!$B$6,"Naruči odmah","Sve u redu"),IF(F197-H197*J197&lt;0,"Rupa za ~"&amp;TEXT(I197,"0.0")&amp;" mj.",IF(AND(M197&gt;0,F197-H197*L197+K197&lt;0),"Rupa nakon 1. dolaska",IF(AND(O197&gt;0,F197-H197*N197+K197+M197&lt;0),"Rupa nakon 2. dolaska",IF(P197&lt;POSTAVKE!$B$6,"Količina nije dovoljna",IF(I197&gt;=POSTAVKE!$B$6,"Sve u redu","Stiže na vrijeme")))))))</f>
        <v>Sve u redu</v>
      </c>
      <c r="S197" s="23" t="n">
        <f aca="false">IFERROR(INDEX(PODACI_PRODAJA!B:B,MATCH($A197,PODACI_PRODAJA!$A:$A,0)),0)</f>
        <v>0</v>
      </c>
      <c r="T197" s="23" t="n">
        <f aca="false">IFERROR(INDEX(PODACI_PRODAJA!C:C,MATCH($A197,PODACI_PRODAJA!$A:$A,0)),0)</f>
        <v>0</v>
      </c>
      <c r="U197" s="23" t="n">
        <f aca="false">IFERROR(INDEX(PODACI_PRODAJA!D:D,MATCH($A197,PODACI_PRODAJA!$A:$A,0)),0)</f>
        <v>0</v>
      </c>
      <c r="V197" s="23" t="n">
        <f aca="false">IFERROR(INDEX(PODACI_PRODAJA!E:E,MATCH($A197,PODACI_PRODAJA!$A:$A,0)),0)</f>
        <v>2</v>
      </c>
      <c r="W197" s="23" t="n">
        <f aca="false">IFERROR(INDEX(PODACI_PRODAJA!F:F,MATCH($A197,PODACI_PRODAJA!$A:$A,0)),0)</f>
        <v>1</v>
      </c>
      <c r="X197" s="23" t="n">
        <f aca="false">IFERROR(INDEX(PODACI_PRODAJA!G:G,MATCH($A197,PODACI_PRODAJA!$A:$A,0)),0)</f>
        <v>1</v>
      </c>
      <c r="Y197" s="23" t="n">
        <f aca="false">IFERROR(INDEX(PODACI_PRODAJA!H:H,MATCH($A197,PODACI_PRODAJA!$A:$A,0)),0)</f>
        <v>0</v>
      </c>
      <c r="Z197" s="23" t="n">
        <f aca="false">IFERROR(INDEX(PODACI_PRODAJA!I:I,MATCH($A197,PODACI_PRODAJA!$A:$A,0)),0)</f>
        <v>0</v>
      </c>
      <c r="AA197" s="23" t="n">
        <f aca="false">IFERROR(INDEX(PODACI_PRODAJA!J:J,MATCH($A197,PODACI_PRODAJA!$A:$A,0)),0)</f>
        <v>0</v>
      </c>
      <c r="AB197" s="23" t="n">
        <f aca="false">IFERROR(INDEX(PODACI_PRODAJA!K:K,MATCH($A197,PODACI_PRODAJA!$A:$A,0)),0)</f>
        <v>0</v>
      </c>
      <c r="AC197" s="23" t="n">
        <f aca="false">IFERROR(INDEX(PODACI_PRODAJA!L:L,MATCH($A197,PODACI_PRODAJA!$A:$A,0)),0)</f>
        <v>0</v>
      </c>
      <c r="AD197" s="23" t="n">
        <f aca="false">IFERROR(INDEX(PODACI_PRODAJA!M:M,MATCH($A197,PODACI_PRODAJA!$A:$A,0)),0)</f>
        <v>0</v>
      </c>
    </row>
    <row r="198" customFormat="false" ht="15" hidden="false" customHeight="false" outlineLevel="0" collapsed="false">
      <c r="A198" s="11" t="str">
        <f aca="false">PODACI_ZALIHE!A195</f>
        <v>17267</v>
      </c>
      <c r="B198" s="8" t="str">
        <f aca="false">PODACI_ZALIHE!B195</f>
        <v>OVIEDO TUŠ VRATA 98-110x190 cm</v>
      </c>
      <c r="C198" s="9" t="str">
        <f aca="false">PODACI_ZALIHE!C195</f>
        <v>6762</v>
      </c>
      <c r="D198" s="8" t="str">
        <f aca="false">PODACI_ZALIHE!D195</f>
        <v>ZHEJIANG QUICKLINE SHOWERING CO., LTD.</v>
      </c>
      <c r="E198" s="19" t="n">
        <f aca="false">IF(PODACI_ZALIHE!E195="","",PODACI_ZALIHE!E195)</f>
        <v>41</v>
      </c>
      <c r="F198" s="20" t="n">
        <f aca="false">PODACI_ZALIHE!F195</f>
        <v>41</v>
      </c>
      <c r="G198" s="19" t="n">
        <f aca="false">IF(E198="","",E198-F198)</f>
        <v>0</v>
      </c>
      <c r="H198" s="9" t="n">
        <f aca="false">PODACI_PRODAJA!N279</f>
        <v>0.38</v>
      </c>
      <c r="I198" s="21" t="n">
        <f aca="false">IF(H198&lt;=0,999,ROUND(F198/H198,1))</f>
        <v>107.9</v>
      </c>
      <c r="J198" s="9" t="n">
        <f aca="false">SUMIFS(ROBA_U_DOLASKU!$C$6:$C$95,ROBA_U_DOLASKU!$A$6:$A$95,A198,ROBA_U_DOLASKU!$H$6:$H$95,1)</f>
        <v>0</v>
      </c>
      <c r="K198" s="9" t="n">
        <f aca="false">SUMIFS(ROBA_U_DOLASKU!$B$6:$B$95,ROBA_U_DOLASKU!$A$6:$A$95,A198,ROBA_U_DOLASKU!$H$6:$H$95,1)</f>
        <v>0</v>
      </c>
      <c r="L198" s="9" t="n">
        <f aca="false">SUMIFS(ROBA_U_DOLASKU!$C$6:$C$95,ROBA_U_DOLASKU!$A$6:$A$95,A198,ROBA_U_DOLASKU!$H$6:$H$95,2)</f>
        <v>0</v>
      </c>
      <c r="M198" s="9" t="n">
        <f aca="false">SUMIFS(ROBA_U_DOLASKU!$B$6:$B$95,ROBA_U_DOLASKU!$A$6:$A$95,A198,ROBA_U_DOLASKU!$H$6:$H$95,2)</f>
        <v>0</v>
      </c>
      <c r="N198" s="9" t="n">
        <f aca="false">SUMIFS(ROBA_U_DOLASKU!$C$6:$C$95,ROBA_U_DOLASKU!$A$6:$A$95,A198,ROBA_U_DOLASKU!$H$6:$H$95,3)</f>
        <v>0</v>
      </c>
      <c r="O198" s="9" t="n">
        <f aca="false">SUMIFS(ROBA_U_DOLASKU!$B$6:$B$95,ROBA_U_DOLASKU!$A$6:$A$95,A198,ROBA_U_DOLASKU!$H$6:$H$95,3)</f>
        <v>0</v>
      </c>
      <c r="P198" s="9" t="n">
        <f aca="false">IF(H198&lt;=0,999,IF(O198&gt;0,ROUND((F198-H198*N198+K198+M198+O198)/H198,1),IF(M198&gt;0,ROUND((F198-H198*L198+K198+M198)/H198,1),IF(K198&gt;0,ROUND((F198-H198*J198+K198)/H198,1),I198))))</f>
        <v>107.9</v>
      </c>
      <c r="Q198" s="22" t="str">
        <f aca="false">IF(H198&lt;=0,"Nema prodaje",IF(AND(K198=0,M198=0,O198=0),IF(I198&lt;POSTAVKE!$B$6,"Naruči odmah","Sve u redu"),IF(F198-H198*J198&lt;0,"Rupa za ~"&amp;TEXT(I198,"0.0")&amp;" mj.",IF(AND(M198&gt;0,F198-H198*L198+K198&lt;0),"Rupa nakon 1. dolaska",IF(AND(O198&gt;0,F198-H198*N198+K198+M198&lt;0),"Rupa nakon 2. dolaska",IF(P198&lt;POSTAVKE!$B$6,"Količina nije dovoljna",IF(I198&gt;=POSTAVKE!$B$6,"Sve u redu","Stiže na vrijeme")))))))</f>
        <v>Sve u redu</v>
      </c>
      <c r="S198" s="23" t="n">
        <f aca="false">IFERROR(INDEX(PODACI_PRODAJA!B:B,MATCH($A198,PODACI_PRODAJA!$A:$A,0)),0)</f>
        <v>1</v>
      </c>
      <c r="T198" s="23" t="n">
        <f aca="false">IFERROR(INDEX(PODACI_PRODAJA!C:C,MATCH($A198,PODACI_PRODAJA!$A:$A,0)),0)</f>
        <v>0</v>
      </c>
      <c r="U198" s="23" t="n">
        <f aca="false">IFERROR(INDEX(PODACI_PRODAJA!D:D,MATCH($A198,PODACI_PRODAJA!$A:$A,0)),0)</f>
        <v>0</v>
      </c>
      <c r="V198" s="23" t="n">
        <f aca="false">IFERROR(INDEX(PODACI_PRODAJA!E:E,MATCH($A198,PODACI_PRODAJA!$A:$A,0)),0)</f>
        <v>0</v>
      </c>
      <c r="W198" s="23" t="n">
        <f aca="false">IFERROR(INDEX(PODACI_PRODAJA!F:F,MATCH($A198,PODACI_PRODAJA!$A:$A,0)),0)</f>
        <v>1</v>
      </c>
      <c r="X198" s="23" t="n">
        <f aca="false">IFERROR(INDEX(PODACI_PRODAJA!G:G,MATCH($A198,PODACI_PRODAJA!$A:$A,0)),0)</f>
        <v>0</v>
      </c>
      <c r="Y198" s="23" t="n">
        <f aca="false">IFERROR(INDEX(PODACI_PRODAJA!H:H,MATCH($A198,PODACI_PRODAJA!$A:$A,0)),0)</f>
        <v>0</v>
      </c>
      <c r="Z198" s="23" t="n">
        <f aca="false">IFERROR(INDEX(PODACI_PRODAJA!I:I,MATCH($A198,PODACI_PRODAJA!$A:$A,0)),0)</f>
        <v>1</v>
      </c>
      <c r="AA198" s="23" t="n">
        <f aca="false">IFERROR(INDEX(PODACI_PRODAJA!J:J,MATCH($A198,PODACI_PRODAJA!$A:$A,0)),0)</f>
        <v>0</v>
      </c>
      <c r="AB198" s="23" t="n">
        <f aca="false">IFERROR(INDEX(PODACI_PRODAJA!K:K,MATCH($A198,PODACI_PRODAJA!$A:$A,0)),0)</f>
        <v>0</v>
      </c>
      <c r="AC198" s="23" t="n">
        <f aca="false">IFERROR(INDEX(PODACI_PRODAJA!L:L,MATCH($A198,PODACI_PRODAJA!$A:$A,0)),0)</f>
        <v>0</v>
      </c>
      <c r="AD198" s="23" t="n">
        <f aca="false">IFERROR(INDEX(PODACI_PRODAJA!M:M,MATCH($A198,PODACI_PRODAJA!$A:$A,0)),0)</f>
        <v>0</v>
      </c>
    </row>
    <row r="199" customFormat="false" ht="15" hidden="false" customHeight="false" outlineLevel="0" collapsed="false">
      <c r="A199" s="11" t="str">
        <f aca="false">PODACI_ZALIHE!A196</f>
        <v>18434</v>
      </c>
      <c r="B199" s="8" t="str">
        <f aca="false">PODACI_ZALIHE!B196</f>
        <v>SHAPE LED OGLEDALO 70x80cm 3000/4000/5000K</v>
      </c>
      <c r="C199" s="9" t="str">
        <f aca="false">PODACI_ZALIHE!C196</f>
        <v>6032</v>
      </c>
      <c r="D199" s="8" t="str">
        <f aca="false">PODACI_ZALIHE!D196</f>
        <v>HANGZHOU ZIHAN MIRROR INDUSTRY CO., LTD.</v>
      </c>
      <c r="E199" s="19" t="n">
        <f aca="false">IF(PODACI_ZALIHE!E196="","",PODACI_ZALIHE!E196)</f>
        <v>41</v>
      </c>
      <c r="F199" s="20" t="n">
        <f aca="false">PODACI_ZALIHE!F196</f>
        <v>41</v>
      </c>
      <c r="G199" s="19" t="n">
        <f aca="false">IF(E199="","",E199-F199)</f>
        <v>0</v>
      </c>
      <c r="H199" s="9" t="n">
        <f aca="false">PODACI_PRODAJA!N112</f>
        <v>6.75</v>
      </c>
      <c r="I199" s="21" t="n">
        <f aca="false">IF(H199&lt;=0,999,ROUND(F199/H199,1))</f>
        <v>6.1</v>
      </c>
      <c r="J199" s="9" t="n">
        <f aca="false">SUMIFS(ROBA_U_DOLASKU!$C$6:$C$95,ROBA_U_DOLASKU!$A$6:$A$95,A199,ROBA_U_DOLASKU!$H$6:$H$95,1)</f>
        <v>2.2</v>
      </c>
      <c r="K199" s="9" t="n">
        <f aca="false">SUMIFS(ROBA_U_DOLASKU!$B$6:$B$95,ROBA_U_DOLASKU!$A$6:$A$95,A199,ROBA_U_DOLASKU!$H$6:$H$95,1)</f>
        <v>100</v>
      </c>
      <c r="L199" s="9" t="n">
        <f aca="false">SUMIFS(ROBA_U_DOLASKU!$C$6:$C$95,ROBA_U_DOLASKU!$A$6:$A$95,A199,ROBA_U_DOLASKU!$H$6:$H$95,2)</f>
        <v>0</v>
      </c>
      <c r="M199" s="9" t="n">
        <f aca="false">SUMIFS(ROBA_U_DOLASKU!$B$6:$B$95,ROBA_U_DOLASKU!$A$6:$A$95,A199,ROBA_U_DOLASKU!$H$6:$H$95,2)</f>
        <v>0</v>
      </c>
      <c r="N199" s="9" t="n">
        <f aca="false">SUMIFS(ROBA_U_DOLASKU!$C$6:$C$95,ROBA_U_DOLASKU!$A$6:$A$95,A199,ROBA_U_DOLASKU!$H$6:$H$95,3)</f>
        <v>0</v>
      </c>
      <c r="O199" s="9" t="n">
        <f aca="false">SUMIFS(ROBA_U_DOLASKU!$B$6:$B$95,ROBA_U_DOLASKU!$A$6:$A$95,A199,ROBA_U_DOLASKU!$H$6:$H$95,3)</f>
        <v>0</v>
      </c>
      <c r="P199" s="9" t="n">
        <f aca="false">IF(H199&lt;=0,999,IF(O199&gt;0,ROUND((F199-H199*N199+K199+M199+O199)/H199,1),IF(M199&gt;0,ROUND((F199-H199*L199+K199+M199)/H199,1),IF(K199&gt;0,ROUND((F199-H199*J199+K199)/H199,1),I199))))</f>
        <v>18.7</v>
      </c>
      <c r="Q199" s="22" t="str">
        <f aca="false">IF(H199&lt;=0,"Nema prodaje",IF(AND(K199=0,M199=0,O199=0),IF(I199&lt;POSTAVKE!$B$6,"Naruči odmah","Sve u redu"),IF(F199-H199*J199&lt;0,"Rupa za ~"&amp;TEXT(I199,"0.0")&amp;" mj.",IF(AND(M199&gt;0,F199-H199*L199+K199&lt;0),"Rupa nakon 1. dolaska",IF(AND(O199&gt;0,F199-H199*N199+K199+M199&lt;0),"Rupa nakon 2. dolaska",IF(P199&lt;POSTAVKE!$B$6,"Količina nije dovoljna",IF(I199&gt;=POSTAVKE!$B$6,"Sve u redu","Stiže na vrijeme")))))))</f>
        <v>Sve u redu</v>
      </c>
      <c r="S199" s="23" t="n">
        <f aca="false">IFERROR(INDEX(PODACI_PRODAJA!B:B,MATCH($A199,PODACI_PRODAJA!$A:$A,0)),0)</f>
        <v>6</v>
      </c>
      <c r="T199" s="23" t="n">
        <f aca="false">IFERROR(INDEX(PODACI_PRODAJA!C:C,MATCH($A199,PODACI_PRODAJA!$A:$A,0)),0)</f>
        <v>3</v>
      </c>
      <c r="U199" s="23" t="n">
        <f aca="false">IFERROR(INDEX(PODACI_PRODAJA!D:D,MATCH($A199,PODACI_PRODAJA!$A:$A,0)),0)</f>
        <v>7</v>
      </c>
      <c r="V199" s="23" t="n">
        <f aca="false">IFERROR(INDEX(PODACI_PRODAJA!E:E,MATCH($A199,PODACI_PRODAJA!$A:$A,0)),0)</f>
        <v>22</v>
      </c>
      <c r="W199" s="23" t="n">
        <f aca="false">IFERROR(INDEX(PODACI_PRODAJA!F:F,MATCH($A199,PODACI_PRODAJA!$A:$A,0)),0)</f>
        <v>8</v>
      </c>
      <c r="X199" s="23" t="n">
        <f aca="false">IFERROR(INDEX(PODACI_PRODAJA!G:G,MATCH($A199,PODACI_PRODAJA!$A:$A,0)),0)</f>
        <v>1</v>
      </c>
      <c r="Y199" s="23" t="n">
        <f aca="false">IFERROR(INDEX(PODACI_PRODAJA!H:H,MATCH($A199,PODACI_PRODAJA!$A:$A,0)),0)</f>
        <v>1</v>
      </c>
      <c r="Z199" s="23" t="n">
        <f aca="false">IFERROR(INDEX(PODACI_PRODAJA!I:I,MATCH($A199,PODACI_PRODAJA!$A:$A,0)),0)</f>
        <v>6</v>
      </c>
      <c r="AA199" s="23" t="n">
        <f aca="false">IFERROR(INDEX(PODACI_PRODAJA!J:J,MATCH($A199,PODACI_PRODAJA!$A:$A,0)),0)</f>
        <v>0</v>
      </c>
      <c r="AB199" s="23" t="n">
        <f aca="false">IFERROR(INDEX(PODACI_PRODAJA!K:K,MATCH($A199,PODACI_PRODAJA!$A:$A,0)),0)</f>
        <v>0</v>
      </c>
      <c r="AC199" s="23" t="n">
        <f aca="false">IFERROR(INDEX(PODACI_PRODAJA!L:L,MATCH($A199,PODACI_PRODAJA!$A:$A,0)),0)</f>
        <v>0</v>
      </c>
      <c r="AD199" s="23" t="n">
        <f aca="false">IFERROR(INDEX(PODACI_PRODAJA!M:M,MATCH($A199,PODACI_PRODAJA!$A:$A,0)),0)</f>
        <v>0</v>
      </c>
    </row>
    <row r="200" customFormat="false" ht="15" hidden="false" customHeight="false" outlineLevel="0" collapsed="false">
      <c r="A200" s="11" t="str">
        <f aca="false">PODACI_ZALIHE!A197</f>
        <v>18788</v>
      </c>
      <c r="B200" s="8" t="str">
        <f aca="false">PODACI_ZALIHE!B197</f>
        <v>AKUSTIČNI ZIDNI PANEL MDF LETVICE SVIJETLI KAMEN 2700x605x21 mm</v>
      </c>
      <c r="C200" s="9" t="str">
        <f aca="false">PODACI_ZALIHE!C197</f>
        <v>6931</v>
      </c>
      <c r="D200" s="8" t="str">
        <f aca="false">PODACI_ZALIHE!D197</f>
        <v>INTCO INTERNATIONAL (HK) CO., LIMITED</v>
      </c>
      <c r="E200" s="19" t="n">
        <f aca="false">IF(PODACI_ZALIHE!E197="","",PODACI_ZALIHE!E197)</f>
        <v>41</v>
      </c>
      <c r="F200" s="20" t="n">
        <f aca="false">PODACI_ZALIHE!F197</f>
        <v>41</v>
      </c>
      <c r="G200" s="19" t="n">
        <f aca="false">IF(E200="","",E200-F200)</f>
        <v>0</v>
      </c>
      <c r="H200" s="9" t="n">
        <f aca="false">PODACI_PRODAJA!N710</f>
        <v>0.75</v>
      </c>
      <c r="I200" s="21" t="n">
        <f aca="false">IF(H200&lt;=0,999,ROUND(F200/H200,1))</f>
        <v>54.7</v>
      </c>
      <c r="J200" s="9" t="n">
        <f aca="false">SUMIFS(ROBA_U_DOLASKU!$C$6:$C$95,ROBA_U_DOLASKU!$A$6:$A$95,A200,ROBA_U_DOLASKU!$H$6:$H$95,1)</f>
        <v>0</v>
      </c>
      <c r="K200" s="9" t="n">
        <f aca="false">SUMIFS(ROBA_U_DOLASKU!$B$6:$B$95,ROBA_U_DOLASKU!$A$6:$A$95,A200,ROBA_U_DOLASKU!$H$6:$H$95,1)</f>
        <v>0</v>
      </c>
      <c r="L200" s="9" t="n">
        <f aca="false">SUMIFS(ROBA_U_DOLASKU!$C$6:$C$95,ROBA_U_DOLASKU!$A$6:$A$95,A200,ROBA_U_DOLASKU!$H$6:$H$95,2)</f>
        <v>0</v>
      </c>
      <c r="M200" s="9" t="n">
        <f aca="false">SUMIFS(ROBA_U_DOLASKU!$B$6:$B$95,ROBA_U_DOLASKU!$A$6:$A$95,A200,ROBA_U_DOLASKU!$H$6:$H$95,2)</f>
        <v>0</v>
      </c>
      <c r="N200" s="9" t="n">
        <f aca="false">SUMIFS(ROBA_U_DOLASKU!$C$6:$C$95,ROBA_U_DOLASKU!$A$6:$A$95,A200,ROBA_U_DOLASKU!$H$6:$H$95,3)</f>
        <v>0</v>
      </c>
      <c r="O200" s="9" t="n">
        <f aca="false">SUMIFS(ROBA_U_DOLASKU!$B$6:$B$95,ROBA_U_DOLASKU!$A$6:$A$95,A200,ROBA_U_DOLASKU!$H$6:$H$95,3)</f>
        <v>0</v>
      </c>
      <c r="P200" s="9" t="n">
        <f aca="false">IF(H200&lt;=0,999,IF(O200&gt;0,ROUND((F200-H200*N200+K200+M200+O200)/H200,1),IF(M200&gt;0,ROUND((F200-H200*L200+K200+M200)/H200,1),IF(K200&gt;0,ROUND((F200-H200*J200+K200)/H200,1),I200))))</f>
        <v>54.7</v>
      </c>
      <c r="Q200" s="22" t="str">
        <f aca="false">IF(H200&lt;=0,"Nema prodaje",IF(AND(K200=0,M200=0,O200=0),IF(I200&lt;POSTAVKE!$B$6,"Naruči odmah","Sve u redu"),IF(F200-H200*J200&lt;0,"Rupa za ~"&amp;TEXT(I200,"0.0")&amp;" mj.",IF(AND(M200&gt;0,F200-H200*L200+K200&lt;0),"Rupa nakon 1. dolaska",IF(AND(O200&gt;0,F200-H200*N200+K200+M200&lt;0),"Rupa nakon 2. dolaska",IF(P200&lt;POSTAVKE!$B$6,"Količina nije dovoljna",IF(I200&gt;=POSTAVKE!$B$6,"Sve u redu","Stiže na vrijeme")))))))</f>
        <v>Sve u redu</v>
      </c>
      <c r="S200" s="23" t="n">
        <f aca="false">IFERROR(INDEX(PODACI_PRODAJA!B:B,MATCH($A200,PODACI_PRODAJA!$A:$A,0)),0)</f>
        <v>0</v>
      </c>
      <c r="T200" s="23" t="n">
        <f aca="false">IFERROR(INDEX(PODACI_PRODAJA!C:C,MATCH($A200,PODACI_PRODAJA!$A:$A,0)),0)</f>
        <v>0</v>
      </c>
      <c r="U200" s="23" t="n">
        <f aca="false">IFERROR(INDEX(PODACI_PRODAJA!D:D,MATCH($A200,PODACI_PRODAJA!$A:$A,0)),0)</f>
        <v>0</v>
      </c>
      <c r="V200" s="23" t="n">
        <f aca="false">IFERROR(INDEX(PODACI_PRODAJA!E:E,MATCH($A200,PODACI_PRODAJA!$A:$A,0)),0)</f>
        <v>0</v>
      </c>
      <c r="W200" s="23" t="n">
        <f aca="false">IFERROR(INDEX(PODACI_PRODAJA!F:F,MATCH($A200,PODACI_PRODAJA!$A:$A,0)),0)</f>
        <v>0</v>
      </c>
      <c r="X200" s="23" t="n">
        <f aca="false">IFERROR(INDEX(PODACI_PRODAJA!G:G,MATCH($A200,PODACI_PRODAJA!$A:$A,0)),0)</f>
        <v>0</v>
      </c>
      <c r="Y200" s="23" t="n">
        <f aca="false">IFERROR(INDEX(PODACI_PRODAJA!H:H,MATCH($A200,PODACI_PRODAJA!$A:$A,0)),0)</f>
        <v>6</v>
      </c>
      <c r="Z200" s="23" t="n">
        <f aca="false">IFERROR(INDEX(PODACI_PRODAJA!I:I,MATCH($A200,PODACI_PRODAJA!$A:$A,0)),0)</f>
        <v>0</v>
      </c>
      <c r="AA200" s="23" t="n">
        <f aca="false">IFERROR(INDEX(PODACI_PRODAJA!J:J,MATCH($A200,PODACI_PRODAJA!$A:$A,0)),0)</f>
        <v>0</v>
      </c>
      <c r="AB200" s="23" t="n">
        <f aca="false">IFERROR(INDEX(PODACI_PRODAJA!K:K,MATCH($A200,PODACI_PRODAJA!$A:$A,0)),0)</f>
        <v>0</v>
      </c>
      <c r="AC200" s="23" t="n">
        <f aca="false">IFERROR(INDEX(PODACI_PRODAJA!L:L,MATCH($A200,PODACI_PRODAJA!$A:$A,0)),0)</f>
        <v>0</v>
      </c>
      <c r="AD200" s="23" t="n">
        <f aca="false">IFERROR(INDEX(PODACI_PRODAJA!M:M,MATCH($A200,PODACI_PRODAJA!$A:$A,0)),0)</f>
        <v>0</v>
      </c>
    </row>
    <row r="201" customFormat="false" ht="15" hidden="false" customHeight="false" outlineLevel="0" collapsed="false">
      <c r="A201" s="11" t="str">
        <f aca="false">PODACI_ZALIHE!A198</f>
        <v>003209</v>
      </c>
      <c r="B201" s="8" t="str">
        <f aca="false">PODACI_ZALIHE!B198</f>
        <v>VETRO LINEA 90 TUŠ STIJENA 90x200 cm</v>
      </c>
      <c r="C201" s="9" t="str">
        <f aca="false">PODACI_ZALIHE!C198</f>
        <v>6762</v>
      </c>
      <c r="D201" s="8" t="str">
        <f aca="false">PODACI_ZALIHE!D198</f>
        <v>ZHEJIANG QUICKLINE SHOWERING CO., LTD.</v>
      </c>
      <c r="E201" s="19" t="n">
        <f aca="false">IF(PODACI_ZALIHE!E198="","",PODACI_ZALIHE!E198)</f>
        <v>40</v>
      </c>
      <c r="F201" s="20" t="n">
        <f aca="false">PODACI_ZALIHE!F198</f>
        <v>40</v>
      </c>
      <c r="G201" s="19" t="n">
        <f aca="false">IF(E201="","",E201-F201)</f>
        <v>0</v>
      </c>
      <c r="H201" s="9" t="n">
        <f aca="false">PODACI_PRODAJA!N79</f>
        <v>9.63</v>
      </c>
      <c r="I201" s="21" t="n">
        <f aca="false">IF(H201&lt;=0,999,ROUND(F201/H201,1))</f>
        <v>4.2</v>
      </c>
      <c r="J201" s="9" t="n">
        <f aca="false">SUMIFS(ROBA_U_DOLASKU!$C$6:$C$95,ROBA_U_DOLASKU!$A$6:$A$95,A201,ROBA_U_DOLASKU!$H$6:$H$95,1)</f>
        <v>0</v>
      </c>
      <c r="K201" s="9" t="n">
        <f aca="false">SUMIFS(ROBA_U_DOLASKU!$B$6:$B$95,ROBA_U_DOLASKU!$A$6:$A$95,A201,ROBA_U_DOLASKU!$H$6:$H$95,1)</f>
        <v>0</v>
      </c>
      <c r="L201" s="9" t="n">
        <f aca="false">SUMIFS(ROBA_U_DOLASKU!$C$6:$C$95,ROBA_U_DOLASKU!$A$6:$A$95,A201,ROBA_U_DOLASKU!$H$6:$H$95,2)</f>
        <v>0</v>
      </c>
      <c r="M201" s="9" t="n">
        <f aca="false">SUMIFS(ROBA_U_DOLASKU!$B$6:$B$95,ROBA_U_DOLASKU!$A$6:$A$95,A201,ROBA_U_DOLASKU!$H$6:$H$95,2)</f>
        <v>0</v>
      </c>
      <c r="N201" s="9" t="n">
        <f aca="false">SUMIFS(ROBA_U_DOLASKU!$C$6:$C$95,ROBA_U_DOLASKU!$A$6:$A$95,A201,ROBA_U_DOLASKU!$H$6:$H$95,3)</f>
        <v>0</v>
      </c>
      <c r="O201" s="9" t="n">
        <f aca="false">SUMIFS(ROBA_U_DOLASKU!$B$6:$B$95,ROBA_U_DOLASKU!$A$6:$A$95,A201,ROBA_U_DOLASKU!$H$6:$H$95,3)</f>
        <v>0</v>
      </c>
      <c r="P201" s="9" t="n">
        <f aca="false">IF(H201&lt;=0,999,IF(O201&gt;0,ROUND((F201-H201*N201+K201+M201+O201)/H201,1),IF(M201&gt;0,ROUND((F201-H201*L201+K201+M201)/H201,1),IF(K201&gt;0,ROUND((F201-H201*J201+K201)/H201,1),I201))))</f>
        <v>4.2</v>
      </c>
      <c r="Q201" s="22" t="str">
        <f aca="false">IF(H201&lt;=0,"Nema prodaje",IF(AND(K201=0,M201=0,O201=0),IF(I201&lt;POSTAVKE!$B$6,"Naruči odmah","Sve u redu"),IF(F201-H201*J201&lt;0,"Rupa za ~"&amp;TEXT(I201,"0.0")&amp;" mj.",IF(AND(M201&gt;0,F201-H201*L201+K201&lt;0),"Rupa nakon 1. dolaska",IF(AND(O201&gt;0,F201-H201*N201+K201+M201&lt;0),"Rupa nakon 2. dolaska",IF(P201&lt;POSTAVKE!$B$6,"Količina nije dovoljna",IF(I201&gt;=POSTAVKE!$B$6,"Sve u redu","Stiže na vrijeme")))))))</f>
        <v>Naruči odmah</v>
      </c>
      <c r="S201" s="23" t="n">
        <f aca="false">IFERROR(INDEX(PODACI_PRODAJA!B:B,MATCH($A201,PODACI_PRODAJA!$A:$A,0)),0)</f>
        <v>8</v>
      </c>
      <c r="T201" s="23" t="n">
        <f aca="false">IFERROR(INDEX(PODACI_PRODAJA!C:C,MATCH($A201,PODACI_PRODAJA!$A:$A,0)),0)</f>
        <v>12</v>
      </c>
      <c r="U201" s="23" t="n">
        <f aca="false">IFERROR(INDEX(PODACI_PRODAJA!D:D,MATCH($A201,PODACI_PRODAJA!$A:$A,0)),0)</f>
        <v>10</v>
      </c>
      <c r="V201" s="23" t="n">
        <f aca="false">IFERROR(INDEX(PODACI_PRODAJA!E:E,MATCH($A201,PODACI_PRODAJA!$A:$A,0)),0)</f>
        <v>5</v>
      </c>
      <c r="W201" s="23" t="n">
        <f aca="false">IFERROR(INDEX(PODACI_PRODAJA!F:F,MATCH($A201,PODACI_PRODAJA!$A:$A,0)),0)</f>
        <v>15</v>
      </c>
      <c r="X201" s="23" t="n">
        <f aca="false">IFERROR(INDEX(PODACI_PRODAJA!G:G,MATCH($A201,PODACI_PRODAJA!$A:$A,0)),0)</f>
        <v>6</v>
      </c>
      <c r="Y201" s="23" t="n">
        <f aca="false">IFERROR(INDEX(PODACI_PRODAJA!H:H,MATCH($A201,PODACI_PRODAJA!$A:$A,0)),0)</f>
        <v>10</v>
      </c>
      <c r="Z201" s="23" t="n">
        <f aca="false">IFERROR(INDEX(PODACI_PRODAJA!I:I,MATCH($A201,PODACI_PRODAJA!$A:$A,0)),0)</f>
        <v>11</v>
      </c>
      <c r="AA201" s="23" t="n">
        <f aca="false">IFERROR(INDEX(PODACI_PRODAJA!J:J,MATCH($A201,PODACI_PRODAJA!$A:$A,0)),0)</f>
        <v>0</v>
      </c>
      <c r="AB201" s="23" t="n">
        <f aca="false">IFERROR(INDEX(PODACI_PRODAJA!K:K,MATCH($A201,PODACI_PRODAJA!$A:$A,0)),0)</f>
        <v>0</v>
      </c>
      <c r="AC201" s="23" t="n">
        <f aca="false">IFERROR(INDEX(PODACI_PRODAJA!L:L,MATCH($A201,PODACI_PRODAJA!$A:$A,0)),0)</f>
        <v>0</v>
      </c>
      <c r="AD201" s="23" t="n">
        <f aca="false">IFERROR(INDEX(PODACI_PRODAJA!M:M,MATCH($A201,PODACI_PRODAJA!$A:$A,0)),0)</f>
        <v>0</v>
      </c>
    </row>
    <row r="202" customFormat="false" ht="15" hidden="false" customHeight="false" outlineLevel="0" collapsed="false">
      <c r="A202" s="11" t="str">
        <f aca="false">PODACI_ZALIHE!A199</f>
        <v>00489</v>
      </c>
      <c r="B202" s="8" t="str">
        <f aca="false">PODACI_ZALIHE!B199</f>
        <v>GL9304S TUŠ PANEL 140x20 cm</v>
      </c>
      <c r="C202" s="9" t="str">
        <f aca="false">PODACI_ZALIHE!C199</f>
        <v>3266</v>
      </c>
      <c r="D202" s="8" t="str">
        <f aca="false">PODACI_ZALIHE!D199</f>
        <v>ZHEJIANG VOGUESHOWER SANITARY WARE CO.,LTD</v>
      </c>
      <c r="E202" s="19" t="n">
        <f aca="false">IF(PODACI_ZALIHE!E199="","",PODACI_ZALIHE!E199)</f>
        <v>40</v>
      </c>
      <c r="F202" s="20" t="n">
        <f aca="false">PODACI_ZALIHE!F199</f>
        <v>40</v>
      </c>
      <c r="G202" s="19" t="n">
        <f aca="false">IF(E202="","",E202-F202)</f>
        <v>0</v>
      </c>
      <c r="H202" s="9" t="n">
        <f aca="false">PODACI_PRODAJA!N377</f>
        <v>2.13</v>
      </c>
      <c r="I202" s="21" t="n">
        <f aca="false">IF(H202&lt;=0,999,ROUND(F202/H202,1))</f>
        <v>18.8</v>
      </c>
      <c r="J202" s="9" t="n">
        <f aca="false">SUMIFS(ROBA_U_DOLASKU!$C$6:$C$95,ROBA_U_DOLASKU!$A$6:$A$95,A202,ROBA_U_DOLASKU!$H$6:$H$95,1)</f>
        <v>0</v>
      </c>
      <c r="K202" s="9" t="n">
        <f aca="false">SUMIFS(ROBA_U_DOLASKU!$B$6:$B$95,ROBA_U_DOLASKU!$A$6:$A$95,A202,ROBA_U_DOLASKU!$H$6:$H$95,1)</f>
        <v>0</v>
      </c>
      <c r="L202" s="9" t="n">
        <f aca="false">SUMIFS(ROBA_U_DOLASKU!$C$6:$C$95,ROBA_U_DOLASKU!$A$6:$A$95,A202,ROBA_U_DOLASKU!$H$6:$H$95,2)</f>
        <v>0</v>
      </c>
      <c r="M202" s="9" t="n">
        <f aca="false">SUMIFS(ROBA_U_DOLASKU!$B$6:$B$95,ROBA_U_DOLASKU!$A$6:$A$95,A202,ROBA_U_DOLASKU!$H$6:$H$95,2)</f>
        <v>0</v>
      </c>
      <c r="N202" s="9" t="n">
        <f aca="false">SUMIFS(ROBA_U_DOLASKU!$C$6:$C$95,ROBA_U_DOLASKU!$A$6:$A$95,A202,ROBA_U_DOLASKU!$H$6:$H$95,3)</f>
        <v>0</v>
      </c>
      <c r="O202" s="9" t="n">
        <f aca="false">SUMIFS(ROBA_U_DOLASKU!$B$6:$B$95,ROBA_U_DOLASKU!$A$6:$A$95,A202,ROBA_U_DOLASKU!$H$6:$H$95,3)</f>
        <v>0</v>
      </c>
      <c r="P202" s="9" t="n">
        <f aca="false">IF(H202&lt;=0,999,IF(O202&gt;0,ROUND((F202-H202*N202+K202+M202+O202)/H202,1),IF(M202&gt;0,ROUND((F202-H202*L202+K202+M202)/H202,1),IF(K202&gt;0,ROUND((F202-H202*J202+K202)/H202,1),I202))))</f>
        <v>18.8</v>
      </c>
      <c r="Q202" s="22" t="str">
        <f aca="false">IF(H202&lt;=0,"Nema prodaje",IF(AND(K202=0,M202=0,O202=0),IF(I202&lt;POSTAVKE!$B$6,"Naruči odmah","Sve u redu"),IF(F202-H202*J202&lt;0,"Rupa za ~"&amp;TEXT(I202,"0.0")&amp;" mj.",IF(AND(M202&gt;0,F202-H202*L202+K202&lt;0),"Rupa nakon 1. dolaska",IF(AND(O202&gt;0,F202-H202*N202+K202+M202&lt;0),"Rupa nakon 2. dolaska",IF(P202&lt;POSTAVKE!$B$6,"Količina nije dovoljna",IF(I202&gt;=POSTAVKE!$B$6,"Sve u redu","Stiže na vrijeme")))))))</f>
        <v>Sve u redu</v>
      </c>
      <c r="S202" s="23" t="n">
        <f aca="false">IFERROR(INDEX(PODACI_PRODAJA!B:B,MATCH($A202,PODACI_PRODAJA!$A:$A,0)),0)</f>
        <v>0</v>
      </c>
      <c r="T202" s="23" t="n">
        <f aca="false">IFERROR(INDEX(PODACI_PRODAJA!C:C,MATCH($A202,PODACI_PRODAJA!$A:$A,0)),0)</f>
        <v>2</v>
      </c>
      <c r="U202" s="23" t="n">
        <f aca="false">IFERROR(INDEX(PODACI_PRODAJA!D:D,MATCH($A202,PODACI_PRODAJA!$A:$A,0)),0)</f>
        <v>4</v>
      </c>
      <c r="V202" s="23" t="n">
        <f aca="false">IFERROR(INDEX(PODACI_PRODAJA!E:E,MATCH($A202,PODACI_PRODAJA!$A:$A,0)),0)</f>
        <v>3</v>
      </c>
      <c r="W202" s="23" t="n">
        <f aca="false">IFERROR(INDEX(PODACI_PRODAJA!F:F,MATCH($A202,PODACI_PRODAJA!$A:$A,0)),0)</f>
        <v>1</v>
      </c>
      <c r="X202" s="23" t="n">
        <f aca="false">IFERROR(INDEX(PODACI_PRODAJA!G:G,MATCH($A202,PODACI_PRODAJA!$A:$A,0)),0)</f>
        <v>0</v>
      </c>
      <c r="Y202" s="23" t="n">
        <f aca="false">IFERROR(INDEX(PODACI_PRODAJA!H:H,MATCH($A202,PODACI_PRODAJA!$A:$A,0)),0)</f>
        <v>3</v>
      </c>
      <c r="Z202" s="23" t="n">
        <f aca="false">IFERROR(INDEX(PODACI_PRODAJA!I:I,MATCH($A202,PODACI_PRODAJA!$A:$A,0)),0)</f>
        <v>4</v>
      </c>
      <c r="AA202" s="23" t="n">
        <f aca="false">IFERROR(INDEX(PODACI_PRODAJA!J:J,MATCH($A202,PODACI_PRODAJA!$A:$A,0)),0)</f>
        <v>0</v>
      </c>
      <c r="AB202" s="23" t="n">
        <f aca="false">IFERROR(INDEX(PODACI_PRODAJA!K:K,MATCH($A202,PODACI_PRODAJA!$A:$A,0)),0)</f>
        <v>0</v>
      </c>
      <c r="AC202" s="23" t="n">
        <f aca="false">IFERROR(INDEX(PODACI_PRODAJA!L:L,MATCH($A202,PODACI_PRODAJA!$A:$A,0)),0)</f>
        <v>0</v>
      </c>
      <c r="AD202" s="23" t="n">
        <f aca="false">IFERROR(INDEX(PODACI_PRODAJA!M:M,MATCH($A202,PODACI_PRODAJA!$A:$A,0)),0)</f>
        <v>0</v>
      </c>
    </row>
    <row r="203" customFormat="false" ht="15" hidden="false" customHeight="false" outlineLevel="0" collapsed="false">
      <c r="A203" s="11" t="str">
        <f aca="false">PODACI_ZALIHE!A200</f>
        <v>006261Y</v>
      </c>
      <c r="B203" s="8" t="str">
        <f aca="false">PODACI_ZALIHE!B200</f>
        <v>TK-A80120-6S TUŠ KABINA 80x120x185cm</v>
      </c>
      <c r="C203" s="9" t="str">
        <f aca="false">PODACI_ZALIHE!C200</f>
        <v>5590</v>
      </c>
      <c r="D203" s="8" t="str">
        <f aca="false">PODACI_ZALIHE!D200</f>
        <v>PINGHU YINUO SANITARY WARE CO.,LTD</v>
      </c>
      <c r="E203" s="19" t="n">
        <f aca="false">IF(PODACI_ZALIHE!E200="","",PODACI_ZALIHE!E200)</f>
        <v>40</v>
      </c>
      <c r="F203" s="20" t="n">
        <f aca="false">PODACI_ZALIHE!F200</f>
        <v>40</v>
      </c>
      <c r="G203" s="19" t="n">
        <f aca="false">IF(E203="","",E203-F203)</f>
        <v>0</v>
      </c>
      <c r="H203" s="9" t="n">
        <f aca="false">PODACI_PRODAJA!N389</f>
        <v>0</v>
      </c>
      <c r="I203" s="21" t="n">
        <f aca="false">IF(H203&lt;=0,999,ROUND(F203/H203,1))</f>
        <v>999</v>
      </c>
      <c r="J203" s="9" t="n">
        <f aca="false">SUMIFS(ROBA_U_DOLASKU!$C$6:$C$95,ROBA_U_DOLASKU!$A$6:$A$95,A203,ROBA_U_DOLASKU!$H$6:$H$95,1)</f>
        <v>0</v>
      </c>
      <c r="K203" s="9" t="n">
        <f aca="false">SUMIFS(ROBA_U_DOLASKU!$B$6:$B$95,ROBA_U_DOLASKU!$A$6:$A$95,A203,ROBA_U_DOLASKU!$H$6:$H$95,1)</f>
        <v>0</v>
      </c>
      <c r="L203" s="9" t="n">
        <f aca="false">SUMIFS(ROBA_U_DOLASKU!$C$6:$C$95,ROBA_U_DOLASKU!$A$6:$A$95,A203,ROBA_U_DOLASKU!$H$6:$H$95,2)</f>
        <v>0</v>
      </c>
      <c r="M203" s="9" t="n">
        <f aca="false">SUMIFS(ROBA_U_DOLASKU!$B$6:$B$95,ROBA_U_DOLASKU!$A$6:$A$95,A203,ROBA_U_DOLASKU!$H$6:$H$95,2)</f>
        <v>0</v>
      </c>
      <c r="N203" s="9" t="n">
        <f aca="false">SUMIFS(ROBA_U_DOLASKU!$C$6:$C$95,ROBA_U_DOLASKU!$A$6:$A$95,A203,ROBA_U_DOLASKU!$H$6:$H$95,3)</f>
        <v>0</v>
      </c>
      <c r="O203" s="9" t="n">
        <f aca="false">SUMIFS(ROBA_U_DOLASKU!$B$6:$B$95,ROBA_U_DOLASKU!$A$6:$A$95,A203,ROBA_U_DOLASKU!$H$6:$H$95,3)</f>
        <v>0</v>
      </c>
      <c r="P203" s="9" t="n">
        <f aca="false">IF(H203&lt;=0,999,IF(O203&gt;0,ROUND((F203-H203*N203+K203+M203+O203)/H203,1),IF(M203&gt;0,ROUND((F203-H203*L203+K203+M203)/H203,1),IF(K203&gt;0,ROUND((F203-H203*J203+K203)/H203,1),I203))))</f>
        <v>999</v>
      </c>
      <c r="Q203" s="22" t="str">
        <f aca="false">IF(H203&lt;=0,"Nema prodaje",IF(AND(K203=0,M203=0,O203=0),IF(I203&lt;POSTAVKE!$B$6,"Naruči odmah","Sve u redu"),IF(F203-H203*J203&lt;0,"Rupa za ~"&amp;TEXT(I203,"0.0")&amp;" mj.",IF(AND(M203&gt;0,F203-H203*L203+K203&lt;0),"Rupa nakon 1. dolaska",IF(AND(O203&gt;0,F203-H203*N203+K203+M203&lt;0),"Rupa nakon 2. dolaska",IF(P203&lt;POSTAVKE!$B$6,"Količina nije dovoljna",IF(I203&gt;=POSTAVKE!$B$6,"Sve u redu","Stiže na vrijeme")))))))</f>
        <v>Nema prodaje</v>
      </c>
      <c r="S203" s="23" t="n">
        <f aca="false">IFERROR(INDEX(PODACI_PRODAJA!B:B,MATCH($A203,PODACI_PRODAJA!$A:$A,0)),0)</f>
        <v>0</v>
      </c>
      <c r="T203" s="23" t="n">
        <f aca="false">IFERROR(INDEX(PODACI_PRODAJA!C:C,MATCH($A203,PODACI_PRODAJA!$A:$A,0)),0)</f>
        <v>0</v>
      </c>
      <c r="U203" s="23" t="n">
        <f aca="false">IFERROR(INDEX(PODACI_PRODAJA!D:D,MATCH($A203,PODACI_PRODAJA!$A:$A,0)),0)</f>
        <v>0</v>
      </c>
      <c r="V203" s="23" t="n">
        <f aca="false">IFERROR(INDEX(PODACI_PRODAJA!E:E,MATCH($A203,PODACI_PRODAJA!$A:$A,0)),0)</f>
        <v>0</v>
      </c>
      <c r="W203" s="23" t="n">
        <f aca="false">IFERROR(INDEX(PODACI_PRODAJA!F:F,MATCH($A203,PODACI_PRODAJA!$A:$A,0)),0)</f>
        <v>0</v>
      </c>
      <c r="X203" s="23" t="n">
        <f aca="false">IFERROR(INDEX(PODACI_PRODAJA!G:G,MATCH($A203,PODACI_PRODAJA!$A:$A,0)),0)</f>
        <v>0</v>
      </c>
      <c r="Y203" s="23" t="n">
        <f aca="false">IFERROR(INDEX(PODACI_PRODAJA!H:H,MATCH($A203,PODACI_PRODAJA!$A:$A,0)),0)</f>
        <v>0</v>
      </c>
      <c r="Z203" s="23" t="n">
        <f aca="false">IFERROR(INDEX(PODACI_PRODAJA!I:I,MATCH($A203,PODACI_PRODAJA!$A:$A,0)),0)</f>
        <v>0</v>
      </c>
      <c r="AA203" s="23" t="n">
        <f aca="false">IFERROR(INDEX(PODACI_PRODAJA!J:J,MATCH($A203,PODACI_PRODAJA!$A:$A,0)),0)</f>
        <v>0</v>
      </c>
      <c r="AB203" s="23" t="n">
        <f aca="false">IFERROR(INDEX(PODACI_PRODAJA!K:K,MATCH($A203,PODACI_PRODAJA!$A:$A,0)),0)</f>
        <v>0</v>
      </c>
      <c r="AC203" s="23" t="n">
        <f aca="false">IFERROR(INDEX(PODACI_PRODAJA!L:L,MATCH($A203,PODACI_PRODAJA!$A:$A,0)),0)</f>
        <v>0</v>
      </c>
      <c r="AD203" s="23" t="n">
        <f aca="false">IFERROR(INDEX(PODACI_PRODAJA!M:M,MATCH($A203,PODACI_PRODAJA!$A:$A,0)),0)</f>
        <v>0</v>
      </c>
    </row>
    <row r="204" customFormat="false" ht="15" hidden="false" customHeight="false" outlineLevel="0" collapsed="false">
      <c r="A204" s="11" t="str">
        <f aca="false">PODACI_ZALIHE!A201</f>
        <v>042310</v>
      </c>
      <c r="B204" s="8" t="str">
        <f aca="false">PODACI_ZALIHE!B201</f>
        <v>VETRO TRS 110 TUŠ STIJENA 110x200 cm</v>
      </c>
      <c r="C204" s="9" t="str">
        <f aca="false">PODACI_ZALIHE!C201</f>
        <v>6762</v>
      </c>
      <c r="D204" s="8" t="str">
        <f aca="false">PODACI_ZALIHE!D201</f>
        <v>ZHEJIANG QUICKLINE SHOWERING CO., LTD.</v>
      </c>
      <c r="E204" s="19" t="n">
        <f aca="false">IF(PODACI_ZALIHE!E201="","",PODACI_ZALIHE!E201)</f>
        <v>41</v>
      </c>
      <c r="F204" s="20" t="n">
        <f aca="false">PODACI_ZALIHE!F201</f>
        <v>40</v>
      </c>
      <c r="G204" s="19" t="n">
        <f aca="false">IF(E204="","",E204-F204)</f>
        <v>1</v>
      </c>
      <c r="H204" s="9" t="n">
        <f aca="false">PODACI_PRODAJA!N83</f>
        <v>8.63</v>
      </c>
      <c r="I204" s="21" t="n">
        <f aca="false">IF(H204&lt;=0,999,ROUND(F204/H204,1))</f>
        <v>4.6</v>
      </c>
      <c r="J204" s="9" t="n">
        <f aca="false">SUMIFS(ROBA_U_DOLASKU!$C$6:$C$95,ROBA_U_DOLASKU!$A$6:$A$95,A204,ROBA_U_DOLASKU!$H$6:$H$95,1)</f>
        <v>1</v>
      </c>
      <c r="K204" s="9" t="n">
        <f aca="false">SUMIFS(ROBA_U_DOLASKU!$B$6:$B$95,ROBA_U_DOLASKU!$A$6:$A$95,A204,ROBA_U_DOLASKU!$H$6:$H$95,1)</f>
        <v>20</v>
      </c>
      <c r="L204" s="9" t="n">
        <f aca="false">SUMIFS(ROBA_U_DOLASKU!$C$6:$C$95,ROBA_U_DOLASKU!$A$6:$A$95,A204,ROBA_U_DOLASKU!$H$6:$H$95,2)</f>
        <v>0</v>
      </c>
      <c r="M204" s="9" t="n">
        <f aca="false">SUMIFS(ROBA_U_DOLASKU!$B$6:$B$95,ROBA_U_DOLASKU!$A$6:$A$95,A204,ROBA_U_DOLASKU!$H$6:$H$95,2)</f>
        <v>0</v>
      </c>
      <c r="N204" s="9" t="n">
        <f aca="false">SUMIFS(ROBA_U_DOLASKU!$C$6:$C$95,ROBA_U_DOLASKU!$A$6:$A$95,A204,ROBA_U_DOLASKU!$H$6:$H$95,3)</f>
        <v>0</v>
      </c>
      <c r="O204" s="9" t="n">
        <f aca="false">SUMIFS(ROBA_U_DOLASKU!$B$6:$B$95,ROBA_U_DOLASKU!$A$6:$A$95,A204,ROBA_U_DOLASKU!$H$6:$H$95,3)</f>
        <v>0</v>
      </c>
      <c r="P204" s="9" t="n">
        <f aca="false">IF(H204&lt;=0,999,IF(O204&gt;0,ROUND((F204-H204*N204+K204+M204+O204)/H204,1),IF(M204&gt;0,ROUND((F204-H204*L204+K204+M204)/H204,1),IF(K204&gt;0,ROUND((F204-H204*J204+K204)/H204,1),I204))))</f>
        <v>6</v>
      </c>
      <c r="Q204" s="22" t="str">
        <f aca="false">IF(H204&lt;=0,"Nema prodaje",IF(AND(K204=0,M204=0,O204=0),IF(I204&lt;POSTAVKE!$B$6,"Naruči odmah","Sve u redu"),IF(F204-H204*J204&lt;0,"Rupa za ~"&amp;TEXT(I204,"0.0")&amp;" mj.",IF(AND(M204&gt;0,F204-H204*L204+K204&lt;0),"Rupa nakon 1. dolaska",IF(AND(O204&gt;0,F204-H204*N204+K204+M204&lt;0),"Rupa nakon 2. dolaska",IF(P204&lt;POSTAVKE!$B$6,"Količina nije dovoljna",IF(I204&gt;=POSTAVKE!$B$6,"Sve u redu","Stiže na vrijeme")))))))</f>
        <v>Stiže na vrijeme</v>
      </c>
      <c r="S204" s="23" t="n">
        <f aca="false">IFERROR(INDEX(PODACI_PRODAJA!B:B,MATCH($A204,PODACI_PRODAJA!$A:$A,0)),0)</f>
        <v>8</v>
      </c>
      <c r="T204" s="23" t="n">
        <f aca="false">IFERROR(INDEX(PODACI_PRODAJA!C:C,MATCH($A204,PODACI_PRODAJA!$A:$A,0)),0)</f>
        <v>7</v>
      </c>
      <c r="U204" s="23" t="n">
        <f aca="false">IFERROR(INDEX(PODACI_PRODAJA!D:D,MATCH($A204,PODACI_PRODAJA!$A:$A,0)),0)</f>
        <v>17</v>
      </c>
      <c r="V204" s="23" t="n">
        <f aca="false">IFERROR(INDEX(PODACI_PRODAJA!E:E,MATCH($A204,PODACI_PRODAJA!$A:$A,0)),0)</f>
        <v>12</v>
      </c>
      <c r="W204" s="23" t="n">
        <f aca="false">IFERROR(INDEX(PODACI_PRODAJA!F:F,MATCH($A204,PODACI_PRODAJA!$A:$A,0)),0)</f>
        <v>5</v>
      </c>
      <c r="X204" s="23" t="n">
        <f aca="false">IFERROR(INDEX(PODACI_PRODAJA!G:G,MATCH($A204,PODACI_PRODAJA!$A:$A,0)),0)</f>
        <v>3</v>
      </c>
      <c r="Y204" s="23" t="n">
        <f aca="false">IFERROR(INDEX(PODACI_PRODAJA!H:H,MATCH($A204,PODACI_PRODAJA!$A:$A,0)),0)</f>
        <v>11</v>
      </c>
      <c r="Z204" s="23" t="n">
        <f aca="false">IFERROR(INDEX(PODACI_PRODAJA!I:I,MATCH($A204,PODACI_PRODAJA!$A:$A,0)),0)</f>
        <v>6</v>
      </c>
      <c r="AA204" s="23" t="n">
        <f aca="false">IFERROR(INDEX(PODACI_PRODAJA!J:J,MATCH($A204,PODACI_PRODAJA!$A:$A,0)),0)</f>
        <v>1</v>
      </c>
      <c r="AB204" s="23" t="n">
        <f aca="false">IFERROR(INDEX(PODACI_PRODAJA!K:K,MATCH($A204,PODACI_PRODAJA!$A:$A,0)),0)</f>
        <v>0</v>
      </c>
      <c r="AC204" s="23" t="n">
        <f aca="false">IFERROR(INDEX(PODACI_PRODAJA!L:L,MATCH($A204,PODACI_PRODAJA!$A:$A,0)),0)</f>
        <v>0</v>
      </c>
      <c r="AD204" s="23" t="n">
        <f aca="false">IFERROR(INDEX(PODACI_PRODAJA!M:M,MATCH($A204,PODACI_PRODAJA!$A:$A,0)),0)</f>
        <v>0</v>
      </c>
    </row>
    <row r="205" customFormat="false" ht="15" hidden="false" customHeight="false" outlineLevel="0" collapsed="false">
      <c r="A205" s="11" t="str">
        <f aca="false">PODACI_ZALIHE!A202</f>
        <v>16092</v>
      </c>
      <c r="B205" s="8" t="str">
        <f aca="false">PODACI_ZALIHE!B202</f>
        <v>GL9631 TUŠ PANEL 120x18 cm</v>
      </c>
      <c r="C205" s="9" t="n">
        <f aca="false">PODACI_ZALIHE!C202</f>
        <v>0</v>
      </c>
      <c r="D205" s="8" t="n">
        <f aca="false">PODACI_ZALIHE!D202</f>
        <v>0</v>
      </c>
      <c r="E205" s="19" t="n">
        <f aca="false">IF(PODACI_ZALIHE!E202="","",PODACI_ZALIHE!E202)</f>
        <v>40</v>
      </c>
      <c r="F205" s="20" t="n">
        <f aca="false">PODACI_ZALIHE!F202</f>
        <v>40</v>
      </c>
      <c r="G205" s="19" t="n">
        <f aca="false">IF(E205="","",E205-F205)</f>
        <v>0</v>
      </c>
      <c r="H205" s="9" t="n">
        <f aca="false">PODACI_PRODAJA!N559</f>
        <v>1.5</v>
      </c>
      <c r="I205" s="21" t="n">
        <f aca="false">IF(H205&lt;=0,999,ROUND(F205/H205,1))</f>
        <v>26.7</v>
      </c>
      <c r="J205" s="9" t="n">
        <f aca="false">SUMIFS(ROBA_U_DOLASKU!$C$6:$C$95,ROBA_U_DOLASKU!$A$6:$A$95,A205,ROBA_U_DOLASKU!$H$6:$H$95,1)</f>
        <v>0</v>
      </c>
      <c r="K205" s="9" t="n">
        <f aca="false">SUMIFS(ROBA_U_DOLASKU!$B$6:$B$95,ROBA_U_DOLASKU!$A$6:$A$95,A205,ROBA_U_DOLASKU!$H$6:$H$95,1)</f>
        <v>0</v>
      </c>
      <c r="L205" s="9" t="n">
        <f aca="false">SUMIFS(ROBA_U_DOLASKU!$C$6:$C$95,ROBA_U_DOLASKU!$A$6:$A$95,A205,ROBA_U_DOLASKU!$H$6:$H$95,2)</f>
        <v>0</v>
      </c>
      <c r="M205" s="9" t="n">
        <f aca="false">SUMIFS(ROBA_U_DOLASKU!$B$6:$B$95,ROBA_U_DOLASKU!$A$6:$A$95,A205,ROBA_U_DOLASKU!$H$6:$H$95,2)</f>
        <v>0</v>
      </c>
      <c r="N205" s="9" t="n">
        <f aca="false">SUMIFS(ROBA_U_DOLASKU!$C$6:$C$95,ROBA_U_DOLASKU!$A$6:$A$95,A205,ROBA_U_DOLASKU!$H$6:$H$95,3)</f>
        <v>0</v>
      </c>
      <c r="O205" s="9" t="n">
        <f aca="false">SUMIFS(ROBA_U_DOLASKU!$B$6:$B$95,ROBA_U_DOLASKU!$A$6:$A$95,A205,ROBA_U_DOLASKU!$H$6:$H$95,3)</f>
        <v>0</v>
      </c>
      <c r="P205" s="9" t="n">
        <f aca="false">IF(H205&lt;=0,999,IF(O205&gt;0,ROUND((F205-H205*N205+K205+M205+O205)/H205,1),IF(M205&gt;0,ROUND((F205-H205*L205+K205+M205)/H205,1),IF(K205&gt;0,ROUND((F205-H205*J205+K205)/H205,1),I205))))</f>
        <v>26.7</v>
      </c>
      <c r="Q205" s="22" t="str">
        <f aca="false">IF(H205&lt;=0,"Nema prodaje",IF(AND(K205=0,M205=0,O205=0),IF(I205&lt;POSTAVKE!$B$6,"Naruči odmah","Sve u redu"),IF(F205-H205*J205&lt;0,"Rupa za ~"&amp;TEXT(I205,"0.0")&amp;" mj.",IF(AND(M205&gt;0,F205-H205*L205+K205&lt;0),"Rupa nakon 1. dolaska",IF(AND(O205&gt;0,F205-H205*N205+K205+M205&lt;0),"Rupa nakon 2. dolaska",IF(P205&lt;POSTAVKE!$B$6,"Količina nije dovoljna",IF(I205&gt;=POSTAVKE!$B$6,"Sve u redu","Stiže na vrijeme")))))))</f>
        <v>Sve u redu</v>
      </c>
      <c r="S205" s="23" t="n">
        <f aca="false">IFERROR(INDEX(PODACI_PRODAJA!B:B,MATCH($A205,PODACI_PRODAJA!$A:$A,0)),0)</f>
        <v>0</v>
      </c>
      <c r="T205" s="23" t="n">
        <f aca="false">IFERROR(INDEX(PODACI_PRODAJA!C:C,MATCH($A205,PODACI_PRODAJA!$A:$A,0)),0)</f>
        <v>0</v>
      </c>
      <c r="U205" s="23" t="n">
        <f aca="false">IFERROR(INDEX(PODACI_PRODAJA!D:D,MATCH($A205,PODACI_PRODAJA!$A:$A,0)),0)</f>
        <v>3</v>
      </c>
      <c r="V205" s="23" t="n">
        <f aca="false">IFERROR(INDEX(PODACI_PRODAJA!E:E,MATCH($A205,PODACI_PRODAJA!$A:$A,0)),0)</f>
        <v>2</v>
      </c>
      <c r="W205" s="23" t="n">
        <f aca="false">IFERROR(INDEX(PODACI_PRODAJA!F:F,MATCH($A205,PODACI_PRODAJA!$A:$A,0)),0)</f>
        <v>0</v>
      </c>
      <c r="X205" s="23" t="n">
        <f aca="false">IFERROR(INDEX(PODACI_PRODAJA!G:G,MATCH($A205,PODACI_PRODAJA!$A:$A,0)),0)</f>
        <v>2</v>
      </c>
      <c r="Y205" s="23" t="n">
        <f aca="false">IFERROR(INDEX(PODACI_PRODAJA!H:H,MATCH($A205,PODACI_PRODAJA!$A:$A,0)),0)</f>
        <v>4</v>
      </c>
      <c r="Z205" s="23" t="n">
        <f aca="false">IFERROR(INDEX(PODACI_PRODAJA!I:I,MATCH($A205,PODACI_PRODAJA!$A:$A,0)),0)</f>
        <v>1</v>
      </c>
      <c r="AA205" s="23" t="n">
        <f aca="false">IFERROR(INDEX(PODACI_PRODAJA!J:J,MATCH($A205,PODACI_PRODAJA!$A:$A,0)),0)</f>
        <v>0</v>
      </c>
      <c r="AB205" s="23" t="n">
        <f aca="false">IFERROR(INDEX(PODACI_PRODAJA!K:K,MATCH($A205,PODACI_PRODAJA!$A:$A,0)),0)</f>
        <v>0</v>
      </c>
      <c r="AC205" s="23" t="n">
        <f aca="false">IFERROR(INDEX(PODACI_PRODAJA!L:L,MATCH($A205,PODACI_PRODAJA!$A:$A,0)),0)</f>
        <v>0</v>
      </c>
      <c r="AD205" s="23" t="n">
        <f aca="false">IFERROR(INDEX(PODACI_PRODAJA!M:M,MATCH($A205,PODACI_PRODAJA!$A:$A,0)),0)</f>
        <v>0</v>
      </c>
    </row>
    <row r="206" customFormat="false" ht="15" hidden="false" customHeight="false" outlineLevel="0" collapsed="false">
      <c r="A206" s="11" t="str">
        <f aca="false">PODACI_ZALIHE!A203</f>
        <v>18005</v>
      </c>
      <c r="B206" s="8" t="str">
        <f aca="false">PODACI_ZALIHE!B203</f>
        <v>VETRO CR TRS 6mm ECO TUŠ STIJENA 130x200</v>
      </c>
      <c r="C206" s="9" t="str">
        <f aca="false">PODACI_ZALIHE!C203</f>
        <v>6762</v>
      </c>
      <c r="D206" s="8" t="str">
        <f aca="false">PODACI_ZALIHE!D203</f>
        <v>ZHEJIANG QUICKLINE SHOWERING CO., LTD.</v>
      </c>
      <c r="E206" s="19" t="n">
        <f aca="false">IF(PODACI_ZALIHE!E203="","",PODACI_ZALIHE!E203)</f>
        <v>40</v>
      </c>
      <c r="F206" s="20" t="n">
        <f aca="false">PODACI_ZALIHE!F203</f>
        <v>40</v>
      </c>
      <c r="G206" s="19" t="n">
        <f aca="false">IF(E206="","",E206-F206)</f>
        <v>0</v>
      </c>
      <c r="H206" s="9" t="n">
        <f aca="false">PODACI_PRODAJA!N646</f>
        <v>5</v>
      </c>
      <c r="I206" s="21" t="n">
        <f aca="false">IF(H206&lt;=0,999,ROUND(F206/H206,1))</f>
        <v>8</v>
      </c>
      <c r="J206" s="9" t="n">
        <f aca="false">SUMIFS(ROBA_U_DOLASKU!$C$6:$C$95,ROBA_U_DOLASKU!$A$6:$A$95,A206,ROBA_U_DOLASKU!$H$6:$H$95,1)</f>
        <v>0</v>
      </c>
      <c r="K206" s="9" t="n">
        <f aca="false">SUMIFS(ROBA_U_DOLASKU!$B$6:$B$95,ROBA_U_DOLASKU!$A$6:$A$95,A206,ROBA_U_DOLASKU!$H$6:$H$95,1)</f>
        <v>0</v>
      </c>
      <c r="L206" s="9" t="n">
        <f aca="false">SUMIFS(ROBA_U_DOLASKU!$C$6:$C$95,ROBA_U_DOLASKU!$A$6:$A$95,A206,ROBA_U_DOLASKU!$H$6:$H$95,2)</f>
        <v>0</v>
      </c>
      <c r="M206" s="9" t="n">
        <f aca="false">SUMIFS(ROBA_U_DOLASKU!$B$6:$B$95,ROBA_U_DOLASKU!$A$6:$A$95,A206,ROBA_U_DOLASKU!$H$6:$H$95,2)</f>
        <v>0</v>
      </c>
      <c r="N206" s="9" t="n">
        <f aca="false">SUMIFS(ROBA_U_DOLASKU!$C$6:$C$95,ROBA_U_DOLASKU!$A$6:$A$95,A206,ROBA_U_DOLASKU!$H$6:$H$95,3)</f>
        <v>0</v>
      </c>
      <c r="O206" s="9" t="n">
        <f aca="false">SUMIFS(ROBA_U_DOLASKU!$B$6:$B$95,ROBA_U_DOLASKU!$A$6:$A$95,A206,ROBA_U_DOLASKU!$H$6:$H$95,3)</f>
        <v>0</v>
      </c>
      <c r="P206" s="9" t="n">
        <f aca="false">IF(H206&lt;=0,999,IF(O206&gt;0,ROUND((F206-H206*N206+K206+M206+O206)/H206,1),IF(M206&gt;0,ROUND((F206-H206*L206+K206+M206)/H206,1),IF(K206&gt;0,ROUND((F206-H206*J206+K206)/H206,1),I206))))</f>
        <v>8</v>
      </c>
      <c r="Q206" s="22" t="str">
        <f aca="false">IF(H206&lt;=0,"Nema prodaje",IF(AND(K206=0,M206=0,O206=0),IF(I206&lt;POSTAVKE!$B$6,"Naruči odmah","Sve u redu"),IF(F206-H206*J206&lt;0,"Rupa za ~"&amp;TEXT(I206,"0.0")&amp;" mj.",IF(AND(M206&gt;0,F206-H206*L206+K206&lt;0),"Rupa nakon 1. dolaska",IF(AND(O206&gt;0,F206-H206*N206+K206+M206&lt;0),"Rupa nakon 2. dolaska",IF(P206&lt;POSTAVKE!$B$6,"Količina nije dovoljna",IF(I206&gt;=POSTAVKE!$B$6,"Sve u redu","Stiže na vrijeme")))))))</f>
        <v>Sve u redu</v>
      </c>
      <c r="S206" s="23" t="n">
        <f aca="false">IFERROR(INDEX(PODACI_PRODAJA!B:B,MATCH($A206,PODACI_PRODAJA!$A:$A,0)),0)</f>
        <v>0</v>
      </c>
      <c r="T206" s="23" t="n">
        <f aca="false">IFERROR(INDEX(PODACI_PRODAJA!C:C,MATCH($A206,PODACI_PRODAJA!$A:$A,0)),0)</f>
        <v>0</v>
      </c>
      <c r="U206" s="23" t="n">
        <f aca="false">IFERROR(INDEX(PODACI_PRODAJA!D:D,MATCH($A206,PODACI_PRODAJA!$A:$A,0)),0)</f>
        <v>0</v>
      </c>
      <c r="V206" s="23" t="n">
        <f aca="false">IFERROR(INDEX(PODACI_PRODAJA!E:E,MATCH($A206,PODACI_PRODAJA!$A:$A,0)),0)</f>
        <v>0</v>
      </c>
      <c r="W206" s="23" t="n">
        <f aca="false">IFERROR(INDEX(PODACI_PRODAJA!F:F,MATCH($A206,PODACI_PRODAJA!$A:$A,0)),0)</f>
        <v>19</v>
      </c>
      <c r="X206" s="23" t="n">
        <f aca="false">IFERROR(INDEX(PODACI_PRODAJA!G:G,MATCH($A206,PODACI_PRODAJA!$A:$A,0)),0)</f>
        <v>6</v>
      </c>
      <c r="Y206" s="23" t="n">
        <f aca="false">IFERROR(INDEX(PODACI_PRODAJA!H:H,MATCH($A206,PODACI_PRODAJA!$A:$A,0)),0)</f>
        <v>0</v>
      </c>
      <c r="Z206" s="23" t="n">
        <f aca="false">IFERROR(INDEX(PODACI_PRODAJA!I:I,MATCH($A206,PODACI_PRODAJA!$A:$A,0)),0)</f>
        <v>15</v>
      </c>
      <c r="AA206" s="23" t="n">
        <f aca="false">IFERROR(INDEX(PODACI_PRODAJA!J:J,MATCH($A206,PODACI_PRODAJA!$A:$A,0)),0)</f>
        <v>0</v>
      </c>
      <c r="AB206" s="23" t="n">
        <f aca="false">IFERROR(INDEX(PODACI_PRODAJA!K:K,MATCH($A206,PODACI_PRODAJA!$A:$A,0)),0)</f>
        <v>0</v>
      </c>
      <c r="AC206" s="23" t="n">
        <f aca="false">IFERROR(INDEX(PODACI_PRODAJA!L:L,MATCH($A206,PODACI_PRODAJA!$A:$A,0)),0)</f>
        <v>0</v>
      </c>
      <c r="AD206" s="23" t="n">
        <f aca="false">IFERROR(INDEX(PODACI_PRODAJA!M:M,MATCH($A206,PODACI_PRODAJA!$A:$A,0)),0)</f>
        <v>0</v>
      </c>
    </row>
    <row r="207" customFormat="false" ht="15" hidden="false" customHeight="false" outlineLevel="0" collapsed="false">
      <c r="A207" s="11" t="str">
        <f aca="false">PODACI_ZALIHE!A204</f>
        <v>18701</v>
      </c>
      <c r="B207" s="8" t="str">
        <f aca="false">PODACI_ZALIHE!B204</f>
        <v>VETRO MIRROR 80 CHROME TUŠ STIJENA 80x200 cm</v>
      </c>
      <c r="C207" s="9" t="str">
        <f aca="false">PODACI_ZALIHE!C204</f>
        <v>3933</v>
      </c>
      <c r="D207" s="8" t="str">
        <f aca="false">PODACI_ZALIHE!D204</f>
        <v>PINGHU AONISI SANITARY WARE CO.,LTD</v>
      </c>
      <c r="E207" s="19" t="n">
        <f aca="false">IF(PODACI_ZALIHE!E204="","",PODACI_ZALIHE!E204)</f>
        <v>40</v>
      </c>
      <c r="F207" s="20" t="n">
        <f aca="false">PODACI_ZALIHE!F204</f>
        <v>40</v>
      </c>
      <c r="G207" s="19" t="n">
        <f aca="false">IF(E207="","",E207-F207)</f>
        <v>0</v>
      </c>
      <c r="H207" s="9" t="n">
        <f aca="false">PODACI_PRODAJA!N693</f>
        <v>0</v>
      </c>
      <c r="I207" s="21" t="n">
        <f aca="false">IF(H207&lt;=0,999,ROUND(F207/H207,1))</f>
        <v>999</v>
      </c>
      <c r="J207" s="9" t="n">
        <f aca="false">SUMIFS(ROBA_U_DOLASKU!$C$6:$C$95,ROBA_U_DOLASKU!$A$6:$A$95,A207,ROBA_U_DOLASKU!$H$6:$H$95,1)</f>
        <v>0</v>
      </c>
      <c r="K207" s="9" t="n">
        <f aca="false">SUMIFS(ROBA_U_DOLASKU!$B$6:$B$95,ROBA_U_DOLASKU!$A$6:$A$95,A207,ROBA_U_DOLASKU!$H$6:$H$95,1)</f>
        <v>0</v>
      </c>
      <c r="L207" s="9" t="n">
        <f aca="false">SUMIFS(ROBA_U_DOLASKU!$C$6:$C$95,ROBA_U_DOLASKU!$A$6:$A$95,A207,ROBA_U_DOLASKU!$H$6:$H$95,2)</f>
        <v>0</v>
      </c>
      <c r="M207" s="9" t="n">
        <f aca="false">SUMIFS(ROBA_U_DOLASKU!$B$6:$B$95,ROBA_U_DOLASKU!$A$6:$A$95,A207,ROBA_U_DOLASKU!$H$6:$H$95,2)</f>
        <v>0</v>
      </c>
      <c r="N207" s="9" t="n">
        <f aca="false">SUMIFS(ROBA_U_DOLASKU!$C$6:$C$95,ROBA_U_DOLASKU!$A$6:$A$95,A207,ROBA_U_DOLASKU!$H$6:$H$95,3)</f>
        <v>0</v>
      </c>
      <c r="O207" s="9" t="n">
        <f aca="false">SUMIFS(ROBA_U_DOLASKU!$B$6:$B$95,ROBA_U_DOLASKU!$A$6:$A$95,A207,ROBA_U_DOLASKU!$H$6:$H$95,3)</f>
        <v>0</v>
      </c>
      <c r="P207" s="9" t="n">
        <f aca="false">IF(H207&lt;=0,999,IF(O207&gt;0,ROUND((F207-H207*N207+K207+M207+O207)/H207,1),IF(M207&gt;0,ROUND((F207-H207*L207+K207+M207)/H207,1),IF(K207&gt;0,ROUND((F207-H207*J207+K207)/H207,1),I207))))</f>
        <v>999</v>
      </c>
      <c r="Q207" s="22" t="str">
        <f aca="false">IF(H207&lt;=0,"Nema prodaje",IF(AND(K207=0,M207=0,O207=0),IF(I207&lt;POSTAVKE!$B$6,"Naruči odmah","Sve u redu"),IF(F207-H207*J207&lt;0,"Rupa za ~"&amp;TEXT(I207,"0.0")&amp;" mj.",IF(AND(M207&gt;0,F207-H207*L207+K207&lt;0),"Rupa nakon 1. dolaska",IF(AND(O207&gt;0,F207-H207*N207+K207+M207&lt;0),"Rupa nakon 2. dolaska",IF(P207&lt;POSTAVKE!$B$6,"Količina nije dovoljna",IF(I207&gt;=POSTAVKE!$B$6,"Sve u redu","Stiže na vrijeme")))))))</f>
        <v>Nema prodaje</v>
      </c>
      <c r="S207" s="23" t="n">
        <f aca="false">IFERROR(INDEX(PODACI_PRODAJA!B:B,MATCH($A207,PODACI_PRODAJA!$A:$A,0)),0)</f>
        <v>0</v>
      </c>
      <c r="T207" s="23" t="n">
        <f aca="false">IFERROR(INDEX(PODACI_PRODAJA!C:C,MATCH($A207,PODACI_PRODAJA!$A:$A,0)),0)</f>
        <v>0</v>
      </c>
      <c r="U207" s="23" t="n">
        <f aca="false">IFERROR(INDEX(PODACI_PRODAJA!D:D,MATCH($A207,PODACI_PRODAJA!$A:$A,0)),0)</f>
        <v>0</v>
      </c>
      <c r="V207" s="23" t="n">
        <f aca="false">IFERROR(INDEX(PODACI_PRODAJA!E:E,MATCH($A207,PODACI_PRODAJA!$A:$A,0)),0)</f>
        <v>0</v>
      </c>
      <c r="W207" s="23" t="n">
        <f aca="false">IFERROR(INDEX(PODACI_PRODAJA!F:F,MATCH($A207,PODACI_PRODAJA!$A:$A,0)),0)</f>
        <v>0</v>
      </c>
      <c r="X207" s="23" t="n">
        <f aca="false">IFERROR(INDEX(PODACI_PRODAJA!G:G,MATCH($A207,PODACI_PRODAJA!$A:$A,0)),0)</f>
        <v>0</v>
      </c>
      <c r="Y207" s="23" t="n">
        <f aca="false">IFERROR(INDEX(PODACI_PRODAJA!H:H,MATCH($A207,PODACI_PRODAJA!$A:$A,0)),0)</f>
        <v>0</v>
      </c>
      <c r="Z207" s="23" t="n">
        <f aca="false">IFERROR(INDEX(PODACI_PRODAJA!I:I,MATCH($A207,PODACI_PRODAJA!$A:$A,0)),0)</f>
        <v>0</v>
      </c>
      <c r="AA207" s="23" t="n">
        <f aca="false">IFERROR(INDEX(PODACI_PRODAJA!J:J,MATCH($A207,PODACI_PRODAJA!$A:$A,0)),0)</f>
        <v>0</v>
      </c>
      <c r="AB207" s="23" t="n">
        <f aca="false">IFERROR(INDEX(PODACI_PRODAJA!K:K,MATCH($A207,PODACI_PRODAJA!$A:$A,0)),0)</f>
        <v>0</v>
      </c>
      <c r="AC207" s="23" t="n">
        <f aca="false">IFERROR(INDEX(PODACI_PRODAJA!L:L,MATCH($A207,PODACI_PRODAJA!$A:$A,0)),0)</f>
        <v>0</v>
      </c>
      <c r="AD207" s="23" t="n">
        <f aca="false">IFERROR(INDEX(PODACI_PRODAJA!M:M,MATCH($A207,PODACI_PRODAJA!$A:$A,0)),0)</f>
        <v>0</v>
      </c>
    </row>
    <row r="208" customFormat="false" ht="15" hidden="false" customHeight="false" outlineLevel="0" collapsed="false">
      <c r="A208" s="11" t="str">
        <f aca="false">PODACI_ZALIHE!A205</f>
        <v>042010</v>
      </c>
      <c r="B208" s="8" t="str">
        <f aca="false">PODACI_ZALIHE!B205</f>
        <v>TK MADERA 7090 PRAVOKUTNA TUŠ KABINA 70x90x185 cm</v>
      </c>
      <c r="C208" s="9" t="str">
        <f aca="false">PODACI_ZALIHE!C205</f>
        <v>4981</v>
      </c>
      <c r="D208" s="8" t="str">
        <f aca="false">PODACI_ZALIHE!D205</f>
        <v>HANGZHOU SUNLIGHT TRADE CO., LTD.</v>
      </c>
      <c r="E208" s="19" t="n">
        <f aca="false">IF(PODACI_ZALIHE!E205="","",PODACI_ZALIHE!E205)</f>
        <v>39</v>
      </c>
      <c r="F208" s="20" t="n">
        <f aca="false">PODACI_ZALIHE!F205</f>
        <v>39</v>
      </c>
      <c r="G208" s="19" t="n">
        <f aca="false">IF(E208="","",E208-F208)</f>
        <v>0</v>
      </c>
      <c r="H208" s="9" t="n">
        <f aca="false">PODACI_PRODAJA!N178</f>
        <v>6</v>
      </c>
      <c r="I208" s="21" t="n">
        <f aca="false">IF(H208&lt;=0,999,ROUND(F208/H208,1))</f>
        <v>6.5</v>
      </c>
      <c r="J208" s="9" t="n">
        <f aca="false">SUMIFS(ROBA_U_DOLASKU!$C$6:$C$95,ROBA_U_DOLASKU!$A$6:$A$95,A208,ROBA_U_DOLASKU!$H$6:$H$95,1)</f>
        <v>0</v>
      </c>
      <c r="K208" s="9" t="n">
        <f aca="false">SUMIFS(ROBA_U_DOLASKU!$B$6:$B$95,ROBA_U_DOLASKU!$A$6:$A$95,A208,ROBA_U_DOLASKU!$H$6:$H$95,1)</f>
        <v>0</v>
      </c>
      <c r="L208" s="9" t="n">
        <f aca="false">SUMIFS(ROBA_U_DOLASKU!$C$6:$C$95,ROBA_U_DOLASKU!$A$6:$A$95,A208,ROBA_U_DOLASKU!$H$6:$H$95,2)</f>
        <v>0</v>
      </c>
      <c r="M208" s="9" t="n">
        <f aca="false">SUMIFS(ROBA_U_DOLASKU!$B$6:$B$95,ROBA_U_DOLASKU!$A$6:$A$95,A208,ROBA_U_DOLASKU!$H$6:$H$95,2)</f>
        <v>0</v>
      </c>
      <c r="N208" s="9" t="n">
        <f aca="false">SUMIFS(ROBA_U_DOLASKU!$C$6:$C$95,ROBA_U_DOLASKU!$A$6:$A$95,A208,ROBA_U_DOLASKU!$H$6:$H$95,3)</f>
        <v>0</v>
      </c>
      <c r="O208" s="9" t="n">
        <f aca="false">SUMIFS(ROBA_U_DOLASKU!$B$6:$B$95,ROBA_U_DOLASKU!$A$6:$A$95,A208,ROBA_U_DOLASKU!$H$6:$H$95,3)</f>
        <v>0</v>
      </c>
      <c r="P208" s="9" t="n">
        <f aca="false">IF(H208&lt;=0,999,IF(O208&gt;0,ROUND((F208-H208*N208+K208+M208+O208)/H208,1),IF(M208&gt;0,ROUND((F208-H208*L208+K208+M208)/H208,1),IF(K208&gt;0,ROUND((F208-H208*J208+K208)/H208,1),I208))))</f>
        <v>6.5</v>
      </c>
      <c r="Q208" s="22" t="str">
        <f aca="false">IF(H208&lt;=0,"Nema prodaje",IF(AND(K208=0,M208=0,O208=0),IF(I208&lt;POSTAVKE!$B$6,"Naruči odmah","Sve u redu"),IF(F208-H208*J208&lt;0,"Rupa za ~"&amp;TEXT(I208,"0.0")&amp;" mj.",IF(AND(M208&gt;0,F208-H208*L208+K208&lt;0),"Rupa nakon 1. dolaska",IF(AND(O208&gt;0,F208-H208*N208+K208+M208&lt;0),"Rupa nakon 2. dolaska",IF(P208&lt;POSTAVKE!$B$6,"Količina nije dovoljna",IF(I208&gt;=POSTAVKE!$B$6,"Sve u redu","Stiže na vrijeme")))))))</f>
        <v>Sve u redu</v>
      </c>
      <c r="S208" s="23" t="n">
        <f aca="false">IFERROR(INDEX(PODACI_PRODAJA!B:B,MATCH($A208,PODACI_PRODAJA!$A:$A,0)),0)</f>
        <v>2</v>
      </c>
      <c r="T208" s="23" t="n">
        <f aca="false">IFERROR(INDEX(PODACI_PRODAJA!C:C,MATCH($A208,PODACI_PRODAJA!$A:$A,0)),0)</f>
        <v>1</v>
      </c>
      <c r="U208" s="23" t="n">
        <f aca="false">IFERROR(INDEX(PODACI_PRODAJA!D:D,MATCH($A208,PODACI_PRODAJA!$A:$A,0)),0)</f>
        <v>44</v>
      </c>
      <c r="V208" s="23" t="n">
        <f aca="false">IFERROR(INDEX(PODACI_PRODAJA!E:E,MATCH($A208,PODACI_PRODAJA!$A:$A,0)),0)</f>
        <v>0</v>
      </c>
      <c r="W208" s="23" t="n">
        <f aca="false">IFERROR(INDEX(PODACI_PRODAJA!F:F,MATCH($A208,PODACI_PRODAJA!$A:$A,0)),0)</f>
        <v>1</v>
      </c>
      <c r="X208" s="23" t="n">
        <f aca="false">IFERROR(INDEX(PODACI_PRODAJA!G:G,MATCH($A208,PODACI_PRODAJA!$A:$A,0)),0)</f>
        <v>0</v>
      </c>
      <c r="Y208" s="23" t="n">
        <f aca="false">IFERROR(INDEX(PODACI_PRODAJA!H:H,MATCH($A208,PODACI_PRODAJA!$A:$A,0)),0)</f>
        <v>0</v>
      </c>
      <c r="Z208" s="23" t="n">
        <f aca="false">IFERROR(INDEX(PODACI_PRODAJA!I:I,MATCH($A208,PODACI_PRODAJA!$A:$A,0)),0)</f>
        <v>0</v>
      </c>
      <c r="AA208" s="23" t="n">
        <f aca="false">IFERROR(INDEX(PODACI_PRODAJA!J:J,MATCH($A208,PODACI_PRODAJA!$A:$A,0)),0)</f>
        <v>0</v>
      </c>
      <c r="AB208" s="23" t="n">
        <f aca="false">IFERROR(INDEX(PODACI_PRODAJA!K:K,MATCH($A208,PODACI_PRODAJA!$A:$A,0)),0)</f>
        <v>0</v>
      </c>
      <c r="AC208" s="23" t="n">
        <f aca="false">IFERROR(INDEX(PODACI_PRODAJA!L:L,MATCH($A208,PODACI_PRODAJA!$A:$A,0)),0)</f>
        <v>0</v>
      </c>
      <c r="AD208" s="23" t="n">
        <f aca="false">IFERROR(INDEX(PODACI_PRODAJA!M:M,MATCH($A208,PODACI_PRODAJA!$A:$A,0)),0)</f>
        <v>0</v>
      </c>
    </row>
    <row r="209" customFormat="false" ht="15" hidden="false" customHeight="false" outlineLevel="0" collapsed="false">
      <c r="A209" s="11" t="str">
        <f aca="false">PODACI_ZALIHE!A206</f>
        <v>16987</v>
      </c>
      <c r="B209" s="8" t="str">
        <f aca="false">PODACI_ZALIHE!B206</f>
        <v>TK TOLEDO 80100 PRAVOKUTNA TUŠ KABINA 80x100x195 cm</v>
      </c>
      <c r="C209" s="9" t="str">
        <f aca="false">PODACI_ZALIHE!C206</f>
        <v>4328</v>
      </c>
      <c r="D209" s="8" t="str">
        <f aca="false">PODACI_ZALIHE!D206</f>
        <v>HANGZHOU DUHUI IMPORT AND EXPORT CO.,LTD</v>
      </c>
      <c r="E209" s="19" t="n">
        <f aca="false">IF(PODACI_ZALIHE!E206="","",PODACI_ZALIHE!E206)</f>
        <v>39</v>
      </c>
      <c r="F209" s="20" t="n">
        <f aca="false">PODACI_ZALIHE!F206</f>
        <v>39</v>
      </c>
      <c r="G209" s="19" t="n">
        <f aca="false">IF(E209="","",E209-F209)</f>
        <v>0</v>
      </c>
      <c r="H209" s="9" t="n">
        <f aca="false">PODACI_PRODAJA!N123</f>
        <v>5.13</v>
      </c>
      <c r="I209" s="21" t="n">
        <f aca="false">IF(H209&lt;=0,999,ROUND(F209/H209,1))</f>
        <v>7.6</v>
      </c>
      <c r="J209" s="9" t="n">
        <f aca="false">SUMIFS(ROBA_U_DOLASKU!$C$6:$C$95,ROBA_U_DOLASKU!$A$6:$A$95,A209,ROBA_U_DOLASKU!$H$6:$H$95,1)</f>
        <v>0</v>
      </c>
      <c r="K209" s="9" t="n">
        <f aca="false">SUMIFS(ROBA_U_DOLASKU!$B$6:$B$95,ROBA_U_DOLASKU!$A$6:$A$95,A209,ROBA_U_DOLASKU!$H$6:$H$95,1)</f>
        <v>0</v>
      </c>
      <c r="L209" s="9" t="n">
        <f aca="false">SUMIFS(ROBA_U_DOLASKU!$C$6:$C$95,ROBA_U_DOLASKU!$A$6:$A$95,A209,ROBA_U_DOLASKU!$H$6:$H$95,2)</f>
        <v>0</v>
      </c>
      <c r="M209" s="9" t="n">
        <f aca="false">SUMIFS(ROBA_U_DOLASKU!$B$6:$B$95,ROBA_U_DOLASKU!$A$6:$A$95,A209,ROBA_U_DOLASKU!$H$6:$H$95,2)</f>
        <v>0</v>
      </c>
      <c r="N209" s="9" t="n">
        <f aca="false">SUMIFS(ROBA_U_DOLASKU!$C$6:$C$95,ROBA_U_DOLASKU!$A$6:$A$95,A209,ROBA_U_DOLASKU!$H$6:$H$95,3)</f>
        <v>0</v>
      </c>
      <c r="O209" s="9" t="n">
        <f aca="false">SUMIFS(ROBA_U_DOLASKU!$B$6:$B$95,ROBA_U_DOLASKU!$A$6:$A$95,A209,ROBA_U_DOLASKU!$H$6:$H$95,3)</f>
        <v>0</v>
      </c>
      <c r="P209" s="9" t="n">
        <f aca="false">IF(H209&lt;=0,999,IF(O209&gt;0,ROUND((F209-H209*N209+K209+M209+O209)/H209,1),IF(M209&gt;0,ROUND((F209-H209*L209+K209+M209)/H209,1),IF(K209&gt;0,ROUND((F209-H209*J209+K209)/H209,1),I209))))</f>
        <v>7.6</v>
      </c>
      <c r="Q209" s="22" t="str">
        <f aca="false">IF(H209&lt;=0,"Nema prodaje",IF(AND(K209=0,M209=0,O209=0),IF(I209&lt;POSTAVKE!$B$6,"Naruči odmah","Sve u redu"),IF(F209-H209*J209&lt;0,"Rupa za ~"&amp;TEXT(I209,"0.0")&amp;" mj.",IF(AND(M209&gt;0,F209-H209*L209+K209&lt;0),"Rupa nakon 1. dolaska",IF(AND(O209&gt;0,F209-H209*N209+K209+M209&lt;0),"Rupa nakon 2. dolaska",IF(P209&lt;POSTAVKE!$B$6,"Količina nije dovoljna",IF(I209&gt;=POSTAVKE!$B$6,"Sve u redu","Stiže na vrijeme")))))))</f>
        <v>Sve u redu</v>
      </c>
      <c r="S209" s="23" t="n">
        <f aca="false">IFERROR(INDEX(PODACI_PRODAJA!B:B,MATCH($A209,PODACI_PRODAJA!$A:$A,0)),0)</f>
        <v>5</v>
      </c>
      <c r="T209" s="23" t="n">
        <f aca="false">IFERROR(INDEX(PODACI_PRODAJA!C:C,MATCH($A209,PODACI_PRODAJA!$A:$A,0)),0)</f>
        <v>5</v>
      </c>
      <c r="U209" s="23" t="n">
        <f aca="false">IFERROR(INDEX(PODACI_PRODAJA!D:D,MATCH($A209,PODACI_PRODAJA!$A:$A,0)),0)</f>
        <v>6</v>
      </c>
      <c r="V209" s="23" t="n">
        <f aca="false">IFERROR(INDEX(PODACI_PRODAJA!E:E,MATCH($A209,PODACI_PRODAJA!$A:$A,0)),0)</f>
        <v>5</v>
      </c>
      <c r="W209" s="23" t="n">
        <f aca="false">IFERROR(INDEX(PODACI_PRODAJA!F:F,MATCH($A209,PODACI_PRODAJA!$A:$A,0)),0)</f>
        <v>4</v>
      </c>
      <c r="X209" s="23" t="n">
        <f aca="false">IFERROR(INDEX(PODACI_PRODAJA!G:G,MATCH($A209,PODACI_PRODAJA!$A:$A,0)),0)</f>
        <v>5</v>
      </c>
      <c r="Y209" s="23" t="n">
        <f aca="false">IFERROR(INDEX(PODACI_PRODAJA!H:H,MATCH($A209,PODACI_PRODAJA!$A:$A,0)),0)</f>
        <v>8</v>
      </c>
      <c r="Z209" s="23" t="n">
        <f aca="false">IFERROR(INDEX(PODACI_PRODAJA!I:I,MATCH($A209,PODACI_PRODAJA!$A:$A,0)),0)</f>
        <v>3</v>
      </c>
      <c r="AA209" s="23" t="n">
        <f aca="false">IFERROR(INDEX(PODACI_PRODAJA!J:J,MATCH($A209,PODACI_PRODAJA!$A:$A,0)),0)</f>
        <v>0</v>
      </c>
      <c r="AB209" s="23" t="n">
        <f aca="false">IFERROR(INDEX(PODACI_PRODAJA!K:K,MATCH($A209,PODACI_PRODAJA!$A:$A,0)),0)</f>
        <v>0</v>
      </c>
      <c r="AC209" s="23" t="n">
        <f aca="false">IFERROR(INDEX(PODACI_PRODAJA!L:L,MATCH($A209,PODACI_PRODAJA!$A:$A,0)),0)</f>
        <v>0</v>
      </c>
      <c r="AD209" s="23" t="n">
        <f aca="false">IFERROR(INDEX(PODACI_PRODAJA!M:M,MATCH($A209,PODACI_PRODAJA!$A:$A,0)),0)</f>
        <v>0</v>
      </c>
    </row>
    <row r="210" customFormat="false" ht="15" hidden="false" customHeight="false" outlineLevel="0" collapsed="false">
      <c r="A210" s="11" t="str">
        <f aca="false">PODACI_ZALIHE!A207</f>
        <v>18004</v>
      </c>
      <c r="B210" s="8" t="str">
        <f aca="false">PODACI_ZALIHE!B207</f>
        <v>VETRO CR TRS 6mm ECO TUŠ STIJENA 120x200</v>
      </c>
      <c r="C210" s="9" t="str">
        <f aca="false">PODACI_ZALIHE!C207</f>
        <v>6762</v>
      </c>
      <c r="D210" s="8" t="str">
        <f aca="false">PODACI_ZALIHE!D207</f>
        <v>ZHEJIANG QUICKLINE SHOWERING CO., LTD.</v>
      </c>
      <c r="E210" s="19" t="n">
        <f aca="false">IF(PODACI_ZALIHE!E207="","",PODACI_ZALIHE!E207)</f>
        <v>39</v>
      </c>
      <c r="F210" s="20" t="n">
        <f aca="false">PODACI_ZALIHE!F207</f>
        <v>39</v>
      </c>
      <c r="G210" s="19" t="n">
        <f aca="false">IF(E210="","",E210-F210)</f>
        <v>0</v>
      </c>
      <c r="H210" s="9" t="n">
        <f aca="false">PODACI_PRODAJA!N645</f>
        <v>36.25</v>
      </c>
      <c r="I210" s="21" t="n">
        <f aca="false">IF(H210&lt;=0,999,ROUND(F210/H210,1))</f>
        <v>1.1</v>
      </c>
      <c r="J210" s="9" t="n">
        <f aca="false">SUMIFS(ROBA_U_DOLASKU!$C$6:$C$95,ROBA_U_DOLASKU!$A$6:$A$95,A210,ROBA_U_DOLASKU!$H$6:$H$95,1)</f>
        <v>0</v>
      </c>
      <c r="K210" s="9" t="n">
        <f aca="false">SUMIFS(ROBA_U_DOLASKU!$B$6:$B$95,ROBA_U_DOLASKU!$A$6:$A$95,A210,ROBA_U_DOLASKU!$H$6:$H$95,1)</f>
        <v>0</v>
      </c>
      <c r="L210" s="9" t="n">
        <f aca="false">SUMIFS(ROBA_U_DOLASKU!$C$6:$C$95,ROBA_U_DOLASKU!$A$6:$A$95,A210,ROBA_U_DOLASKU!$H$6:$H$95,2)</f>
        <v>0</v>
      </c>
      <c r="M210" s="9" t="n">
        <f aca="false">SUMIFS(ROBA_U_DOLASKU!$B$6:$B$95,ROBA_U_DOLASKU!$A$6:$A$95,A210,ROBA_U_DOLASKU!$H$6:$H$95,2)</f>
        <v>0</v>
      </c>
      <c r="N210" s="9" t="n">
        <f aca="false">SUMIFS(ROBA_U_DOLASKU!$C$6:$C$95,ROBA_U_DOLASKU!$A$6:$A$95,A210,ROBA_U_DOLASKU!$H$6:$H$95,3)</f>
        <v>0</v>
      </c>
      <c r="O210" s="9" t="n">
        <f aca="false">SUMIFS(ROBA_U_DOLASKU!$B$6:$B$95,ROBA_U_DOLASKU!$A$6:$A$95,A210,ROBA_U_DOLASKU!$H$6:$H$95,3)</f>
        <v>0</v>
      </c>
      <c r="P210" s="9" t="n">
        <f aca="false">IF(H210&lt;=0,999,IF(O210&gt;0,ROUND((F210-H210*N210+K210+M210+O210)/H210,1),IF(M210&gt;0,ROUND((F210-H210*L210+K210+M210)/H210,1),IF(K210&gt;0,ROUND((F210-H210*J210+K210)/H210,1),I210))))</f>
        <v>1.1</v>
      </c>
      <c r="Q210" s="22" t="str">
        <f aca="false">IF(H210&lt;=0,"Nema prodaje",IF(AND(K210=0,M210=0,O210=0),IF(I210&lt;POSTAVKE!$B$6,"Naruči odmah","Sve u redu"),IF(F210-H210*J210&lt;0,"Rupa za ~"&amp;TEXT(I210,"0.0")&amp;" mj.",IF(AND(M210&gt;0,F210-H210*L210+K210&lt;0),"Rupa nakon 1. dolaska",IF(AND(O210&gt;0,F210-H210*N210+K210+M210&lt;0),"Rupa nakon 2. dolaska",IF(P210&lt;POSTAVKE!$B$6,"Količina nije dovoljna",IF(I210&gt;=POSTAVKE!$B$6,"Sve u redu","Stiže na vrijeme")))))))</f>
        <v>Naruči odmah</v>
      </c>
      <c r="S210" s="23" t="n">
        <f aca="false">IFERROR(INDEX(PODACI_PRODAJA!B:B,MATCH($A210,PODACI_PRODAJA!$A:$A,0)),0)</f>
        <v>0</v>
      </c>
      <c r="T210" s="23" t="n">
        <f aca="false">IFERROR(INDEX(PODACI_PRODAJA!C:C,MATCH($A210,PODACI_PRODAJA!$A:$A,0)),0)</f>
        <v>2</v>
      </c>
      <c r="U210" s="23" t="n">
        <f aca="false">IFERROR(INDEX(PODACI_PRODAJA!D:D,MATCH($A210,PODACI_PRODAJA!$A:$A,0)),0)</f>
        <v>105</v>
      </c>
      <c r="V210" s="23" t="n">
        <f aca="false">IFERROR(INDEX(PODACI_PRODAJA!E:E,MATCH($A210,PODACI_PRODAJA!$A:$A,0)),0)</f>
        <v>0</v>
      </c>
      <c r="W210" s="23" t="n">
        <f aca="false">IFERROR(INDEX(PODACI_PRODAJA!F:F,MATCH($A210,PODACI_PRODAJA!$A:$A,0)),0)</f>
        <v>72</v>
      </c>
      <c r="X210" s="23" t="n">
        <f aca="false">IFERROR(INDEX(PODACI_PRODAJA!G:G,MATCH($A210,PODACI_PRODAJA!$A:$A,0)),0)</f>
        <v>0</v>
      </c>
      <c r="Y210" s="23" t="n">
        <f aca="false">IFERROR(INDEX(PODACI_PRODAJA!H:H,MATCH($A210,PODACI_PRODAJA!$A:$A,0)),0)</f>
        <v>0</v>
      </c>
      <c r="Z210" s="23" t="n">
        <f aca="false">IFERROR(INDEX(PODACI_PRODAJA!I:I,MATCH($A210,PODACI_PRODAJA!$A:$A,0)),0)</f>
        <v>111</v>
      </c>
      <c r="AA210" s="23" t="n">
        <f aca="false">IFERROR(INDEX(PODACI_PRODAJA!J:J,MATCH($A210,PODACI_PRODAJA!$A:$A,0)),0)</f>
        <v>0</v>
      </c>
      <c r="AB210" s="23" t="n">
        <f aca="false">IFERROR(INDEX(PODACI_PRODAJA!K:K,MATCH($A210,PODACI_PRODAJA!$A:$A,0)),0)</f>
        <v>0</v>
      </c>
      <c r="AC210" s="23" t="n">
        <f aca="false">IFERROR(INDEX(PODACI_PRODAJA!L:L,MATCH($A210,PODACI_PRODAJA!$A:$A,0)),0)</f>
        <v>0</v>
      </c>
      <c r="AD210" s="23" t="n">
        <f aca="false">IFERROR(INDEX(PODACI_PRODAJA!M:M,MATCH($A210,PODACI_PRODAJA!$A:$A,0)),0)</f>
        <v>0</v>
      </c>
    </row>
    <row r="211" customFormat="false" ht="15" hidden="false" customHeight="false" outlineLevel="0" collapsed="false">
      <c r="A211" s="11" t="str">
        <f aca="false">PODACI_ZALIHE!A208</f>
        <v>18030</v>
      </c>
      <c r="B211" s="8" t="str">
        <f aca="false">PODACI_ZALIHE!B208</f>
        <v>TK ROTA 80100 CHROME TUŠ KABINA 80x100x200cm</v>
      </c>
      <c r="C211" s="9" t="str">
        <f aca="false">PODACI_ZALIHE!C208</f>
        <v>6762</v>
      </c>
      <c r="D211" s="8" t="str">
        <f aca="false">PODACI_ZALIHE!D208</f>
        <v>ZHEJIANG QUICKLINE SHOWERING CO., LTD.</v>
      </c>
      <c r="E211" s="19" t="n">
        <f aca="false">IF(PODACI_ZALIHE!E208="","",PODACI_ZALIHE!E208)</f>
        <v>46</v>
      </c>
      <c r="F211" s="20" t="n">
        <f aca="false">PODACI_ZALIHE!F208</f>
        <v>39</v>
      </c>
      <c r="G211" s="19" t="n">
        <f aca="false">IF(E211="","",E211-F211)</f>
        <v>7</v>
      </c>
      <c r="H211" s="9" t="n">
        <f aca="false">PODACI_PRODAJA!N665</f>
        <v>2.13</v>
      </c>
      <c r="I211" s="21" t="n">
        <f aca="false">IF(H211&lt;=0,999,ROUND(F211/H211,1))</f>
        <v>18.3</v>
      </c>
      <c r="J211" s="9" t="n">
        <f aca="false">SUMIFS(ROBA_U_DOLASKU!$C$6:$C$95,ROBA_U_DOLASKU!$A$6:$A$95,A211,ROBA_U_DOLASKU!$H$6:$H$95,1)</f>
        <v>0</v>
      </c>
      <c r="K211" s="9" t="n">
        <f aca="false">SUMIFS(ROBA_U_DOLASKU!$B$6:$B$95,ROBA_U_DOLASKU!$A$6:$A$95,A211,ROBA_U_DOLASKU!$H$6:$H$95,1)</f>
        <v>0</v>
      </c>
      <c r="L211" s="9" t="n">
        <f aca="false">SUMIFS(ROBA_U_DOLASKU!$C$6:$C$95,ROBA_U_DOLASKU!$A$6:$A$95,A211,ROBA_U_DOLASKU!$H$6:$H$95,2)</f>
        <v>0</v>
      </c>
      <c r="M211" s="9" t="n">
        <f aca="false">SUMIFS(ROBA_U_DOLASKU!$B$6:$B$95,ROBA_U_DOLASKU!$A$6:$A$95,A211,ROBA_U_DOLASKU!$H$6:$H$95,2)</f>
        <v>0</v>
      </c>
      <c r="N211" s="9" t="n">
        <f aca="false">SUMIFS(ROBA_U_DOLASKU!$C$6:$C$95,ROBA_U_DOLASKU!$A$6:$A$95,A211,ROBA_U_DOLASKU!$H$6:$H$95,3)</f>
        <v>0</v>
      </c>
      <c r="O211" s="9" t="n">
        <f aca="false">SUMIFS(ROBA_U_DOLASKU!$B$6:$B$95,ROBA_U_DOLASKU!$A$6:$A$95,A211,ROBA_U_DOLASKU!$H$6:$H$95,3)</f>
        <v>0</v>
      </c>
      <c r="P211" s="9" t="n">
        <f aca="false">IF(H211&lt;=0,999,IF(O211&gt;0,ROUND((F211-H211*N211+K211+M211+O211)/H211,1),IF(M211&gt;0,ROUND((F211-H211*L211+K211+M211)/H211,1),IF(K211&gt;0,ROUND((F211-H211*J211+K211)/H211,1),I211))))</f>
        <v>18.3</v>
      </c>
      <c r="Q211" s="22" t="str">
        <f aca="false">IF(H211&lt;=0,"Nema prodaje",IF(AND(K211=0,M211=0,O211=0),IF(I211&lt;POSTAVKE!$B$6,"Naruči odmah","Sve u redu"),IF(F211-H211*J211&lt;0,"Rupa za ~"&amp;TEXT(I211,"0.0")&amp;" mj.",IF(AND(M211&gt;0,F211-H211*L211+K211&lt;0),"Rupa nakon 1. dolaska",IF(AND(O211&gt;0,F211-H211*N211+K211+M211&lt;0),"Rupa nakon 2. dolaska",IF(P211&lt;POSTAVKE!$B$6,"Količina nije dovoljna",IF(I211&gt;=POSTAVKE!$B$6,"Sve u redu","Stiže na vrijeme")))))))</f>
        <v>Sve u redu</v>
      </c>
      <c r="S211" s="23" t="n">
        <f aca="false">IFERROR(INDEX(PODACI_PRODAJA!B:B,MATCH($A211,PODACI_PRODAJA!$A:$A,0)),0)</f>
        <v>0</v>
      </c>
      <c r="T211" s="23" t="n">
        <f aca="false">IFERROR(INDEX(PODACI_PRODAJA!C:C,MATCH($A211,PODACI_PRODAJA!$A:$A,0)),0)</f>
        <v>3</v>
      </c>
      <c r="U211" s="23" t="n">
        <f aca="false">IFERROR(INDEX(PODACI_PRODAJA!D:D,MATCH($A211,PODACI_PRODAJA!$A:$A,0)),0)</f>
        <v>3</v>
      </c>
      <c r="V211" s="23" t="n">
        <f aca="false">IFERROR(INDEX(PODACI_PRODAJA!E:E,MATCH($A211,PODACI_PRODAJA!$A:$A,0)),0)</f>
        <v>0</v>
      </c>
      <c r="W211" s="23" t="n">
        <f aca="false">IFERROR(INDEX(PODACI_PRODAJA!F:F,MATCH($A211,PODACI_PRODAJA!$A:$A,0)),0)</f>
        <v>7</v>
      </c>
      <c r="X211" s="23" t="n">
        <f aca="false">IFERROR(INDEX(PODACI_PRODAJA!G:G,MATCH($A211,PODACI_PRODAJA!$A:$A,0)),0)</f>
        <v>0</v>
      </c>
      <c r="Y211" s="23" t="n">
        <f aca="false">IFERROR(INDEX(PODACI_PRODAJA!H:H,MATCH($A211,PODACI_PRODAJA!$A:$A,0)),0)</f>
        <v>0</v>
      </c>
      <c r="Z211" s="23" t="n">
        <f aca="false">IFERROR(INDEX(PODACI_PRODAJA!I:I,MATCH($A211,PODACI_PRODAJA!$A:$A,0)),0)</f>
        <v>4</v>
      </c>
      <c r="AA211" s="23" t="n">
        <f aca="false">IFERROR(INDEX(PODACI_PRODAJA!J:J,MATCH($A211,PODACI_PRODAJA!$A:$A,0)),0)</f>
        <v>7</v>
      </c>
      <c r="AB211" s="23" t="n">
        <f aca="false">IFERROR(INDEX(PODACI_PRODAJA!K:K,MATCH($A211,PODACI_PRODAJA!$A:$A,0)),0)</f>
        <v>0</v>
      </c>
      <c r="AC211" s="23" t="n">
        <f aca="false">IFERROR(INDEX(PODACI_PRODAJA!L:L,MATCH($A211,PODACI_PRODAJA!$A:$A,0)),0)</f>
        <v>0</v>
      </c>
      <c r="AD211" s="23" t="n">
        <f aca="false">IFERROR(INDEX(PODACI_PRODAJA!M:M,MATCH($A211,PODACI_PRODAJA!$A:$A,0)),0)</f>
        <v>0</v>
      </c>
    </row>
    <row r="212" customFormat="false" ht="15" hidden="false" customHeight="false" outlineLevel="0" collapsed="false">
      <c r="A212" s="11" t="str">
        <f aca="false">PODACI_ZALIHE!A209</f>
        <v>18246</v>
      </c>
      <c r="B212" s="8" t="str">
        <f aca="false">PODACI_ZALIHE!B209</f>
        <v>LIRA OGLEDALO D80 cm</v>
      </c>
      <c r="C212" s="9" t="str">
        <f aca="false">PODACI_ZALIHE!C209</f>
        <v>6032</v>
      </c>
      <c r="D212" s="8" t="str">
        <f aca="false">PODACI_ZALIHE!D209</f>
        <v>HANGZHOU ZIHAN MIRROR INDUSTRY CO., LTD.</v>
      </c>
      <c r="E212" s="19" t="n">
        <f aca="false">IF(PODACI_ZALIHE!E209="","",PODACI_ZALIHE!E209)</f>
        <v>39</v>
      </c>
      <c r="F212" s="20" t="n">
        <f aca="false">PODACI_ZALIHE!F209</f>
        <v>39</v>
      </c>
      <c r="G212" s="19" t="n">
        <f aca="false">IF(E212="","",E212-F212)</f>
        <v>0</v>
      </c>
      <c r="H212" s="9" t="n">
        <f aca="false">PODACI_PRODAJA!N668</f>
        <v>0.25</v>
      </c>
      <c r="I212" s="21" t="n">
        <f aca="false">IF(H212&lt;=0,999,ROUND(F212/H212,1))</f>
        <v>156</v>
      </c>
      <c r="J212" s="9" t="n">
        <f aca="false">SUMIFS(ROBA_U_DOLASKU!$C$6:$C$95,ROBA_U_DOLASKU!$A$6:$A$95,A212,ROBA_U_DOLASKU!$H$6:$H$95,1)</f>
        <v>0</v>
      </c>
      <c r="K212" s="9" t="n">
        <f aca="false">SUMIFS(ROBA_U_DOLASKU!$B$6:$B$95,ROBA_U_DOLASKU!$A$6:$A$95,A212,ROBA_U_DOLASKU!$H$6:$H$95,1)</f>
        <v>0</v>
      </c>
      <c r="L212" s="9" t="n">
        <f aca="false">SUMIFS(ROBA_U_DOLASKU!$C$6:$C$95,ROBA_U_DOLASKU!$A$6:$A$95,A212,ROBA_U_DOLASKU!$H$6:$H$95,2)</f>
        <v>0</v>
      </c>
      <c r="M212" s="9" t="n">
        <f aca="false">SUMIFS(ROBA_U_DOLASKU!$B$6:$B$95,ROBA_U_DOLASKU!$A$6:$A$95,A212,ROBA_U_DOLASKU!$H$6:$H$95,2)</f>
        <v>0</v>
      </c>
      <c r="N212" s="9" t="n">
        <f aca="false">SUMIFS(ROBA_U_DOLASKU!$C$6:$C$95,ROBA_U_DOLASKU!$A$6:$A$95,A212,ROBA_U_DOLASKU!$H$6:$H$95,3)</f>
        <v>0</v>
      </c>
      <c r="O212" s="9" t="n">
        <f aca="false">SUMIFS(ROBA_U_DOLASKU!$B$6:$B$95,ROBA_U_DOLASKU!$A$6:$A$95,A212,ROBA_U_DOLASKU!$H$6:$H$95,3)</f>
        <v>0</v>
      </c>
      <c r="P212" s="9" t="n">
        <f aca="false">IF(H212&lt;=0,999,IF(O212&gt;0,ROUND((F212-H212*N212+K212+M212+O212)/H212,1),IF(M212&gt;0,ROUND((F212-H212*L212+K212+M212)/H212,1),IF(K212&gt;0,ROUND((F212-H212*J212+K212)/H212,1),I212))))</f>
        <v>156</v>
      </c>
      <c r="Q212" s="22" t="str">
        <f aca="false">IF(H212&lt;=0,"Nema prodaje",IF(AND(K212=0,M212=0,O212=0),IF(I212&lt;POSTAVKE!$B$6,"Naruči odmah","Sve u redu"),IF(F212-H212*J212&lt;0,"Rupa za ~"&amp;TEXT(I212,"0.0")&amp;" mj.",IF(AND(M212&gt;0,F212-H212*L212+K212&lt;0),"Rupa nakon 1. dolaska",IF(AND(O212&gt;0,F212-H212*N212+K212+M212&lt;0),"Rupa nakon 2. dolaska",IF(P212&lt;POSTAVKE!$B$6,"Količina nije dovoljna",IF(I212&gt;=POSTAVKE!$B$6,"Sve u redu","Stiže na vrijeme")))))))</f>
        <v>Sve u redu</v>
      </c>
      <c r="S212" s="23" t="n">
        <f aca="false">IFERROR(INDEX(PODACI_PRODAJA!B:B,MATCH($A212,PODACI_PRODAJA!$A:$A,0)),0)</f>
        <v>0</v>
      </c>
      <c r="T212" s="23" t="n">
        <f aca="false">IFERROR(INDEX(PODACI_PRODAJA!C:C,MATCH($A212,PODACI_PRODAJA!$A:$A,0)),0)</f>
        <v>0</v>
      </c>
      <c r="U212" s="23" t="n">
        <f aca="false">IFERROR(INDEX(PODACI_PRODAJA!D:D,MATCH($A212,PODACI_PRODAJA!$A:$A,0)),0)</f>
        <v>0</v>
      </c>
      <c r="V212" s="23" t="n">
        <f aca="false">IFERROR(INDEX(PODACI_PRODAJA!E:E,MATCH($A212,PODACI_PRODAJA!$A:$A,0)),0)</f>
        <v>0</v>
      </c>
      <c r="W212" s="23" t="n">
        <f aca="false">IFERROR(INDEX(PODACI_PRODAJA!F:F,MATCH($A212,PODACI_PRODAJA!$A:$A,0)),0)</f>
        <v>0</v>
      </c>
      <c r="X212" s="23" t="n">
        <f aca="false">IFERROR(INDEX(PODACI_PRODAJA!G:G,MATCH($A212,PODACI_PRODAJA!$A:$A,0)),0)</f>
        <v>2</v>
      </c>
      <c r="Y212" s="23" t="n">
        <f aca="false">IFERROR(INDEX(PODACI_PRODAJA!H:H,MATCH($A212,PODACI_PRODAJA!$A:$A,0)),0)</f>
        <v>0</v>
      </c>
      <c r="Z212" s="23" t="n">
        <f aca="false">IFERROR(INDEX(PODACI_PRODAJA!I:I,MATCH($A212,PODACI_PRODAJA!$A:$A,0)),0)</f>
        <v>0</v>
      </c>
      <c r="AA212" s="23" t="n">
        <f aca="false">IFERROR(INDEX(PODACI_PRODAJA!J:J,MATCH($A212,PODACI_PRODAJA!$A:$A,0)),0)</f>
        <v>0</v>
      </c>
      <c r="AB212" s="23" t="n">
        <f aca="false">IFERROR(INDEX(PODACI_PRODAJA!K:K,MATCH($A212,PODACI_PRODAJA!$A:$A,0)),0)</f>
        <v>0</v>
      </c>
      <c r="AC212" s="23" t="n">
        <f aca="false">IFERROR(INDEX(PODACI_PRODAJA!L:L,MATCH($A212,PODACI_PRODAJA!$A:$A,0)),0)</f>
        <v>0</v>
      </c>
      <c r="AD212" s="23" t="n">
        <f aca="false">IFERROR(INDEX(PODACI_PRODAJA!M:M,MATCH($A212,PODACI_PRODAJA!$A:$A,0)),0)</f>
        <v>0</v>
      </c>
    </row>
    <row r="213" customFormat="false" ht="15" hidden="false" customHeight="false" outlineLevel="0" collapsed="false">
      <c r="A213" s="11" t="str">
        <f aca="false">PODACI_ZALIHE!A210</f>
        <v>AA02042</v>
      </c>
      <c r="B213" s="8" t="str">
        <f aca="false">PODACI_ZALIHE!B210</f>
        <v>SET ZA MONTAŽU TUŠ KADE</v>
      </c>
      <c r="C213" s="9" t="n">
        <f aca="false">PODACI_ZALIHE!C210</f>
        <v>0</v>
      </c>
      <c r="D213" s="8" t="n">
        <f aca="false">PODACI_ZALIHE!D210</f>
        <v>0</v>
      </c>
      <c r="E213" s="19" t="n">
        <f aca="false">IF(PODACI_ZALIHE!E210="","",PODACI_ZALIHE!E210)</f>
        <v>52</v>
      </c>
      <c r="F213" s="20" t="n">
        <f aca="false">PODACI_ZALIHE!F210</f>
        <v>38</v>
      </c>
      <c r="G213" s="19" t="n">
        <f aca="false">IF(E213="","",E213-F213)</f>
        <v>14</v>
      </c>
      <c r="H213" s="9" t="n">
        <f aca="false">PODACI_PRODAJA!N93</f>
        <v>20.25</v>
      </c>
      <c r="I213" s="21" t="n">
        <f aca="false">IF(H213&lt;=0,999,ROUND(F213/H213,1))</f>
        <v>1.9</v>
      </c>
      <c r="J213" s="9" t="n">
        <f aca="false">SUMIFS(ROBA_U_DOLASKU!$C$6:$C$95,ROBA_U_DOLASKU!$A$6:$A$95,A213,ROBA_U_DOLASKU!$H$6:$H$95,1)</f>
        <v>0</v>
      </c>
      <c r="K213" s="9" t="n">
        <f aca="false">SUMIFS(ROBA_U_DOLASKU!$B$6:$B$95,ROBA_U_DOLASKU!$A$6:$A$95,A213,ROBA_U_DOLASKU!$H$6:$H$95,1)</f>
        <v>0</v>
      </c>
      <c r="L213" s="9" t="n">
        <f aca="false">SUMIFS(ROBA_U_DOLASKU!$C$6:$C$95,ROBA_U_DOLASKU!$A$6:$A$95,A213,ROBA_U_DOLASKU!$H$6:$H$95,2)</f>
        <v>0</v>
      </c>
      <c r="M213" s="9" t="n">
        <f aca="false">SUMIFS(ROBA_U_DOLASKU!$B$6:$B$95,ROBA_U_DOLASKU!$A$6:$A$95,A213,ROBA_U_DOLASKU!$H$6:$H$95,2)</f>
        <v>0</v>
      </c>
      <c r="N213" s="9" t="n">
        <f aca="false">SUMIFS(ROBA_U_DOLASKU!$C$6:$C$95,ROBA_U_DOLASKU!$A$6:$A$95,A213,ROBA_U_DOLASKU!$H$6:$H$95,3)</f>
        <v>0</v>
      </c>
      <c r="O213" s="9" t="n">
        <f aca="false">SUMIFS(ROBA_U_DOLASKU!$B$6:$B$95,ROBA_U_DOLASKU!$A$6:$A$95,A213,ROBA_U_DOLASKU!$H$6:$H$95,3)</f>
        <v>0</v>
      </c>
      <c r="P213" s="9" t="n">
        <f aca="false">IF(H213&lt;=0,999,IF(O213&gt;0,ROUND((F213-H213*N213+K213+M213+O213)/H213,1),IF(M213&gt;0,ROUND((F213-H213*L213+K213+M213)/H213,1),IF(K213&gt;0,ROUND((F213-H213*J213+K213)/H213,1),I213))))</f>
        <v>1.9</v>
      </c>
      <c r="Q213" s="22" t="str">
        <f aca="false">IF(H213&lt;=0,"Nema prodaje",IF(AND(K213=0,M213=0,O213=0),IF(I213&lt;POSTAVKE!$B$6,"Naruči odmah","Sve u redu"),IF(F213-H213*J213&lt;0,"Rupa za ~"&amp;TEXT(I213,"0.0")&amp;" mj.",IF(AND(M213&gt;0,F213-H213*L213+K213&lt;0),"Rupa nakon 1. dolaska",IF(AND(O213&gt;0,F213-H213*N213+K213+M213&lt;0),"Rupa nakon 2. dolaska",IF(P213&lt;POSTAVKE!$B$6,"Količina nije dovoljna",IF(I213&gt;=POSTAVKE!$B$6,"Sve u redu","Stiže na vrijeme")))))))</f>
        <v>Naruči odmah</v>
      </c>
      <c r="S213" s="23" t="n">
        <f aca="false">IFERROR(INDEX(PODACI_PRODAJA!B:B,MATCH($A213,PODACI_PRODAJA!$A:$A,0)),0)</f>
        <v>6</v>
      </c>
      <c r="T213" s="23" t="n">
        <f aca="false">IFERROR(INDEX(PODACI_PRODAJA!C:C,MATCH($A213,PODACI_PRODAJA!$A:$A,0)),0)</f>
        <v>12</v>
      </c>
      <c r="U213" s="23" t="n">
        <f aca="false">IFERROR(INDEX(PODACI_PRODAJA!D:D,MATCH($A213,PODACI_PRODAJA!$A:$A,0)),0)</f>
        <v>16</v>
      </c>
      <c r="V213" s="23" t="n">
        <f aca="false">IFERROR(INDEX(PODACI_PRODAJA!E:E,MATCH($A213,PODACI_PRODAJA!$A:$A,0)),0)</f>
        <v>10</v>
      </c>
      <c r="W213" s="23" t="n">
        <f aca="false">IFERROR(INDEX(PODACI_PRODAJA!F:F,MATCH($A213,PODACI_PRODAJA!$A:$A,0)),0)</f>
        <v>6</v>
      </c>
      <c r="X213" s="23" t="n">
        <f aca="false">IFERROR(INDEX(PODACI_PRODAJA!G:G,MATCH($A213,PODACI_PRODAJA!$A:$A,0)),0)</f>
        <v>28</v>
      </c>
      <c r="Y213" s="23" t="n">
        <f aca="false">IFERROR(INDEX(PODACI_PRODAJA!H:H,MATCH($A213,PODACI_PRODAJA!$A:$A,0)),0)</f>
        <v>41</v>
      </c>
      <c r="Z213" s="23" t="n">
        <f aca="false">IFERROR(INDEX(PODACI_PRODAJA!I:I,MATCH($A213,PODACI_PRODAJA!$A:$A,0)),0)</f>
        <v>43</v>
      </c>
      <c r="AA213" s="23" t="n">
        <f aca="false">IFERROR(INDEX(PODACI_PRODAJA!J:J,MATCH($A213,PODACI_PRODAJA!$A:$A,0)),0)</f>
        <v>14</v>
      </c>
      <c r="AB213" s="23" t="n">
        <f aca="false">IFERROR(INDEX(PODACI_PRODAJA!K:K,MATCH($A213,PODACI_PRODAJA!$A:$A,0)),0)</f>
        <v>0</v>
      </c>
      <c r="AC213" s="23" t="n">
        <f aca="false">IFERROR(INDEX(PODACI_PRODAJA!L:L,MATCH($A213,PODACI_PRODAJA!$A:$A,0)),0)</f>
        <v>0</v>
      </c>
      <c r="AD213" s="23" t="n">
        <f aca="false">IFERROR(INDEX(PODACI_PRODAJA!M:M,MATCH($A213,PODACI_PRODAJA!$A:$A,0)),0)</f>
        <v>0</v>
      </c>
    </row>
    <row r="214" customFormat="false" ht="15" hidden="false" customHeight="false" outlineLevel="0" collapsed="false">
      <c r="A214" s="11" t="str">
        <f aca="false">PODACI_ZALIHE!A211</f>
        <v>P15826</v>
      </c>
      <c r="B214" s="8" t="str">
        <f aca="false">PODACI_ZALIHE!B211</f>
        <v>BOLD LUX 80 PK MINERALSOLID TUŠ KADA BIJELA SJAJNA 800x800x30 mm</v>
      </c>
      <c r="C214" s="9" t="str">
        <f aca="false">PODACI_ZALIHE!C211</f>
        <v>5140</v>
      </c>
      <c r="D214" s="8" t="str">
        <f aca="false">PODACI_ZALIHE!D211</f>
        <v>GUANGDONG OCEAN SANITARY WARE CO., LTD.</v>
      </c>
      <c r="E214" s="19" t="n">
        <f aca="false">IF(PODACI_ZALIHE!E211="","",PODACI_ZALIHE!E211)</f>
        <v>38</v>
      </c>
      <c r="F214" s="20" t="n">
        <f aca="false">PODACI_ZALIHE!F211</f>
        <v>38</v>
      </c>
      <c r="G214" s="19" t="n">
        <f aca="false">IF(E214="","",E214-F214)</f>
        <v>0</v>
      </c>
      <c r="H214" s="9" t="n">
        <f aca="false">PODACI_PRODAJA!N326</f>
        <v>0.13</v>
      </c>
      <c r="I214" s="21" t="n">
        <f aca="false">IF(H214&lt;=0,999,ROUND(F214/H214,1))</f>
        <v>292.3</v>
      </c>
      <c r="J214" s="9" t="n">
        <f aca="false">SUMIFS(ROBA_U_DOLASKU!$C$6:$C$95,ROBA_U_DOLASKU!$A$6:$A$95,A214,ROBA_U_DOLASKU!$H$6:$H$95,1)</f>
        <v>0</v>
      </c>
      <c r="K214" s="9" t="n">
        <f aca="false">SUMIFS(ROBA_U_DOLASKU!$B$6:$B$95,ROBA_U_DOLASKU!$A$6:$A$95,A214,ROBA_U_DOLASKU!$H$6:$H$95,1)</f>
        <v>0</v>
      </c>
      <c r="L214" s="9" t="n">
        <f aca="false">SUMIFS(ROBA_U_DOLASKU!$C$6:$C$95,ROBA_U_DOLASKU!$A$6:$A$95,A214,ROBA_U_DOLASKU!$H$6:$H$95,2)</f>
        <v>0</v>
      </c>
      <c r="M214" s="9" t="n">
        <f aca="false">SUMIFS(ROBA_U_DOLASKU!$B$6:$B$95,ROBA_U_DOLASKU!$A$6:$A$95,A214,ROBA_U_DOLASKU!$H$6:$H$95,2)</f>
        <v>0</v>
      </c>
      <c r="N214" s="9" t="n">
        <f aca="false">SUMIFS(ROBA_U_DOLASKU!$C$6:$C$95,ROBA_U_DOLASKU!$A$6:$A$95,A214,ROBA_U_DOLASKU!$H$6:$H$95,3)</f>
        <v>0</v>
      </c>
      <c r="O214" s="9" t="n">
        <f aca="false">SUMIFS(ROBA_U_DOLASKU!$B$6:$B$95,ROBA_U_DOLASKU!$A$6:$A$95,A214,ROBA_U_DOLASKU!$H$6:$H$95,3)</f>
        <v>0</v>
      </c>
      <c r="P214" s="9" t="n">
        <f aca="false">IF(H214&lt;=0,999,IF(O214&gt;0,ROUND((F214-H214*N214+K214+M214+O214)/H214,1),IF(M214&gt;0,ROUND((F214-H214*L214+K214+M214)/H214,1),IF(K214&gt;0,ROUND((F214-H214*J214+K214)/H214,1),I214))))</f>
        <v>292.3</v>
      </c>
      <c r="Q214" s="22" t="str">
        <f aca="false">IF(H214&lt;=0,"Nema prodaje",IF(AND(K214=0,M214=0,O214=0),IF(I214&lt;POSTAVKE!$B$6,"Naruči odmah","Sve u redu"),IF(F214-H214*J214&lt;0,"Rupa za ~"&amp;TEXT(I214,"0.0")&amp;" mj.",IF(AND(M214&gt;0,F214-H214*L214+K214&lt;0),"Rupa nakon 1. dolaska",IF(AND(O214&gt;0,F214-H214*N214+K214+M214&lt;0),"Rupa nakon 2. dolaska",IF(P214&lt;POSTAVKE!$B$6,"Količina nije dovoljna",IF(I214&gt;=POSTAVKE!$B$6,"Sve u redu","Stiže na vrijeme")))))))</f>
        <v>Sve u redu</v>
      </c>
      <c r="S214" s="23" t="n">
        <f aca="false">IFERROR(INDEX(PODACI_PRODAJA!B:B,MATCH($A214,PODACI_PRODAJA!$A:$A,0)),0)</f>
        <v>0</v>
      </c>
      <c r="T214" s="23" t="n">
        <f aca="false">IFERROR(INDEX(PODACI_PRODAJA!C:C,MATCH($A214,PODACI_PRODAJA!$A:$A,0)),0)</f>
        <v>0</v>
      </c>
      <c r="U214" s="23" t="n">
        <f aca="false">IFERROR(INDEX(PODACI_PRODAJA!D:D,MATCH($A214,PODACI_PRODAJA!$A:$A,0)),0)</f>
        <v>0</v>
      </c>
      <c r="V214" s="23" t="n">
        <f aca="false">IFERROR(INDEX(PODACI_PRODAJA!E:E,MATCH($A214,PODACI_PRODAJA!$A:$A,0)),0)</f>
        <v>1</v>
      </c>
      <c r="W214" s="23" t="n">
        <f aca="false">IFERROR(INDEX(PODACI_PRODAJA!F:F,MATCH($A214,PODACI_PRODAJA!$A:$A,0)),0)</f>
        <v>0</v>
      </c>
      <c r="X214" s="23" t="n">
        <f aca="false">IFERROR(INDEX(PODACI_PRODAJA!G:G,MATCH($A214,PODACI_PRODAJA!$A:$A,0)),0)</f>
        <v>0</v>
      </c>
      <c r="Y214" s="23" t="n">
        <f aca="false">IFERROR(INDEX(PODACI_PRODAJA!H:H,MATCH($A214,PODACI_PRODAJA!$A:$A,0)),0)</f>
        <v>0</v>
      </c>
      <c r="Z214" s="23" t="n">
        <f aca="false">IFERROR(INDEX(PODACI_PRODAJA!I:I,MATCH($A214,PODACI_PRODAJA!$A:$A,0)),0)</f>
        <v>0</v>
      </c>
      <c r="AA214" s="23" t="n">
        <f aca="false">IFERROR(INDEX(PODACI_PRODAJA!J:J,MATCH($A214,PODACI_PRODAJA!$A:$A,0)),0)</f>
        <v>0</v>
      </c>
      <c r="AB214" s="23" t="n">
        <f aca="false">IFERROR(INDEX(PODACI_PRODAJA!K:K,MATCH($A214,PODACI_PRODAJA!$A:$A,0)),0)</f>
        <v>0</v>
      </c>
      <c r="AC214" s="23" t="n">
        <f aca="false">IFERROR(INDEX(PODACI_PRODAJA!L:L,MATCH($A214,PODACI_PRODAJA!$A:$A,0)),0)</f>
        <v>0</v>
      </c>
      <c r="AD214" s="23" t="n">
        <f aca="false">IFERROR(INDEX(PODACI_PRODAJA!M:M,MATCH($A214,PODACI_PRODAJA!$A:$A,0)),0)</f>
        <v>0</v>
      </c>
    </row>
    <row r="215" customFormat="false" ht="15" hidden="false" customHeight="false" outlineLevel="0" collapsed="false">
      <c r="A215" s="11" t="str">
        <f aca="false">PODACI_ZALIHE!A212</f>
        <v>003909</v>
      </c>
      <c r="B215" s="8" t="str">
        <f aca="false">PODACI_ZALIHE!B212</f>
        <v>SIENA MJEŠALICA ZA TUŠ</v>
      </c>
      <c r="C215" s="9" t="str">
        <f aca="false">PODACI_ZALIHE!C212</f>
        <v>4053</v>
      </c>
      <c r="D215" s="8" t="str">
        <f aca="false">PODACI_ZALIHE!D212</f>
        <v>TAIZHOU ZHENGSHING VALVE CO .,LTD</v>
      </c>
      <c r="E215" s="19" t="n">
        <f aca="false">IF(PODACI_ZALIHE!E212="","",PODACI_ZALIHE!E212)</f>
        <v>38</v>
      </c>
      <c r="F215" s="20" t="n">
        <f aca="false">PODACI_ZALIHE!F212</f>
        <v>38</v>
      </c>
      <c r="G215" s="19" t="n">
        <f aca="false">IF(E215="","",E215-F215)</f>
        <v>0</v>
      </c>
      <c r="H215" s="9" t="n">
        <f aca="false">PODACI_PRODAJA!N375</f>
        <v>8.75</v>
      </c>
      <c r="I215" s="21" t="n">
        <f aca="false">IF(H215&lt;=0,999,ROUND(F215/H215,1))</f>
        <v>4.3</v>
      </c>
      <c r="J215" s="9" t="n">
        <f aca="false">SUMIFS(ROBA_U_DOLASKU!$C$6:$C$95,ROBA_U_DOLASKU!$A$6:$A$95,A215,ROBA_U_DOLASKU!$H$6:$H$95,1)</f>
        <v>0</v>
      </c>
      <c r="K215" s="9" t="n">
        <f aca="false">SUMIFS(ROBA_U_DOLASKU!$B$6:$B$95,ROBA_U_DOLASKU!$A$6:$A$95,A215,ROBA_U_DOLASKU!$H$6:$H$95,1)</f>
        <v>0</v>
      </c>
      <c r="L215" s="9" t="n">
        <f aca="false">SUMIFS(ROBA_U_DOLASKU!$C$6:$C$95,ROBA_U_DOLASKU!$A$6:$A$95,A215,ROBA_U_DOLASKU!$H$6:$H$95,2)</f>
        <v>0</v>
      </c>
      <c r="M215" s="9" t="n">
        <f aca="false">SUMIFS(ROBA_U_DOLASKU!$B$6:$B$95,ROBA_U_DOLASKU!$A$6:$A$95,A215,ROBA_U_DOLASKU!$H$6:$H$95,2)</f>
        <v>0</v>
      </c>
      <c r="N215" s="9" t="n">
        <f aca="false">SUMIFS(ROBA_U_DOLASKU!$C$6:$C$95,ROBA_U_DOLASKU!$A$6:$A$95,A215,ROBA_U_DOLASKU!$H$6:$H$95,3)</f>
        <v>0</v>
      </c>
      <c r="O215" s="9" t="n">
        <f aca="false">SUMIFS(ROBA_U_DOLASKU!$B$6:$B$95,ROBA_U_DOLASKU!$A$6:$A$95,A215,ROBA_U_DOLASKU!$H$6:$H$95,3)</f>
        <v>0</v>
      </c>
      <c r="P215" s="9" t="n">
        <f aca="false">IF(H215&lt;=0,999,IF(O215&gt;0,ROUND((F215-H215*N215+K215+M215+O215)/H215,1),IF(M215&gt;0,ROUND((F215-H215*L215+K215+M215)/H215,1),IF(K215&gt;0,ROUND((F215-H215*J215+K215)/H215,1),I215))))</f>
        <v>4.3</v>
      </c>
      <c r="Q215" s="22" t="str">
        <f aca="false">IF(H215&lt;=0,"Nema prodaje",IF(AND(K215=0,M215=0,O215=0),IF(I215&lt;POSTAVKE!$B$6,"Naruči odmah","Sve u redu"),IF(F215-H215*J215&lt;0,"Rupa za ~"&amp;TEXT(I215,"0.0")&amp;" mj.",IF(AND(M215&gt;0,F215-H215*L215+K215&lt;0),"Rupa nakon 1. dolaska",IF(AND(O215&gt;0,F215-H215*N215+K215+M215&lt;0),"Rupa nakon 2. dolaska",IF(P215&lt;POSTAVKE!$B$6,"Količina nije dovoljna",IF(I215&gt;=POSTAVKE!$B$6,"Sve u redu","Stiže na vrijeme")))))))</f>
        <v>Naruči odmah</v>
      </c>
      <c r="S215" s="23" t="n">
        <f aca="false">IFERROR(INDEX(PODACI_PRODAJA!B:B,MATCH($A215,PODACI_PRODAJA!$A:$A,0)),0)</f>
        <v>0</v>
      </c>
      <c r="T215" s="23" t="n">
        <f aca="false">IFERROR(INDEX(PODACI_PRODAJA!C:C,MATCH($A215,PODACI_PRODAJA!$A:$A,0)),0)</f>
        <v>0</v>
      </c>
      <c r="U215" s="23" t="n">
        <f aca="false">IFERROR(INDEX(PODACI_PRODAJA!D:D,MATCH($A215,PODACI_PRODAJA!$A:$A,0)),0)</f>
        <v>25</v>
      </c>
      <c r="V215" s="23" t="n">
        <f aca="false">IFERROR(INDEX(PODACI_PRODAJA!E:E,MATCH($A215,PODACI_PRODAJA!$A:$A,0)),0)</f>
        <v>13</v>
      </c>
      <c r="W215" s="23" t="n">
        <f aca="false">IFERROR(INDEX(PODACI_PRODAJA!F:F,MATCH($A215,PODACI_PRODAJA!$A:$A,0)),0)</f>
        <v>4</v>
      </c>
      <c r="X215" s="23" t="n">
        <f aca="false">IFERROR(INDEX(PODACI_PRODAJA!G:G,MATCH($A215,PODACI_PRODAJA!$A:$A,0)),0)</f>
        <v>8</v>
      </c>
      <c r="Y215" s="23" t="n">
        <f aca="false">IFERROR(INDEX(PODACI_PRODAJA!H:H,MATCH($A215,PODACI_PRODAJA!$A:$A,0)),0)</f>
        <v>6</v>
      </c>
      <c r="Z215" s="23" t="n">
        <f aca="false">IFERROR(INDEX(PODACI_PRODAJA!I:I,MATCH($A215,PODACI_PRODAJA!$A:$A,0)),0)</f>
        <v>14</v>
      </c>
      <c r="AA215" s="23" t="n">
        <f aca="false">IFERROR(INDEX(PODACI_PRODAJA!J:J,MATCH($A215,PODACI_PRODAJA!$A:$A,0)),0)</f>
        <v>0</v>
      </c>
      <c r="AB215" s="23" t="n">
        <f aca="false">IFERROR(INDEX(PODACI_PRODAJA!K:K,MATCH($A215,PODACI_PRODAJA!$A:$A,0)),0)</f>
        <v>0</v>
      </c>
      <c r="AC215" s="23" t="n">
        <f aca="false">IFERROR(INDEX(PODACI_PRODAJA!L:L,MATCH($A215,PODACI_PRODAJA!$A:$A,0)),0)</f>
        <v>0</v>
      </c>
      <c r="AD215" s="23" t="n">
        <f aca="false">IFERROR(INDEX(PODACI_PRODAJA!M:M,MATCH($A215,PODACI_PRODAJA!$A:$A,0)),0)</f>
        <v>0</v>
      </c>
    </row>
    <row r="216" customFormat="false" ht="15" hidden="false" customHeight="false" outlineLevel="0" collapsed="false">
      <c r="A216" s="11" t="str">
        <f aca="false">PODACI_ZALIHE!A213</f>
        <v>00689Y</v>
      </c>
      <c r="B216" s="8" t="str">
        <f aca="false">PODACI_ZALIHE!B213</f>
        <v>TK BIELSA 90 POLUKRUŽNA TUŠ KABINA 90x90x185 cm</v>
      </c>
      <c r="C216" s="9" t="str">
        <f aca="false">PODACI_ZALIHE!C213</f>
        <v>5590</v>
      </c>
      <c r="D216" s="8" t="str">
        <f aca="false">PODACI_ZALIHE!D213</f>
        <v>PINGHU YINUO SANITARY WARE CO.,LTD</v>
      </c>
      <c r="E216" s="19" t="n">
        <f aca="false">IF(PODACI_ZALIHE!E213="","",PODACI_ZALIHE!E213)</f>
        <v>38</v>
      </c>
      <c r="F216" s="20" t="n">
        <f aca="false">PODACI_ZALIHE!F213</f>
        <v>38</v>
      </c>
      <c r="G216" s="19" t="n">
        <f aca="false">IF(E216="","",E216-F216)</f>
        <v>0</v>
      </c>
      <c r="H216" s="9" t="n">
        <f aca="false">PODACI_PRODAJA!N393</f>
        <v>0.25</v>
      </c>
      <c r="I216" s="21" t="n">
        <f aca="false">IF(H216&lt;=0,999,ROUND(F216/H216,1))</f>
        <v>152</v>
      </c>
      <c r="J216" s="9" t="n">
        <f aca="false">SUMIFS(ROBA_U_DOLASKU!$C$6:$C$95,ROBA_U_DOLASKU!$A$6:$A$95,A216,ROBA_U_DOLASKU!$H$6:$H$95,1)</f>
        <v>0</v>
      </c>
      <c r="K216" s="9" t="n">
        <f aca="false">SUMIFS(ROBA_U_DOLASKU!$B$6:$B$95,ROBA_U_DOLASKU!$A$6:$A$95,A216,ROBA_U_DOLASKU!$H$6:$H$95,1)</f>
        <v>0</v>
      </c>
      <c r="L216" s="9" t="n">
        <f aca="false">SUMIFS(ROBA_U_DOLASKU!$C$6:$C$95,ROBA_U_DOLASKU!$A$6:$A$95,A216,ROBA_U_DOLASKU!$H$6:$H$95,2)</f>
        <v>0</v>
      </c>
      <c r="M216" s="9" t="n">
        <f aca="false">SUMIFS(ROBA_U_DOLASKU!$B$6:$B$95,ROBA_U_DOLASKU!$A$6:$A$95,A216,ROBA_U_DOLASKU!$H$6:$H$95,2)</f>
        <v>0</v>
      </c>
      <c r="N216" s="9" t="n">
        <f aca="false">SUMIFS(ROBA_U_DOLASKU!$C$6:$C$95,ROBA_U_DOLASKU!$A$6:$A$95,A216,ROBA_U_DOLASKU!$H$6:$H$95,3)</f>
        <v>0</v>
      </c>
      <c r="O216" s="9" t="n">
        <f aca="false">SUMIFS(ROBA_U_DOLASKU!$B$6:$B$95,ROBA_U_DOLASKU!$A$6:$A$95,A216,ROBA_U_DOLASKU!$H$6:$H$95,3)</f>
        <v>0</v>
      </c>
      <c r="P216" s="9" t="n">
        <f aca="false">IF(H216&lt;=0,999,IF(O216&gt;0,ROUND((F216-H216*N216+K216+M216+O216)/H216,1),IF(M216&gt;0,ROUND((F216-H216*L216+K216+M216)/H216,1),IF(K216&gt;0,ROUND((F216-H216*J216+K216)/H216,1),I216))))</f>
        <v>152</v>
      </c>
      <c r="Q216" s="22" t="str">
        <f aca="false">IF(H216&lt;=0,"Nema prodaje",IF(AND(K216=0,M216=0,O216=0),IF(I216&lt;POSTAVKE!$B$6,"Naruči odmah","Sve u redu"),IF(F216-H216*J216&lt;0,"Rupa za ~"&amp;TEXT(I216,"0.0")&amp;" mj.",IF(AND(M216&gt;0,F216-H216*L216+K216&lt;0),"Rupa nakon 1. dolaska",IF(AND(O216&gt;0,F216-H216*N216+K216+M216&lt;0),"Rupa nakon 2. dolaska",IF(P216&lt;POSTAVKE!$B$6,"Količina nije dovoljna",IF(I216&gt;=POSTAVKE!$B$6,"Sve u redu","Stiže na vrijeme")))))))</f>
        <v>Sve u redu</v>
      </c>
      <c r="S216" s="23" t="n">
        <f aca="false">IFERROR(INDEX(PODACI_PRODAJA!B:B,MATCH($A216,PODACI_PRODAJA!$A:$A,0)),0)</f>
        <v>0</v>
      </c>
      <c r="T216" s="23" t="n">
        <f aca="false">IFERROR(INDEX(PODACI_PRODAJA!C:C,MATCH($A216,PODACI_PRODAJA!$A:$A,0)),0)</f>
        <v>0</v>
      </c>
      <c r="U216" s="23" t="n">
        <f aca="false">IFERROR(INDEX(PODACI_PRODAJA!D:D,MATCH($A216,PODACI_PRODAJA!$A:$A,0)),0)</f>
        <v>0</v>
      </c>
      <c r="V216" s="23" t="n">
        <f aca="false">IFERROR(INDEX(PODACI_PRODAJA!E:E,MATCH($A216,PODACI_PRODAJA!$A:$A,0)),0)</f>
        <v>0</v>
      </c>
      <c r="W216" s="23" t="n">
        <f aca="false">IFERROR(INDEX(PODACI_PRODAJA!F:F,MATCH($A216,PODACI_PRODAJA!$A:$A,0)),0)</f>
        <v>1</v>
      </c>
      <c r="X216" s="23" t="n">
        <f aca="false">IFERROR(INDEX(PODACI_PRODAJA!G:G,MATCH($A216,PODACI_PRODAJA!$A:$A,0)),0)</f>
        <v>0</v>
      </c>
      <c r="Y216" s="23" t="n">
        <f aca="false">IFERROR(INDEX(PODACI_PRODAJA!H:H,MATCH($A216,PODACI_PRODAJA!$A:$A,0)),0)</f>
        <v>0</v>
      </c>
      <c r="Z216" s="23" t="n">
        <f aca="false">IFERROR(INDEX(PODACI_PRODAJA!I:I,MATCH($A216,PODACI_PRODAJA!$A:$A,0)),0)</f>
        <v>1</v>
      </c>
      <c r="AA216" s="23" t="n">
        <f aca="false">IFERROR(INDEX(PODACI_PRODAJA!J:J,MATCH($A216,PODACI_PRODAJA!$A:$A,0)),0)</f>
        <v>0</v>
      </c>
      <c r="AB216" s="23" t="n">
        <f aca="false">IFERROR(INDEX(PODACI_PRODAJA!K:K,MATCH($A216,PODACI_PRODAJA!$A:$A,0)),0)</f>
        <v>0</v>
      </c>
      <c r="AC216" s="23" t="n">
        <f aca="false">IFERROR(INDEX(PODACI_PRODAJA!L:L,MATCH($A216,PODACI_PRODAJA!$A:$A,0)),0)</f>
        <v>0</v>
      </c>
      <c r="AD216" s="23" t="n">
        <f aca="false">IFERROR(INDEX(PODACI_PRODAJA!M:M,MATCH($A216,PODACI_PRODAJA!$A:$A,0)),0)</f>
        <v>0</v>
      </c>
    </row>
    <row r="217" customFormat="false" ht="15" hidden="false" customHeight="false" outlineLevel="0" collapsed="false">
      <c r="A217" s="11" t="str">
        <f aca="false">PODACI_ZALIHE!A214</f>
        <v>15948</v>
      </c>
      <c r="B217" s="8" t="str">
        <f aca="false">PODACI_ZALIHE!B214</f>
        <v>VETRO STYLE 120 TUŠ STIJENA 120x200 cm</v>
      </c>
      <c r="C217" s="9" t="str">
        <f aca="false">PODACI_ZALIHE!C214</f>
        <v>6762</v>
      </c>
      <c r="D217" s="8" t="str">
        <f aca="false">PODACI_ZALIHE!D214</f>
        <v>ZHEJIANG QUICKLINE SHOWERING CO., LTD.</v>
      </c>
      <c r="E217" s="19" t="n">
        <f aca="false">IF(PODACI_ZALIHE!E214="","",PODACI_ZALIHE!E214)</f>
        <v>40</v>
      </c>
      <c r="F217" s="20" t="n">
        <f aca="false">PODACI_ZALIHE!F214</f>
        <v>38</v>
      </c>
      <c r="G217" s="19" t="n">
        <f aca="false">IF(E217="","",E217-F217)</f>
        <v>2</v>
      </c>
      <c r="H217" s="9" t="n">
        <f aca="false">PODACI_PRODAJA!N91</f>
        <v>3.88</v>
      </c>
      <c r="I217" s="21" t="n">
        <f aca="false">IF(H217&lt;=0,999,ROUND(F217/H217,1))</f>
        <v>9.8</v>
      </c>
      <c r="J217" s="9" t="n">
        <f aca="false">SUMIFS(ROBA_U_DOLASKU!$C$6:$C$95,ROBA_U_DOLASKU!$A$6:$A$95,A217,ROBA_U_DOLASKU!$H$6:$H$95,1)</f>
        <v>0</v>
      </c>
      <c r="K217" s="9" t="n">
        <f aca="false">SUMIFS(ROBA_U_DOLASKU!$B$6:$B$95,ROBA_U_DOLASKU!$A$6:$A$95,A217,ROBA_U_DOLASKU!$H$6:$H$95,1)</f>
        <v>0</v>
      </c>
      <c r="L217" s="9" t="n">
        <f aca="false">SUMIFS(ROBA_U_DOLASKU!$C$6:$C$95,ROBA_U_DOLASKU!$A$6:$A$95,A217,ROBA_U_DOLASKU!$H$6:$H$95,2)</f>
        <v>0</v>
      </c>
      <c r="M217" s="9" t="n">
        <f aca="false">SUMIFS(ROBA_U_DOLASKU!$B$6:$B$95,ROBA_U_DOLASKU!$A$6:$A$95,A217,ROBA_U_DOLASKU!$H$6:$H$95,2)</f>
        <v>0</v>
      </c>
      <c r="N217" s="9" t="n">
        <f aca="false">SUMIFS(ROBA_U_DOLASKU!$C$6:$C$95,ROBA_U_DOLASKU!$A$6:$A$95,A217,ROBA_U_DOLASKU!$H$6:$H$95,3)</f>
        <v>0</v>
      </c>
      <c r="O217" s="9" t="n">
        <f aca="false">SUMIFS(ROBA_U_DOLASKU!$B$6:$B$95,ROBA_U_DOLASKU!$A$6:$A$95,A217,ROBA_U_DOLASKU!$H$6:$H$95,3)</f>
        <v>0</v>
      </c>
      <c r="P217" s="9" t="n">
        <f aca="false">IF(H217&lt;=0,999,IF(O217&gt;0,ROUND((F217-H217*N217+K217+M217+O217)/H217,1),IF(M217&gt;0,ROUND((F217-H217*L217+K217+M217)/H217,1),IF(K217&gt;0,ROUND((F217-H217*J217+K217)/H217,1),I217))))</f>
        <v>9.8</v>
      </c>
      <c r="Q217" s="22" t="str">
        <f aca="false">IF(H217&lt;=0,"Nema prodaje",IF(AND(K217=0,M217=0,O217=0),IF(I217&lt;POSTAVKE!$B$6,"Naruči odmah","Sve u redu"),IF(F217-H217*J217&lt;0,"Rupa za ~"&amp;TEXT(I217,"0.0")&amp;" mj.",IF(AND(M217&gt;0,F217-H217*L217+K217&lt;0),"Rupa nakon 1. dolaska",IF(AND(O217&gt;0,F217-H217*N217+K217+M217&lt;0),"Rupa nakon 2. dolaska",IF(P217&lt;POSTAVKE!$B$6,"Količina nije dovoljna",IF(I217&gt;=POSTAVKE!$B$6,"Sve u redu","Stiže na vrijeme")))))))</f>
        <v>Sve u redu</v>
      </c>
      <c r="S217" s="23" t="n">
        <f aca="false">IFERROR(INDEX(PODACI_PRODAJA!B:B,MATCH($A217,PODACI_PRODAJA!$A:$A,0)),0)</f>
        <v>7</v>
      </c>
      <c r="T217" s="23" t="n">
        <f aca="false">IFERROR(INDEX(PODACI_PRODAJA!C:C,MATCH($A217,PODACI_PRODAJA!$A:$A,0)),0)</f>
        <v>3</v>
      </c>
      <c r="U217" s="23" t="n">
        <f aca="false">IFERROR(INDEX(PODACI_PRODAJA!D:D,MATCH($A217,PODACI_PRODAJA!$A:$A,0)),0)</f>
        <v>4</v>
      </c>
      <c r="V217" s="23" t="n">
        <f aca="false">IFERROR(INDEX(PODACI_PRODAJA!E:E,MATCH($A217,PODACI_PRODAJA!$A:$A,0)),0)</f>
        <v>3</v>
      </c>
      <c r="W217" s="23" t="n">
        <f aca="false">IFERROR(INDEX(PODACI_PRODAJA!F:F,MATCH($A217,PODACI_PRODAJA!$A:$A,0)),0)</f>
        <v>2</v>
      </c>
      <c r="X217" s="23" t="n">
        <f aca="false">IFERROR(INDEX(PODACI_PRODAJA!G:G,MATCH($A217,PODACI_PRODAJA!$A:$A,0)),0)</f>
        <v>3</v>
      </c>
      <c r="Y217" s="23" t="n">
        <f aca="false">IFERROR(INDEX(PODACI_PRODAJA!H:H,MATCH($A217,PODACI_PRODAJA!$A:$A,0)),0)</f>
        <v>4</v>
      </c>
      <c r="Z217" s="23" t="n">
        <f aca="false">IFERROR(INDEX(PODACI_PRODAJA!I:I,MATCH($A217,PODACI_PRODAJA!$A:$A,0)),0)</f>
        <v>5</v>
      </c>
      <c r="AA217" s="23" t="n">
        <f aca="false">IFERROR(INDEX(PODACI_PRODAJA!J:J,MATCH($A217,PODACI_PRODAJA!$A:$A,0)),0)</f>
        <v>2</v>
      </c>
      <c r="AB217" s="23" t="n">
        <f aca="false">IFERROR(INDEX(PODACI_PRODAJA!K:K,MATCH($A217,PODACI_PRODAJA!$A:$A,0)),0)</f>
        <v>0</v>
      </c>
      <c r="AC217" s="23" t="n">
        <f aca="false">IFERROR(INDEX(PODACI_PRODAJA!L:L,MATCH($A217,PODACI_PRODAJA!$A:$A,0)),0)</f>
        <v>0</v>
      </c>
      <c r="AD217" s="23" t="n">
        <f aca="false">IFERROR(INDEX(PODACI_PRODAJA!M:M,MATCH($A217,PODACI_PRODAJA!$A:$A,0)),0)</f>
        <v>0</v>
      </c>
    </row>
    <row r="218" customFormat="false" ht="15" hidden="false" customHeight="false" outlineLevel="0" collapsed="false">
      <c r="A218" s="11" t="str">
        <f aca="false">PODACI_ZALIHE!A215</f>
        <v>16975</v>
      </c>
      <c r="B218" s="8" t="str">
        <f aca="false">PODACI_ZALIHE!B215</f>
        <v>TK GRANADA 90 KVADRATNA TUŠ KABINA 90x90x195 cm</v>
      </c>
      <c r="C218" s="9" t="str">
        <f aca="false">PODACI_ZALIHE!C215</f>
        <v>4328</v>
      </c>
      <c r="D218" s="8" t="str">
        <f aca="false">PODACI_ZALIHE!D215</f>
        <v>HANGZHOU DUHUI IMPORT AND EXPORT CO.,LTD</v>
      </c>
      <c r="E218" s="19" t="n">
        <f aca="false">IF(PODACI_ZALIHE!E215="","",PODACI_ZALIHE!E215)</f>
        <v>38</v>
      </c>
      <c r="F218" s="20" t="n">
        <f aca="false">PODACI_ZALIHE!F215</f>
        <v>38</v>
      </c>
      <c r="G218" s="19" t="n">
        <f aca="false">IF(E218="","",E218-F218)</f>
        <v>0</v>
      </c>
      <c r="H218" s="9" t="n">
        <f aca="false">PODACI_PRODAJA!N207</f>
        <v>1.25</v>
      </c>
      <c r="I218" s="21" t="n">
        <f aca="false">IF(H218&lt;=0,999,ROUND(F218/H218,1))</f>
        <v>30.4</v>
      </c>
      <c r="J218" s="9" t="n">
        <f aca="false">SUMIFS(ROBA_U_DOLASKU!$C$6:$C$95,ROBA_U_DOLASKU!$A$6:$A$95,A218,ROBA_U_DOLASKU!$H$6:$H$95,1)</f>
        <v>0</v>
      </c>
      <c r="K218" s="9" t="n">
        <f aca="false">SUMIFS(ROBA_U_DOLASKU!$B$6:$B$95,ROBA_U_DOLASKU!$A$6:$A$95,A218,ROBA_U_DOLASKU!$H$6:$H$95,1)</f>
        <v>0</v>
      </c>
      <c r="L218" s="9" t="n">
        <f aca="false">SUMIFS(ROBA_U_DOLASKU!$C$6:$C$95,ROBA_U_DOLASKU!$A$6:$A$95,A218,ROBA_U_DOLASKU!$H$6:$H$95,2)</f>
        <v>0</v>
      </c>
      <c r="M218" s="9" t="n">
        <f aca="false">SUMIFS(ROBA_U_DOLASKU!$B$6:$B$95,ROBA_U_DOLASKU!$A$6:$A$95,A218,ROBA_U_DOLASKU!$H$6:$H$95,2)</f>
        <v>0</v>
      </c>
      <c r="N218" s="9" t="n">
        <f aca="false">SUMIFS(ROBA_U_DOLASKU!$C$6:$C$95,ROBA_U_DOLASKU!$A$6:$A$95,A218,ROBA_U_DOLASKU!$H$6:$H$95,3)</f>
        <v>0</v>
      </c>
      <c r="O218" s="9" t="n">
        <f aca="false">SUMIFS(ROBA_U_DOLASKU!$B$6:$B$95,ROBA_U_DOLASKU!$A$6:$A$95,A218,ROBA_U_DOLASKU!$H$6:$H$95,3)</f>
        <v>0</v>
      </c>
      <c r="P218" s="9" t="n">
        <f aca="false">IF(H218&lt;=0,999,IF(O218&gt;0,ROUND((F218-H218*N218+K218+M218+O218)/H218,1),IF(M218&gt;0,ROUND((F218-H218*L218+K218+M218)/H218,1),IF(K218&gt;0,ROUND((F218-H218*J218+K218)/H218,1),I218))))</f>
        <v>30.4</v>
      </c>
      <c r="Q218" s="22" t="str">
        <f aca="false">IF(H218&lt;=0,"Nema prodaje",IF(AND(K218=0,M218=0,O218=0),IF(I218&lt;POSTAVKE!$B$6,"Naruči odmah","Sve u redu"),IF(F218-H218*J218&lt;0,"Rupa za ~"&amp;TEXT(I218,"0.0")&amp;" mj.",IF(AND(M218&gt;0,F218-H218*L218+K218&lt;0),"Rupa nakon 1. dolaska",IF(AND(O218&gt;0,F218-H218*N218+K218+M218&lt;0),"Rupa nakon 2. dolaska",IF(P218&lt;POSTAVKE!$B$6,"Količina nije dovoljna",IF(I218&gt;=POSTAVKE!$B$6,"Sve u redu","Stiže na vrijeme")))))))</f>
        <v>Sve u redu</v>
      </c>
      <c r="S218" s="23" t="n">
        <f aca="false">IFERROR(INDEX(PODACI_PRODAJA!B:B,MATCH($A218,PODACI_PRODAJA!$A:$A,0)),0)</f>
        <v>2</v>
      </c>
      <c r="T218" s="23" t="n">
        <f aca="false">IFERROR(INDEX(PODACI_PRODAJA!C:C,MATCH($A218,PODACI_PRODAJA!$A:$A,0)),0)</f>
        <v>3</v>
      </c>
      <c r="U218" s="23" t="n">
        <f aca="false">IFERROR(INDEX(PODACI_PRODAJA!D:D,MATCH($A218,PODACI_PRODAJA!$A:$A,0)),0)</f>
        <v>2</v>
      </c>
      <c r="V218" s="23" t="n">
        <f aca="false">IFERROR(INDEX(PODACI_PRODAJA!E:E,MATCH($A218,PODACI_PRODAJA!$A:$A,0)),0)</f>
        <v>3</v>
      </c>
      <c r="W218" s="23" t="n">
        <f aca="false">IFERROR(INDEX(PODACI_PRODAJA!F:F,MATCH($A218,PODACI_PRODAJA!$A:$A,0)),0)</f>
        <v>-3</v>
      </c>
      <c r="X218" s="23" t="n">
        <f aca="false">IFERROR(INDEX(PODACI_PRODAJA!G:G,MATCH($A218,PODACI_PRODAJA!$A:$A,0)),0)</f>
        <v>1</v>
      </c>
      <c r="Y218" s="23" t="n">
        <f aca="false">IFERROR(INDEX(PODACI_PRODAJA!H:H,MATCH($A218,PODACI_PRODAJA!$A:$A,0)),0)</f>
        <v>2</v>
      </c>
      <c r="Z218" s="23" t="n">
        <f aca="false">IFERROR(INDEX(PODACI_PRODAJA!I:I,MATCH($A218,PODACI_PRODAJA!$A:$A,0)),0)</f>
        <v>0</v>
      </c>
      <c r="AA218" s="23" t="n">
        <f aca="false">IFERROR(INDEX(PODACI_PRODAJA!J:J,MATCH($A218,PODACI_PRODAJA!$A:$A,0)),0)</f>
        <v>0</v>
      </c>
      <c r="AB218" s="23" t="n">
        <f aca="false">IFERROR(INDEX(PODACI_PRODAJA!K:K,MATCH($A218,PODACI_PRODAJA!$A:$A,0)),0)</f>
        <v>0</v>
      </c>
      <c r="AC218" s="23" t="n">
        <f aca="false">IFERROR(INDEX(PODACI_PRODAJA!L:L,MATCH($A218,PODACI_PRODAJA!$A:$A,0)),0)</f>
        <v>0</v>
      </c>
      <c r="AD218" s="23" t="n">
        <f aca="false">IFERROR(INDEX(PODACI_PRODAJA!M:M,MATCH($A218,PODACI_PRODAJA!$A:$A,0)),0)</f>
        <v>0</v>
      </c>
    </row>
    <row r="219" customFormat="false" ht="15" hidden="false" customHeight="false" outlineLevel="0" collapsed="false">
      <c r="A219" s="11" t="str">
        <f aca="false">PODACI_ZALIHE!A216</f>
        <v>17240</v>
      </c>
      <c r="B219" s="8" t="str">
        <f aca="false">PODACI_ZALIHE!B216</f>
        <v>TK TELDE 80100 CHROME PRAVOKUTNA TUŠ KABINA 80X100X195 cm</v>
      </c>
      <c r="C219" s="9" t="str">
        <f aca="false">PODACI_ZALIHE!C216</f>
        <v>6762</v>
      </c>
      <c r="D219" s="8" t="str">
        <f aca="false">PODACI_ZALIHE!D216</f>
        <v>ZHEJIANG QUICKLINE SHOWERING CO., LTD.</v>
      </c>
      <c r="E219" s="19" t="n">
        <f aca="false">IF(PODACI_ZALIHE!E216="","",PODACI_ZALIHE!E216)</f>
        <v>38</v>
      </c>
      <c r="F219" s="20" t="n">
        <f aca="false">PODACI_ZALIHE!F216</f>
        <v>38</v>
      </c>
      <c r="G219" s="19" t="n">
        <f aca="false">IF(E219="","",E219-F219)</f>
        <v>0</v>
      </c>
      <c r="H219" s="9" t="n">
        <f aca="false">PODACI_PRODAJA!N619</f>
        <v>0.75</v>
      </c>
      <c r="I219" s="21" t="n">
        <f aca="false">IF(H219&lt;=0,999,ROUND(F219/H219,1))</f>
        <v>50.7</v>
      </c>
      <c r="J219" s="9" t="n">
        <f aca="false">SUMIFS(ROBA_U_DOLASKU!$C$6:$C$95,ROBA_U_DOLASKU!$A$6:$A$95,A219,ROBA_U_DOLASKU!$H$6:$H$95,1)</f>
        <v>0</v>
      </c>
      <c r="K219" s="9" t="n">
        <f aca="false">SUMIFS(ROBA_U_DOLASKU!$B$6:$B$95,ROBA_U_DOLASKU!$A$6:$A$95,A219,ROBA_U_DOLASKU!$H$6:$H$95,1)</f>
        <v>0</v>
      </c>
      <c r="L219" s="9" t="n">
        <f aca="false">SUMIFS(ROBA_U_DOLASKU!$C$6:$C$95,ROBA_U_DOLASKU!$A$6:$A$95,A219,ROBA_U_DOLASKU!$H$6:$H$95,2)</f>
        <v>0</v>
      </c>
      <c r="M219" s="9" t="n">
        <f aca="false">SUMIFS(ROBA_U_DOLASKU!$B$6:$B$95,ROBA_U_DOLASKU!$A$6:$A$95,A219,ROBA_U_DOLASKU!$H$6:$H$95,2)</f>
        <v>0</v>
      </c>
      <c r="N219" s="9" t="n">
        <f aca="false">SUMIFS(ROBA_U_DOLASKU!$C$6:$C$95,ROBA_U_DOLASKU!$A$6:$A$95,A219,ROBA_U_DOLASKU!$H$6:$H$95,3)</f>
        <v>0</v>
      </c>
      <c r="O219" s="9" t="n">
        <f aca="false">SUMIFS(ROBA_U_DOLASKU!$B$6:$B$95,ROBA_U_DOLASKU!$A$6:$A$95,A219,ROBA_U_DOLASKU!$H$6:$H$95,3)</f>
        <v>0</v>
      </c>
      <c r="P219" s="9" t="n">
        <f aca="false">IF(H219&lt;=0,999,IF(O219&gt;0,ROUND((F219-H219*N219+K219+M219+O219)/H219,1),IF(M219&gt;0,ROUND((F219-H219*L219+K219+M219)/H219,1),IF(K219&gt;0,ROUND((F219-H219*J219+K219)/H219,1),I219))))</f>
        <v>50.7</v>
      </c>
      <c r="Q219" s="22" t="str">
        <f aca="false">IF(H219&lt;=0,"Nema prodaje",IF(AND(K219=0,M219=0,O219=0),IF(I219&lt;POSTAVKE!$B$6,"Naruči odmah","Sve u redu"),IF(F219-H219*J219&lt;0,"Rupa za ~"&amp;TEXT(I219,"0.0")&amp;" mj.",IF(AND(M219&gt;0,F219-H219*L219+K219&lt;0),"Rupa nakon 1. dolaska",IF(AND(O219&gt;0,F219-H219*N219+K219+M219&lt;0),"Rupa nakon 2. dolaska",IF(P219&lt;POSTAVKE!$B$6,"Količina nije dovoljna",IF(I219&gt;=POSTAVKE!$B$6,"Sve u redu","Stiže na vrijeme")))))))</f>
        <v>Sve u redu</v>
      </c>
      <c r="S219" s="23" t="n">
        <f aca="false">IFERROR(INDEX(PODACI_PRODAJA!B:B,MATCH($A219,PODACI_PRODAJA!$A:$A,0)),0)</f>
        <v>0</v>
      </c>
      <c r="T219" s="23" t="n">
        <f aca="false">IFERROR(INDEX(PODACI_PRODAJA!C:C,MATCH($A219,PODACI_PRODAJA!$A:$A,0)),0)</f>
        <v>1</v>
      </c>
      <c r="U219" s="23" t="n">
        <f aca="false">IFERROR(INDEX(PODACI_PRODAJA!D:D,MATCH($A219,PODACI_PRODAJA!$A:$A,0)),0)</f>
        <v>0</v>
      </c>
      <c r="V219" s="23" t="n">
        <f aca="false">IFERROR(INDEX(PODACI_PRODAJA!E:E,MATCH($A219,PODACI_PRODAJA!$A:$A,0)),0)</f>
        <v>1</v>
      </c>
      <c r="W219" s="23" t="n">
        <f aca="false">IFERROR(INDEX(PODACI_PRODAJA!F:F,MATCH($A219,PODACI_PRODAJA!$A:$A,0)),0)</f>
        <v>0</v>
      </c>
      <c r="X219" s="23" t="n">
        <f aca="false">IFERROR(INDEX(PODACI_PRODAJA!G:G,MATCH($A219,PODACI_PRODAJA!$A:$A,0)),0)</f>
        <v>1</v>
      </c>
      <c r="Y219" s="23" t="n">
        <f aca="false">IFERROR(INDEX(PODACI_PRODAJA!H:H,MATCH($A219,PODACI_PRODAJA!$A:$A,0)),0)</f>
        <v>2</v>
      </c>
      <c r="Z219" s="23" t="n">
        <f aca="false">IFERROR(INDEX(PODACI_PRODAJA!I:I,MATCH($A219,PODACI_PRODAJA!$A:$A,0)),0)</f>
        <v>1</v>
      </c>
      <c r="AA219" s="23" t="n">
        <f aca="false">IFERROR(INDEX(PODACI_PRODAJA!J:J,MATCH($A219,PODACI_PRODAJA!$A:$A,0)),0)</f>
        <v>0</v>
      </c>
      <c r="AB219" s="23" t="n">
        <f aca="false">IFERROR(INDEX(PODACI_PRODAJA!K:K,MATCH($A219,PODACI_PRODAJA!$A:$A,0)),0)</f>
        <v>0</v>
      </c>
      <c r="AC219" s="23" t="n">
        <f aca="false">IFERROR(INDEX(PODACI_PRODAJA!L:L,MATCH($A219,PODACI_PRODAJA!$A:$A,0)),0)</f>
        <v>0</v>
      </c>
      <c r="AD219" s="23" t="n">
        <f aca="false">IFERROR(INDEX(PODACI_PRODAJA!M:M,MATCH($A219,PODACI_PRODAJA!$A:$A,0)),0)</f>
        <v>0</v>
      </c>
    </row>
    <row r="220" customFormat="false" ht="15" hidden="false" customHeight="false" outlineLevel="0" collapsed="false">
      <c r="A220" s="11" t="str">
        <f aca="false">PODACI_ZALIHE!A217</f>
        <v>002524</v>
      </c>
      <c r="B220" s="8" t="str">
        <f aca="false">PODACI_ZALIHE!B217</f>
        <v>GL5089P TUŠ PANEL 140x20 cm</v>
      </c>
      <c r="C220" s="9" t="str">
        <f aca="false">PODACI_ZALIHE!C217</f>
        <v>5814</v>
      </c>
      <c r="D220" s="8" t="str">
        <f aca="false">PODACI_ZALIHE!D217</f>
        <v>TAIZHOU FEIGEER IMPORT&amp;EXPORT CO.,LTD</v>
      </c>
      <c r="E220" s="19" t="n">
        <f aca="false">IF(PODACI_ZALIHE!E217="","",PODACI_ZALIHE!E217)</f>
        <v>37</v>
      </c>
      <c r="F220" s="20" t="n">
        <f aca="false">PODACI_ZALIHE!F217</f>
        <v>37</v>
      </c>
      <c r="G220" s="19" t="n">
        <f aca="false">IF(E220="","",E220-F220)</f>
        <v>0</v>
      </c>
      <c r="H220" s="9" t="n">
        <f aca="false">PODACI_PRODAJA!N168</f>
        <v>1.13</v>
      </c>
      <c r="I220" s="21" t="n">
        <f aca="false">IF(H220&lt;=0,999,ROUND(F220/H220,1))</f>
        <v>32.7</v>
      </c>
      <c r="J220" s="9" t="n">
        <f aca="false">SUMIFS(ROBA_U_DOLASKU!$C$6:$C$95,ROBA_U_DOLASKU!$A$6:$A$95,A220,ROBA_U_DOLASKU!$H$6:$H$95,1)</f>
        <v>0</v>
      </c>
      <c r="K220" s="9" t="n">
        <f aca="false">SUMIFS(ROBA_U_DOLASKU!$B$6:$B$95,ROBA_U_DOLASKU!$A$6:$A$95,A220,ROBA_U_DOLASKU!$H$6:$H$95,1)</f>
        <v>0</v>
      </c>
      <c r="L220" s="9" t="n">
        <f aca="false">SUMIFS(ROBA_U_DOLASKU!$C$6:$C$95,ROBA_U_DOLASKU!$A$6:$A$95,A220,ROBA_U_DOLASKU!$H$6:$H$95,2)</f>
        <v>0</v>
      </c>
      <c r="M220" s="9" t="n">
        <f aca="false">SUMIFS(ROBA_U_DOLASKU!$B$6:$B$95,ROBA_U_DOLASKU!$A$6:$A$95,A220,ROBA_U_DOLASKU!$H$6:$H$95,2)</f>
        <v>0</v>
      </c>
      <c r="N220" s="9" t="n">
        <f aca="false">SUMIFS(ROBA_U_DOLASKU!$C$6:$C$95,ROBA_U_DOLASKU!$A$6:$A$95,A220,ROBA_U_DOLASKU!$H$6:$H$95,3)</f>
        <v>0</v>
      </c>
      <c r="O220" s="9" t="n">
        <f aca="false">SUMIFS(ROBA_U_DOLASKU!$B$6:$B$95,ROBA_U_DOLASKU!$A$6:$A$95,A220,ROBA_U_DOLASKU!$H$6:$H$95,3)</f>
        <v>0</v>
      </c>
      <c r="P220" s="9" t="n">
        <f aca="false">IF(H220&lt;=0,999,IF(O220&gt;0,ROUND((F220-H220*N220+K220+M220+O220)/H220,1),IF(M220&gt;0,ROUND((F220-H220*L220+K220+M220)/H220,1),IF(K220&gt;0,ROUND((F220-H220*J220+K220)/H220,1),I220))))</f>
        <v>32.7</v>
      </c>
      <c r="Q220" s="22" t="str">
        <f aca="false">IF(H220&lt;=0,"Nema prodaje",IF(AND(K220=0,M220=0,O220=0),IF(I220&lt;POSTAVKE!$B$6,"Naruči odmah","Sve u redu"),IF(F220-H220*J220&lt;0,"Rupa za ~"&amp;TEXT(I220,"0.0")&amp;" mj.",IF(AND(M220&gt;0,F220-H220*L220+K220&lt;0),"Rupa nakon 1. dolaska",IF(AND(O220&gt;0,F220-H220*N220+K220+M220&lt;0),"Rupa nakon 2. dolaska",IF(P220&lt;POSTAVKE!$B$6,"Količina nije dovoljna",IF(I220&gt;=POSTAVKE!$B$6,"Sve u redu","Stiže na vrijeme")))))))</f>
        <v>Sve u redu</v>
      </c>
      <c r="S220" s="23" t="n">
        <f aca="false">IFERROR(INDEX(PODACI_PRODAJA!B:B,MATCH($A220,PODACI_PRODAJA!$A:$A,0)),0)</f>
        <v>2</v>
      </c>
      <c r="T220" s="23" t="n">
        <f aca="false">IFERROR(INDEX(PODACI_PRODAJA!C:C,MATCH($A220,PODACI_PRODAJA!$A:$A,0)),0)</f>
        <v>0</v>
      </c>
      <c r="U220" s="23" t="n">
        <f aca="false">IFERROR(INDEX(PODACI_PRODAJA!D:D,MATCH($A220,PODACI_PRODAJA!$A:$A,0)),0)</f>
        <v>1</v>
      </c>
      <c r="V220" s="23" t="n">
        <f aca="false">IFERROR(INDEX(PODACI_PRODAJA!E:E,MATCH($A220,PODACI_PRODAJA!$A:$A,0)),0)</f>
        <v>3</v>
      </c>
      <c r="W220" s="23" t="n">
        <f aca="false">IFERROR(INDEX(PODACI_PRODAJA!F:F,MATCH($A220,PODACI_PRODAJA!$A:$A,0)),0)</f>
        <v>2</v>
      </c>
      <c r="X220" s="23" t="n">
        <f aca="false">IFERROR(INDEX(PODACI_PRODAJA!G:G,MATCH($A220,PODACI_PRODAJA!$A:$A,0)),0)</f>
        <v>0</v>
      </c>
      <c r="Y220" s="23" t="n">
        <f aca="false">IFERROR(INDEX(PODACI_PRODAJA!H:H,MATCH($A220,PODACI_PRODAJA!$A:$A,0)),0)</f>
        <v>1</v>
      </c>
      <c r="Z220" s="23" t="n">
        <f aca="false">IFERROR(INDEX(PODACI_PRODAJA!I:I,MATCH($A220,PODACI_PRODAJA!$A:$A,0)),0)</f>
        <v>0</v>
      </c>
      <c r="AA220" s="23" t="n">
        <f aca="false">IFERROR(INDEX(PODACI_PRODAJA!J:J,MATCH($A220,PODACI_PRODAJA!$A:$A,0)),0)</f>
        <v>0</v>
      </c>
      <c r="AB220" s="23" t="n">
        <f aca="false">IFERROR(INDEX(PODACI_PRODAJA!K:K,MATCH($A220,PODACI_PRODAJA!$A:$A,0)),0)</f>
        <v>0</v>
      </c>
      <c r="AC220" s="23" t="n">
        <f aca="false">IFERROR(INDEX(PODACI_PRODAJA!L:L,MATCH($A220,PODACI_PRODAJA!$A:$A,0)),0)</f>
        <v>0</v>
      </c>
      <c r="AD220" s="23" t="n">
        <f aca="false">IFERROR(INDEX(PODACI_PRODAJA!M:M,MATCH($A220,PODACI_PRODAJA!$A:$A,0)),0)</f>
        <v>0</v>
      </c>
    </row>
    <row r="221" customFormat="false" ht="15" hidden="false" customHeight="false" outlineLevel="0" collapsed="false">
      <c r="A221" s="11" t="str">
        <f aca="false">PODACI_ZALIHE!A218</f>
        <v>006271Y</v>
      </c>
      <c r="B221" s="8" t="str">
        <f aca="false">PODACI_ZALIHE!B218</f>
        <v>TK-A90120-6S TUŠ KABINA 90x120x185cm</v>
      </c>
      <c r="C221" s="9" t="str">
        <f aca="false">PODACI_ZALIHE!C218</f>
        <v>5590</v>
      </c>
      <c r="D221" s="8" t="str">
        <f aca="false">PODACI_ZALIHE!D218</f>
        <v>PINGHU YINUO SANITARY WARE CO.,LTD</v>
      </c>
      <c r="E221" s="19" t="n">
        <f aca="false">IF(PODACI_ZALIHE!E218="","",PODACI_ZALIHE!E218)</f>
        <v>37</v>
      </c>
      <c r="F221" s="20" t="n">
        <f aca="false">PODACI_ZALIHE!F218</f>
        <v>37</v>
      </c>
      <c r="G221" s="19" t="n">
        <f aca="false">IF(E221="","",E221-F221)</f>
        <v>0</v>
      </c>
      <c r="H221" s="9" t="n">
        <f aca="false">PODACI_PRODAJA!N390</f>
        <v>0</v>
      </c>
      <c r="I221" s="21" t="n">
        <f aca="false">IF(H221&lt;=0,999,ROUND(F221/H221,1))</f>
        <v>999</v>
      </c>
      <c r="J221" s="9" t="n">
        <f aca="false">SUMIFS(ROBA_U_DOLASKU!$C$6:$C$95,ROBA_U_DOLASKU!$A$6:$A$95,A221,ROBA_U_DOLASKU!$H$6:$H$95,1)</f>
        <v>0</v>
      </c>
      <c r="K221" s="9" t="n">
        <f aca="false">SUMIFS(ROBA_U_DOLASKU!$B$6:$B$95,ROBA_U_DOLASKU!$A$6:$A$95,A221,ROBA_U_DOLASKU!$H$6:$H$95,1)</f>
        <v>0</v>
      </c>
      <c r="L221" s="9" t="n">
        <f aca="false">SUMIFS(ROBA_U_DOLASKU!$C$6:$C$95,ROBA_U_DOLASKU!$A$6:$A$95,A221,ROBA_U_DOLASKU!$H$6:$H$95,2)</f>
        <v>0</v>
      </c>
      <c r="M221" s="9" t="n">
        <f aca="false">SUMIFS(ROBA_U_DOLASKU!$B$6:$B$95,ROBA_U_DOLASKU!$A$6:$A$95,A221,ROBA_U_DOLASKU!$H$6:$H$95,2)</f>
        <v>0</v>
      </c>
      <c r="N221" s="9" t="n">
        <f aca="false">SUMIFS(ROBA_U_DOLASKU!$C$6:$C$95,ROBA_U_DOLASKU!$A$6:$A$95,A221,ROBA_U_DOLASKU!$H$6:$H$95,3)</f>
        <v>0</v>
      </c>
      <c r="O221" s="9" t="n">
        <f aca="false">SUMIFS(ROBA_U_DOLASKU!$B$6:$B$95,ROBA_U_DOLASKU!$A$6:$A$95,A221,ROBA_U_DOLASKU!$H$6:$H$95,3)</f>
        <v>0</v>
      </c>
      <c r="P221" s="9" t="n">
        <f aca="false">IF(H221&lt;=0,999,IF(O221&gt;0,ROUND((F221-H221*N221+K221+M221+O221)/H221,1),IF(M221&gt;0,ROUND((F221-H221*L221+K221+M221)/H221,1),IF(K221&gt;0,ROUND((F221-H221*J221+K221)/H221,1),I221))))</f>
        <v>999</v>
      </c>
      <c r="Q221" s="22" t="str">
        <f aca="false">IF(H221&lt;=0,"Nema prodaje",IF(AND(K221=0,M221=0,O221=0),IF(I221&lt;POSTAVKE!$B$6,"Naruči odmah","Sve u redu"),IF(F221-H221*J221&lt;0,"Rupa za ~"&amp;TEXT(I221,"0.0")&amp;" mj.",IF(AND(M221&gt;0,F221-H221*L221+K221&lt;0),"Rupa nakon 1. dolaska",IF(AND(O221&gt;0,F221-H221*N221+K221+M221&lt;0),"Rupa nakon 2. dolaska",IF(P221&lt;POSTAVKE!$B$6,"Količina nije dovoljna",IF(I221&gt;=POSTAVKE!$B$6,"Sve u redu","Stiže na vrijeme")))))))</f>
        <v>Nema prodaje</v>
      </c>
      <c r="S221" s="23" t="n">
        <f aca="false">IFERROR(INDEX(PODACI_PRODAJA!B:B,MATCH($A221,PODACI_PRODAJA!$A:$A,0)),0)</f>
        <v>0</v>
      </c>
      <c r="T221" s="23" t="n">
        <f aca="false">IFERROR(INDEX(PODACI_PRODAJA!C:C,MATCH($A221,PODACI_PRODAJA!$A:$A,0)),0)</f>
        <v>0</v>
      </c>
      <c r="U221" s="23" t="n">
        <f aca="false">IFERROR(INDEX(PODACI_PRODAJA!D:D,MATCH($A221,PODACI_PRODAJA!$A:$A,0)),0)</f>
        <v>0</v>
      </c>
      <c r="V221" s="23" t="n">
        <f aca="false">IFERROR(INDEX(PODACI_PRODAJA!E:E,MATCH($A221,PODACI_PRODAJA!$A:$A,0)),0)</f>
        <v>0</v>
      </c>
      <c r="W221" s="23" t="n">
        <f aca="false">IFERROR(INDEX(PODACI_PRODAJA!F:F,MATCH($A221,PODACI_PRODAJA!$A:$A,0)),0)</f>
        <v>0</v>
      </c>
      <c r="X221" s="23" t="n">
        <f aca="false">IFERROR(INDEX(PODACI_PRODAJA!G:G,MATCH($A221,PODACI_PRODAJA!$A:$A,0)),0)</f>
        <v>0</v>
      </c>
      <c r="Y221" s="23" t="n">
        <f aca="false">IFERROR(INDEX(PODACI_PRODAJA!H:H,MATCH($A221,PODACI_PRODAJA!$A:$A,0)),0)</f>
        <v>0</v>
      </c>
      <c r="Z221" s="23" t="n">
        <f aca="false">IFERROR(INDEX(PODACI_PRODAJA!I:I,MATCH($A221,PODACI_PRODAJA!$A:$A,0)),0)</f>
        <v>0</v>
      </c>
      <c r="AA221" s="23" t="n">
        <f aca="false">IFERROR(INDEX(PODACI_PRODAJA!J:J,MATCH($A221,PODACI_PRODAJA!$A:$A,0)),0)</f>
        <v>0</v>
      </c>
      <c r="AB221" s="23" t="n">
        <f aca="false">IFERROR(INDEX(PODACI_PRODAJA!K:K,MATCH($A221,PODACI_PRODAJA!$A:$A,0)),0)</f>
        <v>0</v>
      </c>
      <c r="AC221" s="23" t="n">
        <f aca="false">IFERROR(INDEX(PODACI_PRODAJA!L:L,MATCH($A221,PODACI_PRODAJA!$A:$A,0)),0)</f>
        <v>0</v>
      </c>
      <c r="AD221" s="23" t="n">
        <f aca="false">IFERROR(INDEX(PODACI_PRODAJA!M:M,MATCH($A221,PODACI_PRODAJA!$A:$A,0)),0)</f>
        <v>0</v>
      </c>
    </row>
    <row r="222" customFormat="false" ht="15" hidden="false" customHeight="false" outlineLevel="0" collapsed="false">
      <c r="A222" s="11" t="str">
        <f aca="false">PODACI_ZALIHE!A219</f>
        <v>00839</v>
      </c>
      <c r="B222" s="8" t="str">
        <f aca="false">PODACI_ZALIHE!B219</f>
        <v>GL00013 FLEKSIBILNI SIFON 6/4'' ZA UMIVAONIK  SUDOPER</v>
      </c>
      <c r="C222" s="9" t="str">
        <f aca="false">PODACI_ZALIHE!C219</f>
        <v>3291</v>
      </c>
      <c r="D222" s="8" t="str">
        <f aca="false">PODACI_ZALIHE!D219</f>
        <v>TEHNOEXPORT D.O.O.</v>
      </c>
      <c r="E222" s="19" t="n">
        <f aca="false">IF(PODACI_ZALIHE!E219="","",PODACI_ZALIHE!E219)</f>
        <v>37</v>
      </c>
      <c r="F222" s="20" t="n">
        <f aca="false">PODACI_ZALIHE!F219</f>
        <v>37</v>
      </c>
      <c r="G222" s="19" t="n">
        <f aca="false">IF(E222="","",E222-F222)</f>
        <v>0</v>
      </c>
      <c r="H222" s="9" t="n">
        <f aca="false">PODACI_PRODAJA!N396</f>
        <v>0.25</v>
      </c>
      <c r="I222" s="21" t="n">
        <f aca="false">IF(H222&lt;=0,999,ROUND(F222/H222,1))</f>
        <v>148</v>
      </c>
      <c r="J222" s="9" t="n">
        <f aca="false">SUMIFS(ROBA_U_DOLASKU!$C$6:$C$95,ROBA_U_DOLASKU!$A$6:$A$95,A222,ROBA_U_DOLASKU!$H$6:$H$95,1)</f>
        <v>0</v>
      </c>
      <c r="K222" s="9" t="n">
        <f aca="false">SUMIFS(ROBA_U_DOLASKU!$B$6:$B$95,ROBA_U_DOLASKU!$A$6:$A$95,A222,ROBA_U_DOLASKU!$H$6:$H$95,1)</f>
        <v>0</v>
      </c>
      <c r="L222" s="9" t="n">
        <f aca="false">SUMIFS(ROBA_U_DOLASKU!$C$6:$C$95,ROBA_U_DOLASKU!$A$6:$A$95,A222,ROBA_U_DOLASKU!$H$6:$H$95,2)</f>
        <v>0</v>
      </c>
      <c r="M222" s="9" t="n">
        <f aca="false">SUMIFS(ROBA_U_DOLASKU!$B$6:$B$95,ROBA_U_DOLASKU!$A$6:$A$95,A222,ROBA_U_DOLASKU!$H$6:$H$95,2)</f>
        <v>0</v>
      </c>
      <c r="N222" s="9" t="n">
        <f aca="false">SUMIFS(ROBA_U_DOLASKU!$C$6:$C$95,ROBA_U_DOLASKU!$A$6:$A$95,A222,ROBA_U_DOLASKU!$H$6:$H$95,3)</f>
        <v>0</v>
      </c>
      <c r="O222" s="9" t="n">
        <f aca="false">SUMIFS(ROBA_U_DOLASKU!$B$6:$B$95,ROBA_U_DOLASKU!$A$6:$A$95,A222,ROBA_U_DOLASKU!$H$6:$H$95,3)</f>
        <v>0</v>
      </c>
      <c r="P222" s="9" t="n">
        <f aca="false">IF(H222&lt;=0,999,IF(O222&gt;0,ROUND((F222-H222*N222+K222+M222+O222)/H222,1),IF(M222&gt;0,ROUND((F222-H222*L222+K222+M222)/H222,1),IF(K222&gt;0,ROUND((F222-H222*J222+K222)/H222,1),I222))))</f>
        <v>148</v>
      </c>
      <c r="Q222" s="22" t="str">
        <f aca="false">IF(H222&lt;=0,"Nema prodaje",IF(AND(K222=0,M222=0,O222=0),IF(I222&lt;POSTAVKE!$B$6,"Naruči odmah","Sve u redu"),IF(F222-H222*J222&lt;0,"Rupa za ~"&amp;TEXT(I222,"0.0")&amp;" mj.",IF(AND(M222&gt;0,F222-H222*L222+K222&lt;0),"Rupa nakon 1. dolaska",IF(AND(O222&gt;0,F222-H222*N222+K222+M222&lt;0),"Rupa nakon 2. dolaska",IF(P222&lt;POSTAVKE!$B$6,"Količina nije dovoljna",IF(I222&gt;=POSTAVKE!$B$6,"Sve u redu","Stiže na vrijeme")))))))</f>
        <v>Sve u redu</v>
      </c>
      <c r="S222" s="23" t="n">
        <f aca="false">IFERROR(INDEX(PODACI_PRODAJA!B:B,MATCH($A222,PODACI_PRODAJA!$A:$A,0)),0)</f>
        <v>0</v>
      </c>
      <c r="T222" s="23" t="n">
        <f aca="false">IFERROR(INDEX(PODACI_PRODAJA!C:C,MATCH($A222,PODACI_PRODAJA!$A:$A,0)),0)</f>
        <v>0</v>
      </c>
      <c r="U222" s="23" t="n">
        <f aca="false">IFERROR(INDEX(PODACI_PRODAJA!D:D,MATCH($A222,PODACI_PRODAJA!$A:$A,0)),0)</f>
        <v>0</v>
      </c>
      <c r="V222" s="23" t="n">
        <f aca="false">IFERROR(INDEX(PODACI_PRODAJA!E:E,MATCH($A222,PODACI_PRODAJA!$A:$A,0)),0)</f>
        <v>0</v>
      </c>
      <c r="W222" s="23" t="n">
        <f aca="false">IFERROR(INDEX(PODACI_PRODAJA!F:F,MATCH($A222,PODACI_PRODAJA!$A:$A,0)),0)</f>
        <v>0</v>
      </c>
      <c r="X222" s="23" t="n">
        <f aca="false">IFERROR(INDEX(PODACI_PRODAJA!G:G,MATCH($A222,PODACI_PRODAJA!$A:$A,0)),0)</f>
        <v>0</v>
      </c>
      <c r="Y222" s="23" t="n">
        <f aca="false">IFERROR(INDEX(PODACI_PRODAJA!H:H,MATCH($A222,PODACI_PRODAJA!$A:$A,0)),0)</f>
        <v>2</v>
      </c>
      <c r="Z222" s="23" t="n">
        <f aca="false">IFERROR(INDEX(PODACI_PRODAJA!I:I,MATCH($A222,PODACI_PRODAJA!$A:$A,0)),0)</f>
        <v>0</v>
      </c>
      <c r="AA222" s="23" t="n">
        <f aca="false">IFERROR(INDEX(PODACI_PRODAJA!J:J,MATCH($A222,PODACI_PRODAJA!$A:$A,0)),0)</f>
        <v>0</v>
      </c>
      <c r="AB222" s="23" t="n">
        <f aca="false">IFERROR(INDEX(PODACI_PRODAJA!K:K,MATCH($A222,PODACI_PRODAJA!$A:$A,0)),0)</f>
        <v>0</v>
      </c>
      <c r="AC222" s="23" t="n">
        <f aca="false">IFERROR(INDEX(PODACI_PRODAJA!L:L,MATCH($A222,PODACI_PRODAJA!$A:$A,0)),0)</f>
        <v>0</v>
      </c>
      <c r="AD222" s="23" t="n">
        <f aca="false">IFERROR(INDEX(PODACI_PRODAJA!M:M,MATCH($A222,PODACI_PRODAJA!$A:$A,0)),0)</f>
        <v>0</v>
      </c>
    </row>
    <row r="223" customFormat="false" ht="15" hidden="false" customHeight="false" outlineLevel="0" collapsed="false">
      <c r="A223" s="11" t="str">
        <f aca="false">PODACI_ZALIHE!A220</f>
        <v>16988</v>
      </c>
      <c r="B223" s="8" t="str">
        <f aca="false">PODACI_ZALIHE!B220</f>
        <v>TK TOLEDO 80120 PRAVOKUTNA TUŠ KABINA 80x120x195 cm</v>
      </c>
      <c r="C223" s="9" t="str">
        <f aca="false">PODACI_ZALIHE!C220</f>
        <v>4328</v>
      </c>
      <c r="D223" s="8" t="str">
        <f aca="false">PODACI_ZALIHE!D220</f>
        <v>HANGZHOU DUHUI IMPORT AND EXPORT CO.,LTD</v>
      </c>
      <c r="E223" s="19" t="n">
        <f aca="false">IF(PODACI_ZALIHE!E220="","",PODACI_ZALIHE!E220)</f>
        <v>38</v>
      </c>
      <c r="F223" s="20" t="n">
        <f aca="false">PODACI_ZALIHE!F220</f>
        <v>37</v>
      </c>
      <c r="G223" s="19" t="n">
        <f aca="false">IF(E223="","",E223-F223)</f>
        <v>1</v>
      </c>
      <c r="H223" s="9" t="n">
        <f aca="false">PODACI_PRODAJA!N208</f>
        <v>1.75</v>
      </c>
      <c r="I223" s="21" t="n">
        <f aca="false">IF(H223&lt;=0,999,ROUND(F223/H223,1))</f>
        <v>21.1</v>
      </c>
      <c r="J223" s="9" t="n">
        <f aca="false">SUMIFS(ROBA_U_DOLASKU!$C$6:$C$95,ROBA_U_DOLASKU!$A$6:$A$95,A223,ROBA_U_DOLASKU!$H$6:$H$95,1)</f>
        <v>0</v>
      </c>
      <c r="K223" s="9" t="n">
        <f aca="false">SUMIFS(ROBA_U_DOLASKU!$B$6:$B$95,ROBA_U_DOLASKU!$A$6:$A$95,A223,ROBA_U_DOLASKU!$H$6:$H$95,1)</f>
        <v>0</v>
      </c>
      <c r="L223" s="9" t="n">
        <f aca="false">SUMIFS(ROBA_U_DOLASKU!$C$6:$C$95,ROBA_U_DOLASKU!$A$6:$A$95,A223,ROBA_U_DOLASKU!$H$6:$H$95,2)</f>
        <v>0</v>
      </c>
      <c r="M223" s="9" t="n">
        <f aca="false">SUMIFS(ROBA_U_DOLASKU!$B$6:$B$95,ROBA_U_DOLASKU!$A$6:$A$95,A223,ROBA_U_DOLASKU!$H$6:$H$95,2)</f>
        <v>0</v>
      </c>
      <c r="N223" s="9" t="n">
        <f aca="false">SUMIFS(ROBA_U_DOLASKU!$C$6:$C$95,ROBA_U_DOLASKU!$A$6:$A$95,A223,ROBA_U_DOLASKU!$H$6:$H$95,3)</f>
        <v>0</v>
      </c>
      <c r="O223" s="9" t="n">
        <f aca="false">SUMIFS(ROBA_U_DOLASKU!$B$6:$B$95,ROBA_U_DOLASKU!$A$6:$A$95,A223,ROBA_U_DOLASKU!$H$6:$H$95,3)</f>
        <v>0</v>
      </c>
      <c r="P223" s="9" t="n">
        <f aca="false">IF(H223&lt;=0,999,IF(O223&gt;0,ROUND((F223-H223*N223+K223+M223+O223)/H223,1),IF(M223&gt;0,ROUND((F223-H223*L223+K223+M223)/H223,1),IF(K223&gt;0,ROUND((F223-H223*J223+K223)/H223,1),I223))))</f>
        <v>21.1</v>
      </c>
      <c r="Q223" s="22" t="str">
        <f aca="false">IF(H223&lt;=0,"Nema prodaje",IF(AND(K223=0,M223=0,O223=0),IF(I223&lt;POSTAVKE!$B$6,"Naruči odmah","Sve u redu"),IF(F223-H223*J223&lt;0,"Rupa za ~"&amp;TEXT(I223,"0.0")&amp;" mj.",IF(AND(M223&gt;0,F223-H223*L223+K223&lt;0),"Rupa nakon 1. dolaska",IF(AND(O223&gt;0,F223-H223*N223+K223+M223&lt;0),"Rupa nakon 2. dolaska",IF(P223&lt;POSTAVKE!$B$6,"Količina nije dovoljna",IF(I223&gt;=POSTAVKE!$B$6,"Sve u redu","Stiže na vrijeme")))))))</f>
        <v>Sve u redu</v>
      </c>
      <c r="S223" s="23" t="n">
        <f aca="false">IFERROR(INDEX(PODACI_PRODAJA!B:B,MATCH($A223,PODACI_PRODAJA!$A:$A,0)),0)</f>
        <v>2</v>
      </c>
      <c r="T223" s="23" t="n">
        <f aca="false">IFERROR(INDEX(PODACI_PRODAJA!C:C,MATCH($A223,PODACI_PRODAJA!$A:$A,0)),0)</f>
        <v>0</v>
      </c>
      <c r="U223" s="23" t="n">
        <f aca="false">IFERROR(INDEX(PODACI_PRODAJA!D:D,MATCH($A223,PODACI_PRODAJA!$A:$A,0)),0)</f>
        <v>1</v>
      </c>
      <c r="V223" s="23" t="n">
        <f aca="false">IFERROR(INDEX(PODACI_PRODAJA!E:E,MATCH($A223,PODACI_PRODAJA!$A:$A,0)),0)</f>
        <v>0</v>
      </c>
      <c r="W223" s="23" t="n">
        <f aca="false">IFERROR(INDEX(PODACI_PRODAJA!F:F,MATCH($A223,PODACI_PRODAJA!$A:$A,0)),0)</f>
        <v>4</v>
      </c>
      <c r="X223" s="23" t="n">
        <f aca="false">IFERROR(INDEX(PODACI_PRODAJA!G:G,MATCH($A223,PODACI_PRODAJA!$A:$A,0)),0)</f>
        <v>3</v>
      </c>
      <c r="Y223" s="23" t="n">
        <f aca="false">IFERROR(INDEX(PODACI_PRODAJA!H:H,MATCH($A223,PODACI_PRODAJA!$A:$A,0)),0)</f>
        <v>2</v>
      </c>
      <c r="Z223" s="23" t="n">
        <f aca="false">IFERROR(INDEX(PODACI_PRODAJA!I:I,MATCH($A223,PODACI_PRODAJA!$A:$A,0)),0)</f>
        <v>2</v>
      </c>
      <c r="AA223" s="23" t="n">
        <f aca="false">IFERROR(INDEX(PODACI_PRODAJA!J:J,MATCH($A223,PODACI_PRODAJA!$A:$A,0)),0)</f>
        <v>1</v>
      </c>
      <c r="AB223" s="23" t="n">
        <f aca="false">IFERROR(INDEX(PODACI_PRODAJA!K:K,MATCH($A223,PODACI_PRODAJA!$A:$A,0)),0)</f>
        <v>0</v>
      </c>
      <c r="AC223" s="23" t="n">
        <f aca="false">IFERROR(INDEX(PODACI_PRODAJA!L:L,MATCH($A223,PODACI_PRODAJA!$A:$A,0)),0)</f>
        <v>0</v>
      </c>
      <c r="AD223" s="23" t="n">
        <f aca="false">IFERROR(INDEX(PODACI_PRODAJA!M:M,MATCH($A223,PODACI_PRODAJA!$A:$A,0)),0)</f>
        <v>0</v>
      </c>
    </row>
    <row r="224" customFormat="false" ht="15" hidden="false" customHeight="false" outlineLevel="0" collapsed="false">
      <c r="A224" s="11" t="str">
        <f aca="false">PODACI_ZALIHE!A221</f>
        <v>18787</v>
      </c>
      <c r="B224" s="8" t="str">
        <f aca="false">PODACI_ZALIHE!B221</f>
        <v>AKUSTIČNI ZIDNI PANEL MDF LETVICE SVIJETLI JASEN 2700x605x21 mm</v>
      </c>
      <c r="C224" s="9" t="str">
        <f aca="false">PODACI_ZALIHE!C221</f>
        <v>6931</v>
      </c>
      <c r="D224" s="8" t="str">
        <f aca="false">PODACI_ZALIHE!D221</f>
        <v>INTCO INTERNATIONAL (HK) CO., LIMITED</v>
      </c>
      <c r="E224" s="19" t="n">
        <f aca="false">IF(PODACI_ZALIHE!E221="","",PODACI_ZALIHE!E221)</f>
        <v>37</v>
      </c>
      <c r="F224" s="20" t="n">
        <f aca="false">PODACI_ZALIHE!F221</f>
        <v>37</v>
      </c>
      <c r="G224" s="19" t="n">
        <f aca="false">IF(E224="","",E224-F224)</f>
        <v>0</v>
      </c>
      <c r="H224" s="9" t="n">
        <f aca="false">PODACI_PRODAJA!N709</f>
        <v>0.75</v>
      </c>
      <c r="I224" s="21" t="n">
        <f aca="false">IF(H224&lt;=0,999,ROUND(F224/H224,1))</f>
        <v>49.3</v>
      </c>
      <c r="J224" s="9" t="n">
        <f aca="false">SUMIFS(ROBA_U_DOLASKU!$C$6:$C$95,ROBA_U_DOLASKU!$A$6:$A$95,A224,ROBA_U_DOLASKU!$H$6:$H$95,1)</f>
        <v>0</v>
      </c>
      <c r="K224" s="9" t="n">
        <f aca="false">SUMIFS(ROBA_U_DOLASKU!$B$6:$B$95,ROBA_U_DOLASKU!$A$6:$A$95,A224,ROBA_U_DOLASKU!$H$6:$H$95,1)</f>
        <v>0</v>
      </c>
      <c r="L224" s="9" t="n">
        <f aca="false">SUMIFS(ROBA_U_DOLASKU!$C$6:$C$95,ROBA_U_DOLASKU!$A$6:$A$95,A224,ROBA_U_DOLASKU!$H$6:$H$95,2)</f>
        <v>0</v>
      </c>
      <c r="M224" s="9" t="n">
        <f aca="false">SUMIFS(ROBA_U_DOLASKU!$B$6:$B$95,ROBA_U_DOLASKU!$A$6:$A$95,A224,ROBA_U_DOLASKU!$H$6:$H$95,2)</f>
        <v>0</v>
      </c>
      <c r="N224" s="9" t="n">
        <f aca="false">SUMIFS(ROBA_U_DOLASKU!$C$6:$C$95,ROBA_U_DOLASKU!$A$6:$A$95,A224,ROBA_U_DOLASKU!$H$6:$H$95,3)</f>
        <v>0</v>
      </c>
      <c r="O224" s="9" t="n">
        <f aca="false">SUMIFS(ROBA_U_DOLASKU!$B$6:$B$95,ROBA_U_DOLASKU!$A$6:$A$95,A224,ROBA_U_DOLASKU!$H$6:$H$95,3)</f>
        <v>0</v>
      </c>
      <c r="P224" s="9" t="n">
        <f aca="false">IF(H224&lt;=0,999,IF(O224&gt;0,ROUND((F224-H224*N224+K224+M224+O224)/H224,1),IF(M224&gt;0,ROUND((F224-H224*L224+K224+M224)/H224,1),IF(K224&gt;0,ROUND((F224-H224*J224+K224)/H224,1),I224))))</f>
        <v>49.3</v>
      </c>
      <c r="Q224" s="22" t="str">
        <f aca="false">IF(H224&lt;=0,"Nema prodaje",IF(AND(K224=0,M224=0,O224=0),IF(I224&lt;POSTAVKE!$B$6,"Naruči odmah","Sve u redu"),IF(F224-H224*J224&lt;0,"Rupa za ~"&amp;TEXT(I224,"0.0")&amp;" mj.",IF(AND(M224&gt;0,F224-H224*L224+K224&lt;0),"Rupa nakon 1. dolaska",IF(AND(O224&gt;0,F224-H224*N224+K224+M224&lt;0),"Rupa nakon 2. dolaska",IF(P224&lt;POSTAVKE!$B$6,"Količina nije dovoljna",IF(I224&gt;=POSTAVKE!$B$6,"Sve u redu","Stiže na vrijeme")))))))</f>
        <v>Sve u redu</v>
      </c>
      <c r="S224" s="23" t="n">
        <f aca="false">IFERROR(INDEX(PODACI_PRODAJA!B:B,MATCH($A224,PODACI_PRODAJA!$A:$A,0)),0)</f>
        <v>0</v>
      </c>
      <c r="T224" s="23" t="n">
        <f aca="false">IFERROR(INDEX(PODACI_PRODAJA!C:C,MATCH($A224,PODACI_PRODAJA!$A:$A,0)),0)</f>
        <v>0</v>
      </c>
      <c r="U224" s="23" t="n">
        <f aca="false">IFERROR(INDEX(PODACI_PRODAJA!D:D,MATCH($A224,PODACI_PRODAJA!$A:$A,0)),0)</f>
        <v>0</v>
      </c>
      <c r="V224" s="23" t="n">
        <f aca="false">IFERROR(INDEX(PODACI_PRODAJA!E:E,MATCH($A224,PODACI_PRODAJA!$A:$A,0)),0)</f>
        <v>0</v>
      </c>
      <c r="W224" s="23" t="n">
        <f aca="false">IFERROR(INDEX(PODACI_PRODAJA!F:F,MATCH($A224,PODACI_PRODAJA!$A:$A,0)),0)</f>
        <v>0</v>
      </c>
      <c r="X224" s="23" t="n">
        <f aca="false">IFERROR(INDEX(PODACI_PRODAJA!G:G,MATCH($A224,PODACI_PRODAJA!$A:$A,0)),0)</f>
        <v>0</v>
      </c>
      <c r="Y224" s="23" t="n">
        <f aca="false">IFERROR(INDEX(PODACI_PRODAJA!H:H,MATCH($A224,PODACI_PRODAJA!$A:$A,0)),0)</f>
        <v>6</v>
      </c>
      <c r="Z224" s="23" t="n">
        <f aca="false">IFERROR(INDEX(PODACI_PRODAJA!I:I,MATCH($A224,PODACI_PRODAJA!$A:$A,0)),0)</f>
        <v>0</v>
      </c>
      <c r="AA224" s="23" t="n">
        <f aca="false">IFERROR(INDEX(PODACI_PRODAJA!J:J,MATCH($A224,PODACI_PRODAJA!$A:$A,0)),0)</f>
        <v>0</v>
      </c>
      <c r="AB224" s="23" t="n">
        <f aca="false">IFERROR(INDEX(PODACI_PRODAJA!K:K,MATCH($A224,PODACI_PRODAJA!$A:$A,0)),0)</f>
        <v>0</v>
      </c>
      <c r="AC224" s="23" t="n">
        <f aca="false">IFERROR(INDEX(PODACI_PRODAJA!L:L,MATCH($A224,PODACI_PRODAJA!$A:$A,0)),0)</f>
        <v>0</v>
      </c>
      <c r="AD224" s="23" t="n">
        <f aca="false">IFERROR(INDEX(PODACI_PRODAJA!M:M,MATCH($A224,PODACI_PRODAJA!$A:$A,0)),0)</f>
        <v>0</v>
      </c>
    </row>
    <row r="225" customFormat="false" ht="15" hidden="false" customHeight="false" outlineLevel="0" collapsed="false">
      <c r="A225" s="11" t="str">
        <f aca="false">PODACI_ZALIHE!A222</f>
        <v>18789</v>
      </c>
      <c r="B225" s="8" t="str">
        <f aca="false">PODACI_ZALIHE!B222</f>
        <v>AKUSTIČNI ZIDNI PANEL MDF LETVICE TAMNO SIVA 2700x605x21 mm</v>
      </c>
      <c r="C225" s="9" t="str">
        <f aca="false">PODACI_ZALIHE!C222</f>
        <v>6931</v>
      </c>
      <c r="D225" s="8" t="str">
        <f aca="false">PODACI_ZALIHE!D222</f>
        <v>INTCO INTERNATIONAL (HK) CO., LIMITED</v>
      </c>
      <c r="E225" s="19" t="n">
        <f aca="false">IF(PODACI_ZALIHE!E222="","",PODACI_ZALIHE!E222)</f>
        <v>37</v>
      </c>
      <c r="F225" s="20" t="n">
        <f aca="false">PODACI_ZALIHE!F222</f>
        <v>37</v>
      </c>
      <c r="G225" s="19" t="n">
        <f aca="false">IF(E225="","",E225-F225)</f>
        <v>0</v>
      </c>
      <c r="H225" s="9" t="n">
        <f aca="false">PODACI_PRODAJA!N711</f>
        <v>1.5</v>
      </c>
      <c r="I225" s="21" t="n">
        <f aca="false">IF(H225&lt;=0,999,ROUND(F225/H225,1))</f>
        <v>24.7</v>
      </c>
      <c r="J225" s="9" t="n">
        <f aca="false">SUMIFS(ROBA_U_DOLASKU!$C$6:$C$95,ROBA_U_DOLASKU!$A$6:$A$95,A225,ROBA_U_DOLASKU!$H$6:$H$95,1)</f>
        <v>0</v>
      </c>
      <c r="K225" s="9" t="n">
        <f aca="false">SUMIFS(ROBA_U_DOLASKU!$B$6:$B$95,ROBA_U_DOLASKU!$A$6:$A$95,A225,ROBA_U_DOLASKU!$H$6:$H$95,1)</f>
        <v>0</v>
      </c>
      <c r="L225" s="9" t="n">
        <f aca="false">SUMIFS(ROBA_U_DOLASKU!$C$6:$C$95,ROBA_U_DOLASKU!$A$6:$A$95,A225,ROBA_U_DOLASKU!$H$6:$H$95,2)</f>
        <v>0</v>
      </c>
      <c r="M225" s="9" t="n">
        <f aca="false">SUMIFS(ROBA_U_DOLASKU!$B$6:$B$95,ROBA_U_DOLASKU!$A$6:$A$95,A225,ROBA_U_DOLASKU!$H$6:$H$95,2)</f>
        <v>0</v>
      </c>
      <c r="N225" s="9" t="n">
        <f aca="false">SUMIFS(ROBA_U_DOLASKU!$C$6:$C$95,ROBA_U_DOLASKU!$A$6:$A$95,A225,ROBA_U_DOLASKU!$H$6:$H$95,3)</f>
        <v>0</v>
      </c>
      <c r="O225" s="9" t="n">
        <f aca="false">SUMIFS(ROBA_U_DOLASKU!$B$6:$B$95,ROBA_U_DOLASKU!$A$6:$A$95,A225,ROBA_U_DOLASKU!$H$6:$H$95,3)</f>
        <v>0</v>
      </c>
      <c r="P225" s="9" t="n">
        <f aca="false">IF(H225&lt;=0,999,IF(O225&gt;0,ROUND((F225-H225*N225+K225+M225+O225)/H225,1),IF(M225&gt;0,ROUND((F225-H225*L225+K225+M225)/H225,1),IF(K225&gt;0,ROUND((F225-H225*J225+K225)/H225,1),I225))))</f>
        <v>24.7</v>
      </c>
      <c r="Q225" s="22" t="str">
        <f aca="false">IF(H225&lt;=0,"Nema prodaje",IF(AND(K225=0,M225=0,O225=0),IF(I225&lt;POSTAVKE!$B$6,"Naruči odmah","Sve u redu"),IF(F225-H225*J225&lt;0,"Rupa za ~"&amp;TEXT(I225,"0.0")&amp;" mj.",IF(AND(M225&gt;0,F225-H225*L225+K225&lt;0),"Rupa nakon 1. dolaska",IF(AND(O225&gt;0,F225-H225*N225+K225+M225&lt;0),"Rupa nakon 2. dolaska",IF(P225&lt;POSTAVKE!$B$6,"Količina nije dovoljna",IF(I225&gt;=POSTAVKE!$B$6,"Sve u redu","Stiže na vrijeme")))))))</f>
        <v>Sve u redu</v>
      </c>
      <c r="S225" s="23" t="n">
        <f aca="false">IFERROR(INDEX(PODACI_PRODAJA!B:B,MATCH($A225,PODACI_PRODAJA!$A:$A,0)),0)</f>
        <v>0</v>
      </c>
      <c r="T225" s="23" t="n">
        <f aca="false">IFERROR(INDEX(PODACI_PRODAJA!C:C,MATCH($A225,PODACI_PRODAJA!$A:$A,0)),0)</f>
        <v>0</v>
      </c>
      <c r="U225" s="23" t="n">
        <f aca="false">IFERROR(INDEX(PODACI_PRODAJA!D:D,MATCH($A225,PODACI_PRODAJA!$A:$A,0)),0)</f>
        <v>0</v>
      </c>
      <c r="V225" s="23" t="n">
        <f aca="false">IFERROR(INDEX(PODACI_PRODAJA!E:E,MATCH($A225,PODACI_PRODAJA!$A:$A,0)),0)</f>
        <v>0</v>
      </c>
      <c r="W225" s="23" t="n">
        <f aca="false">IFERROR(INDEX(PODACI_PRODAJA!F:F,MATCH($A225,PODACI_PRODAJA!$A:$A,0)),0)</f>
        <v>0</v>
      </c>
      <c r="X225" s="23" t="n">
        <f aca="false">IFERROR(INDEX(PODACI_PRODAJA!G:G,MATCH($A225,PODACI_PRODAJA!$A:$A,0)),0)</f>
        <v>0</v>
      </c>
      <c r="Y225" s="23" t="n">
        <f aca="false">IFERROR(INDEX(PODACI_PRODAJA!H:H,MATCH($A225,PODACI_PRODAJA!$A:$A,0)),0)</f>
        <v>6</v>
      </c>
      <c r="Z225" s="23" t="n">
        <f aca="false">IFERROR(INDEX(PODACI_PRODAJA!I:I,MATCH($A225,PODACI_PRODAJA!$A:$A,0)),0)</f>
        <v>6</v>
      </c>
      <c r="AA225" s="23" t="n">
        <f aca="false">IFERROR(INDEX(PODACI_PRODAJA!J:J,MATCH($A225,PODACI_PRODAJA!$A:$A,0)),0)</f>
        <v>0</v>
      </c>
      <c r="AB225" s="23" t="n">
        <f aca="false">IFERROR(INDEX(PODACI_PRODAJA!K:K,MATCH($A225,PODACI_PRODAJA!$A:$A,0)),0)</f>
        <v>0</v>
      </c>
      <c r="AC225" s="23" t="n">
        <f aca="false">IFERROR(INDEX(PODACI_PRODAJA!L:L,MATCH($A225,PODACI_PRODAJA!$A:$A,0)),0)</f>
        <v>0</v>
      </c>
      <c r="AD225" s="23" t="n">
        <f aca="false">IFERROR(INDEX(PODACI_PRODAJA!M:M,MATCH($A225,PODACI_PRODAJA!$A:$A,0)),0)</f>
        <v>0</v>
      </c>
    </row>
    <row r="226" customFormat="false" ht="15" hidden="false" customHeight="false" outlineLevel="0" collapsed="false">
      <c r="A226" s="11" t="str">
        <f aca="false">PODACI_ZALIHE!A223</f>
        <v>040111</v>
      </c>
      <c r="B226" s="8" t="str">
        <f aca="false">PODACI_ZALIHE!B223</f>
        <v>AOSTA  - MJEŠALICA ZA KADU</v>
      </c>
      <c r="C226" s="9" t="str">
        <f aca="false">PODACI_ZALIHE!C223</f>
        <v>4053</v>
      </c>
      <c r="D226" s="8" t="str">
        <f aca="false">PODACI_ZALIHE!D223</f>
        <v>TAIZHOU ZHENGSHING VALVE CO .,LTD</v>
      </c>
      <c r="E226" s="19" t="n">
        <f aca="false">IF(PODACI_ZALIHE!E223="","",PODACI_ZALIHE!E223)</f>
        <v>36</v>
      </c>
      <c r="F226" s="20" t="n">
        <f aca="false">PODACI_ZALIHE!F223</f>
        <v>36</v>
      </c>
      <c r="G226" s="19" t="n">
        <f aca="false">IF(E226="","",E226-F226)</f>
        <v>0</v>
      </c>
      <c r="H226" s="9" t="n">
        <f aca="false">PODACI_PRODAJA!N113</f>
        <v>6.25</v>
      </c>
      <c r="I226" s="21" t="n">
        <f aca="false">IF(H226&lt;=0,999,ROUND(F226/H226,1))</f>
        <v>5.8</v>
      </c>
      <c r="J226" s="9" t="n">
        <f aca="false">SUMIFS(ROBA_U_DOLASKU!$C$6:$C$95,ROBA_U_DOLASKU!$A$6:$A$95,A226,ROBA_U_DOLASKU!$H$6:$H$95,1)</f>
        <v>0</v>
      </c>
      <c r="K226" s="9" t="n">
        <f aca="false">SUMIFS(ROBA_U_DOLASKU!$B$6:$B$95,ROBA_U_DOLASKU!$A$6:$A$95,A226,ROBA_U_DOLASKU!$H$6:$H$95,1)</f>
        <v>0</v>
      </c>
      <c r="L226" s="9" t="n">
        <f aca="false">SUMIFS(ROBA_U_DOLASKU!$C$6:$C$95,ROBA_U_DOLASKU!$A$6:$A$95,A226,ROBA_U_DOLASKU!$H$6:$H$95,2)</f>
        <v>0</v>
      </c>
      <c r="M226" s="9" t="n">
        <f aca="false">SUMIFS(ROBA_U_DOLASKU!$B$6:$B$95,ROBA_U_DOLASKU!$A$6:$A$95,A226,ROBA_U_DOLASKU!$H$6:$H$95,2)</f>
        <v>0</v>
      </c>
      <c r="N226" s="9" t="n">
        <f aca="false">SUMIFS(ROBA_U_DOLASKU!$C$6:$C$95,ROBA_U_DOLASKU!$A$6:$A$95,A226,ROBA_U_DOLASKU!$H$6:$H$95,3)</f>
        <v>0</v>
      </c>
      <c r="O226" s="9" t="n">
        <f aca="false">SUMIFS(ROBA_U_DOLASKU!$B$6:$B$95,ROBA_U_DOLASKU!$A$6:$A$95,A226,ROBA_U_DOLASKU!$H$6:$H$95,3)</f>
        <v>0</v>
      </c>
      <c r="P226" s="9" t="n">
        <f aca="false">IF(H226&lt;=0,999,IF(O226&gt;0,ROUND((F226-H226*N226+K226+M226+O226)/H226,1),IF(M226&gt;0,ROUND((F226-H226*L226+K226+M226)/H226,1),IF(K226&gt;0,ROUND((F226-H226*J226+K226)/H226,1),I226))))</f>
        <v>5.8</v>
      </c>
      <c r="Q226" s="22" t="str">
        <f aca="false">IF(H226&lt;=0,"Nema prodaje",IF(AND(K226=0,M226=0,O226=0),IF(I226&lt;POSTAVKE!$B$6,"Naruči odmah","Sve u redu"),IF(F226-H226*J226&lt;0,"Rupa za ~"&amp;TEXT(I226,"0.0")&amp;" mj.",IF(AND(M226&gt;0,F226-H226*L226+K226&lt;0),"Rupa nakon 1. dolaska",IF(AND(O226&gt;0,F226-H226*N226+K226+M226&lt;0),"Rupa nakon 2. dolaska",IF(P226&lt;POSTAVKE!$B$6,"Količina nije dovoljna",IF(I226&gt;=POSTAVKE!$B$6,"Sve u redu","Stiže na vrijeme")))))))</f>
        <v>Sve u redu</v>
      </c>
      <c r="S226" s="23" t="n">
        <f aca="false">IFERROR(INDEX(PODACI_PRODAJA!B:B,MATCH($A226,PODACI_PRODAJA!$A:$A,0)),0)</f>
        <v>5</v>
      </c>
      <c r="T226" s="23" t="n">
        <f aca="false">IFERROR(INDEX(PODACI_PRODAJA!C:C,MATCH($A226,PODACI_PRODAJA!$A:$A,0)),0)</f>
        <v>2</v>
      </c>
      <c r="U226" s="23" t="n">
        <f aca="false">IFERROR(INDEX(PODACI_PRODAJA!D:D,MATCH($A226,PODACI_PRODAJA!$A:$A,0)),0)</f>
        <v>4</v>
      </c>
      <c r="V226" s="23" t="n">
        <f aca="false">IFERROR(INDEX(PODACI_PRODAJA!E:E,MATCH($A226,PODACI_PRODAJA!$A:$A,0)),0)</f>
        <v>5</v>
      </c>
      <c r="W226" s="23" t="n">
        <f aca="false">IFERROR(INDEX(PODACI_PRODAJA!F:F,MATCH($A226,PODACI_PRODAJA!$A:$A,0)),0)</f>
        <v>12</v>
      </c>
      <c r="X226" s="23" t="n">
        <f aca="false">IFERROR(INDEX(PODACI_PRODAJA!G:G,MATCH($A226,PODACI_PRODAJA!$A:$A,0)),0)</f>
        <v>5</v>
      </c>
      <c r="Y226" s="23" t="n">
        <f aca="false">IFERROR(INDEX(PODACI_PRODAJA!H:H,MATCH($A226,PODACI_PRODAJA!$A:$A,0)),0)</f>
        <v>8</v>
      </c>
      <c r="Z226" s="23" t="n">
        <f aca="false">IFERROR(INDEX(PODACI_PRODAJA!I:I,MATCH($A226,PODACI_PRODAJA!$A:$A,0)),0)</f>
        <v>9</v>
      </c>
      <c r="AA226" s="23" t="n">
        <f aca="false">IFERROR(INDEX(PODACI_PRODAJA!J:J,MATCH($A226,PODACI_PRODAJA!$A:$A,0)),0)</f>
        <v>0</v>
      </c>
      <c r="AB226" s="23" t="n">
        <f aca="false">IFERROR(INDEX(PODACI_PRODAJA!K:K,MATCH($A226,PODACI_PRODAJA!$A:$A,0)),0)</f>
        <v>0</v>
      </c>
      <c r="AC226" s="23" t="n">
        <f aca="false">IFERROR(INDEX(PODACI_PRODAJA!L:L,MATCH($A226,PODACI_PRODAJA!$A:$A,0)),0)</f>
        <v>0</v>
      </c>
      <c r="AD226" s="23" t="n">
        <f aca="false">IFERROR(INDEX(PODACI_PRODAJA!M:M,MATCH($A226,PODACI_PRODAJA!$A:$A,0)),0)</f>
        <v>0</v>
      </c>
    </row>
    <row r="227" customFormat="false" ht="15" hidden="false" customHeight="false" outlineLevel="0" collapsed="false">
      <c r="A227" s="11" t="str">
        <f aca="false">PODACI_ZALIHE!A224</f>
        <v>15276</v>
      </c>
      <c r="B227" s="8" t="str">
        <f aca="false">PODACI_ZALIHE!B224</f>
        <v>FRAME B70R OGLEDALO S LED RASVJETOM R70 cm</v>
      </c>
      <c r="C227" s="9" t="str">
        <f aca="false">PODACI_ZALIHE!C224</f>
        <v>5720</v>
      </c>
      <c r="D227" s="8" t="str">
        <f aca="false">PODACI_ZALIHE!D224</f>
        <v>ZHEJIANG SUMMERSIDE SANITARY WARE TECHNOLOGY CO., LTD</v>
      </c>
      <c r="E227" s="19" t="n">
        <f aca="false">IF(PODACI_ZALIHE!E224="","",PODACI_ZALIHE!E224)</f>
        <v>37</v>
      </c>
      <c r="F227" s="20" t="n">
        <f aca="false">PODACI_ZALIHE!F224</f>
        <v>36</v>
      </c>
      <c r="G227" s="19" t="n">
        <f aca="false">IF(E227="","",E227-F227)</f>
        <v>1</v>
      </c>
      <c r="H227" s="9" t="n">
        <f aca="false">PODACI_PRODAJA!N101</f>
        <v>9.38</v>
      </c>
      <c r="I227" s="21" t="n">
        <f aca="false">IF(H227&lt;=0,999,ROUND(F227/H227,1))</f>
        <v>3.8</v>
      </c>
      <c r="J227" s="9" t="n">
        <f aca="false">SUMIFS(ROBA_U_DOLASKU!$C$6:$C$95,ROBA_U_DOLASKU!$A$6:$A$95,A227,ROBA_U_DOLASKU!$H$6:$H$95,1)</f>
        <v>0</v>
      </c>
      <c r="K227" s="9" t="n">
        <f aca="false">SUMIFS(ROBA_U_DOLASKU!$B$6:$B$95,ROBA_U_DOLASKU!$A$6:$A$95,A227,ROBA_U_DOLASKU!$H$6:$H$95,1)</f>
        <v>0</v>
      </c>
      <c r="L227" s="9" t="n">
        <f aca="false">SUMIFS(ROBA_U_DOLASKU!$C$6:$C$95,ROBA_U_DOLASKU!$A$6:$A$95,A227,ROBA_U_DOLASKU!$H$6:$H$95,2)</f>
        <v>0</v>
      </c>
      <c r="M227" s="9" t="n">
        <f aca="false">SUMIFS(ROBA_U_DOLASKU!$B$6:$B$95,ROBA_U_DOLASKU!$A$6:$A$95,A227,ROBA_U_DOLASKU!$H$6:$H$95,2)</f>
        <v>0</v>
      </c>
      <c r="N227" s="9" t="n">
        <f aca="false">SUMIFS(ROBA_U_DOLASKU!$C$6:$C$95,ROBA_U_DOLASKU!$A$6:$A$95,A227,ROBA_U_DOLASKU!$H$6:$H$95,3)</f>
        <v>0</v>
      </c>
      <c r="O227" s="9" t="n">
        <f aca="false">SUMIFS(ROBA_U_DOLASKU!$B$6:$B$95,ROBA_U_DOLASKU!$A$6:$A$95,A227,ROBA_U_DOLASKU!$H$6:$H$95,3)</f>
        <v>0</v>
      </c>
      <c r="P227" s="9" t="n">
        <f aca="false">IF(H227&lt;=0,999,IF(O227&gt;0,ROUND((F227-H227*N227+K227+M227+O227)/H227,1),IF(M227&gt;0,ROUND((F227-H227*L227+K227+M227)/H227,1),IF(K227&gt;0,ROUND((F227-H227*J227+K227)/H227,1),I227))))</f>
        <v>3.8</v>
      </c>
      <c r="Q227" s="22" t="str">
        <f aca="false">IF(H227&lt;=0,"Nema prodaje",IF(AND(K227=0,M227=0,O227=0),IF(I227&lt;POSTAVKE!$B$6,"Naruči odmah","Sve u redu"),IF(F227-H227*J227&lt;0,"Rupa za ~"&amp;TEXT(I227,"0.0")&amp;" mj.",IF(AND(M227&gt;0,F227-H227*L227+K227&lt;0),"Rupa nakon 1. dolaska",IF(AND(O227&gt;0,F227-H227*N227+K227+M227&lt;0),"Rupa nakon 2. dolaska",IF(P227&lt;POSTAVKE!$B$6,"Količina nije dovoljna",IF(I227&gt;=POSTAVKE!$B$6,"Sve u redu","Stiže na vrijeme")))))))</f>
        <v>Naruči odmah</v>
      </c>
      <c r="S227" s="23" t="n">
        <f aca="false">IFERROR(INDEX(PODACI_PRODAJA!B:B,MATCH($A227,PODACI_PRODAJA!$A:$A,0)),0)</f>
        <v>6</v>
      </c>
      <c r="T227" s="23" t="n">
        <f aca="false">IFERROR(INDEX(PODACI_PRODAJA!C:C,MATCH($A227,PODACI_PRODAJA!$A:$A,0)),0)</f>
        <v>14</v>
      </c>
      <c r="U227" s="23" t="n">
        <f aca="false">IFERROR(INDEX(PODACI_PRODAJA!D:D,MATCH($A227,PODACI_PRODAJA!$A:$A,0)),0)</f>
        <v>24</v>
      </c>
      <c r="V227" s="23" t="n">
        <f aca="false">IFERROR(INDEX(PODACI_PRODAJA!E:E,MATCH($A227,PODACI_PRODAJA!$A:$A,0)),0)</f>
        <v>12</v>
      </c>
      <c r="W227" s="23" t="n">
        <f aca="false">IFERROR(INDEX(PODACI_PRODAJA!F:F,MATCH($A227,PODACI_PRODAJA!$A:$A,0)),0)</f>
        <v>12</v>
      </c>
      <c r="X227" s="23" t="n">
        <f aca="false">IFERROR(INDEX(PODACI_PRODAJA!G:G,MATCH($A227,PODACI_PRODAJA!$A:$A,0)),0)</f>
        <v>1</v>
      </c>
      <c r="Y227" s="23" t="n">
        <f aca="false">IFERROR(INDEX(PODACI_PRODAJA!H:H,MATCH($A227,PODACI_PRODAJA!$A:$A,0)),0)</f>
        <v>0</v>
      </c>
      <c r="Z227" s="23" t="n">
        <f aca="false">IFERROR(INDEX(PODACI_PRODAJA!I:I,MATCH($A227,PODACI_PRODAJA!$A:$A,0)),0)</f>
        <v>6</v>
      </c>
      <c r="AA227" s="23" t="n">
        <f aca="false">IFERROR(INDEX(PODACI_PRODAJA!J:J,MATCH($A227,PODACI_PRODAJA!$A:$A,0)),0)</f>
        <v>1</v>
      </c>
      <c r="AB227" s="23" t="n">
        <f aca="false">IFERROR(INDEX(PODACI_PRODAJA!K:K,MATCH($A227,PODACI_PRODAJA!$A:$A,0)),0)</f>
        <v>0</v>
      </c>
      <c r="AC227" s="23" t="n">
        <f aca="false">IFERROR(INDEX(PODACI_PRODAJA!L:L,MATCH($A227,PODACI_PRODAJA!$A:$A,0)),0)</f>
        <v>0</v>
      </c>
      <c r="AD227" s="23" t="n">
        <f aca="false">IFERROR(INDEX(PODACI_PRODAJA!M:M,MATCH($A227,PODACI_PRODAJA!$A:$A,0)),0)</f>
        <v>0</v>
      </c>
    </row>
    <row r="228" customFormat="false" ht="15" hidden="false" customHeight="false" outlineLevel="0" collapsed="false">
      <c r="A228" s="11" t="str">
        <f aca="false">PODACI_ZALIHE!A225</f>
        <v>16782</v>
      </c>
      <c r="B228" s="8" t="str">
        <f aca="false">PODACI_ZALIHE!B225</f>
        <v>TK BRIGHT 80 KVADRATNA TUŠ KABINA 80x80x180 cm</v>
      </c>
      <c r="C228" s="9" t="str">
        <f aca="false">PODACI_ZALIHE!C225</f>
        <v>6163</v>
      </c>
      <c r="D228" s="8" t="str">
        <f aca="false">PODACI_ZALIHE!D225</f>
        <v>HANGZHOU TIANMEI INDUSTRY CO.,LTD</v>
      </c>
      <c r="E228" s="19" t="n">
        <f aca="false">IF(PODACI_ZALIHE!E225="","",PODACI_ZALIHE!E225)</f>
        <v>36</v>
      </c>
      <c r="F228" s="20" t="n">
        <f aca="false">PODACI_ZALIHE!F225</f>
        <v>36</v>
      </c>
      <c r="G228" s="19" t="n">
        <f aca="false">IF(E228="","",E228-F228)</f>
        <v>0</v>
      </c>
      <c r="H228" s="9" t="n">
        <f aca="false">PODACI_PRODAJA!N131</f>
        <v>2.38</v>
      </c>
      <c r="I228" s="21" t="n">
        <f aca="false">IF(H228&lt;=0,999,ROUND(F228/H228,1))</f>
        <v>15.1</v>
      </c>
      <c r="J228" s="9" t="n">
        <f aca="false">SUMIFS(ROBA_U_DOLASKU!$C$6:$C$95,ROBA_U_DOLASKU!$A$6:$A$95,A228,ROBA_U_DOLASKU!$H$6:$H$95,1)</f>
        <v>0</v>
      </c>
      <c r="K228" s="9" t="n">
        <f aca="false">SUMIFS(ROBA_U_DOLASKU!$B$6:$B$95,ROBA_U_DOLASKU!$A$6:$A$95,A228,ROBA_U_DOLASKU!$H$6:$H$95,1)</f>
        <v>0</v>
      </c>
      <c r="L228" s="9" t="n">
        <f aca="false">SUMIFS(ROBA_U_DOLASKU!$C$6:$C$95,ROBA_U_DOLASKU!$A$6:$A$95,A228,ROBA_U_DOLASKU!$H$6:$H$95,2)</f>
        <v>0</v>
      </c>
      <c r="M228" s="9" t="n">
        <f aca="false">SUMIFS(ROBA_U_DOLASKU!$B$6:$B$95,ROBA_U_DOLASKU!$A$6:$A$95,A228,ROBA_U_DOLASKU!$H$6:$H$95,2)</f>
        <v>0</v>
      </c>
      <c r="N228" s="9" t="n">
        <f aca="false">SUMIFS(ROBA_U_DOLASKU!$C$6:$C$95,ROBA_U_DOLASKU!$A$6:$A$95,A228,ROBA_U_DOLASKU!$H$6:$H$95,3)</f>
        <v>0</v>
      </c>
      <c r="O228" s="9" t="n">
        <f aca="false">SUMIFS(ROBA_U_DOLASKU!$B$6:$B$95,ROBA_U_DOLASKU!$A$6:$A$95,A228,ROBA_U_DOLASKU!$H$6:$H$95,3)</f>
        <v>0</v>
      </c>
      <c r="P228" s="9" t="n">
        <f aca="false">IF(H228&lt;=0,999,IF(O228&gt;0,ROUND((F228-H228*N228+K228+M228+O228)/H228,1),IF(M228&gt;0,ROUND((F228-H228*L228+K228+M228)/H228,1),IF(K228&gt;0,ROUND((F228-H228*J228+K228)/H228,1),I228))))</f>
        <v>15.1</v>
      </c>
      <c r="Q228" s="22" t="str">
        <f aca="false">IF(H228&lt;=0,"Nema prodaje",IF(AND(K228=0,M228=0,O228=0),IF(I228&lt;POSTAVKE!$B$6,"Naruči odmah","Sve u redu"),IF(F228-H228*J228&lt;0,"Rupa za ~"&amp;TEXT(I228,"0.0")&amp;" mj.",IF(AND(M228&gt;0,F228-H228*L228+K228&lt;0),"Rupa nakon 1. dolaska",IF(AND(O228&gt;0,F228-H228*N228+K228+M228&lt;0),"Rupa nakon 2. dolaska",IF(P228&lt;POSTAVKE!$B$6,"Količina nije dovoljna",IF(I228&gt;=POSTAVKE!$B$6,"Sve u redu","Stiže na vrijeme")))))))</f>
        <v>Sve u redu</v>
      </c>
      <c r="S228" s="23" t="n">
        <f aca="false">IFERROR(INDEX(PODACI_PRODAJA!B:B,MATCH($A228,PODACI_PRODAJA!$A:$A,0)),0)</f>
        <v>4</v>
      </c>
      <c r="T228" s="23" t="n">
        <f aca="false">IFERROR(INDEX(PODACI_PRODAJA!C:C,MATCH($A228,PODACI_PRODAJA!$A:$A,0)),0)</f>
        <v>3</v>
      </c>
      <c r="U228" s="23" t="n">
        <f aca="false">IFERROR(INDEX(PODACI_PRODAJA!D:D,MATCH($A228,PODACI_PRODAJA!$A:$A,0)),0)</f>
        <v>7</v>
      </c>
      <c r="V228" s="23" t="n">
        <f aca="false">IFERROR(INDEX(PODACI_PRODAJA!E:E,MATCH($A228,PODACI_PRODAJA!$A:$A,0)),0)</f>
        <v>2</v>
      </c>
      <c r="W228" s="23" t="n">
        <f aca="false">IFERROR(INDEX(PODACI_PRODAJA!F:F,MATCH($A228,PODACI_PRODAJA!$A:$A,0)),0)</f>
        <v>0</v>
      </c>
      <c r="X228" s="23" t="n">
        <f aca="false">IFERROR(INDEX(PODACI_PRODAJA!G:G,MATCH($A228,PODACI_PRODAJA!$A:$A,0)),0)</f>
        <v>0</v>
      </c>
      <c r="Y228" s="23" t="n">
        <f aca="false">IFERROR(INDEX(PODACI_PRODAJA!H:H,MATCH($A228,PODACI_PRODAJA!$A:$A,0)),0)</f>
        <v>0</v>
      </c>
      <c r="Z228" s="23" t="n">
        <f aca="false">IFERROR(INDEX(PODACI_PRODAJA!I:I,MATCH($A228,PODACI_PRODAJA!$A:$A,0)),0)</f>
        <v>3</v>
      </c>
      <c r="AA228" s="23" t="n">
        <f aca="false">IFERROR(INDEX(PODACI_PRODAJA!J:J,MATCH($A228,PODACI_PRODAJA!$A:$A,0)),0)</f>
        <v>0</v>
      </c>
      <c r="AB228" s="23" t="n">
        <f aca="false">IFERROR(INDEX(PODACI_PRODAJA!K:K,MATCH($A228,PODACI_PRODAJA!$A:$A,0)),0)</f>
        <v>0</v>
      </c>
      <c r="AC228" s="23" t="n">
        <f aca="false">IFERROR(INDEX(PODACI_PRODAJA!L:L,MATCH($A228,PODACI_PRODAJA!$A:$A,0)),0)</f>
        <v>0</v>
      </c>
      <c r="AD228" s="23" t="n">
        <f aca="false">IFERROR(INDEX(PODACI_PRODAJA!M:M,MATCH($A228,PODACI_PRODAJA!$A:$A,0)),0)</f>
        <v>0</v>
      </c>
    </row>
    <row r="229" customFormat="false" ht="15" hidden="false" customHeight="false" outlineLevel="0" collapsed="false">
      <c r="A229" s="11" t="str">
        <f aca="false">PODACI_ZALIHE!A226</f>
        <v>18247</v>
      </c>
      <c r="B229" s="8" t="str">
        <f aca="false">PODACI_ZALIHE!B226</f>
        <v>MIRANDA OGLEDALO 60x90 cm</v>
      </c>
      <c r="C229" s="9" t="str">
        <f aca="false">PODACI_ZALIHE!C226</f>
        <v>6032</v>
      </c>
      <c r="D229" s="8" t="str">
        <f aca="false">PODACI_ZALIHE!D226</f>
        <v>HANGZHOU ZIHAN MIRROR INDUSTRY CO., LTD.</v>
      </c>
      <c r="E229" s="19" t="n">
        <f aca="false">IF(PODACI_ZALIHE!E226="","",PODACI_ZALIHE!E226)</f>
        <v>36</v>
      </c>
      <c r="F229" s="20" t="n">
        <f aca="false">PODACI_ZALIHE!F226</f>
        <v>36</v>
      </c>
      <c r="G229" s="19" t="n">
        <f aca="false">IF(E229="","",E229-F229)</f>
        <v>0</v>
      </c>
      <c r="H229" s="9" t="n">
        <f aca="false">PODACI_PRODAJA!N669</f>
        <v>0.25</v>
      </c>
      <c r="I229" s="21" t="n">
        <f aca="false">IF(H229&lt;=0,999,ROUND(F229/H229,1))</f>
        <v>144</v>
      </c>
      <c r="J229" s="9" t="n">
        <f aca="false">SUMIFS(ROBA_U_DOLASKU!$C$6:$C$95,ROBA_U_DOLASKU!$A$6:$A$95,A229,ROBA_U_DOLASKU!$H$6:$H$95,1)</f>
        <v>0</v>
      </c>
      <c r="K229" s="9" t="n">
        <f aca="false">SUMIFS(ROBA_U_DOLASKU!$B$6:$B$95,ROBA_U_DOLASKU!$A$6:$A$95,A229,ROBA_U_DOLASKU!$H$6:$H$95,1)</f>
        <v>0</v>
      </c>
      <c r="L229" s="9" t="n">
        <f aca="false">SUMIFS(ROBA_U_DOLASKU!$C$6:$C$95,ROBA_U_DOLASKU!$A$6:$A$95,A229,ROBA_U_DOLASKU!$H$6:$H$95,2)</f>
        <v>0</v>
      </c>
      <c r="M229" s="9" t="n">
        <f aca="false">SUMIFS(ROBA_U_DOLASKU!$B$6:$B$95,ROBA_U_DOLASKU!$A$6:$A$95,A229,ROBA_U_DOLASKU!$H$6:$H$95,2)</f>
        <v>0</v>
      </c>
      <c r="N229" s="9" t="n">
        <f aca="false">SUMIFS(ROBA_U_DOLASKU!$C$6:$C$95,ROBA_U_DOLASKU!$A$6:$A$95,A229,ROBA_U_DOLASKU!$H$6:$H$95,3)</f>
        <v>0</v>
      </c>
      <c r="O229" s="9" t="n">
        <f aca="false">SUMIFS(ROBA_U_DOLASKU!$B$6:$B$95,ROBA_U_DOLASKU!$A$6:$A$95,A229,ROBA_U_DOLASKU!$H$6:$H$95,3)</f>
        <v>0</v>
      </c>
      <c r="P229" s="9" t="n">
        <f aca="false">IF(H229&lt;=0,999,IF(O229&gt;0,ROUND((F229-H229*N229+K229+M229+O229)/H229,1),IF(M229&gt;0,ROUND((F229-H229*L229+K229+M229)/H229,1),IF(K229&gt;0,ROUND((F229-H229*J229+K229)/H229,1),I229))))</f>
        <v>144</v>
      </c>
      <c r="Q229" s="22" t="str">
        <f aca="false">IF(H229&lt;=0,"Nema prodaje",IF(AND(K229=0,M229=0,O229=0),IF(I229&lt;POSTAVKE!$B$6,"Naruči odmah","Sve u redu"),IF(F229-H229*J229&lt;0,"Rupa za ~"&amp;TEXT(I229,"0.0")&amp;" mj.",IF(AND(M229&gt;0,F229-H229*L229+K229&lt;0),"Rupa nakon 1. dolaska",IF(AND(O229&gt;0,F229-H229*N229+K229+M229&lt;0),"Rupa nakon 2. dolaska",IF(P229&lt;POSTAVKE!$B$6,"Količina nije dovoljna",IF(I229&gt;=POSTAVKE!$B$6,"Sve u redu","Stiže na vrijeme")))))))</f>
        <v>Sve u redu</v>
      </c>
      <c r="S229" s="23" t="n">
        <f aca="false">IFERROR(INDEX(PODACI_PRODAJA!B:B,MATCH($A229,PODACI_PRODAJA!$A:$A,0)),0)</f>
        <v>0</v>
      </c>
      <c r="T229" s="23" t="n">
        <f aca="false">IFERROR(INDEX(PODACI_PRODAJA!C:C,MATCH($A229,PODACI_PRODAJA!$A:$A,0)),0)</f>
        <v>2</v>
      </c>
      <c r="U229" s="23" t="n">
        <f aca="false">IFERROR(INDEX(PODACI_PRODAJA!D:D,MATCH($A229,PODACI_PRODAJA!$A:$A,0)),0)</f>
        <v>0</v>
      </c>
      <c r="V229" s="23" t="n">
        <f aca="false">IFERROR(INDEX(PODACI_PRODAJA!E:E,MATCH($A229,PODACI_PRODAJA!$A:$A,0)),0)</f>
        <v>0</v>
      </c>
      <c r="W229" s="23" t="n">
        <f aca="false">IFERROR(INDEX(PODACI_PRODAJA!F:F,MATCH($A229,PODACI_PRODAJA!$A:$A,0)),0)</f>
        <v>0</v>
      </c>
      <c r="X229" s="23" t="n">
        <f aca="false">IFERROR(INDEX(PODACI_PRODAJA!G:G,MATCH($A229,PODACI_PRODAJA!$A:$A,0)),0)</f>
        <v>0</v>
      </c>
      <c r="Y229" s="23" t="n">
        <f aca="false">IFERROR(INDEX(PODACI_PRODAJA!H:H,MATCH($A229,PODACI_PRODAJA!$A:$A,0)),0)</f>
        <v>0</v>
      </c>
      <c r="Z229" s="23" t="n">
        <f aca="false">IFERROR(INDEX(PODACI_PRODAJA!I:I,MATCH($A229,PODACI_PRODAJA!$A:$A,0)),0)</f>
        <v>0</v>
      </c>
      <c r="AA229" s="23" t="n">
        <f aca="false">IFERROR(INDEX(PODACI_PRODAJA!J:J,MATCH($A229,PODACI_PRODAJA!$A:$A,0)),0)</f>
        <v>0</v>
      </c>
      <c r="AB229" s="23" t="n">
        <f aca="false">IFERROR(INDEX(PODACI_PRODAJA!K:K,MATCH($A229,PODACI_PRODAJA!$A:$A,0)),0)</f>
        <v>0</v>
      </c>
      <c r="AC229" s="23" t="n">
        <f aca="false">IFERROR(INDEX(PODACI_PRODAJA!L:L,MATCH($A229,PODACI_PRODAJA!$A:$A,0)),0)</f>
        <v>0</v>
      </c>
      <c r="AD229" s="23" t="n">
        <f aca="false">IFERROR(INDEX(PODACI_PRODAJA!M:M,MATCH($A229,PODACI_PRODAJA!$A:$A,0)),0)</f>
        <v>0</v>
      </c>
    </row>
    <row r="230" customFormat="false" ht="15" hidden="false" customHeight="false" outlineLevel="0" collapsed="false">
      <c r="A230" s="11" t="str">
        <f aca="false">PODACI_ZALIHE!A227</f>
        <v>003212</v>
      </c>
      <c r="B230" s="8" t="str">
        <f aca="false">PODACI_ZALIHE!B227</f>
        <v>VETRO LINEA 110 TUŠ STIJENA 110x200 cm</v>
      </c>
      <c r="C230" s="9" t="str">
        <f aca="false">PODACI_ZALIHE!C227</f>
        <v>6762</v>
      </c>
      <c r="D230" s="8" t="str">
        <f aca="false">PODACI_ZALIHE!D227</f>
        <v>ZHEJIANG QUICKLINE SHOWERING CO., LTD.</v>
      </c>
      <c r="E230" s="19" t="n">
        <f aca="false">IF(PODACI_ZALIHE!E227="","",PODACI_ZALIHE!E227)</f>
        <v>35</v>
      </c>
      <c r="F230" s="20" t="n">
        <f aca="false">PODACI_ZALIHE!F227</f>
        <v>35</v>
      </c>
      <c r="G230" s="19" t="n">
        <f aca="false">IF(E230="","",E230-F230)</f>
        <v>0</v>
      </c>
      <c r="H230" s="9" t="n">
        <f aca="false">PODACI_PRODAJA!N170</f>
        <v>3.75</v>
      </c>
      <c r="I230" s="21" t="n">
        <f aca="false">IF(H230&lt;=0,999,ROUND(F230/H230,1))</f>
        <v>9.3</v>
      </c>
      <c r="J230" s="9" t="n">
        <f aca="false">SUMIFS(ROBA_U_DOLASKU!$C$6:$C$95,ROBA_U_DOLASKU!$A$6:$A$95,A230,ROBA_U_DOLASKU!$H$6:$H$95,1)</f>
        <v>0</v>
      </c>
      <c r="K230" s="9" t="n">
        <f aca="false">SUMIFS(ROBA_U_DOLASKU!$B$6:$B$95,ROBA_U_DOLASKU!$A$6:$A$95,A230,ROBA_U_DOLASKU!$H$6:$H$95,1)</f>
        <v>0</v>
      </c>
      <c r="L230" s="9" t="n">
        <f aca="false">SUMIFS(ROBA_U_DOLASKU!$C$6:$C$95,ROBA_U_DOLASKU!$A$6:$A$95,A230,ROBA_U_DOLASKU!$H$6:$H$95,2)</f>
        <v>0</v>
      </c>
      <c r="M230" s="9" t="n">
        <f aca="false">SUMIFS(ROBA_U_DOLASKU!$B$6:$B$95,ROBA_U_DOLASKU!$A$6:$A$95,A230,ROBA_U_DOLASKU!$H$6:$H$95,2)</f>
        <v>0</v>
      </c>
      <c r="N230" s="9" t="n">
        <f aca="false">SUMIFS(ROBA_U_DOLASKU!$C$6:$C$95,ROBA_U_DOLASKU!$A$6:$A$95,A230,ROBA_U_DOLASKU!$H$6:$H$95,3)</f>
        <v>0</v>
      </c>
      <c r="O230" s="9" t="n">
        <f aca="false">SUMIFS(ROBA_U_DOLASKU!$B$6:$B$95,ROBA_U_DOLASKU!$A$6:$A$95,A230,ROBA_U_DOLASKU!$H$6:$H$95,3)</f>
        <v>0</v>
      </c>
      <c r="P230" s="9" t="n">
        <f aca="false">IF(H230&lt;=0,999,IF(O230&gt;0,ROUND((F230-H230*N230+K230+M230+O230)/H230,1),IF(M230&gt;0,ROUND((F230-H230*L230+K230+M230)/H230,1),IF(K230&gt;0,ROUND((F230-H230*J230+K230)/H230,1),I230))))</f>
        <v>9.3</v>
      </c>
      <c r="Q230" s="22" t="str">
        <f aca="false">IF(H230&lt;=0,"Nema prodaje",IF(AND(K230=0,M230=0,O230=0),IF(I230&lt;POSTAVKE!$B$6,"Naruči odmah","Sve u redu"),IF(F230-H230*J230&lt;0,"Rupa za ~"&amp;TEXT(I230,"0.0")&amp;" mj.",IF(AND(M230&gt;0,F230-H230*L230+K230&lt;0),"Rupa nakon 1. dolaska",IF(AND(O230&gt;0,F230-H230*N230+K230+M230&lt;0),"Rupa nakon 2. dolaska",IF(P230&lt;POSTAVKE!$B$6,"Količina nije dovoljna",IF(I230&gt;=POSTAVKE!$B$6,"Sve u redu","Stiže na vrijeme")))))))</f>
        <v>Sve u redu</v>
      </c>
      <c r="S230" s="23" t="n">
        <f aca="false">IFERROR(INDEX(PODACI_PRODAJA!B:B,MATCH($A230,PODACI_PRODAJA!$A:$A,0)),0)</f>
        <v>2</v>
      </c>
      <c r="T230" s="23" t="n">
        <f aca="false">IFERROR(INDEX(PODACI_PRODAJA!C:C,MATCH($A230,PODACI_PRODAJA!$A:$A,0)),0)</f>
        <v>4</v>
      </c>
      <c r="U230" s="23" t="n">
        <f aca="false">IFERROR(INDEX(PODACI_PRODAJA!D:D,MATCH($A230,PODACI_PRODAJA!$A:$A,0)),0)</f>
        <v>3</v>
      </c>
      <c r="V230" s="23" t="n">
        <f aca="false">IFERROR(INDEX(PODACI_PRODAJA!E:E,MATCH($A230,PODACI_PRODAJA!$A:$A,0)),0)</f>
        <v>3</v>
      </c>
      <c r="W230" s="23" t="n">
        <f aca="false">IFERROR(INDEX(PODACI_PRODAJA!F:F,MATCH($A230,PODACI_PRODAJA!$A:$A,0)),0)</f>
        <v>1</v>
      </c>
      <c r="X230" s="23" t="n">
        <f aca="false">IFERROR(INDEX(PODACI_PRODAJA!G:G,MATCH($A230,PODACI_PRODAJA!$A:$A,0)),0)</f>
        <v>3</v>
      </c>
      <c r="Y230" s="23" t="n">
        <f aca="false">IFERROR(INDEX(PODACI_PRODAJA!H:H,MATCH($A230,PODACI_PRODAJA!$A:$A,0)),0)</f>
        <v>8</v>
      </c>
      <c r="Z230" s="23" t="n">
        <f aca="false">IFERROR(INDEX(PODACI_PRODAJA!I:I,MATCH($A230,PODACI_PRODAJA!$A:$A,0)),0)</f>
        <v>6</v>
      </c>
      <c r="AA230" s="23" t="n">
        <f aca="false">IFERROR(INDEX(PODACI_PRODAJA!J:J,MATCH($A230,PODACI_PRODAJA!$A:$A,0)),0)</f>
        <v>0</v>
      </c>
      <c r="AB230" s="23" t="n">
        <f aca="false">IFERROR(INDEX(PODACI_PRODAJA!K:K,MATCH($A230,PODACI_PRODAJA!$A:$A,0)),0)</f>
        <v>0</v>
      </c>
      <c r="AC230" s="23" t="n">
        <f aca="false">IFERROR(INDEX(PODACI_PRODAJA!L:L,MATCH($A230,PODACI_PRODAJA!$A:$A,0)),0)</f>
        <v>0</v>
      </c>
      <c r="AD230" s="23" t="n">
        <f aca="false">IFERROR(INDEX(PODACI_PRODAJA!M:M,MATCH($A230,PODACI_PRODAJA!$A:$A,0)),0)</f>
        <v>0</v>
      </c>
    </row>
    <row r="231" customFormat="false" ht="15" hidden="false" customHeight="false" outlineLevel="0" collapsed="false">
      <c r="A231" s="11" t="str">
        <f aca="false">PODACI_ZALIHE!A228</f>
        <v>15944</v>
      </c>
      <c r="B231" s="8" t="str">
        <f aca="false">PODACI_ZALIHE!B228</f>
        <v>VETRO STYLE 80 TUŠ STIJENA 80x200 cm</v>
      </c>
      <c r="C231" s="9" t="str">
        <f aca="false">PODACI_ZALIHE!C228</f>
        <v>6762</v>
      </c>
      <c r="D231" s="8" t="str">
        <f aca="false">PODACI_ZALIHE!D228</f>
        <v>ZHEJIANG QUICKLINE SHOWERING CO., LTD.</v>
      </c>
      <c r="E231" s="19" t="n">
        <f aca="false">IF(PODACI_ZALIHE!E228="","",PODACI_ZALIHE!E228)</f>
        <v>35</v>
      </c>
      <c r="F231" s="20" t="n">
        <f aca="false">PODACI_ZALIHE!F228</f>
        <v>35</v>
      </c>
      <c r="G231" s="19" t="n">
        <f aca="false">IF(E231="","",E231-F231)</f>
        <v>0</v>
      </c>
      <c r="H231" s="9" t="n">
        <f aca="false">PODACI_PRODAJA!N153</f>
        <v>1.13</v>
      </c>
      <c r="I231" s="21" t="n">
        <f aca="false">IF(H231&lt;=0,999,ROUND(F231/H231,1))</f>
        <v>31</v>
      </c>
      <c r="J231" s="9" t="n">
        <f aca="false">SUMIFS(ROBA_U_DOLASKU!$C$6:$C$95,ROBA_U_DOLASKU!$A$6:$A$95,A231,ROBA_U_DOLASKU!$H$6:$H$95,1)</f>
        <v>0</v>
      </c>
      <c r="K231" s="9" t="n">
        <f aca="false">SUMIFS(ROBA_U_DOLASKU!$B$6:$B$95,ROBA_U_DOLASKU!$A$6:$A$95,A231,ROBA_U_DOLASKU!$H$6:$H$95,1)</f>
        <v>0</v>
      </c>
      <c r="L231" s="9" t="n">
        <f aca="false">SUMIFS(ROBA_U_DOLASKU!$C$6:$C$95,ROBA_U_DOLASKU!$A$6:$A$95,A231,ROBA_U_DOLASKU!$H$6:$H$95,2)</f>
        <v>0</v>
      </c>
      <c r="M231" s="9" t="n">
        <f aca="false">SUMIFS(ROBA_U_DOLASKU!$B$6:$B$95,ROBA_U_DOLASKU!$A$6:$A$95,A231,ROBA_U_DOLASKU!$H$6:$H$95,2)</f>
        <v>0</v>
      </c>
      <c r="N231" s="9" t="n">
        <f aca="false">SUMIFS(ROBA_U_DOLASKU!$C$6:$C$95,ROBA_U_DOLASKU!$A$6:$A$95,A231,ROBA_U_DOLASKU!$H$6:$H$95,3)</f>
        <v>0</v>
      </c>
      <c r="O231" s="9" t="n">
        <f aca="false">SUMIFS(ROBA_U_DOLASKU!$B$6:$B$95,ROBA_U_DOLASKU!$A$6:$A$95,A231,ROBA_U_DOLASKU!$H$6:$H$95,3)</f>
        <v>0</v>
      </c>
      <c r="P231" s="9" t="n">
        <f aca="false">IF(H231&lt;=0,999,IF(O231&gt;0,ROUND((F231-H231*N231+K231+M231+O231)/H231,1),IF(M231&gt;0,ROUND((F231-H231*L231+K231+M231)/H231,1),IF(K231&gt;0,ROUND((F231-H231*J231+K231)/H231,1),I231))))</f>
        <v>31</v>
      </c>
      <c r="Q231" s="22" t="str">
        <f aca="false">IF(H231&lt;=0,"Nema prodaje",IF(AND(K231=0,M231=0,O231=0),IF(I231&lt;POSTAVKE!$B$6,"Naruči odmah","Sve u redu"),IF(F231-H231*J231&lt;0,"Rupa za ~"&amp;TEXT(I231,"0.0")&amp;" mj.",IF(AND(M231&gt;0,F231-H231*L231+K231&lt;0),"Rupa nakon 1. dolaska",IF(AND(O231&gt;0,F231-H231*N231+K231+M231&lt;0),"Rupa nakon 2. dolaska",IF(P231&lt;POSTAVKE!$B$6,"Količina nije dovoljna",IF(I231&gt;=POSTAVKE!$B$6,"Sve u redu","Stiže na vrijeme")))))))</f>
        <v>Sve u redu</v>
      </c>
      <c r="S231" s="23" t="n">
        <f aca="false">IFERROR(INDEX(PODACI_PRODAJA!B:B,MATCH($A231,PODACI_PRODAJA!$A:$A,0)),0)</f>
        <v>3</v>
      </c>
      <c r="T231" s="23" t="n">
        <f aca="false">IFERROR(INDEX(PODACI_PRODAJA!C:C,MATCH($A231,PODACI_PRODAJA!$A:$A,0)),0)</f>
        <v>1</v>
      </c>
      <c r="U231" s="23" t="n">
        <f aca="false">IFERROR(INDEX(PODACI_PRODAJA!D:D,MATCH($A231,PODACI_PRODAJA!$A:$A,0)),0)</f>
        <v>1</v>
      </c>
      <c r="V231" s="23" t="n">
        <f aca="false">IFERROR(INDEX(PODACI_PRODAJA!E:E,MATCH($A231,PODACI_PRODAJA!$A:$A,0)),0)</f>
        <v>2</v>
      </c>
      <c r="W231" s="23" t="n">
        <f aca="false">IFERROR(INDEX(PODACI_PRODAJA!F:F,MATCH($A231,PODACI_PRODAJA!$A:$A,0)),0)</f>
        <v>2</v>
      </c>
      <c r="X231" s="23" t="n">
        <f aca="false">IFERROR(INDEX(PODACI_PRODAJA!G:G,MATCH($A231,PODACI_PRODAJA!$A:$A,0)),0)</f>
        <v>0</v>
      </c>
      <c r="Y231" s="23" t="n">
        <f aca="false">IFERROR(INDEX(PODACI_PRODAJA!H:H,MATCH($A231,PODACI_PRODAJA!$A:$A,0)),0)</f>
        <v>0</v>
      </c>
      <c r="Z231" s="23" t="n">
        <f aca="false">IFERROR(INDEX(PODACI_PRODAJA!I:I,MATCH($A231,PODACI_PRODAJA!$A:$A,0)),0)</f>
        <v>0</v>
      </c>
      <c r="AA231" s="23" t="n">
        <f aca="false">IFERROR(INDEX(PODACI_PRODAJA!J:J,MATCH($A231,PODACI_PRODAJA!$A:$A,0)),0)</f>
        <v>0</v>
      </c>
      <c r="AB231" s="23" t="n">
        <f aca="false">IFERROR(INDEX(PODACI_PRODAJA!K:K,MATCH($A231,PODACI_PRODAJA!$A:$A,0)),0)</f>
        <v>0</v>
      </c>
      <c r="AC231" s="23" t="n">
        <f aca="false">IFERROR(INDEX(PODACI_PRODAJA!L:L,MATCH($A231,PODACI_PRODAJA!$A:$A,0)),0)</f>
        <v>0</v>
      </c>
      <c r="AD231" s="23" t="n">
        <f aca="false">IFERROR(INDEX(PODACI_PRODAJA!M:M,MATCH($A231,PODACI_PRODAJA!$A:$A,0)),0)</f>
        <v>0</v>
      </c>
    </row>
    <row r="232" customFormat="false" ht="15" hidden="false" customHeight="false" outlineLevel="0" collapsed="false">
      <c r="A232" s="11" t="str">
        <f aca="false">PODACI_ZALIHE!A229</f>
        <v>15945</v>
      </c>
      <c r="B232" s="8" t="str">
        <f aca="false">PODACI_ZALIHE!B229</f>
        <v>VETRO STYLE 90 TUŠ STIJENA 90x200 cm</v>
      </c>
      <c r="C232" s="9" t="str">
        <f aca="false">PODACI_ZALIHE!C229</f>
        <v>4328</v>
      </c>
      <c r="D232" s="8" t="str">
        <f aca="false">PODACI_ZALIHE!D229</f>
        <v>HANGZHOU DUHUI IMPORT AND EXPORT CO.,LTD</v>
      </c>
      <c r="E232" s="19" t="n">
        <f aca="false">IF(PODACI_ZALIHE!E229="","",PODACI_ZALIHE!E229)</f>
        <v>39</v>
      </c>
      <c r="F232" s="20" t="n">
        <f aca="false">PODACI_ZALIHE!F229</f>
        <v>35</v>
      </c>
      <c r="G232" s="19" t="n">
        <f aca="false">IF(E232="","",E232-F232)</f>
        <v>4</v>
      </c>
      <c r="H232" s="9" t="n">
        <f aca="false">PODACI_PRODAJA!N103</f>
        <v>3.25</v>
      </c>
      <c r="I232" s="21" t="n">
        <f aca="false">IF(H232&lt;=0,999,ROUND(F232/H232,1))</f>
        <v>10.8</v>
      </c>
      <c r="J232" s="9" t="n">
        <f aca="false">SUMIFS(ROBA_U_DOLASKU!$C$6:$C$95,ROBA_U_DOLASKU!$A$6:$A$95,A232,ROBA_U_DOLASKU!$H$6:$H$95,1)</f>
        <v>0</v>
      </c>
      <c r="K232" s="9" t="n">
        <f aca="false">SUMIFS(ROBA_U_DOLASKU!$B$6:$B$95,ROBA_U_DOLASKU!$A$6:$A$95,A232,ROBA_U_DOLASKU!$H$6:$H$95,1)</f>
        <v>0</v>
      </c>
      <c r="L232" s="9" t="n">
        <f aca="false">SUMIFS(ROBA_U_DOLASKU!$C$6:$C$95,ROBA_U_DOLASKU!$A$6:$A$95,A232,ROBA_U_DOLASKU!$H$6:$H$95,2)</f>
        <v>0</v>
      </c>
      <c r="M232" s="9" t="n">
        <f aca="false">SUMIFS(ROBA_U_DOLASKU!$B$6:$B$95,ROBA_U_DOLASKU!$A$6:$A$95,A232,ROBA_U_DOLASKU!$H$6:$H$95,2)</f>
        <v>0</v>
      </c>
      <c r="N232" s="9" t="n">
        <f aca="false">SUMIFS(ROBA_U_DOLASKU!$C$6:$C$95,ROBA_U_DOLASKU!$A$6:$A$95,A232,ROBA_U_DOLASKU!$H$6:$H$95,3)</f>
        <v>0</v>
      </c>
      <c r="O232" s="9" t="n">
        <f aca="false">SUMIFS(ROBA_U_DOLASKU!$B$6:$B$95,ROBA_U_DOLASKU!$A$6:$A$95,A232,ROBA_U_DOLASKU!$H$6:$H$95,3)</f>
        <v>0</v>
      </c>
      <c r="P232" s="9" t="n">
        <f aca="false">IF(H232&lt;=0,999,IF(O232&gt;0,ROUND((F232-H232*N232+K232+M232+O232)/H232,1),IF(M232&gt;0,ROUND((F232-H232*L232+K232+M232)/H232,1),IF(K232&gt;0,ROUND((F232-H232*J232+K232)/H232,1),I232))))</f>
        <v>10.8</v>
      </c>
      <c r="Q232" s="22" t="str">
        <f aca="false">IF(H232&lt;=0,"Nema prodaje",IF(AND(K232=0,M232=0,O232=0),IF(I232&lt;POSTAVKE!$B$6,"Naruči odmah","Sve u redu"),IF(F232-H232*J232&lt;0,"Rupa za ~"&amp;TEXT(I232,"0.0")&amp;" mj.",IF(AND(M232&gt;0,F232-H232*L232+K232&lt;0),"Rupa nakon 1. dolaska",IF(AND(O232&gt;0,F232-H232*N232+K232+M232&lt;0),"Rupa nakon 2. dolaska",IF(P232&lt;POSTAVKE!$B$6,"Količina nije dovoljna",IF(I232&gt;=POSTAVKE!$B$6,"Sve u redu","Stiže na vrijeme")))))))</f>
        <v>Sve u redu</v>
      </c>
      <c r="S232" s="23" t="n">
        <f aca="false">IFERROR(INDEX(PODACI_PRODAJA!B:B,MATCH($A232,PODACI_PRODAJA!$A:$A,0)),0)</f>
        <v>6</v>
      </c>
      <c r="T232" s="23" t="n">
        <f aca="false">IFERROR(INDEX(PODACI_PRODAJA!C:C,MATCH($A232,PODACI_PRODAJA!$A:$A,0)),0)</f>
        <v>0</v>
      </c>
      <c r="U232" s="23" t="n">
        <f aca="false">IFERROR(INDEX(PODACI_PRODAJA!D:D,MATCH($A232,PODACI_PRODAJA!$A:$A,0)),0)</f>
        <v>10</v>
      </c>
      <c r="V232" s="23" t="n">
        <f aca="false">IFERROR(INDEX(PODACI_PRODAJA!E:E,MATCH($A232,PODACI_PRODAJA!$A:$A,0)),0)</f>
        <v>9</v>
      </c>
      <c r="W232" s="23" t="n">
        <f aca="false">IFERROR(INDEX(PODACI_PRODAJA!F:F,MATCH($A232,PODACI_PRODAJA!$A:$A,0)),0)</f>
        <v>1</v>
      </c>
      <c r="X232" s="23" t="n">
        <f aca="false">IFERROR(INDEX(PODACI_PRODAJA!G:G,MATCH($A232,PODACI_PRODAJA!$A:$A,0)),0)</f>
        <v>0</v>
      </c>
      <c r="Y232" s="23" t="n">
        <f aca="false">IFERROR(INDEX(PODACI_PRODAJA!H:H,MATCH($A232,PODACI_PRODAJA!$A:$A,0)),0)</f>
        <v>0</v>
      </c>
      <c r="Z232" s="23" t="n">
        <f aca="false">IFERROR(INDEX(PODACI_PRODAJA!I:I,MATCH($A232,PODACI_PRODAJA!$A:$A,0)),0)</f>
        <v>0</v>
      </c>
      <c r="AA232" s="23" t="n">
        <f aca="false">IFERROR(INDEX(PODACI_PRODAJA!J:J,MATCH($A232,PODACI_PRODAJA!$A:$A,0)),0)</f>
        <v>4</v>
      </c>
      <c r="AB232" s="23" t="n">
        <f aca="false">IFERROR(INDEX(PODACI_PRODAJA!K:K,MATCH($A232,PODACI_PRODAJA!$A:$A,0)),0)</f>
        <v>0</v>
      </c>
      <c r="AC232" s="23" t="n">
        <f aca="false">IFERROR(INDEX(PODACI_PRODAJA!L:L,MATCH($A232,PODACI_PRODAJA!$A:$A,0)),0)</f>
        <v>0</v>
      </c>
      <c r="AD232" s="23" t="n">
        <f aca="false">IFERROR(INDEX(PODACI_PRODAJA!M:M,MATCH($A232,PODACI_PRODAJA!$A:$A,0)),0)</f>
        <v>0</v>
      </c>
    </row>
    <row r="233" customFormat="false" ht="15" hidden="false" customHeight="false" outlineLevel="0" collapsed="false">
      <c r="A233" s="11" t="str">
        <f aca="false">PODACI_ZALIHE!A230</f>
        <v>15954</v>
      </c>
      <c r="B233" s="8" t="str">
        <f aca="false">PODACI_ZALIHE!B230</f>
        <v>TK NEVA 80 POLUKRUŽNA TUŠ KABINA 80x80x180 cm</v>
      </c>
      <c r="C233" s="9" t="str">
        <f aca="false">PODACI_ZALIHE!C230</f>
        <v>2515</v>
      </c>
      <c r="D233" s="8" t="str">
        <f aca="false">PODACI_ZALIHE!D230</f>
        <v>HANGZHOU ZHUGELAI JINGYI CO., LTD.</v>
      </c>
      <c r="E233" s="19" t="n">
        <f aca="false">IF(PODACI_ZALIHE!E230="","",PODACI_ZALIHE!E230)</f>
        <v>40</v>
      </c>
      <c r="F233" s="20" t="n">
        <f aca="false">PODACI_ZALIHE!F230</f>
        <v>35</v>
      </c>
      <c r="G233" s="19" t="n">
        <f aca="false">IF(E233="","",E233-F233)</f>
        <v>5</v>
      </c>
      <c r="H233" s="9" t="n">
        <f aca="false">PODACI_PRODAJA!N245</f>
        <v>4.13</v>
      </c>
      <c r="I233" s="21" t="n">
        <f aca="false">IF(H233&lt;=0,999,ROUND(F233/H233,1))</f>
        <v>8.5</v>
      </c>
      <c r="J233" s="9" t="n">
        <f aca="false">SUMIFS(ROBA_U_DOLASKU!$C$6:$C$95,ROBA_U_DOLASKU!$A$6:$A$95,A233,ROBA_U_DOLASKU!$H$6:$H$95,1)</f>
        <v>0</v>
      </c>
      <c r="K233" s="9" t="n">
        <f aca="false">SUMIFS(ROBA_U_DOLASKU!$B$6:$B$95,ROBA_U_DOLASKU!$A$6:$A$95,A233,ROBA_U_DOLASKU!$H$6:$H$95,1)</f>
        <v>0</v>
      </c>
      <c r="L233" s="9" t="n">
        <f aca="false">SUMIFS(ROBA_U_DOLASKU!$C$6:$C$95,ROBA_U_DOLASKU!$A$6:$A$95,A233,ROBA_U_DOLASKU!$H$6:$H$95,2)</f>
        <v>0</v>
      </c>
      <c r="M233" s="9" t="n">
        <f aca="false">SUMIFS(ROBA_U_DOLASKU!$B$6:$B$95,ROBA_U_DOLASKU!$A$6:$A$95,A233,ROBA_U_DOLASKU!$H$6:$H$95,2)</f>
        <v>0</v>
      </c>
      <c r="N233" s="9" t="n">
        <f aca="false">SUMIFS(ROBA_U_DOLASKU!$C$6:$C$95,ROBA_U_DOLASKU!$A$6:$A$95,A233,ROBA_U_DOLASKU!$H$6:$H$95,3)</f>
        <v>0</v>
      </c>
      <c r="O233" s="9" t="n">
        <f aca="false">SUMIFS(ROBA_U_DOLASKU!$B$6:$B$95,ROBA_U_DOLASKU!$A$6:$A$95,A233,ROBA_U_DOLASKU!$H$6:$H$95,3)</f>
        <v>0</v>
      </c>
      <c r="P233" s="9" t="n">
        <f aca="false">IF(H233&lt;=0,999,IF(O233&gt;0,ROUND((F233-H233*N233+K233+M233+O233)/H233,1),IF(M233&gt;0,ROUND((F233-H233*L233+K233+M233)/H233,1),IF(K233&gt;0,ROUND((F233-H233*J233+K233)/H233,1),I233))))</f>
        <v>8.5</v>
      </c>
      <c r="Q233" s="22" t="str">
        <f aca="false">IF(H233&lt;=0,"Nema prodaje",IF(AND(K233=0,M233=0,O233=0),IF(I233&lt;POSTAVKE!$B$6,"Naruči odmah","Sve u redu"),IF(F233-H233*J233&lt;0,"Rupa za ~"&amp;TEXT(I233,"0.0")&amp;" mj.",IF(AND(M233&gt;0,F233-H233*L233+K233&lt;0),"Rupa nakon 1. dolaska",IF(AND(O233&gt;0,F233-H233*N233+K233+M233&lt;0),"Rupa nakon 2. dolaska",IF(P233&lt;POSTAVKE!$B$6,"Količina nije dovoljna",IF(I233&gt;=POSTAVKE!$B$6,"Sve u redu","Stiže na vrijeme")))))))</f>
        <v>Sve u redu</v>
      </c>
      <c r="S233" s="23" t="n">
        <f aca="false">IFERROR(INDEX(PODACI_PRODAJA!B:B,MATCH($A233,PODACI_PRODAJA!$A:$A,0)),0)</f>
        <v>1</v>
      </c>
      <c r="T233" s="23" t="n">
        <f aca="false">IFERROR(INDEX(PODACI_PRODAJA!C:C,MATCH($A233,PODACI_PRODAJA!$A:$A,0)),0)</f>
        <v>1</v>
      </c>
      <c r="U233" s="23" t="n">
        <f aca="false">IFERROR(INDEX(PODACI_PRODAJA!D:D,MATCH($A233,PODACI_PRODAJA!$A:$A,0)),0)</f>
        <v>4</v>
      </c>
      <c r="V233" s="23" t="n">
        <f aca="false">IFERROR(INDEX(PODACI_PRODAJA!E:E,MATCH($A233,PODACI_PRODAJA!$A:$A,0)),0)</f>
        <v>6</v>
      </c>
      <c r="W233" s="23" t="n">
        <f aca="false">IFERROR(INDEX(PODACI_PRODAJA!F:F,MATCH($A233,PODACI_PRODAJA!$A:$A,0)),0)</f>
        <v>11</v>
      </c>
      <c r="X233" s="23" t="n">
        <f aca="false">IFERROR(INDEX(PODACI_PRODAJA!G:G,MATCH($A233,PODACI_PRODAJA!$A:$A,0)),0)</f>
        <v>5</v>
      </c>
      <c r="Y233" s="23" t="n">
        <f aca="false">IFERROR(INDEX(PODACI_PRODAJA!H:H,MATCH($A233,PODACI_PRODAJA!$A:$A,0)),0)</f>
        <v>-1</v>
      </c>
      <c r="Z233" s="23" t="n">
        <f aca="false">IFERROR(INDEX(PODACI_PRODAJA!I:I,MATCH($A233,PODACI_PRODAJA!$A:$A,0)),0)</f>
        <v>6</v>
      </c>
      <c r="AA233" s="23" t="n">
        <f aca="false">IFERROR(INDEX(PODACI_PRODAJA!J:J,MATCH($A233,PODACI_PRODAJA!$A:$A,0)),0)</f>
        <v>5</v>
      </c>
      <c r="AB233" s="23" t="n">
        <f aca="false">IFERROR(INDEX(PODACI_PRODAJA!K:K,MATCH($A233,PODACI_PRODAJA!$A:$A,0)),0)</f>
        <v>0</v>
      </c>
      <c r="AC233" s="23" t="n">
        <f aca="false">IFERROR(INDEX(PODACI_PRODAJA!L:L,MATCH($A233,PODACI_PRODAJA!$A:$A,0)),0)</f>
        <v>0</v>
      </c>
      <c r="AD233" s="23" t="n">
        <f aca="false">IFERROR(INDEX(PODACI_PRODAJA!M:M,MATCH($A233,PODACI_PRODAJA!$A:$A,0)),0)</f>
        <v>0</v>
      </c>
    </row>
    <row r="234" customFormat="false" ht="15" hidden="false" customHeight="false" outlineLevel="0" collapsed="false">
      <c r="A234" s="11" t="str">
        <f aca="false">PODACI_ZALIHE!A231</f>
        <v>15364</v>
      </c>
      <c r="B234" s="8" t="str">
        <f aca="false">PODACI_ZALIHE!B231</f>
        <v>PORTO 100 TUŠ VRATA 100x195 cm</v>
      </c>
      <c r="C234" s="9" t="str">
        <f aca="false">PODACI_ZALIHE!C231</f>
        <v>4328</v>
      </c>
      <c r="D234" s="8" t="str">
        <f aca="false">PODACI_ZALIHE!D231</f>
        <v>HANGZHOU DUHUI IMPORT AND EXPORT CO.,LTD</v>
      </c>
      <c r="E234" s="19" t="n">
        <f aca="false">IF(PODACI_ZALIHE!E231="","",PODACI_ZALIHE!E231)</f>
        <v>34</v>
      </c>
      <c r="F234" s="20" t="n">
        <f aca="false">PODACI_ZALIHE!F231</f>
        <v>34</v>
      </c>
      <c r="G234" s="19" t="n">
        <f aca="false">IF(E234="","",E234-F234)</f>
        <v>0</v>
      </c>
      <c r="H234" s="9" t="n">
        <f aca="false">PODACI_PRODAJA!N236</f>
        <v>0.5</v>
      </c>
      <c r="I234" s="21" t="n">
        <f aca="false">IF(H234&lt;=0,999,ROUND(F234/H234,1))</f>
        <v>68</v>
      </c>
      <c r="J234" s="9" t="n">
        <f aca="false">SUMIFS(ROBA_U_DOLASKU!$C$6:$C$95,ROBA_U_DOLASKU!$A$6:$A$95,A234,ROBA_U_DOLASKU!$H$6:$H$95,1)</f>
        <v>0</v>
      </c>
      <c r="K234" s="9" t="n">
        <f aca="false">SUMIFS(ROBA_U_DOLASKU!$B$6:$B$95,ROBA_U_DOLASKU!$A$6:$A$95,A234,ROBA_U_DOLASKU!$H$6:$H$95,1)</f>
        <v>0</v>
      </c>
      <c r="L234" s="9" t="n">
        <f aca="false">SUMIFS(ROBA_U_DOLASKU!$C$6:$C$95,ROBA_U_DOLASKU!$A$6:$A$95,A234,ROBA_U_DOLASKU!$H$6:$H$95,2)</f>
        <v>0</v>
      </c>
      <c r="M234" s="9" t="n">
        <f aca="false">SUMIFS(ROBA_U_DOLASKU!$B$6:$B$95,ROBA_U_DOLASKU!$A$6:$A$95,A234,ROBA_U_DOLASKU!$H$6:$H$95,2)</f>
        <v>0</v>
      </c>
      <c r="N234" s="9" t="n">
        <f aca="false">SUMIFS(ROBA_U_DOLASKU!$C$6:$C$95,ROBA_U_DOLASKU!$A$6:$A$95,A234,ROBA_U_DOLASKU!$H$6:$H$95,3)</f>
        <v>0</v>
      </c>
      <c r="O234" s="9" t="n">
        <f aca="false">SUMIFS(ROBA_U_DOLASKU!$B$6:$B$95,ROBA_U_DOLASKU!$A$6:$A$95,A234,ROBA_U_DOLASKU!$H$6:$H$95,3)</f>
        <v>0</v>
      </c>
      <c r="P234" s="9" t="n">
        <f aca="false">IF(H234&lt;=0,999,IF(O234&gt;0,ROUND((F234-H234*N234+K234+M234+O234)/H234,1),IF(M234&gt;0,ROUND((F234-H234*L234+K234+M234)/H234,1),IF(K234&gt;0,ROUND((F234-H234*J234+K234)/H234,1),I234))))</f>
        <v>68</v>
      </c>
      <c r="Q234" s="22" t="str">
        <f aca="false">IF(H234&lt;=0,"Nema prodaje",IF(AND(K234=0,M234=0,O234=0),IF(I234&lt;POSTAVKE!$B$6,"Naruči odmah","Sve u redu"),IF(F234-H234*J234&lt;0,"Rupa za ~"&amp;TEXT(I234,"0.0")&amp;" mj.",IF(AND(M234&gt;0,F234-H234*L234+K234&lt;0),"Rupa nakon 1. dolaska",IF(AND(O234&gt;0,F234-H234*N234+K234+M234&lt;0),"Rupa nakon 2. dolaska",IF(P234&lt;POSTAVKE!$B$6,"Količina nije dovoljna",IF(I234&gt;=POSTAVKE!$B$6,"Sve u redu","Stiže na vrijeme")))))))</f>
        <v>Sve u redu</v>
      </c>
      <c r="S234" s="23" t="n">
        <f aca="false">IFERROR(INDEX(PODACI_PRODAJA!B:B,MATCH($A234,PODACI_PRODAJA!$A:$A,0)),0)</f>
        <v>1</v>
      </c>
      <c r="T234" s="23" t="n">
        <f aca="false">IFERROR(INDEX(PODACI_PRODAJA!C:C,MATCH($A234,PODACI_PRODAJA!$A:$A,0)),0)</f>
        <v>0</v>
      </c>
      <c r="U234" s="23" t="n">
        <f aca="false">IFERROR(INDEX(PODACI_PRODAJA!D:D,MATCH($A234,PODACI_PRODAJA!$A:$A,0)),0)</f>
        <v>0</v>
      </c>
      <c r="V234" s="23" t="n">
        <f aca="false">IFERROR(INDEX(PODACI_PRODAJA!E:E,MATCH($A234,PODACI_PRODAJA!$A:$A,0)),0)</f>
        <v>0</v>
      </c>
      <c r="W234" s="23" t="n">
        <f aca="false">IFERROR(INDEX(PODACI_PRODAJA!F:F,MATCH($A234,PODACI_PRODAJA!$A:$A,0)),0)</f>
        <v>1</v>
      </c>
      <c r="X234" s="23" t="n">
        <f aca="false">IFERROR(INDEX(PODACI_PRODAJA!G:G,MATCH($A234,PODACI_PRODAJA!$A:$A,0)),0)</f>
        <v>1</v>
      </c>
      <c r="Y234" s="23" t="n">
        <f aca="false">IFERROR(INDEX(PODACI_PRODAJA!H:H,MATCH($A234,PODACI_PRODAJA!$A:$A,0)),0)</f>
        <v>1</v>
      </c>
      <c r="Z234" s="23" t="n">
        <f aca="false">IFERROR(INDEX(PODACI_PRODAJA!I:I,MATCH($A234,PODACI_PRODAJA!$A:$A,0)),0)</f>
        <v>0</v>
      </c>
      <c r="AA234" s="23" t="n">
        <f aca="false">IFERROR(INDEX(PODACI_PRODAJA!J:J,MATCH($A234,PODACI_PRODAJA!$A:$A,0)),0)</f>
        <v>0</v>
      </c>
      <c r="AB234" s="23" t="n">
        <f aca="false">IFERROR(INDEX(PODACI_PRODAJA!K:K,MATCH($A234,PODACI_PRODAJA!$A:$A,0)),0)</f>
        <v>0</v>
      </c>
      <c r="AC234" s="23" t="n">
        <f aca="false">IFERROR(INDEX(PODACI_PRODAJA!L:L,MATCH($A234,PODACI_PRODAJA!$A:$A,0)),0)</f>
        <v>0</v>
      </c>
      <c r="AD234" s="23" t="n">
        <f aca="false">IFERROR(INDEX(PODACI_PRODAJA!M:M,MATCH($A234,PODACI_PRODAJA!$A:$A,0)),0)</f>
        <v>0</v>
      </c>
    </row>
    <row r="235" customFormat="false" ht="15" hidden="false" customHeight="false" outlineLevel="0" collapsed="false">
      <c r="A235" s="11" t="str">
        <f aca="false">PODACI_ZALIHE!A232</f>
        <v>17234</v>
      </c>
      <c r="B235" s="8" t="str">
        <f aca="false">PODACI_ZALIHE!B232</f>
        <v>TK PARLA 80 CHROME KVADRATNA TUŠ KABINA 80X80X195 cm</v>
      </c>
      <c r="C235" s="9" t="str">
        <f aca="false">PODACI_ZALIHE!C232</f>
        <v>6762</v>
      </c>
      <c r="D235" s="8" t="str">
        <f aca="false">PODACI_ZALIHE!D232</f>
        <v>ZHEJIANG QUICKLINE SHOWERING CO., LTD.</v>
      </c>
      <c r="E235" s="19" t="n">
        <f aca="false">IF(PODACI_ZALIHE!E232="","",PODACI_ZALIHE!E232)</f>
        <v>34</v>
      </c>
      <c r="F235" s="20" t="n">
        <f aca="false">PODACI_ZALIHE!F232</f>
        <v>34</v>
      </c>
      <c r="G235" s="19" t="n">
        <f aca="false">IF(E235="","",E235-F235)</f>
        <v>0</v>
      </c>
      <c r="H235" s="9" t="n">
        <f aca="false">PODACI_PRODAJA!N214</f>
        <v>2.88</v>
      </c>
      <c r="I235" s="21" t="n">
        <f aca="false">IF(H235&lt;=0,999,ROUND(F235/H235,1))</f>
        <v>11.8</v>
      </c>
      <c r="J235" s="9" t="n">
        <f aca="false">SUMIFS(ROBA_U_DOLASKU!$C$6:$C$95,ROBA_U_DOLASKU!$A$6:$A$95,A235,ROBA_U_DOLASKU!$H$6:$H$95,1)</f>
        <v>0</v>
      </c>
      <c r="K235" s="9" t="n">
        <f aca="false">SUMIFS(ROBA_U_DOLASKU!$B$6:$B$95,ROBA_U_DOLASKU!$A$6:$A$95,A235,ROBA_U_DOLASKU!$H$6:$H$95,1)</f>
        <v>0</v>
      </c>
      <c r="L235" s="9" t="n">
        <f aca="false">SUMIFS(ROBA_U_DOLASKU!$C$6:$C$95,ROBA_U_DOLASKU!$A$6:$A$95,A235,ROBA_U_DOLASKU!$H$6:$H$95,2)</f>
        <v>0</v>
      </c>
      <c r="M235" s="9" t="n">
        <f aca="false">SUMIFS(ROBA_U_DOLASKU!$B$6:$B$95,ROBA_U_DOLASKU!$A$6:$A$95,A235,ROBA_U_DOLASKU!$H$6:$H$95,2)</f>
        <v>0</v>
      </c>
      <c r="N235" s="9" t="n">
        <f aca="false">SUMIFS(ROBA_U_DOLASKU!$C$6:$C$95,ROBA_U_DOLASKU!$A$6:$A$95,A235,ROBA_U_DOLASKU!$H$6:$H$95,3)</f>
        <v>0</v>
      </c>
      <c r="O235" s="9" t="n">
        <f aca="false">SUMIFS(ROBA_U_DOLASKU!$B$6:$B$95,ROBA_U_DOLASKU!$A$6:$A$95,A235,ROBA_U_DOLASKU!$H$6:$H$95,3)</f>
        <v>0</v>
      </c>
      <c r="P235" s="9" t="n">
        <f aca="false">IF(H235&lt;=0,999,IF(O235&gt;0,ROUND((F235-H235*N235+K235+M235+O235)/H235,1),IF(M235&gt;0,ROUND((F235-H235*L235+K235+M235)/H235,1),IF(K235&gt;0,ROUND((F235-H235*J235+K235)/H235,1),I235))))</f>
        <v>11.8</v>
      </c>
      <c r="Q235" s="22" t="str">
        <f aca="false">IF(H235&lt;=0,"Nema prodaje",IF(AND(K235=0,M235=0,O235=0),IF(I235&lt;POSTAVKE!$B$6,"Naruči odmah","Sve u redu"),IF(F235-H235*J235&lt;0,"Rupa za ~"&amp;TEXT(I235,"0.0")&amp;" mj.",IF(AND(M235&gt;0,F235-H235*L235+K235&lt;0),"Rupa nakon 1. dolaska",IF(AND(O235&gt;0,F235-H235*N235+K235+M235&lt;0),"Rupa nakon 2. dolaska",IF(P235&lt;POSTAVKE!$B$6,"Količina nije dovoljna",IF(I235&gt;=POSTAVKE!$B$6,"Sve u redu","Stiže na vrijeme")))))))</f>
        <v>Sve u redu</v>
      </c>
      <c r="S235" s="23" t="n">
        <f aca="false">IFERROR(INDEX(PODACI_PRODAJA!B:B,MATCH($A235,PODACI_PRODAJA!$A:$A,0)),0)</f>
        <v>2</v>
      </c>
      <c r="T235" s="23" t="n">
        <f aca="false">IFERROR(INDEX(PODACI_PRODAJA!C:C,MATCH($A235,PODACI_PRODAJA!$A:$A,0)),0)</f>
        <v>1</v>
      </c>
      <c r="U235" s="23" t="n">
        <f aca="false">IFERROR(INDEX(PODACI_PRODAJA!D:D,MATCH($A235,PODACI_PRODAJA!$A:$A,0)),0)</f>
        <v>1</v>
      </c>
      <c r="V235" s="23" t="n">
        <f aca="false">IFERROR(INDEX(PODACI_PRODAJA!E:E,MATCH($A235,PODACI_PRODAJA!$A:$A,0)),0)</f>
        <v>11</v>
      </c>
      <c r="W235" s="23" t="n">
        <f aca="false">IFERROR(INDEX(PODACI_PRODAJA!F:F,MATCH($A235,PODACI_PRODAJA!$A:$A,0)),0)</f>
        <v>3</v>
      </c>
      <c r="X235" s="23" t="n">
        <f aca="false">IFERROR(INDEX(PODACI_PRODAJA!G:G,MATCH($A235,PODACI_PRODAJA!$A:$A,0)),0)</f>
        <v>3</v>
      </c>
      <c r="Y235" s="23" t="n">
        <f aca="false">IFERROR(INDEX(PODACI_PRODAJA!H:H,MATCH($A235,PODACI_PRODAJA!$A:$A,0)),0)</f>
        <v>0</v>
      </c>
      <c r="Z235" s="23" t="n">
        <f aca="false">IFERROR(INDEX(PODACI_PRODAJA!I:I,MATCH($A235,PODACI_PRODAJA!$A:$A,0)),0)</f>
        <v>2</v>
      </c>
      <c r="AA235" s="23" t="n">
        <f aca="false">IFERROR(INDEX(PODACI_PRODAJA!J:J,MATCH($A235,PODACI_PRODAJA!$A:$A,0)),0)</f>
        <v>0</v>
      </c>
      <c r="AB235" s="23" t="n">
        <f aca="false">IFERROR(INDEX(PODACI_PRODAJA!K:K,MATCH($A235,PODACI_PRODAJA!$A:$A,0)),0)</f>
        <v>0</v>
      </c>
      <c r="AC235" s="23" t="n">
        <f aca="false">IFERROR(INDEX(PODACI_PRODAJA!L:L,MATCH($A235,PODACI_PRODAJA!$A:$A,0)),0)</f>
        <v>0</v>
      </c>
      <c r="AD235" s="23" t="n">
        <f aca="false">IFERROR(INDEX(PODACI_PRODAJA!M:M,MATCH($A235,PODACI_PRODAJA!$A:$A,0)),0)</f>
        <v>0</v>
      </c>
    </row>
    <row r="236" customFormat="false" ht="15" hidden="false" customHeight="false" outlineLevel="0" collapsed="false">
      <c r="A236" s="11" t="str">
        <f aca="false">PODACI_ZALIHE!A233</f>
        <v>18012</v>
      </c>
      <c r="B236" s="8" t="str">
        <f aca="false">PODACI_ZALIHE!B233</f>
        <v>VETRO BL TRS 6mm ECO TUŠ STIJENA 110x200</v>
      </c>
      <c r="C236" s="9" t="str">
        <f aca="false">PODACI_ZALIHE!C233</f>
        <v>6762</v>
      </c>
      <c r="D236" s="8" t="str">
        <f aca="false">PODACI_ZALIHE!D233</f>
        <v>ZHEJIANG QUICKLINE SHOWERING CO., LTD.</v>
      </c>
      <c r="E236" s="19" t="n">
        <f aca="false">IF(PODACI_ZALIHE!E233="","",PODACI_ZALIHE!E233)</f>
        <v>34</v>
      </c>
      <c r="F236" s="20" t="n">
        <f aca="false">PODACI_ZALIHE!F233</f>
        <v>34</v>
      </c>
      <c r="G236" s="19" t="n">
        <f aca="false">IF(E236="","",E236-F236)</f>
        <v>0</v>
      </c>
      <c r="H236" s="9" t="n">
        <f aca="false">PODACI_PRODAJA!N653</f>
        <v>3.25</v>
      </c>
      <c r="I236" s="21" t="n">
        <f aca="false">IF(H236&lt;=0,999,ROUND(F236/H236,1))</f>
        <v>10.5</v>
      </c>
      <c r="J236" s="9" t="n">
        <f aca="false">SUMIFS(ROBA_U_DOLASKU!$C$6:$C$95,ROBA_U_DOLASKU!$A$6:$A$95,A236,ROBA_U_DOLASKU!$H$6:$H$95,1)</f>
        <v>0</v>
      </c>
      <c r="K236" s="9" t="n">
        <f aca="false">SUMIFS(ROBA_U_DOLASKU!$B$6:$B$95,ROBA_U_DOLASKU!$A$6:$A$95,A236,ROBA_U_DOLASKU!$H$6:$H$95,1)</f>
        <v>0</v>
      </c>
      <c r="L236" s="9" t="n">
        <f aca="false">SUMIFS(ROBA_U_DOLASKU!$C$6:$C$95,ROBA_U_DOLASKU!$A$6:$A$95,A236,ROBA_U_DOLASKU!$H$6:$H$95,2)</f>
        <v>0</v>
      </c>
      <c r="M236" s="9" t="n">
        <f aca="false">SUMIFS(ROBA_U_DOLASKU!$B$6:$B$95,ROBA_U_DOLASKU!$A$6:$A$95,A236,ROBA_U_DOLASKU!$H$6:$H$95,2)</f>
        <v>0</v>
      </c>
      <c r="N236" s="9" t="n">
        <f aca="false">SUMIFS(ROBA_U_DOLASKU!$C$6:$C$95,ROBA_U_DOLASKU!$A$6:$A$95,A236,ROBA_U_DOLASKU!$H$6:$H$95,3)</f>
        <v>0</v>
      </c>
      <c r="O236" s="9" t="n">
        <f aca="false">SUMIFS(ROBA_U_DOLASKU!$B$6:$B$95,ROBA_U_DOLASKU!$A$6:$A$95,A236,ROBA_U_DOLASKU!$H$6:$H$95,3)</f>
        <v>0</v>
      </c>
      <c r="P236" s="9" t="n">
        <f aca="false">IF(H236&lt;=0,999,IF(O236&gt;0,ROUND((F236-H236*N236+K236+M236+O236)/H236,1),IF(M236&gt;0,ROUND((F236-H236*L236+K236+M236)/H236,1),IF(K236&gt;0,ROUND((F236-H236*J236+K236)/H236,1),I236))))</f>
        <v>10.5</v>
      </c>
      <c r="Q236" s="22" t="str">
        <f aca="false">IF(H236&lt;=0,"Nema prodaje",IF(AND(K236=0,M236=0,O236=0),IF(I236&lt;POSTAVKE!$B$6,"Naruči odmah","Sve u redu"),IF(F236-H236*J236&lt;0,"Rupa za ~"&amp;TEXT(I236,"0.0")&amp;" mj.",IF(AND(M236&gt;0,F236-H236*L236+K236&lt;0),"Rupa nakon 1. dolaska",IF(AND(O236&gt;0,F236-H236*N236+K236+M236&lt;0),"Rupa nakon 2. dolaska",IF(P236&lt;POSTAVKE!$B$6,"Količina nije dovoljna",IF(I236&gt;=POSTAVKE!$B$6,"Sve u redu","Stiže na vrijeme")))))))</f>
        <v>Sve u redu</v>
      </c>
      <c r="S236" s="23" t="n">
        <f aca="false">IFERROR(INDEX(PODACI_PRODAJA!B:B,MATCH($A236,PODACI_PRODAJA!$A:$A,0)),0)</f>
        <v>0</v>
      </c>
      <c r="T236" s="23" t="n">
        <f aca="false">IFERROR(INDEX(PODACI_PRODAJA!C:C,MATCH($A236,PODACI_PRODAJA!$A:$A,0)),0)</f>
        <v>0</v>
      </c>
      <c r="U236" s="23" t="n">
        <f aca="false">IFERROR(INDEX(PODACI_PRODAJA!D:D,MATCH($A236,PODACI_PRODAJA!$A:$A,0)),0)</f>
        <v>19</v>
      </c>
      <c r="V236" s="23" t="n">
        <f aca="false">IFERROR(INDEX(PODACI_PRODAJA!E:E,MATCH($A236,PODACI_PRODAJA!$A:$A,0)),0)</f>
        <v>0</v>
      </c>
      <c r="W236" s="23" t="n">
        <f aca="false">IFERROR(INDEX(PODACI_PRODAJA!F:F,MATCH($A236,PODACI_PRODAJA!$A:$A,0)),0)</f>
        <v>4</v>
      </c>
      <c r="X236" s="23" t="n">
        <f aca="false">IFERROR(INDEX(PODACI_PRODAJA!G:G,MATCH($A236,PODACI_PRODAJA!$A:$A,0)),0)</f>
        <v>3</v>
      </c>
      <c r="Y236" s="23" t="n">
        <f aca="false">IFERROR(INDEX(PODACI_PRODAJA!H:H,MATCH($A236,PODACI_PRODAJA!$A:$A,0)),0)</f>
        <v>0</v>
      </c>
      <c r="Z236" s="23" t="n">
        <f aca="false">IFERROR(INDEX(PODACI_PRODAJA!I:I,MATCH($A236,PODACI_PRODAJA!$A:$A,0)),0)</f>
        <v>0</v>
      </c>
      <c r="AA236" s="23" t="n">
        <f aca="false">IFERROR(INDEX(PODACI_PRODAJA!J:J,MATCH($A236,PODACI_PRODAJA!$A:$A,0)),0)</f>
        <v>0</v>
      </c>
      <c r="AB236" s="23" t="n">
        <f aca="false">IFERROR(INDEX(PODACI_PRODAJA!K:K,MATCH($A236,PODACI_PRODAJA!$A:$A,0)),0)</f>
        <v>0</v>
      </c>
      <c r="AC236" s="23" t="n">
        <f aca="false">IFERROR(INDEX(PODACI_PRODAJA!L:L,MATCH($A236,PODACI_PRODAJA!$A:$A,0)),0)</f>
        <v>0</v>
      </c>
      <c r="AD236" s="23" t="n">
        <f aca="false">IFERROR(INDEX(PODACI_PRODAJA!M:M,MATCH($A236,PODACI_PRODAJA!$A:$A,0)),0)</f>
        <v>0</v>
      </c>
    </row>
    <row r="237" customFormat="false" ht="15" hidden="false" customHeight="false" outlineLevel="0" collapsed="false">
      <c r="A237" s="11" t="str">
        <f aca="false">PODACI_ZALIHE!A234</f>
        <v>18023</v>
      </c>
      <c r="B237" s="8" t="str">
        <f aca="false">PODACI_ZALIHE!B234</f>
        <v>MARBELLA 100 TUŠ VRATA 100-110x200 cm</v>
      </c>
      <c r="C237" s="9" t="str">
        <f aca="false">PODACI_ZALIHE!C234</f>
        <v>6762</v>
      </c>
      <c r="D237" s="8" t="str">
        <f aca="false">PODACI_ZALIHE!D234</f>
        <v>ZHEJIANG QUICKLINE SHOWERING CO., LTD.</v>
      </c>
      <c r="E237" s="19" t="n">
        <f aca="false">IF(PODACI_ZALIHE!E234="","",PODACI_ZALIHE!E234)</f>
        <v>34</v>
      </c>
      <c r="F237" s="20" t="n">
        <f aca="false">PODACI_ZALIHE!F234</f>
        <v>34</v>
      </c>
      <c r="G237" s="19" t="n">
        <f aca="false">IF(E237="","",E237-F237)</f>
        <v>0</v>
      </c>
      <c r="H237" s="9" t="n">
        <f aca="false">PODACI_PRODAJA!N663</f>
        <v>0.75</v>
      </c>
      <c r="I237" s="21" t="n">
        <f aca="false">IF(H237&lt;=0,999,ROUND(F237/H237,1))</f>
        <v>45.3</v>
      </c>
      <c r="J237" s="9" t="n">
        <f aca="false">SUMIFS(ROBA_U_DOLASKU!$C$6:$C$95,ROBA_U_DOLASKU!$A$6:$A$95,A237,ROBA_U_DOLASKU!$H$6:$H$95,1)</f>
        <v>0</v>
      </c>
      <c r="K237" s="9" t="n">
        <f aca="false">SUMIFS(ROBA_U_DOLASKU!$B$6:$B$95,ROBA_U_DOLASKU!$A$6:$A$95,A237,ROBA_U_DOLASKU!$H$6:$H$95,1)</f>
        <v>0</v>
      </c>
      <c r="L237" s="9" t="n">
        <f aca="false">SUMIFS(ROBA_U_DOLASKU!$C$6:$C$95,ROBA_U_DOLASKU!$A$6:$A$95,A237,ROBA_U_DOLASKU!$H$6:$H$95,2)</f>
        <v>0</v>
      </c>
      <c r="M237" s="9" t="n">
        <f aca="false">SUMIFS(ROBA_U_DOLASKU!$B$6:$B$95,ROBA_U_DOLASKU!$A$6:$A$95,A237,ROBA_U_DOLASKU!$H$6:$H$95,2)</f>
        <v>0</v>
      </c>
      <c r="N237" s="9" t="n">
        <f aca="false">SUMIFS(ROBA_U_DOLASKU!$C$6:$C$95,ROBA_U_DOLASKU!$A$6:$A$95,A237,ROBA_U_DOLASKU!$H$6:$H$95,3)</f>
        <v>0</v>
      </c>
      <c r="O237" s="9" t="n">
        <f aca="false">SUMIFS(ROBA_U_DOLASKU!$B$6:$B$95,ROBA_U_DOLASKU!$A$6:$A$95,A237,ROBA_U_DOLASKU!$H$6:$H$95,3)</f>
        <v>0</v>
      </c>
      <c r="P237" s="9" t="n">
        <f aca="false">IF(H237&lt;=0,999,IF(O237&gt;0,ROUND((F237-H237*N237+K237+M237+O237)/H237,1),IF(M237&gt;0,ROUND((F237-H237*L237+K237+M237)/H237,1),IF(K237&gt;0,ROUND((F237-H237*J237+K237)/H237,1),I237))))</f>
        <v>45.3</v>
      </c>
      <c r="Q237" s="22" t="str">
        <f aca="false">IF(H237&lt;=0,"Nema prodaje",IF(AND(K237=0,M237=0,O237=0),IF(I237&lt;POSTAVKE!$B$6,"Naruči odmah","Sve u redu"),IF(F237-H237*J237&lt;0,"Rupa za ~"&amp;TEXT(I237,"0.0")&amp;" mj.",IF(AND(M237&gt;0,F237-H237*L237+K237&lt;0),"Rupa nakon 1. dolaska",IF(AND(O237&gt;0,F237-H237*N237+K237+M237&lt;0),"Rupa nakon 2. dolaska",IF(P237&lt;POSTAVKE!$B$6,"Količina nije dovoljna",IF(I237&gt;=POSTAVKE!$B$6,"Sve u redu","Stiže na vrijeme")))))))</f>
        <v>Sve u redu</v>
      </c>
      <c r="S237" s="23" t="n">
        <f aca="false">IFERROR(INDEX(PODACI_PRODAJA!B:B,MATCH($A237,PODACI_PRODAJA!$A:$A,0)),0)</f>
        <v>0</v>
      </c>
      <c r="T237" s="23" t="n">
        <f aca="false">IFERROR(INDEX(PODACI_PRODAJA!C:C,MATCH($A237,PODACI_PRODAJA!$A:$A,0)),0)</f>
        <v>0</v>
      </c>
      <c r="U237" s="23" t="n">
        <f aca="false">IFERROR(INDEX(PODACI_PRODAJA!D:D,MATCH($A237,PODACI_PRODAJA!$A:$A,0)),0)</f>
        <v>2</v>
      </c>
      <c r="V237" s="23" t="n">
        <f aca="false">IFERROR(INDEX(PODACI_PRODAJA!E:E,MATCH($A237,PODACI_PRODAJA!$A:$A,0)),0)</f>
        <v>0</v>
      </c>
      <c r="W237" s="23" t="n">
        <f aca="false">IFERROR(INDEX(PODACI_PRODAJA!F:F,MATCH($A237,PODACI_PRODAJA!$A:$A,0)),0)</f>
        <v>0</v>
      </c>
      <c r="X237" s="23" t="n">
        <f aca="false">IFERROR(INDEX(PODACI_PRODAJA!G:G,MATCH($A237,PODACI_PRODAJA!$A:$A,0)),0)</f>
        <v>0</v>
      </c>
      <c r="Y237" s="23" t="n">
        <f aca="false">IFERROR(INDEX(PODACI_PRODAJA!H:H,MATCH($A237,PODACI_PRODAJA!$A:$A,0)),0)</f>
        <v>1</v>
      </c>
      <c r="Z237" s="23" t="n">
        <f aca="false">IFERROR(INDEX(PODACI_PRODAJA!I:I,MATCH($A237,PODACI_PRODAJA!$A:$A,0)),0)</f>
        <v>3</v>
      </c>
      <c r="AA237" s="23" t="n">
        <f aca="false">IFERROR(INDEX(PODACI_PRODAJA!J:J,MATCH($A237,PODACI_PRODAJA!$A:$A,0)),0)</f>
        <v>0</v>
      </c>
      <c r="AB237" s="23" t="n">
        <f aca="false">IFERROR(INDEX(PODACI_PRODAJA!K:K,MATCH($A237,PODACI_PRODAJA!$A:$A,0)),0)</f>
        <v>0</v>
      </c>
      <c r="AC237" s="23" t="n">
        <f aca="false">IFERROR(INDEX(PODACI_PRODAJA!L:L,MATCH($A237,PODACI_PRODAJA!$A:$A,0)),0)</f>
        <v>0</v>
      </c>
      <c r="AD237" s="23" t="n">
        <f aca="false">IFERROR(INDEX(PODACI_PRODAJA!M:M,MATCH($A237,PODACI_PRODAJA!$A:$A,0)),0)</f>
        <v>0</v>
      </c>
    </row>
    <row r="238" customFormat="false" ht="15" hidden="false" customHeight="false" outlineLevel="0" collapsed="false">
      <c r="A238" s="11" t="str">
        <f aca="false">PODACI_ZALIHE!A235</f>
        <v>P15814</v>
      </c>
      <c r="B238" s="8" t="str">
        <f aca="false">PODACI_ZALIHE!B235</f>
        <v>BOLD LUX 80120 MINERALSOLID TUŠ KADA BIJELA SJAJNA 800x1200x30 mm</v>
      </c>
      <c r="C238" s="9" t="str">
        <f aca="false">PODACI_ZALIHE!C235</f>
        <v>5140</v>
      </c>
      <c r="D238" s="8" t="str">
        <f aca="false">PODACI_ZALIHE!D235</f>
        <v>GUANGDONG OCEAN SANITARY WARE CO., LTD.</v>
      </c>
      <c r="E238" s="19" t="n">
        <f aca="false">IF(PODACI_ZALIHE!E235="","",PODACI_ZALIHE!E235)</f>
        <v>33</v>
      </c>
      <c r="F238" s="20" t="n">
        <f aca="false">PODACI_ZALIHE!F235</f>
        <v>33</v>
      </c>
      <c r="G238" s="19" t="n">
        <f aca="false">IF(E238="","",E238-F238)</f>
        <v>0</v>
      </c>
      <c r="H238" s="9" t="n">
        <f aca="false">PODACI_PRODAJA!N316</f>
        <v>0.13</v>
      </c>
      <c r="I238" s="21" t="n">
        <f aca="false">IF(H238&lt;=0,999,ROUND(F238/H238,1))</f>
        <v>253.8</v>
      </c>
      <c r="J238" s="9" t="n">
        <f aca="false">SUMIFS(ROBA_U_DOLASKU!$C$6:$C$95,ROBA_U_DOLASKU!$A$6:$A$95,A238,ROBA_U_DOLASKU!$H$6:$H$95,1)</f>
        <v>0</v>
      </c>
      <c r="K238" s="9" t="n">
        <f aca="false">SUMIFS(ROBA_U_DOLASKU!$B$6:$B$95,ROBA_U_DOLASKU!$A$6:$A$95,A238,ROBA_U_DOLASKU!$H$6:$H$95,1)</f>
        <v>0</v>
      </c>
      <c r="L238" s="9" t="n">
        <f aca="false">SUMIFS(ROBA_U_DOLASKU!$C$6:$C$95,ROBA_U_DOLASKU!$A$6:$A$95,A238,ROBA_U_DOLASKU!$H$6:$H$95,2)</f>
        <v>0</v>
      </c>
      <c r="M238" s="9" t="n">
        <f aca="false">SUMIFS(ROBA_U_DOLASKU!$B$6:$B$95,ROBA_U_DOLASKU!$A$6:$A$95,A238,ROBA_U_DOLASKU!$H$6:$H$95,2)</f>
        <v>0</v>
      </c>
      <c r="N238" s="9" t="n">
        <f aca="false">SUMIFS(ROBA_U_DOLASKU!$C$6:$C$95,ROBA_U_DOLASKU!$A$6:$A$95,A238,ROBA_U_DOLASKU!$H$6:$H$95,3)</f>
        <v>0</v>
      </c>
      <c r="O238" s="9" t="n">
        <f aca="false">SUMIFS(ROBA_U_DOLASKU!$B$6:$B$95,ROBA_U_DOLASKU!$A$6:$A$95,A238,ROBA_U_DOLASKU!$H$6:$H$95,3)</f>
        <v>0</v>
      </c>
      <c r="P238" s="9" t="n">
        <f aca="false">IF(H238&lt;=0,999,IF(O238&gt;0,ROUND((F238-H238*N238+K238+M238+O238)/H238,1),IF(M238&gt;0,ROUND((F238-H238*L238+K238+M238)/H238,1),IF(K238&gt;0,ROUND((F238-H238*J238+K238)/H238,1),I238))))</f>
        <v>253.8</v>
      </c>
      <c r="Q238" s="22" t="str">
        <f aca="false">IF(H238&lt;=0,"Nema prodaje",IF(AND(K238=0,M238=0,O238=0),IF(I238&lt;POSTAVKE!$B$6,"Naruči odmah","Sve u redu"),IF(F238-H238*J238&lt;0,"Rupa za ~"&amp;TEXT(I238,"0.0")&amp;" mj.",IF(AND(M238&gt;0,F238-H238*L238+K238&lt;0),"Rupa nakon 1. dolaska",IF(AND(O238&gt;0,F238-H238*N238+K238+M238&lt;0),"Rupa nakon 2. dolaska",IF(P238&lt;POSTAVKE!$B$6,"Količina nije dovoljna",IF(I238&gt;=POSTAVKE!$B$6,"Sve u redu","Stiže na vrijeme")))))))</f>
        <v>Sve u redu</v>
      </c>
      <c r="S238" s="23" t="n">
        <f aca="false">IFERROR(INDEX(PODACI_PRODAJA!B:B,MATCH($A238,PODACI_PRODAJA!$A:$A,0)),0)</f>
        <v>0</v>
      </c>
      <c r="T238" s="23" t="n">
        <f aca="false">IFERROR(INDEX(PODACI_PRODAJA!C:C,MATCH($A238,PODACI_PRODAJA!$A:$A,0)),0)</f>
        <v>0</v>
      </c>
      <c r="U238" s="23" t="n">
        <f aca="false">IFERROR(INDEX(PODACI_PRODAJA!D:D,MATCH($A238,PODACI_PRODAJA!$A:$A,0)),0)</f>
        <v>0</v>
      </c>
      <c r="V238" s="23" t="n">
        <f aca="false">IFERROR(INDEX(PODACI_PRODAJA!E:E,MATCH($A238,PODACI_PRODAJA!$A:$A,0)),0)</f>
        <v>0</v>
      </c>
      <c r="W238" s="23" t="n">
        <f aca="false">IFERROR(INDEX(PODACI_PRODAJA!F:F,MATCH($A238,PODACI_PRODAJA!$A:$A,0)),0)</f>
        <v>0</v>
      </c>
      <c r="X238" s="23" t="n">
        <f aca="false">IFERROR(INDEX(PODACI_PRODAJA!G:G,MATCH($A238,PODACI_PRODAJA!$A:$A,0)),0)</f>
        <v>0</v>
      </c>
      <c r="Y238" s="23" t="n">
        <f aca="false">IFERROR(INDEX(PODACI_PRODAJA!H:H,MATCH($A238,PODACI_PRODAJA!$A:$A,0)),0)</f>
        <v>0</v>
      </c>
      <c r="Z238" s="23" t="n">
        <f aca="false">IFERROR(INDEX(PODACI_PRODAJA!I:I,MATCH($A238,PODACI_PRODAJA!$A:$A,0)),0)</f>
        <v>1</v>
      </c>
      <c r="AA238" s="23" t="n">
        <f aca="false">IFERROR(INDEX(PODACI_PRODAJA!J:J,MATCH($A238,PODACI_PRODAJA!$A:$A,0)),0)</f>
        <v>0</v>
      </c>
      <c r="AB238" s="23" t="n">
        <f aca="false">IFERROR(INDEX(PODACI_PRODAJA!K:K,MATCH($A238,PODACI_PRODAJA!$A:$A,0)),0)</f>
        <v>0</v>
      </c>
      <c r="AC238" s="23" t="n">
        <f aca="false">IFERROR(INDEX(PODACI_PRODAJA!L:L,MATCH($A238,PODACI_PRODAJA!$A:$A,0)),0)</f>
        <v>0</v>
      </c>
      <c r="AD238" s="23" t="n">
        <f aca="false">IFERROR(INDEX(PODACI_PRODAJA!M:M,MATCH($A238,PODACI_PRODAJA!$A:$A,0)),0)</f>
        <v>0</v>
      </c>
    </row>
    <row r="239" customFormat="false" ht="15" hidden="false" customHeight="false" outlineLevel="0" collapsed="false">
      <c r="A239" s="11" t="str">
        <f aca="false">PODACI_ZALIHE!A236</f>
        <v>P15820</v>
      </c>
      <c r="B239" s="8" t="str">
        <f aca="false">PODACI_ZALIHE!B236</f>
        <v>BOLD LUX 100 KV MINERALSOLID TUŠ KADA BIJELA SJAJNA 1000x1000x30 mm</v>
      </c>
      <c r="C239" s="9" t="str">
        <f aca="false">PODACI_ZALIHE!C236</f>
        <v>5140</v>
      </c>
      <c r="D239" s="8" t="str">
        <f aca="false">PODACI_ZALIHE!D236</f>
        <v>GUANGDONG OCEAN SANITARY WARE CO., LTD.</v>
      </c>
      <c r="E239" s="19" t="n">
        <f aca="false">IF(PODACI_ZALIHE!E236="","",PODACI_ZALIHE!E236)</f>
        <v>33</v>
      </c>
      <c r="F239" s="20" t="n">
        <f aca="false">PODACI_ZALIHE!F236</f>
        <v>33</v>
      </c>
      <c r="G239" s="19" t="n">
        <f aca="false">IF(E239="","",E239-F239)</f>
        <v>0</v>
      </c>
      <c r="H239" s="9" t="n">
        <f aca="false">PODACI_PRODAJA!N322</f>
        <v>0.13</v>
      </c>
      <c r="I239" s="21" t="n">
        <f aca="false">IF(H239&lt;=0,999,ROUND(F239/H239,1))</f>
        <v>253.8</v>
      </c>
      <c r="J239" s="9" t="n">
        <f aca="false">SUMIFS(ROBA_U_DOLASKU!$C$6:$C$95,ROBA_U_DOLASKU!$A$6:$A$95,A239,ROBA_U_DOLASKU!$H$6:$H$95,1)</f>
        <v>0</v>
      </c>
      <c r="K239" s="9" t="n">
        <f aca="false">SUMIFS(ROBA_U_DOLASKU!$B$6:$B$95,ROBA_U_DOLASKU!$A$6:$A$95,A239,ROBA_U_DOLASKU!$H$6:$H$95,1)</f>
        <v>0</v>
      </c>
      <c r="L239" s="9" t="n">
        <f aca="false">SUMIFS(ROBA_U_DOLASKU!$C$6:$C$95,ROBA_U_DOLASKU!$A$6:$A$95,A239,ROBA_U_DOLASKU!$H$6:$H$95,2)</f>
        <v>0</v>
      </c>
      <c r="M239" s="9" t="n">
        <f aca="false">SUMIFS(ROBA_U_DOLASKU!$B$6:$B$95,ROBA_U_DOLASKU!$A$6:$A$95,A239,ROBA_U_DOLASKU!$H$6:$H$95,2)</f>
        <v>0</v>
      </c>
      <c r="N239" s="9" t="n">
        <f aca="false">SUMIFS(ROBA_U_DOLASKU!$C$6:$C$95,ROBA_U_DOLASKU!$A$6:$A$95,A239,ROBA_U_DOLASKU!$H$6:$H$95,3)</f>
        <v>0</v>
      </c>
      <c r="O239" s="9" t="n">
        <f aca="false">SUMIFS(ROBA_U_DOLASKU!$B$6:$B$95,ROBA_U_DOLASKU!$A$6:$A$95,A239,ROBA_U_DOLASKU!$H$6:$H$95,3)</f>
        <v>0</v>
      </c>
      <c r="P239" s="9" t="n">
        <f aca="false">IF(H239&lt;=0,999,IF(O239&gt;0,ROUND((F239-H239*N239+K239+M239+O239)/H239,1),IF(M239&gt;0,ROUND((F239-H239*L239+K239+M239)/H239,1),IF(K239&gt;0,ROUND((F239-H239*J239+K239)/H239,1),I239))))</f>
        <v>253.8</v>
      </c>
      <c r="Q239" s="22" t="str">
        <f aca="false">IF(H239&lt;=0,"Nema prodaje",IF(AND(K239=0,M239=0,O239=0),IF(I239&lt;POSTAVKE!$B$6,"Naruči odmah","Sve u redu"),IF(F239-H239*J239&lt;0,"Rupa za ~"&amp;TEXT(I239,"0.0")&amp;" mj.",IF(AND(M239&gt;0,F239-H239*L239+K239&lt;0),"Rupa nakon 1. dolaska",IF(AND(O239&gt;0,F239-H239*N239+K239+M239&lt;0),"Rupa nakon 2. dolaska",IF(P239&lt;POSTAVKE!$B$6,"Količina nije dovoljna",IF(I239&gt;=POSTAVKE!$B$6,"Sve u redu","Stiže na vrijeme")))))))</f>
        <v>Sve u redu</v>
      </c>
      <c r="S239" s="23" t="n">
        <f aca="false">IFERROR(INDEX(PODACI_PRODAJA!B:B,MATCH($A239,PODACI_PRODAJA!$A:$A,0)),0)</f>
        <v>0</v>
      </c>
      <c r="T239" s="23" t="n">
        <f aca="false">IFERROR(INDEX(PODACI_PRODAJA!C:C,MATCH($A239,PODACI_PRODAJA!$A:$A,0)),0)</f>
        <v>0</v>
      </c>
      <c r="U239" s="23" t="n">
        <f aca="false">IFERROR(INDEX(PODACI_PRODAJA!D:D,MATCH($A239,PODACI_PRODAJA!$A:$A,0)),0)</f>
        <v>0</v>
      </c>
      <c r="V239" s="23" t="n">
        <f aca="false">IFERROR(INDEX(PODACI_PRODAJA!E:E,MATCH($A239,PODACI_PRODAJA!$A:$A,0)),0)</f>
        <v>0</v>
      </c>
      <c r="W239" s="23" t="n">
        <f aca="false">IFERROR(INDEX(PODACI_PRODAJA!F:F,MATCH($A239,PODACI_PRODAJA!$A:$A,0)),0)</f>
        <v>0</v>
      </c>
      <c r="X239" s="23" t="n">
        <f aca="false">IFERROR(INDEX(PODACI_PRODAJA!G:G,MATCH($A239,PODACI_PRODAJA!$A:$A,0)),0)</f>
        <v>1</v>
      </c>
      <c r="Y239" s="23" t="n">
        <f aca="false">IFERROR(INDEX(PODACI_PRODAJA!H:H,MATCH($A239,PODACI_PRODAJA!$A:$A,0)),0)</f>
        <v>0</v>
      </c>
      <c r="Z239" s="23" t="n">
        <f aca="false">IFERROR(INDEX(PODACI_PRODAJA!I:I,MATCH($A239,PODACI_PRODAJA!$A:$A,0)),0)</f>
        <v>0</v>
      </c>
      <c r="AA239" s="23" t="n">
        <f aca="false">IFERROR(INDEX(PODACI_PRODAJA!J:J,MATCH($A239,PODACI_PRODAJA!$A:$A,0)),0)</f>
        <v>0</v>
      </c>
      <c r="AB239" s="23" t="n">
        <f aca="false">IFERROR(INDEX(PODACI_PRODAJA!K:K,MATCH($A239,PODACI_PRODAJA!$A:$A,0)),0)</f>
        <v>0</v>
      </c>
      <c r="AC239" s="23" t="n">
        <f aca="false">IFERROR(INDEX(PODACI_PRODAJA!L:L,MATCH($A239,PODACI_PRODAJA!$A:$A,0)),0)</f>
        <v>0</v>
      </c>
      <c r="AD239" s="23" t="n">
        <f aca="false">IFERROR(INDEX(PODACI_PRODAJA!M:M,MATCH($A239,PODACI_PRODAJA!$A:$A,0)),0)</f>
        <v>0</v>
      </c>
    </row>
    <row r="240" customFormat="false" ht="15" hidden="false" customHeight="false" outlineLevel="0" collapsed="false">
      <c r="A240" s="11" t="str">
        <f aca="false">PODACI_ZALIHE!A237</f>
        <v>15266</v>
      </c>
      <c r="B240" s="8" t="str">
        <f aca="false">PODACI_ZALIHE!B237</f>
        <v>TK MEIRA 80100 PRAVOKUTNA TUŠ KABINA 80x100x195 cm</v>
      </c>
      <c r="C240" s="9" t="str">
        <f aca="false">PODACI_ZALIHE!C237</f>
        <v>4328</v>
      </c>
      <c r="D240" s="8" t="str">
        <f aca="false">PODACI_ZALIHE!D237</f>
        <v>HANGZHOU DUHUI IMPORT AND EXPORT CO.,LTD</v>
      </c>
      <c r="E240" s="19" t="n">
        <f aca="false">IF(PODACI_ZALIHE!E237="","",PODACI_ZALIHE!E237)</f>
        <v>33</v>
      </c>
      <c r="F240" s="20" t="n">
        <f aca="false">PODACI_ZALIHE!F237</f>
        <v>33</v>
      </c>
      <c r="G240" s="19" t="n">
        <f aca="false">IF(E240="","",E240-F240)</f>
        <v>0</v>
      </c>
      <c r="H240" s="9" t="n">
        <f aca="false">PODACI_PRODAJA!N149</f>
        <v>2</v>
      </c>
      <c r="I240" s="21" t="n">
        <f aca="false">IF(H240&lt;=0,999,ROUND(F240/H240,1))</f>
        <v>16.5</v>
      </c>
      <c r="J240" s="9" t="n">
        <f aca="false">SUMIFS(ROBA_U_DOLASKU!$C$6:$C$95,ROBA_U_DOLASKU!$A$6:$A$95,A240,ROBA_U_DOLASKU!$H$6:$H$95,1)</f>
        <v>0</v>
      </c>
      <c r="K240" s="9" t="n">
        <f aca="false">SUMIFS(ROBA_U_DOLASKU!$B$6:$B$95,ROBA_U_DOLASKU!$A$6:$A$95,A240,ROBA_U_DOLASKU!$H$6:$H$95,1)</f>
        <v>0</v>
      </c>
      <c r="L240" s="9" t="n">
        <f aca="false">SUMIFS(ROBA_U_DOLASKU!$C$6:$C$95,ROBA_U_DOLASKU!$A$6:$A$95,A240,ROBA_U_DOLASKU!$H$6:$H$95,2)</f>
        <v>0</v>
      </c>
      <c r="M240" s="9" t="n">
        <f aca="false">SUMIFS(ROBA_U_DOLASKU!$B$6:$B$95,ROBA_U_DOLASKU!$A$6:$A$95,A240,ROBA_U_DOLASKU!$H$6:$H$95,2)</f>
        <v>0</v>
      </c>
      <c r="N240" s="9" t="n">
        <f aca="false">SUMIFS(ROBA_U_DOLASKU!$C$6:$C$95,ROBA_U_DOLASKU!$A$6:$A$95,A240,ROBA_U_DOLASKU!$H$6:$H$95,3)</f>
        <v>0</v>
      </c>
      <c r="O240" s="9" t="n">
        <f aca="false">SUMIFS(ROBA_U_DOLASKU!$B$6:$B$95,ROBA_U_DOLASKU!$A$6:$A$95,A240,ROBA_U_DOLASKU!$H$6:$H$95,3)</f>
        <v>0</v>
      </c>
      <c r="P240" s="9" t="n">
        <f aca="false">IF(H240&lt;=0,999,IF(O240&gt;0,ROUND((F240-H240*N240+K240+M240+O240)/H240,1),IF(M240&gt;0,ROUND((F240-H240*L240+K240+M240)/H240,1),IF(K240&gt;0,ROUND((F240-H240*J240+K240)/H240,1),I240))))</f>
        <v>16.5</v>
      </c>
      <c r="Q240" s="22" t="str">
        <f aca="false">IF(H240&lt;=0,"Nema prodaje",IF(AND(K240=0,M240=0,O240=0),IF(I240&lt;POSTAVKE!$B$6,"Naruči odmah","Sve u redu"),IF(F240-H240*J240&lt;0,"Rupa za ~"&amp;TEXT(I240,"0.0")&amp;" mj.",IF(AND(M240&gt;0,F240-H240*L240+K240&lt;0),"Rupa nakon 1. dolaska",IF(AND(O240&gt;0,F240-H240*N240+K240+M240&lt;0),"Rupa nakon 2. dolaska",IF(P240&lt;POSTAVKE!$B$6,"Količina nije dovoljna",IF(I240&gt;=POSTAVKE!$B$6,"Sve u redu","Stiže na vrijeme")))))))</f>
        <v>Sve u redu</v>
      </c>
      <c r="S240" s="23" t="n">
        <f aca="false">IFERROR(INDEX(PODACI_PRODAJA!B:B,MATCH($A240,PODACI_PRODAJA!$A:$A,0)),0)</f>
        <v>3</v>
      </c>
      <c r="T240" s="23" t="n">
        <f aca="false">IFERROR(INDEX(PODACI_PRODAJA!C:C,MATCH($A240,PODACI_PRODAJA!$A:$A,0)),0)</f>
        <v>2</v>
      </c>
      <c r="U240" s="23" t="n">
        <f aca="false">IFERROR(INDEX(PODACI_PRODAJA!D:D,MATCH($A240,PODACI_PRODAJA!$A:$A,0)),0)</f>
        <v>2</v>
      </c>
      <c r="V240" s="23" t="n">
        <f aca="false">IFERROR(INDEX(PODACI_PRODAJA!E:E,MATCH($A240,PODACI_PRODAJA!$A:$A,0)),0)</f>
        <v>5</v>
      </c>
      <c r="W240" s="23" t="n">
        <f aca="false">IFERROR(INDEX(PODACI_PRODAJA!F:F,MATCH($A240,PODACI_PRODAJA!$A:$A,0)),0)</f>
        <v>0</v>
      </c>
      <c r="X240" s="23" t="n">
        <f aca="false">IFERROR(INDEX(PODACI_PRODAJA!G:G,MATCH($A240,PODACI_PRODAJA!$A:$A,0)),0)</f>
        <v>2</v>
      </c>
      <c r="Y240" s="23" t="n">
        <f aca="false">IFERROR(INDEX(PODACI_PRODAJA!H:H,MATCH($A240,PODACI_PRODAJA!$A:$A,0)),0)</f>
        <v>0</v>
      </c>
      <c r="Z240" s="23" t="n">
        <f aca="false">IFERROR(INDEX(PODACI_PRODAJA!I:I,MATCH($A240,PODACI_PRODAJA!$A:$A,0)),0)</f>
        <v>2</v>
      </c>
      <c r="AA240" s="23" t="n">
        <f aca="false">IFERROR(INDEX(PODACI_PRODAJA!J:J,MATCH($A240,PODACI_PRODAJA!$A:$A,0)),0)</f>
        <v>0</v>
      </c>
      <c r="AB240" s="23" t="n">
        <f aca="false">IFERROR(INDEX(PODACI_PRODAJA!K:K,MATCH($A240,PODACI_PRODAJA!$A:$A,0)),0)</f>
        <v>0</v>
      </c>
      <c r="AC240" s="23" t="n">
        <f aca="false">IFERROR(INDEX(PODACI_PRODAJA!L:L,MATCH($A240,PODACI_PRODAJA!$A:$A,0)),0)</f>
        <v>0</v>
      </c>
      <c r="AD240" s="23" t="n">
        <f aca="false">IFERROR(INDEX(PODACI_PRODAJA!M:M,MATCH($A240,PODACI_PRODAJA!$A:$A,0)),0)</f>
        <v>0</v>
      </c>
    </row>
    <row r="241" customFormat="false" ht="15" hidden="false" customHeight="false" outlineLevel="0" collapsed="false">
      <c r="A241" s="11" t="str">
        <f aca="false">PODACI_ZALIHE!A238</f>
        <v>15936</v>
      </c>
      <c r="B241" s="8" t="str">
        <f aca="false">PODACI_ZALIHE!B238</f>
        <v>TK SILVER LINE 90 POLUKRUŽNA TUŠ KABINA 90x90x195 cm</v>
      </c>
      <c r="C241" s="9" t="str">
        <f aca="false">PODACI_ZALIHE!C238</f>
        <v>4328</v>
      </c>
      <c r="D241" s="8" t="str">
        <f aca="false">PODACI_ZALIHE!D238</f>
        <v>HANGZHOU DUHUI IMPORT AND EXPORT CO.,LTD</v>
      </c>
      <c r="E241" s="19" t="n">
        <f aca="false">IF(PODACI_ZALIHE!E238="","",PODACI_ZALIHE!E238)</f>
        <v>33</v>
      </c>
      <c r="F241" s="20" t="n">
        <f aca="false">PODACI_ZALIHE!F238</f>
        <v>33</v>
      </c>
      <c r="G241" s="19" t="n">
        <f aca="false">IF(E241="","",E241-F241)</f>
        <v>0</v>
      </c>
      <c r="H241" s="9" t="n">
        <f aca="false">PODACI_PRODAJA!N130</f>
        <v>1.38</v>
      </c>
      <c r="I241" s="21" t="n">
        <f aca="false">IF(H241&lt;=0,999,ROUND(F241/H241,1))</f>
        <v>23.9</v>
      </c>
      <c r="J241" s="9" t="n">
        <f aca="false">SUMIFS(ROBA_U_DOLASKU!$C$6:$C$95,ROBA_U_DOLASKU!$A$6:$A$95,A241,ROBA_U_DOLASKU!$H$6:$H$95,1)</f>
        <v>0</v>
      </c>
      <c r="K241" s="9" t="n">
        <f aca="false">SUMIFS(ROBA_U_DOLASKU!$B$6:$B$95,ROBA_U_DOLASKU!$A$6:$A$95,A241,ROBA_U_DOLASKU!$H$6:$H$95,1)</f>
        <v>0</v>
      </c>
      <c r="L241" s="9" t="n">
        <f aca="false">SUMIFS(ROBA_U_DOLASKU!$C$6:$C$95,ROBA_U_DOLASKU!$A$6:$A$95,A241,ROBA_U_DOLASKU!$H$6:$H$95,2)</f>
        <v>0</v>
      </c>
      <c r="M241" s="9" t="n">
        <f aca="false">SUMIFS(ROBA_U_DOLASKU!$B$6:$B$95,ROBA_U_DOLASKU!$A$6:$A$95,A241,ROBA_U_DOLASKU!$H$6:$H$95,2)</f>
        <v>0</v>
      </c>
      <c r="N241" s="9" t="n">
        <f aca="false">SUMIFS(ROBA_U_DOLASKU!$C$6:$C$95,ROBA_U_DOLASKU!$A$6:$A$95,A241,ROBA_U_DOLASKU!$H$6:$H$95,3)</f>
        <v>0</v>
      </c>
      <c r="O241" s="9" t="n">
        <f aca="false">SUMIFS(ROBA_U_DOLASKU!$B$6:$B$95,ROBA_U_DOLASKU!$A$6:$A$95,A241,ROBA_U_DOLASKU!$H$6:$H$95,3)</f>
        <v>0</v>
      </c>
      <c r="P241" s="9" t="n">
        <f aca="false">IF(H241&lt;=0,999,IF(O241&gt;0,ROUND((F241-H241*N241+K241+M241+O241)/H241,1),IF(M241&gt;0,ROUND((F241-H241*L241+K241+M241)/H241,1),IF(K241&gt;0,ROUND((F241-H241*J241+K241)/H241,1),I241))))</f>
        <v>23.9</v>
      </c>
      <c r="Q241" s="22" t="str">
        <f aca="false">IF(H241&lt;=0,"Nema prodaje",IF(AND(K241=0,M241=0,O241=0),IF(I241&lt;POSTAVKE!$B$6,"Naruči odmah","Sve u redu"),IF(F241-H241*J241&lt;0,"Rupa za ~"&amp;TEXT(I241,"0.0")&amp;" mj.",IF(AND(M241&gt;0,F241-H241*L241+K241&lt;0),"Rupa nakon 1. dolaska",IF(AND(O241&gt;0,F241-H241*N241+K241+M241&lt;0),"Rupa nakon 2. dolaska",IF(P241&lt;POSTAVKE!$B$6,"Količina nije dovoljna",IF(I241&gt;=POSTAVKE!$B$6,"Sve u redu","Stiže na vrijeme")))))))</f>
        <v>Sve u redu</v>
      </c>
      <c r="S241" s="23" t="n">
        <f aca="false">IFERROR(INDEX(PODACI_PRODAJA!B:B,MATCH($A241,PODACI_PRODAJA!$A:$A,0)),0)</f>
        <v>4</v>
      </c>
      <c r="T241" s="23" t="n">
        <f aca="false">IFERROR(INDEX(PODACI_PRODAJA!C:C,MATCH($A241,PODACI_PRODAJA!$A:$A,0)),0)</f>
        <v>0</v>
      </c>
      <c r="U241" s="23" t="n">
        <f aca="false">IFERROR(INDEX(PODACI_PRODAJA!D:D,MATCH($A241,PODACI_PRODAJA!$A:$A,0)),0)</f>
        <v>0</v>
      </c>
      <c r="V241" s="23" t="n">
        <f aca="false">IFERROR(INDEX(PODACI_PRODAJA!E:E,MATCH($A241,PODACI_PRODAJA!$A:$A,0)),0)</f>
        <v>1</v>
      </c>
      <c r="W241" s="23" t="n">
        <f aca="false">IFERROR(INDEX(PODACI_PRODAJA!F:F,MATCH($A241,PODACI_PRODAJA!$A:$A,0)),0)</f>
        <v>2</v>
      </c>
      <c r="X241" s="23" t="n">
        <f aca="false">IFERROR(INDEX(PODACI_PRODAJA!G:G,MATCH($A241,PODACI_PRODAJA!$A:$A,0)),0)</f>
        <v>2</v>
      </c>
      <c r="Y241" s="23" t="n">
        <f aca="false">IFERROR(INDEX(PODACI_PRODAJA!H:H,MATCH($A241,PODACI_PRODAJA!$A:$A,0)),0)</f>
        <v>1</v>
      </c>
      <c r="Z241" s="23" t="n">
        <f aca="false">IFERROR(INDEX(PODACI_PRODAJA!I:I,MATCH($A241,PODACI_PRODAJA!$A:$A,0)),0)</f>
        <v>1</v>
      </c>
      <c r="AA241" s="23" t="n">
        <f aca="false">IFERROR(INDEX(PODACI_PRODAJA!J:J,MATCH($A241,PODACI_PRODAJA!$A:$A,0)),0)</f>
        <v>0</v>
      </c>
      <c r="AB241" s="23" t="n">
        <f aca="false">IFERROR(INDEX(PODACI_PRODAJA!K:K,MATCH($A241,PODACI_PRODAJA!$A:$A,0)),0)</f>
        <v>0</v>
      </c>
      <c r="AC241" s="23" t="n">
        <f aca="false">IFERROR(INDEX(PODACI_PRODAJA!L:L,MATCH($A241,PODACI_PRODAJA!$A:$A,0)),0)</f>
        <v>0</v>
      </c>
      <c r="AD241" s="23" t="n">
        <f aca="false">IFERROR(INDEX(PODACI_PRODAJA!M:M,MATCH($A241,PODACI_PRODAJA!$A:$A,0)),0)</f>
        <v>0</v>
      </c>
    </row>
    <row r="242" customFormat="false" ht="15" hidden="false" customHeight="false" outlineLevel="0" collapsed="false">
      <c r="A242" s="11" t="str">
        <f aca="false">PODACI_ZALIHE!A239</f>
        <v>P15817</v>
      </c>
      <c r="B242" s="8" t="str">
        <f aca="false">PODACI_ZALIHE!B239</f>
        <v>BOLD LUX 90120 MINERALSOLID TUŠ KADA BIJELA SJAJNA 900x1200x30 mm</v>
      </c>
      <c r="C242" s="9" t="str">
        <f aca="false">PODACI_ZALIHE!C239</f>
        <v>5140</v>
      </c>
      <c r="D242" s="8" t="str">
        <f aca="false">PODACI_ZALIHE!D239</f>
        <v>GUANGDONG OCEAN SANITARY WARE CO., LTD.</v>
      </c>
      <c r="E242" s="19" t="n">
        <f aca="false">IF(PODACI_ZALIHE!E239="","",PODACI_ZALIHE!E239)</f>
        <v>32</v>
      </c>
      <c r="F242" s="20" t="n">
        <f aca="false">PODACI_ZALIHE!F239</f>
        <v>32</v>
      </c>
      <c r="G242" s="19" t="n">
        <f aca="false">IF(E242="","",E242-F242)</f>
        <v>0</v>
      </c>
      <c r="H242" s="9" t="n">
        <f aca="false">PODACI_PRODAJA!N319</f>
        <v>0.25</v>
      </c>
      <c r="I242" s="21" t="n">
        <f aca="false">IF(H242&lt;=0,999,ROUND(F242/H242,1))</f>
        <v>128</v>
      </c>
      <c r="J242" s="9" t="n">
        <f aca="false">SUMIFS(ROBA_U_DOLASKU!$C$6:$C$95,ROBA_U_DOLASKU!$A$6:$A$95,A242,ROBA_U_DOLASKU!$H$6:$H$95,1)</f>
        <v>0</v>
      </c>
      <c r="K242" s="9" t="n">
        <f aca="false">SUMIFS(ROBA_U_DOLASKU!$B$6:$B$95,ROBA_U_DOLASKU!$A$6:$A$95,A242,ROBA_U_DOLASKU!$H$6:$H$95,1)</f>
        <v>0</v>
      </c>
      <c r="L242" s="9" t="n">
        <f aca="false">SUMIFS(ROBA_U_DOLASKU!$C$6:$C$95,ROBA_U_DOLASKU!$A$6:$A$95,A242,ROBA_U_DOLASKU!$H$6:$H$95,2)</f>
        <v>0</v>
      </c>
      <c r="M242" s="9" t="n">
        <f aca="false">SUMIFS(ROBA_U_DOLASKU!$B$6:$B$95,ROBA_U_DOLASKU!$A$6:$A$95,A242,ROBA_U_DOLASKU!$H$6:$H$95,2)</f>
        <v>0</v>
      </c>
      <c r="N242" s="9" t="n">
        <f aca="false">SUMIFS(ROBA_U_DOLASKU!$C$6:$C$95,ROBA_U_DOLASKU!$A$6:$A$95,A242,ROBA_U_DOLASKU!$H$6:$H$95,3)</f>
        <v>0</v>
      </c>
      <c r="O242" s="9" t="n">
        <f aca="false">SUMIFS(ROBA_U_DOLASKU!$B$6:$B$95,ROBA_U_DOLASKU!$A$6:$A$95,A242,ROBA_U_DOLASKU!$H$6:$H$95,3)</f>
        <v>0</v>
      </c>
      <c r="P242" s="9" t="n">
        <f aca="false">IF(H242&lt;=0,999,IF(O242&gt;0,ROUND((F242-H242*N242+K242+M242+O242)/H242,1),IF(M242&gt;0,ROUND((F242-H242*L242+K242+M242)/H242,1),IF(K242&gt;0,ROUND((F242-H242*J242+K242)/H242,1),I242))))</f>
        <v>128</v>
      </c>
      <c r="Q242" s="22" t="str">
        <f aca="false">IF(H242&lt;=0,"Nema prodaje",IF(AND(K242=0,M242=0,O242=0),IF(I242&lt;POSTAVKE!$B$6,"Naruči odmah","Sve u redu"),IF(F242-H242*J242&lt;0,"Rupa za ~"&amp;TEXT(I242,"0.0")&amp;" mj.",IF(AND(M242&gt;0,F242-H242*L242+K242&lt;0),"Rupa nakon 1. dolaska",IF(AND(O242&gt;0,F242-H242*N242+K242+M242&lt;0),"Rupa nakon 2. dolaska",IF(P242&lt;POSTAVKE!$B$6,"Količina nije dovoljna",IF(I242&gt;=POSTAVKE!$B$6,"Sve u redu","Stiže na vrijeme")))))))</f>
        <v>Sve u redu</v>
      </c>
      <c r="S242" s="23" t="n">
        <f aca="false">IFERROR(INDEX(PODACI_PRODAJA!B:B,MATCH($A242,PODACI_PRODAJA!$A:$A,0)),0)</f>
        <v>0</v>
      </c>
      <c r="T242" s="23" t="n">
        <f aca="false">IFERROR(INDEX(PODACI_PRODAJA!C:C,MATCH($A242,PODACI_PRODAJA!$A:$A,0)),0)</f>
        <v>0</v>
      </c>
      <c r="U242" s="23" t="n">
        <f aca="false">IFERROR(INDEX(PODACI_PRODAJA!D:D,MATCH($A242,PODACI_PRODAJA!$A:$A,0)),0)</f>
        <v>0</v>
      </c>
      <c r="V242" s="23" t="n">
        <f aca="false">IFERROR(INDEX(PODACI_PRODAJA!E:E,MATCH($A242,PODACI_PRODAJA!$A:$A,0)),0)</f>
        <v>0</v>
      </c>
      <c r="W242" s="23" t="n">
        <f aca="false">IFERROR(INDEX(PODACI_PRODAJA!F:F,MATCH($A242,PODACI_PRODAJA!$A:$A,0)),0)</f>
        <v>0</v>
      </c>
      <c r="X242" s="23" t="n">
        <f aca="false">IFERROR(INDEX(PODACI_PRODAJA!G:G,MATCH($A242,PODACI_PRODAJA!$A:$A,0)),0)</f>
        <v>2</v>
      </c>
      <c r="Y242" s="23" t="n">
        <f aca="false">IFERROR(INDEX(PODACI_PRODAJA!H:H,MATCH($A242,PODACI_PRODAJA!$A:$A,0)),0)</f>
        <v>0</v>
      </c>
      <c r="Z242" s="23" t="n">
        <f aca="false">IFERROR(INDEX(PODACI_PRODAJA!I:I,MATCH($A242,PODACI_PRODAJA!$A:$A,0)),0)</f>
        <v>0</v>
      </c>
      <c r="AA242" s="23" t="n">
        <f aca="false">IFERROR(INDEX(PODACI_PRODAJA!J:J,MATCH($A242,PODACI_PRODAJA!$A:$A,0)),0)</f>
        <v>0</v>
      </c>
      <c r="AB242" s="23" t="n">
        <f aca="false">IFERROR(INDEX(PODACI_PRODAJA!K:K,MATCH($A242,PODACI_PRODAJA!$A:$A,0)),0)</f>
        <v>0</v>
      </c>
      <c r="AC242" s="23" t="n">
        <f aca="false">IFERROR(INDEX(PODACI_PRODAJA!L:L,MATCH($A242,PODACI_PRODAJA!$A:$A,0)),0)</f>
        <v>0</v>
      </c>
      <c r="AD242" s="23" t="n">
        <f aca="false">IFERROR(INDEX(PODACI_PRODAJA!M:M,MATCH($A242,PODACI_PRODAJA!$A:$A,0)),0)</f>
        <v>0</v>
      </c>
    </row>
    <row r="243" customFormat="false" ht="15" hidden="false" customHeight="false" outlineLevel="0" collapsed="false">
      <c r="A243" s="11" t="str">
        <f aca="false">PODACI_ZALIHE!A240</f>
        <v>P15825</v>
      </c>
      <c r="B243" s="8" t="str">
        <f aca="false">PODACI_ZALIHE!B240</f>
        <v>BOLD LUX 80 KV MINERALSOLID TUŠ KADA BIJELA SJAJNA 800x800x30 mm</v>
      </c>
      <c r="C243" s="9" t="str">
        <f aca="false">PODACI_ZALIHE!C240</f>
        <v>5140</v>
      </c>
      <c r="D243" s="8" t="str">
        <f aca="false">PODACI_ZALIHE!D240</f>
        <v>GUANGDONG OCEAN SANITARY WARE CO., LTD.</v>
      </c>
      <c r="E243" s="19" t="n">
        <f aca="false">IF(PODACI_ZALIHE!E240="","",PODACI_ZALIHE!E240)</f>
        <v>32</v>
      </c>
      <c r="F243" s="20" t="n">
        <f aca="false">PODACI_ZALIHE!F240</f>
        <v>32</v>
      </c>
      <c r="G243" s="19" t="n">
        <f aca="false">IF(E243="","",E243-F243)</f>
        <v>0</v>
      </c>
      <c r="H243" s="9" t="n">
        <f aca="false">PODACI_PRODAJA!N325</f>
        <v>0.38</v>
      </c>
      <c r="I243" s="21" t="n">
        <f aca="false">IF(H243&lt;=0,999,ROUND(F243/H243,1))</f>
        <v>84.2</v>
      </c>
      <c r="J243" s="9" t="n">
        <f aca="false">SUMIFS(ROBA_U_DOLASKU!$C$6:$C$95,ROBA_U_DOLASKU!$A$6:$A$95,A243,ROBA_U_DOLASKU!$H$6:$H$95,1)</f>
        <v>0</v>
      </c>
      <c r="K243" s="9" t="n">
        <f aca="false">SUMIFS(ROBA_U_DOLASKU!$B$6:$B$95,ROBA_U_DOLASKU!$A$6:$A$95,A243,ROBA_U_DOLASKU!$H$6:$H$95,1)</f>
        <v>0</v>
      </c>
      <c r="L243" s="9" t="n">
        <f aca="false">SUMIFS(ROBA_U_DOLASKU!$C$6:$C$95,ROBA_U_DOLASKU!$A$6:$A$95,A243,ROBA_U_DOLASKU!$H$6:$H$95,2)</f>
        <v>0</v>
      </c>
      <c r="M243" s="9" t="n">
        <f aca="false">SUMIFS(ROBA_U_DOLASKU!$B$6:$B$95,ROBA_U_DOLASKU!$A$6:$A$95,A243,ROBA_U_DOLASKU!$H$6:$H$95,2)</f>
        <v>0</v>
      </c>
      <c r="N243" s="9" t="n">
        <f aca="false">SUMIFS(ROBA_U_DOLASKU!$C$6:$C$95,ROBA_U_DOLASKU!$A$6:$A$95,A243,ROBA_U_DOLASKU!$H$6:$H$95,3)</f>
        <v>0</v>
      </c>
      <c r="O243" s="9" t="n">
        <f aca="false">SUMIFS(ROBA_U_DOLASKU!$B$6:$B$95,ROBA_U_DOLASKU!$A$6:$A$95,A243,ROBA_U_DOLASKU!$H$6:$H$95,3)</f>
        <v>0</v>
      </c>
      <c r="P243" s="9" t="n">
        <f aca="false">IF(H243&lt;=0,999,IF(O243&gt;0,ROUND((F243-H243*N243+K243+M243+O243)/H243,1),IF(M243&gt;0,ROUND((F243-H243*L243+K243+M243)/H243,1),IF(K243&gt;0,ROUND((F243-H243*J243+K243)/H243,1),I243))))</f>
        <v>84.2</v>
      </c>
      <c r="Q243" s="22" t="str">
        <f aca="false">IF(H243&lt;=0,"Nema prodaje",IF(AND(K243=0,M243=0,O243=0),IF(I243&lt;POSTAVKE!$B$6,"Naruči odmah","Sve u redu"),IF(F243-H243*J243&lt;0,"Rupa za ~"&amp;TEXT(I243,"0.0")&amp;" mj.",IF(AND(M243&gt;0,F243-H243*L243+K243&lt;0),"Rupa nakon 1. dolaska",IF(AND(O243&gt;0,F243-H243*N243+K243+M243&lt;0),"Rupa nakon 2. dolaska",IF(P243&lt;POSTAVKE!$B$6,"Količina nije dovoljna",IF(I243&gt;=POSTAVKE!$B$6,"Sve u redu","Stiže na vrijeme")))))))</f>
        <v>Sve u redu</v>
      </c>
      <c r="S243" s="23" t="n">
        <f aca="false">IFERROR(INDEX(PODACI_PRODAJA!B:B,MATCH($A243,PODACI_PRODAJA!$A:$A,0)),0)</f>
        <v>0</v>
      </c>
      <c r="T243" s="23" t="n">
        <f aca="false">IFERROR(INDEX(PODACI_PRODAJA!C:C,MATCH($A243,PODACI_PRODAJA!$A:$A,0)),0)</f>
        <v>0</v>
      </c>
      <c r="U243" s="23" t="n">
        <f aca="false">IFERROR(INDEX(PODACI_PRODAJA!D:D,MATCH($A243,PODACI_PRODAJA!$A:$A,0)),0)</f>
        <v>1</v>
      </c>
      <c r="V243" s="23" t="n">
        <f aca="false">IFERROR(INDEX(PODACI_PRODAJA!E:E,MATCH($A243,PODACI_PRODAJA!$A:$A,0)),0)</f>
        <v>0</v>
      </c>
      <c r="W243" s="23" t="n">
        <f aca="false">IFERROR(INDEX(PODACI_PRODAJA!F:F,MATCH($A243,PODACI_PRODAJA!$A:$A,0)),0)</f>
        <v>2</v>
      </c>
      <c r="X243" s="23" t="n">
        <f aca="false">IFERROR(INDEX(PODACI_PRODAJA!G:G,MATCH($A243,PODACI_PRODAJA!$A:$A,0)),0)</f>
        <v>0</v>
      </c>
      <c r="Y243" s="23" t="n">
        <f aca="false">IFERROR(INDEX(PODACI_PRODAJA!H:H,MATCH($A243,PODACI_PRODAJA!$A:$A,0)),0)</f>
        <v>0</v>
      </c>
      <c r="Z243" s="23" t="n">
        <f aca="false">IFERROR(INDEX(PODACI_PRODAJA!I:I,MATCH($A243,PODACI_PRODAJA!$A:$A,0)),0)</f>
        <v>0</v>
      </c>
      <c r="AA243" s="23" t="n">
        <f aca="false">IFERROR(INDEX(PODACI_PRODAJA!J:J,MATCH($A243,PODACI_PRODAJA!$A:$A,0)),0)</f>
        <v>0</v>
      </c>
      <c r="AB243" s="23" t="n">
        <f aca="false">IFERROR(INDEX(PODACI_PRODAJA!K:K,MATCH($A243,PODACI_PRODAJA!$A:$A,0)),0)</f>
        <v>0</v>
      </c>
      <c r="AC243" s="23" t="n">
        <f aca="false">IFERROR(INDEX(PODACI_PRODAJA!L:L,MATCH($A243,PODACI_PRODAJA!$A:$A,0)),0)</f>
        <v>0</v>
      </c>
      <c r="AD243" s="23" t="n">
        <f aca="false">IFERROR(INDEX(PODACI_PRODAJA!M:M,MATCH($A243,PODACI_PRODAJA!$A:$A,0)),0)</f>
        <v>0</v>
      </c>
    </row>
    <row r="244" customFormat="false" ht="15" hidden="false" customHeight="false" outlineLevel="0" collapsed="false">
      <c r="A244" s="11" t="str">
        <f aca="false">PODACI_ZALIHE!A241</f>
        <v>003213</v>
      </c>
      <c r="B244" s="8" t="str">
        <f aca="false">PODACI_ZALIHE!B241</f>
        <v>VETRO LINEA 120 TUŠ STIJENA 120x200 cm</v>
      </c>
      <c r="C244" s="9" t="str">
        <f aca="false">PODACI_ZALIHE!C241</f>
        <v>6762</v>
      </c>
      <c r="D244" s="8" t="str">
        <f aca="false">PODACI_ZALIHE!D241</f>
        <v>ZHEJIANG QUICKLINE SHOWERING CO., LTD.</v>
      </c>
      <c r="E244" s="19" t="n">
        <f aca="false">IF(PODACI_ZALIHE!E241="","",PODACI_ZALIHE!E241)</f>
        <v>32</v>
      </c>
      <c r="F244" s="20" t="n">
        <f aca="false">PODACI_ZALIHE!F241</f>
        <v>32</v>
      </c>
      <c r="G244" s="19" t="n">
        <f aca="false">IF(E244="","",E244-F244)</f>
        <v>0</v>
      </c>
      <c r="H244" s="9" t="n">
        <f aca="false">PODACI_PRODAJA!N70</f>
        <v>9.13</v>
      </c>
      <c r="I244" s="21" t="n">
        <f aca="false">IF(H244&lt;=0,999,ROUND(F244/H244,1))</f>
        <v>3.5</v>
      </c>
      <c r="J244" s="9" t="n">
        <f aca="false">SUMIFS(ROBA_U_DOLASKU!$C$6:$C$95,ROBA_U_DOLASKU!$A$6:$A$95,A244,ROBA_U_DOLASKU!$H$6:$H$95,1)</f>
        <v>1</v>
      </c>
      <c r="K244" s="9" t="n">
        <f aca="false">SUMIFS(ROBA_U_DOLASKU!$B$6:$B$95,ROBA_U_DOLASKU!$A$6:$A$95,A244,ROBA_U_DOLASKU!$H$6:$H$95,1)</f>
        <v>20</v>
      </c>
      <c r="L244" s="9" t="n">
        <f aca="false">SUMIFS(ROBA_U_DOLASKU!$C$6:$C$95,ROBA_U_DOLASKU!$A$6:$A$95,A244,ROBA_U_DOLASKU!$H$6:$H$95,2)</f>
        <v>0</v>
      </c>
      <c r="M244" s="9" t="n">
        <f aca="false">SUMIFS(ROBA_U_DOLASKU!$B$6:$B$95,ROBA_U_DOLASKU!$A$6:$A$95,A244,ROBA_U_DOLASKU!$H$6:$H$95,2)</f>
        <v>0</v>
      </c>
      <c r="N244" s="9" t="n">
        <f aca="false">SUMIFS(ROBA_U_DOLASKU!$C$6:$C$95,ROBA_U_DOLASKU!$A$6:$A$95,A244,ROBA_U_DOLASKU!$H$6:$H$95,3)</f>
        <v>0</v>
      </c>
      <c r="O244" s="9" t="n">
        <f aca="false">SUMIFS(ROBA_U_DOLASKU!$B$6:$B$95,ROBA_U_DOLASKU!$A$6:$A$95,A244,ROBA_U_DOLASKU!$H$6:$H$95,3)</f>
        <v>0</v>
      </c>
      <c r="P244" s="9" t="n">
        <f aca="false">IF(H244&lt;=0,999,IF(O244&gt;0,ROUND((F244-H244*N244+K244+M244+O244)/H244,1),IF(M244&gt;0,ROUND((F244-H244*L244+K244+M244)/H244,1),IF(K244&gt;0,ROUND((F244-H244*J244+K244)/H244,1),I244))))</f>
        <v>4.7</v>
      </c>
      <c r="Q244" s="22" t="str">
        <f aca="false">IF(H244&lt;=0,"Nema prodaje",IF(AND(K244=0,M244=0,O244=0),IF(I244&lt;POSTAVKE!$B$6,"Naruči odmah","Sve u redu"),IF(F244-H244*J244&lt;0,"Rupa za ~"&amp;TEXT(I244,"0.0")&amp;" mj.",IF(AND(M244&gt;0,F244-H244*L244+K244&lt;0),"Rupa nakon 1. dolaska",IF(AND(O244&gt;0,F244-H244*N244+K244+M244&lt;0),"Rupa nakon 2. dolaska",IF(P244&lt;POSTAVKE!$B$6,"Količina nije dovoljna",IF(I244&gt;=POSTAVKE!$B$6,"Sve u redu","Stiže na vrijeme")))))))</f>
        <v>Količina nije dovoljna</v>
      </c>
      <c r="S244" s="23" t="n">
        <f aca="false">IFERROR(INDEX(PODACI_PRODAJA!B:B,MATCH($A244,PODACI_PRODAJA!$A:$A,0)),0)</f>
        <v>9</v>
      </c>
      <c r="T244" s="23" t="n">
        <f aca="false">IFERROR(INDEX(PODACI_PRODAJA!C:C,MATCH($A244,PODACI_PRODAJA!$A:$A,0)),0)</f>
        <v>6</v>
      </c>
      <c r="U244" s="23" t="n">
        <f aca="false">IFERROR(INDEX(PODACI_PRODAJA!D:D,MATCH($A244,PODACI_PRODAJA!$A:$A,0)),0)</f>
        <v>13</v>
      </c>
      <c r="V244" s="23" t="n">
        <f aca="false">IFERROR(INDEX(PODACI_PRODAJA!E:E,MATCH($A244,PODACI_PRODAJA!$A:$A,0)),0)</f>
        <v>8</v>
      </c>
      <c r="W244" s="23" t="n">
        <f aca="false">IFERROR(INDEX(PODACI_PRODAJA!F:F,MATCH($A244,PODACI_PRODAJA!$A:$A,0)),0)</f>
        <v>9</v>
      </c>
      <c r="X244" s="23" t="n">
        <f aca="false">IFERROR(INDEX(PODACI_PRODAJA!G:G,MATCH($A244,PODACI_PRODAJA!$A:$A,0)),0)</f>
        <v>10</v>
      </c>
      <c r="Y244" s="23" t="n">
        <f aca="false">IFERROR(INDEX(PODACI_PRODAJA!H:H,MATCH($A244,PODACI_PRODAJA!$A:$A,0)),0)</f>
        <v>15</v>
      </c>
      <c r="Z244" s="23" t="n">
        <f aca="false">IFERROR(INDEX(PODACI_PRODAJA!I:I,MATCH($A244,PODACI_PRODAJA!$A:$A,0)),0)</f>
        <v>3</v>
      </c>
      <c r="AA244" s="23" t="n">
        <f aca="false">IFERROR(INDEX(PODACI_PRODAJA!J:J,MATCH($A244,PODACI_PRODAJA!$A:$A,0)),0)</f>
        <v>0</v>
      </c>
      <c r="AB244" s="23" t="n">
        <f aca="false">IFERROR(INDEX(PODACI_PRODAJA!K:K,MATCH($A244,PODACI_PRODAJA!$A:$A,0)),0)</f>
        <v>0</v>
      </c>
      <c r="AC244" s="23" t="n">
        <f aca="false">IFERROR(INDEX(PODACI_PRODAJA!L:L,MATCH($A244,PODACI_PRODAJA!$A:$A,0)),0)</f>
        <v>0</v>
      </c>
      <c r="AD244" s="23" t="n">
        <f aca="false">IFERROR(INDEX(PODACI_PRODAJA!M:M,MATCH($A244,PODACI_PRODAJA!$A:$A,0)),0)</f>
        <v>0</v>
      </c>
    </row>
    <row r="245" customFormat="false" ht="15" hidden="false" customHeight="false" outlineLevel="0" collapsed="false">
      <c r="A245" s="11" t="str">
        <f aca="false">PODACI_ZALIHE!A242</f>
        <v>003623</v>
      </c>
      <c r="B245" s="8" t="str">
        <f aca="false">PODACI_ZALIHE!B242</f>
        <v>VJEŠALICA</v>
      </c>
      <c r="C245" s="9" t="n">
        <f aca="false">PODACI_ZALIHE!C242</f>
        <v>0</v>
      </c>
      <c r="D245" s="8" t="n">
        <f aca="false">PODACI_ZALIHE!D242</f>
        <v>0</v>
      </c>
      <c r="E245" s="19" t="n">
        <f aca="false">IF(PODACI_ZALIHE!E242="","",PODACI_ZALIHE!E242)</f>
        <v>32</v>
      </c>
      <c r="F245" s="20" t="n">
        <f aca="false">PODACI_ZALIHE!F242</f>
        <v>32</v>
      </c>
      <c r="G245" s="19" t="n">
        <f aca="false">IF(E245="","",E245-F245)</f>
        <v>0</v>
      </c>
      <c r="H245" s="9" t="n">
        <v>0</v>
      </c>
      <c r="I245" s="21" t="n">
        <f aca="false">IF(H245&lt;=0,999,ROUND(F245/H245,1))</f>
        <v>999</v>
      </c>
      <c r="J245" s="9" t="n">
        <f aca="false">SUMIFS(ROBA_U_DOLASKU!$C$6:$C$95,ROBA_U_DOLASKU!$A$6:$A$95,A245,ROBA_U_DOLASKU!$H$6:$H$95,1)</f>
        <v>0</v>
      </c>
      <c r="K245" s="9" t="n">
        <f aca="false">SUMIFS(ROBA_U_DOLASKU!$B$6:$B$95,ROBA_U_DOLASKU!$A$6:$A$95,A245,ROBA_U_DOLASKU!$H$6:$H$95,1)</f>
        <v>0</v>
      </c>
      <c r="L245" s="9" t="n">
        <f aca="false">SUMIFS(ROBA_U_DOLASKU!$C$6:$C$95,ROBA_U_DOLASKU!$A$6:$A$95,A245,ROBA_U_DOLASKU!$H$6:$H$95,2)</f>
        <v>0</v>
      </c>
      <c r="M245" s="9" t="n">
        <f aca="false">SUMIFS(ROBA_U_DOLASKU!$B$6:$B$95,ROBA_U_DOLASKU!$A$6:$A$95,A245,ROBA_U_DOLASKU!$H$6:$H$95,2)</f>
        <v>0</v>
      </c>
      <c r="N245" s="9" t="n">
        <f aca="false">SUMIFS(ROBA_U_DOLASKU!$C$6:$C$95,ROBA_U_DOLASKU!$A$6:$A$95,A245,ROBA_U_DOLASKU!$H$6:$H$95,3)</f>
        <v>0</v>
      </c>
      <c r="O245" s="9" t="n">
        <f aca="false">SUMIFS(ROBA_U_DOLASKU!$B$6:$B$95,ROBA_U_DOLASKU!$A$6:$A$95,A245,ROBA_U_DOLASKU!$H$6:$H$95,3)</f>
        <v>0</v>
      </c>
      <c r="P245" s="9" t="n">
        <f aca="false">IF(H245&lt;=0,999,IF(O245&gt;0,ROUND((F245-H245*N245+K245+M245+O245)/H245,1),IF(M245&gt;0,ROUND((F245-H245*L245+K245+M245)/H245,1),IF(K245&gt;0,ROUND((F245-H245*J245+K245)/H245,1),I245))))</f>
        <v>999</v>
      </c>
      <c r="Q245" s="22" t="str">
        <f aca="false">IF(H245&lt;=0,"Nema prodaje",IF(AND(K245=0,M245=0,O245=0),IF(I245&lt;POSTAVKE!$B$6,"Naruči odmah","Sve u redu"),IF(F245-H245*J245&lt;0,"Rupa za ~"&amp;TEXT(I245,"0.0")&amp;" mj.",IF(AND(M245&gt;0,F245-H245*L245+K245&lt;0),"Rupa nakon 1. dolaska",IF(AND(O245&gt;0,F245-H245*N245+K245+M245&lt;0),"Rupa nakon 2. dolaska",IF(P245&lt;POSTAVKE!$B$6,"Količina nije dovoljna",IF(I245&gt;=POSTAVKE!$B$6,"Sve u redu","Stiže na vrijeme")))))))</f>
        <v>Nema prodaje</v>
      </c>
      <c r="S245" s="23" t="n">
        <f aca="false">IFERROR(INDEX(PODACI_PRODAJA!B:B,MATCH($A245,PODACI_PRODAJA!$A:$A,0)),0)</f>
        <v>0</v>
      </c>
      <c r="T245" s="23" t="n">
        <f aca="false">IFERROR(INDEX(PODACI_PRODAJA!C:C,MATCH($A245,PODACI_PRODAJA!$A:$A,0)),0)</f>
        <v>0</v>
      </c>
      <c r="U245" s="23" t="n">
        <f aca="false">IFERROR(INDEX(PODACI_PRODAJA!D:D,MATCH($A245,PODACI_PRODAJA!$A:$A,0)),0)</f>
        <v>0</v>
      </c>
      <c r="V245" s="23" t="n">
        <f aca="false">IFERROR(INDEX(PODACI_PRODAJA!E:E,MATCH($A245,PODACI_PRODAJA!$A:$A,0)),0)</f>
        <v>0</v>
      </c>
      <c r="W245" s="23" t="n">
        <f aca="false">IFERROR(INDEX(PODACI_PRODAJA!F:F,MATCH($A245,PODACI_PRODAJA!$A:$A,0)),0)</f>
        <v>0</v>
      </c>
      <c r="X245" s="23" t="n">
        <f aca="false">IFERROR(INDEX(PODACI_PRODAJA!G:G,MATCH($A245,PODACI_PRODAJA!$A:$A,0)),0)</f>
        <v>0</v>
      </c>
      <c r="Y245" s="23" t="n">
        <f aca="false">IFERROR(INDEX(PODACI_PRODAJA!H:H,MATCH($A245,PODACI_PRODAJA!$A:$A,0)),0)</f>
        <v>0</v>
      </c>
      <c r="Z245" s="23" t="n">
        <f aca="false">IFERROR(INDEX(PODACI_PRODAJA!I:I,MATCH($A245,PODACI_PRODAJA!$A:$A,0)),0)</f>
        <v>0</v>
      </c>
      <c r="AA245" s="23" t="n">
        <f aca="false">IFERROR(INDEX(PODACI_PRODAJA!J:J,MATCH($A245,PODACI_PRODAJA!$A:$A,0)),0)</f>
        <v>0</v>
      </c>
      <c r="AB245" s="23" t="n">
        <f aca="false">IFERROR(INDEX(PODACI_PRODAJA!K:K,MATCH($A245,PODACI_PRODAJA!$A:$A,0)),0)</f>
        <v>0</v>
      </c>
      <c r="AC245" s="23" t="n">
        <f aca="false">IFERROR(INDEX(PODACI_PRODAJA!L:L,MATCH($A245,PODACI_PRODAJA!$A:$A,0)),0)</f>
        <v>0</v>
      </c>
      <c r="AD245" s="23" t="n">
        <f aca="false">IFERROR(INDEX(PODACI_PRODAJA!M:M,MATCH($A245,PODACI_PRODAJA!$A:$A,0)),0)</f>
        <v>0</v>
      </c>
    </row>
    <row r="246" customFormat="false" ht="15" hidden="false" customHeight="false" outlineLevel="0" collapsed="false">
      <c r="A246" s="11" t="str">
        <f aca="false">PODACI_ZALIHE!A243</f>
        <v>00688Y</v>
      </c>
      <c r="B246" s="8" t="str">
        <f aca="false">PODACI_ZALIHE!B243</f>
        <v>TK BIELSA 80 POLUKRUŽNA TUŠ KABINA 80x80x185 cm</v>
      </c>
      <c r="C246" s="9" t="str">
        <f aca="false">PODACI_ZALIHE!C243</f>
        <v>5590</v>
      </c>
      <c r="D246" s="8" t="str">
        <f aca="false">PODACI_ZALIHE!D243</f>
        <v>PINGHU YINUO SANITARY WARE CO.,LTD</v>
      </c>
      <c r="E246" s="19" t="n">
        <f aca="false">IF(PODACI_ZALIHE!E243="","",PODACI_ZALIHE!E243)</f>
        <v>32</v>
      </c>
      <c r="F246" s="20" t="n">
        <f aca="false">PODACI_ZALIHE!F243</f>
        <v>32</v>
      </c>
      <c r="G246" s="19" t="n">
        <f aca="false">IF(E246="","",E246-F246)</f>
        <v>0</v>
      </c>
      <c r="H246" s="9" t="n">
        <f aca="false">PODACI_PRODAJA!N172</f>
        <v>0.38</v>
      </c>
      <c r="I246" s="21" t="n">
        <f aca="false">IF(H246&lt;=0,999,ROUND(F246/H246,1))</f>
        <v>84.2</v>
      </c>
      <c r="J246" s="9" t="n">
        <f aca="false">SUMIFS(ROBA_U_DOLASKU!$C$6:$C$95,ROBA_U_DOLASKU!$A$6:$A$95,A246,ROBA_U_DOLASKU!$H$6:$H$95,1)</f>
        <v>0</v>
      </c>
      <c r="K246" s="9" t="n">
        <f aca="false">SUMIFS(ROBA_U_DOLASKU!$B$6:$B$95,ROBA_U_DOLASKU!$A$6:$A$95,A246,ROBA_U_DOLASKU!$H$6:$H$95,1)</f>
        <v>0</v>
      </c>
      <c r="L246" s="9" t="n">
        <f aca="false">SUMIFS(ROBA_U_DOLASKU!$C$6:$C$95,ROBA_U_DOLASKU!$A$6:$A$95,A246,ROBA_U_DOLASKU!$H$6:$H$95,2)</f>
        <v>0</v>
      </c>
      <c r="M246" s="9" t="n">
        <f aca="false">SUMIFS(ROBA_U_DOLASKU!$B$6:$B$95,ROBA_U_DOLASKU!$A$6:$A$95,A246,ROBA_U_DOLASKU!$H$6:$H$95,2)</f>
        <v>0</v>
      </c>
      <c r="N246" s="9" t="n">
        <f aca="false">SUMIFS(ROBA_U_DOLASKU!$C$6:$C$95,ROBA_U_DOLASKU!$A$6:$A$95,A246,ROBA_U_DOLASKU!$H$6:$H$95,3)</f>
        <v>0</v>
      </c>
      <c r="O246" s="9" t="n">
        <f aca="false">SUMIFS(ROBA_U_DOLASKU!$B$6:$B$95,ROBA_U_DOLASKU!$A$6:$A$95,A246,ROBA_U_DOLASKU!$H$6:$H$95,3)</f>
        <v>0</v>
      </c>
      <c r="P246" s="9" t="n">
        <f aca="false">IF(H246&lt;=0,999,IF(O246&gt;0,ROUND((F246-H246*N246+K246+M246+O246)/H246,1),IF(M246&gt;0,ROUND((F246-H246*L246+K246+M246)/H246,1),IF(K246&gt;0,ROUND((F246-H246*J246+K246)/H246,1),I246))))</f>
        <v>84.2</v>
      </c>
      <c r="Q246" s="22" t="str">
        <f aca="false">IF(H246&lt;=0,"Nema prodaje",IF(AND(K246=0,M246=0,O246=0),IF(I246&lt;POSTAVKE!$B$6,"Naruči odmah","Sve u redu"),IF(F246-H246*J246&lt;0,"Rupa za ~"&amp;TEXT(I246,"0.0")&amp;" mj.",IF(AND(M246&gt;0,F246-H246*L246+K246&lt;0),"Rupa nakon 1. dolaska",IF(AND(O246&gt;0,F246-H246*N246+K246+M246&lt;0),"Rupa nakon 2. dolaska",IF(P246&lt;POSTAVKE!$B$6,"Količina nije dovoljna",IF(I246&gt;=POSTAVKE!$B$6,"Sve u redu","Stiže na vrijeme")))))))</f>
        <v>Sve u redu</v>
      </c>
      <c r="S246" s="23" t="n">
        <f aca="false">IFERROR(INDEX(PODACI_PRODAJA!B:B,MATCH($A246,PODACI_PRODAJA!$A:$A,0)),0)</f>
        <v>2</v>
      </c>
      <c r="T246" s="23" t="n">
        <f aca="false">IFERROR(INDEX(PODACI_PRODAJA!C:C,MATCH($A246,PODACI_PRODAJA!$A:$A,0)),0)</f>
        <v>0</v>
      </c>
      <c r="U246" s="23" t="n">
        <f aca="false">IFERROR(INDEX(PODACI_PRODAJA!D:D,MATCH($A246,PODACI_PRODAJA!$A:$A,0)),0)</f>
        <v>0</v>
      </c>
      <c r="V246" s="23" t="n">
        <f aca="false">IFERROR(INDEX(PODACI_PRODAJA!E:E,MATCH($A246,PODACI_PRODAJA!$A:$A,0)),0)</f>
        <v>0</v>
      </c>
      <c r="W246" s="23" t="n">
        <f aca="false">IFERROR(INDEX(PODACI_PRODAJA!F:F,MATCH($A246,PODACI_PRODAJA!$A:$A,0)),0)</f>
        <v>0</v>
      </c>
      <c r="X246" s="23" t="n">
        <f aca="false">IFERROR(INDEX(PODACI_PRODAJA!G:G,MATCH($A246,PODACI_PRODAJA!$A:$A,0)),0)</f>
        <v>1</v>
      </c>
      <c r="Y246" s="23" t="n">
        <f aca="false">IFERROR(INDEX(PODACI_PRODAJA!H:H,MATCH($A246,PODACI_PRODAJA!$A:$A,0)),0)</f>
        <v>0</v>
      </c>
      <c r="Z246" s="23" t="n">
        <f aca="false">IFERROR(INDEX(PODACI_PRODAJA!I:I,MATCH($A246,PODACI_PRODAJA!$A:$A,0)),0)</f>
        <v>0</v>
      </c>
      <c r="AA246" s="23" t="n">
        <f aca="false">IFERROR(INDEX(PODACI_PRODAJA!J:J,MATCH($A246,PODACI_PRODAJA!$A:$A,0)),0)</f>
        <v>0</v>
      </c>
      <c r="AB246" s="23" t="n">
        <f aca="false">IFERROR(INDEX(PODACI_PRODAJA!K:K,MATCH($A246,PODACI_PRODAJA!$A:$A,0)),0)</f>
        <v>0</v>
      </c>
      <c r="AC246" s="23" t="n">
        <f aca="false">IFERROR(INDEX(PODACI_PRODAJA!L:L,MATCH($A246,PODACI_PRODAJA!$A:$A,0)),0)</f>
        <v>0</v>
      </c>
      <c r="AD246" s="23" t="n">
        <f aca="false">IFERROR(INDEX(PODACI_PRODAJA!M:M,MATCH($A246,PODACI_PRODAJA!$A:$A,0)),0)</f>
        <v>0</v>
      </c>
    </row>
    <row r="247" customFormat="false" ht="15" hidden="false" customHeight="false" outlineLevel="0" collapsed="false">
      <c r="A247" s="11" t="str">
        <f aca="false">PODACI_ZALIHE!A244</f>
        <v>00838</v>
      </c>
      <c r="B247" s="8" t="str">
        <f aca="false">PODACI_ZALIHE!B244</f>
        <v>GL-00012 FLEKSIBILNI SIFON 5/4'' ZA UMIVAONIK - SUDOPER</v>
      </c>
      <c r="C247" s="9" t="str">
        <f aca="false">PODACI_ZALIHE!C244</f>
        <v>3291</v>
      </c>
      <c r="D247" s="8" t="str">
        <f aca="false">PODACI_ZALIHE!D244</f>
        <v>TEHNOEXPORT D.O.O.</v>
      </c>
      <c r="E247" s="19" t="n">
        <f aca="false">IF(PODACI_ZALIHE!E244="","",PODACI_ZALIHE!E244)</f>
        <v>32</v>
      </c>
      <c r="F247" s="20" t="n">
        <f aca="false">PODACI_ZALIHE!F244</f>
        <v>32</v>
      </c>
      <c r="G247" s="19" t="n">
        <f aca="false">IF(E247="","",E247-F247)</f>
        <v>0</v>
      </c>
      <c r="H247" s="9" t="n">
        <f aca="false">PODACI_PRODAJA!N395</f>
        <v>0</v>
      </c>
      <c r="I247" s="21" t="n">
        <f aca="false">IF(H247&lt;=0,999,ROUND(F247/H247,1))</f>
        <v>999</v>
      </c>
      <c r="J247" s="9" t="n">
        <f aca="false">SUMIFS(ROBA_U_DOLASKU!$C$6:$C$95,ROBA_U_DOLASKU!$A$6:$A$95,A247,ROBA_U_DOLASKU!$H$6:$H$95,1)</f>
        <v>0</v>
      </c>
      <c r="K247" s="9" t="n">
        <f aca="false">SUMIFS(ROBA_U_DOLASKU!$B$6:$B$95,ROBA_U_DOLASKU!$A$6:$A$95,A247,ROBA_U_DOLASKU!$H$6:$H$95,1)</f>
        <v>0</v>
      </c>
      <c r="L247" s="9" t="n">
        <f aca="false">SUMIFS(ROBA_U_DOLASKU!$C$6:$C$95,ROBA_U_DOLASKU!$A$6:$A$95,A247,ROBA_U_DOLASKU!$H$6:$H$95,2)</f>
        <v>0</v>
      </c>
      <c r="M247" s="9" t="n">
        <f aca="false">SUMIFS(ROBA_U_DOLASKU!$B$6:$B$95,ROBA_U_DOLASKU!$A$6:$A$95,A247,ROBA_U_DOLASKU!$H$6:$H$95,2)</f>
        <v>0</v>
      </c>
      <c r="N247" s="9" t="n">
        <f aca="false">SUMIFS(ROBA_U_DOLASKU!$C$6:$C$95,ROBA_U_DOLASKU!$A$6:$A$95,A247,ROBA_U_DOLASKU!$H$6:$H$95,3)</f>
        <v>0</v>
      </c>
      <c r="O247" s="9" t="n">
        <f aca="false">SUMIFS(ROBA_U_DOLASKU!$B$6:$B$95,ROBA_U_DOLASKU!$A$6:$A$95,A247,ROBA_U_DOLASKU!$H$6:$H$95,3)</f>
        <v>0</v>
      </c>
      <c r="P247" s="9" t="n">
        <f aca="false">IF(H247&lt;=0,999,IF(O247&gt;0,ROUND((F247-H247*N247+K247+M247+O247)/H247,1),IF(M247&gt;0,ROUND((F247-H247*L247+K247+M247)/H247,1),IF(K247&gt;0,ROUND((F247-H247*J247+K247)/H247,1),I247))))</f>
        <v>999</v>
      </c>
      <c r="Q247" s="22" t="str">
        <f aca="false">IF(H247&lt;=0,"Nema prodaje",IF(AND(K247=0,M247=0,O247=0),IF(I247&lt;POSTAVKE!$B$6,"Naruči odmah","Sve u redu"),IF(F247-H247*J247&lt;0,"Rupa za ~"&amp;TEXT(I247,"0.0")&amp;" mj.",IF(AND(M247&gt;0,F247-H247*L247+K247&lt;0),"Rupa nakon 1. dolaska",IF(AND(O247&gt;0,F247-H247*N247+K247+M247&lt;0),"Rupa nakon 2. dolaska",IF(P247&lt;POSTAVKE!$B$6,"Količina nije dovoljna",IF(I247&gt;=POSTAVKE!$B$6,"Sve u redu","Stiže na vrijeme")))))))</f>
        <v>Nema prodaje</v>
      </c>
      <c r="S247" s="23" t="n">
        <f aca="false">IFERROR(INDEX(PODACI_PRODAJA!B:B,MATCH($A247,PODACI_PRODAJA!$A:$A,0)),0)</f>
        <v>0</v>
      </c>
      <c r="T247" s="23" t="n">
        <f aca="false">IFERROR(INDEX(PODACI_PRODAJA!C:C,MATCH($A247,PODACI_PRODAJA!$A:$A,0)),0)</f>
        <v>0</v>
      </c>
      <c r="U247" s="23" t="n">
        <f aca="false">IFERROR(INDEX(PODACI_PRODAJA!D:D,MATCH($A247,PODACI_PRODAJA!$A:$A,0)),0)</f>
        <v>0</v>
      </c>
      <c r="V247" s="23" t="n">
        <f aca="false">IFERROR(INDEX(PODACI_PRODAJA!E:E,MATCH($A247,PODACI_PRODAJA!$A:$A,0)),0)</f>
        <v>0</v>
      </c>
      <c r="W247" s="23" t="n">
        <f aca="false">IFERROR(INDEX(PODACI_PRODAJA!F:F,MATCH($A247,PODACI_PRODAJA!$A:$A,0)),0)</f>
        <v>0</v>
      </c>
      <c r="X247" s="23" t="n">
        <f aca="false">IFERROR(INDEX(PODACI_PRODAJA!G:G,MATCH($A247,PODACI_PRODAJA!$A:$A,0)),0)</f>
        <v>0</v>
      </c>
      <c r="Y247" s="23" t="n">
        <f aca="false">IFERROR(INDEX(PODACI_PRODAJA!H:H,MATCH($A247,PODACI_PRODAJA!$A:$A,0)),0)</f>
        <v>0</v>
      </c>
      <c r="Z247" s="23" t="n">
        <f aca="false">IFERROR(INDEX(PODACI_PRODAJA!I:I,MATCH($A247,PODACI_PRODAJA!$A:$A,0)),0)</f>
        <v>0</v>
      </c>
      <c r="AA247" s="23" t="n">
        <f aca="false">IFERROR(INDEX(PODACI_PRODAJA!J:J,MATCH($A247,PODACI_PRODAJA!$A:$A,0)),0)</f>
        <v>0</v>
      </c>
      <c r="AB247" s="23" t="n">
        <f aca="false">IFERROR(INDEX(PODACI_PRODAJA!K:K,MATCH($A247,PODACI_PRODAJA!$A:$A,0)),0)</f>
        <v>0</v>
      </c>
      <c r="AC247" s="23" t="n">
        <f aca="false">IFERROR(INDEX(PODACI_PRODAJA!L:L,MATCH($A247,PODACI_PRODAJA!$A:$A,0)),0)</f>
        <v>0</v>
      </c>
      <c r="AD247" s="23" t="n">
        <f aca="false">IFERROR(INDEX(PODACI_PRODAJA!M:M,MATCH($A247,PODACI_PRODAJA!$A:$A,0)),0)</f>
        <v>0</v>
      </c>
    </row>
    <row r="248" customFormat="false" ht="15" hidden="false" customHeight="false" outlineLevel="0" collapsed="false">
      <c r="A248" s="11" t="str">
        <f aca="false">PODACI_ZALIHE!A245</f>
        <v>042060</v>
      </c>
      <c r="B248" s="8" t="str">
        <f aca="false">PODACI_ZALIHE!B245</f>
        <v>VETRO LINEA 140 TUŠ STIJENA 140x200 cm</v>
      </c>
      <c r="C248" s="9" t="str">
        <f aca="false">PODACI_ZALIHE!C245</f>
        <v>6762</v>
      </c>
      <c r="D248" s="8" t="str">
        <f aca="false">PODACI_ZALIHE!D245</f>
        <v>ZHEJIANG QUICKLINE SHOWERING CO., LTD.</v>
      </c>
      <c r="E248" s="19" t="n">
        <f aca="false">IF(PODACI_ZALIHE!E245="","",PODACI_ZALIHE!E245)</f>
        <v>32</v>
      </c>
      <c r="F248" s="20" t="n">
        <f aca="false">PODACI_ZALIHE!F245</f>
        <v>32</v>
      </c>
      <c r="G248" s="19" t="n">
        <f aca="false">IF(E248="","",E248-F248)</f>
        <v>0</v>
      </c>
      <c r="H248" s="9" t="n">
        <f aca="false">PODACI_PRODAJA!N73</f>
        <v>3.13</v>
      </c>
      <c r="I248" s="21" t="n">
        <f aca="false">IF(H248&lt;=0,999,ROUND(F248/H248,1))</f>
        <v>10.2</v>
      </c>
      <c r="J248" s="9" t="n">
        <f aca="false">SUMIFS(ROBA_U_DOLASKU!$C$6:$C$95,ROBA_U_DOLASKU!$A$6:$A$95,A248,ROBA_U_DOLASKU!$H$6:$H$95,1)</f>
        <v>1</v>
      </c>
      <c r="K248" s="9" t="n">
        <f aca="false">SUMIFS(ROBA_U_DOLASKU!$B$6:$B$95,ROBA_U_DOLASKU!$A$6:$A$95,A248,ROBA_U_DOLASKU!$H$6:$H$95,1)</f>
        <v>20</v>
      </c>
      <c r="L248" s="9" t="n">
        <f aca="false">SUMIFS(ROBA_U_DOLASKU!$C$6:$C$95,ROBA_U_DOLASKU!$A$6:$A$95,A248,ROBA_U_DOLASKU!$H$6:$H$95,2)</f>
        <v>0</v>
      </c>
      <c r="M248" s="9" t="n">
        <f aca="false">SUMIFS(ROBA_U_DOLASKU!$B$6:$B$95,ROBA_U_DOLASKU!$A$6:$A$95,A248,ROBA_U_DOLASKU!$H$6:$H$95,2)</f>
        <v>0</v>
      </c>
      <c r="N248" s="9" t="n">
        <f aca="false">SUMIFS(ROBA_U_DOLASKU!$C$6:$C$95,ROBA_U_DOLASKU!$A$6:$A$95,A248,ROBA_U_DOLASKU!$H$6:$H$95,3)</f>
        <v>0</v>
      </c>
      <c r="O248" s="9" t="n">
        <f aca="false">SUMIFS(ROBA_U_DOLASKU!$B$6:$B$95,ROBA_U_DOLASKU!$A$6:$A$95,A248,ROBA_U_DOLASKU!$H$6:$H$95,3)</f>
        <v>0</v>
      </c>
      <c r="P248" s="9" t="n">
        <f aca="false">IF(H248&lt;=0,999,IF(O248&gt;0,ROUND((F248-H248*N248+K248+M248+O248)/H248,1),IF(M248&gt;0,ROUND((F248-H248*L248+K248+M248)/H248,1),IF(K248&gt;0,ROUND((F248-H248*J248+K248)/H248,1),I248))))</f>
        <v>15.6</v>
      </c>
      <c r="Q248" s="22" t="str">
        <f aca="false">IF(H248&lt;=0,"Nema prodaje",IF(AND(K248=0,M248=0,O248=0),IF(I248&lt;POSTAVKE!$B$6,"Naruči odmah","Sve u redu"),IF(F248-H248*J248&lt;0,"Rupa za ~"&amp;TEXT(I248,"0.0")&amp;" mj.",IF(AND(M248&gt;0,F248-H248*L248+K248&lt;0),"Rupa nakon 1. dolaska",IF(AND(O248&gt;0,F248-H248*N248+K248+M248&lt;0),"Rupa nakon 2. dolaska",IF(P248&lt;POSTAVKE!$B$6,"Količina nije dovoljna",IF(I248&gt;=POSTAVKE!$B$6,"Sve u redu","Stiže na vrijeme")))))))</f>
        <v>Sve u redu</v>
      </c>
      <c r="S248" s="23" t="n">
        <f aca="false">IFERROR(INDEX(PODACI_PRODAJA!B:B,MATCH($A248,PODACI_PRODAJA!$A:$A,0)),0)</f>
        <v>9</v>
      </c>
      <c r="T248" s="23" t="n">
        <f aca="false">IFERROR(INDEX(PODACI_PRODAJA!C:C,MATCH($A248,PODACI_PRODAJA!$A:$A,0)),0)</f>
        <v>1</v>
      </c>
      <c r="U248" s="23" t="n">
        <f aca="false">IFERROR(INDEX(PODACI_PRODAJA!D:D,MATCH($A248,PODACI_PRODAJA!$A:$A,0)),0)</f>
        <v>9</v>
      </c>
      <c r="V248" s="23" t="n">
        <f aca="false">IFERROR(INDEX(PODACI_PRODAJA!E:E,MATCH($A248,PODACI_PRODAJA!$A:$A,0)),0)</f>
        <v>2</v>
      </c>
      <c r="W248" s="23" t="n">
        <f aca="false">IFERROR(INDEX(PODACI_PRODAJA!F:F,MATCH($A248,PODACI_PRODAJA!$A:$A,0)),0)</f>
        <v>1</v>
      </c>
      <c r="X248" s="23" t="n">
        <f aca="false">IFERROR(INDEX(PODACI_PRODAJA!G:G,MATCH($A248,PODACI_PRODAJA!$A:$A,0)),0)</f>
        <v>1</v>
      </c>
      <c r="Y248" s="23" t="n">
        <f aca="false">IFERROR(INDEX(PODACI_PRODAJA!H:H,MATCH($A248,PODACI_PRODAJA!$A:$A,0)),0)</f>
        <v>2</v>
      </c>
      <c r="Z248" s="23" t="n">
        <f aca="false">IFERROR(INDEX(PODACI_PRODAJA!I:I,MATCH($A248,PODACI_PRODAJA!$A:$A,0)),0)</f>
        <v>0</v>
      </c>
      <c r="AA248" s="23" t="n">
        <f aca="false">IFERROR(INDEX(PODACI_PRODAJA!J:J,MATCH($A248,PODACI_PRODAJA!$A:$A,0)),0)</f>
        <v>0</v>
      </c>
      <c r="AB248" s="23" t="n">
        <f aca="false">IFERROR(INDEX(PODACI_PRODAJA!K:K,MATCH($A248,PODACI_PRODAJA!$A:$A,0)),0)</f>
        <v>0</v>
      </c>
      <c r="AC248" s="23" t="n">
        <f aca="false">IFERROR(INDEX(PODACI_PRODAJA!L:L,MATCH($A248,PODACI_PRODAJA!$A:$A,0)),0)</f>
        <v>0</v>
      </c>
      <c r="AD248" s="23" t="n">
        <f aca="false">IFERROR(INDEX(PODACI_PRODAJA!M:M,MATCH($A248,PODACI_PRODAJA!$A:$A,0)),0)</f>
        <v>0</v>
      </c>
    </row>
    <row r="249" customFormat="false" ht="15" hidden="false" customHeight="false" outlineLevel="0" collapsed="false">
      <c r="A249" s="11" t="str">
        <f aca="false">PODACI_ZALIHE!A246</f>
        <v>043880</v>
      </c>
      <c r="B249" s="8" t="str">
        <f aca="false">PODACI_ZALIHE!B246</f>
        <v>MONZA R PODŽBUKNA MIJEŠALICA ZA UMIVAONIK</v>
      </c>
      <c r="C249" s="9" t="str">
        <f aca="false">PODACI_ZALIHE!C246</f>
        <v>5150</v>
      </c>
      <c r="D249" s="8" t="str">
        <f aca="false">PODACI_ZALIHE!D246</f>
        <v>ZHEJIANG VOLONG SANITARY WARES CO.,LTD.</v>
      </c>
      <c r="E249" s="19" t="n">
        <f aca="false">IF(PODACI_ZALIHE!E246="","",PODACI_ZALIHE!E246)</f>
        <v>32</v>
      </c>
      <c r="F249" s="20" t="n">
        <f aca="false">PODACI_ZALIHE!F246</f>
        <v>32</v>
      </c>
      <c r="G249" s="19" t="n">
        <f aca="false">IF(E249="","",E249-F249)</f>
        <v>0</v>
      </c>
      <c r="H249" s="9" t="n">
        <f aca="false">PODACI_PRODAJA!N435</f>
        <v>0.25</v>
      </c>
      <c r="I249" s="21" t="n">
        <f aca="false">IF(H249&lt;=0,999,ROUND(F249/H249,1))</f>
        <v>128</v>
      </c>
      <c r="J249" s="9" t="n">
        <f aca="false">SUMIFS(ROBA_U_DOLASKU!$C$6:$C$95,ROBA_U_DOLASKU!$A$6:$A$95,A249,ROBA_U_DOLASKU!$H$6:$H$95,1)</f>
        <v>0</v>
      </c>
      <c r="K249" s="9" t="n">
        <f aca="false">SUMIFS(ROBA_U_DOLASKU!$B$6:$B$95,ROBA_U_DOLASKU!$A$6:$A$95,A249,ROBA_U_DOLASKU!$H$6:$H$95,1)</f>
        <v>0</v>
      </c>
      <c r="L249" s="9" t="n">
        <f aca="false">SUMIFS(ROBA_U_DOLASKU!$C$6:$C$95,ROBA_U_DOLASKU!$A$6:$A$95,A249,ROBA_U_DOLASKU!$H$6:$H$95,2)</f>
        <v>0</v>
      </c>
      <c r="M249" s="9" t="n">
        <f aca="false">SUMIFS(ROBA_U_DOLASKU!$B$6:$B$95,ROBA_U_DOLASKU!$A$6:$A$95,A249,ROBA_U_DOLASKU!$H$6:$H$95,2)</f>
        <v>0</v>
      </c>
      <c r="N249" s="9" t="n">
        <f aca="false">SUMIFS(ROBA_U_DOLASKU!$C$6:$C$95,ROBA_U_DOLASKU!$A$6:$A$95,A249,ROBA_U_DOLASKU!$H$6:$H$95,3)</f>
        <v>0</v>
      </c>
      <c r="O249" s="9" t="n">
        <f aca="false">SUMIFS(ROBA_U_DOLASKU!$B$6:$B$95,ROBA_U_DOLASKU!$A$6:$A$95,A249,ROBA_U_DOLASKU!$H$6:$H$95,3)</f>
        <v>0</v>
      </c>
      <c r="P249" s="9" t="n">
        <f aca="false">IF(H249&lt;=0,999,IF(O249&gt;0,ROUND((F249-H249*N249+K249+M249+O249)/H249,1),IF(M249&gt;0,ROUND((F249-H249*L249+K249+M249)/H249,1),IF(K249&gt;0,ROUND((F249-H249*J249+K249)/H249,1),I249))))</f>
        <v>128</v>
      </c>
      <c r="Q249" s="22" t="str">
        <f aca="false">IF(H249&lt;=0,"Nema prodaje",IF(AND(K249=0,M249=0,O249=0),IF(I249&lt;POSTAVKE!$B$6,"Naruči odmah","Sve u redu"),IF(F249-H249*J249&lt;0,"Rupa za ~"&amp;TEXT(I249,"0.0")&amp;" mj.",IF(AND(M249&gt;0,F249-H249*L249+K249&lt;0),"Rupa nakon 1. dolaska",IF(AND(O249&gt;0,F249-H249*N249+K249+M249&lt;0),"Rupa nakon 2. dolaska",IF(P249&lt;POSTAVKE!$B$6,"Količina nije dovoljna",IF(I249&gt;=POSTAVKE!$B$6,"Sve u redu","Stiže na vrijeme")))))))</f>
        <v>Sve u redu</v>
      </c>
      <c r="S249" s="23" t="n">
        <f aca="false">IFERROR(INDEX(PODACI_PRODAJA!B:B,MATCH($A249,PODACI_PRODAJA!$A:$A,0)),0)</f>
        <v>0</v>
      </c>
      <c r="T249" s="23" t="n">
        <f aca="false">IFERROR(INDEX(PODACI_PRODAJA!C:C,MATCH($A249,PODACI_PRODAJA!$A:$A,0)),0)</f>
        <v>1</v>
      </c>
      <c r="U249" s="23" t="n">
        <f aca="false">IFERROR(INDEX(PODACI_PRODAJA!D:D,MATCH($A249,PODACI_PRODAJA!$A:$A,0)),0)</f>
        <v>2</v>
      </c>
      <c r="V249" s="23" t="n">
        <f aca="false">IFERROR(INDEX(PODACI_PRODAJA!E:E,MATCH($A249,PODACI_PRODAJA!$A:$A,0)),0)</f>
        <v>-1</v>
      </c>
      <c r="W249" s="23" t="n">
        <f aca="false">IFERROR(INDEX(PODACI_PRODAJA!F:F,MATCH($A249,PODACI_PRODAJA!$A:$A,0)),0)</f>
        <v>0</v>
      </c>
      <c r="X249" s="23" t="n">
        <f aca="false">IFERROR(INDEX(PODACI_PRODAJA!G:G,MATCH($A249,PODACI_PRODAJA!$A:$A,0)),0)</f>
        <v>0</v>
      </c>
      <c r="Y249" s="23" t="n">
        <f aca="false">IFERROR(INDEX(PODACI_PRODAJA!H:H,MATCH($A249,PODACI_PRODAJA!$A:$A,0)),0)</f>
        <v>0</v>
      </c>
      <c r="Z249" s="23" t="n">
        <f aca="false">IFERROR(INDEX(PODACI_PRODAJA!I:I,MATCH($A249,PODACI_PRODAJA!$A:$A,0)),0)</f>
        <v>0</v>
      </c>
      <c r="AA249" s="23" t="n">
        <f aca="false">IFERROR(INDEX(PODACI_PRODAJA!J:J,MATCH($A249,PODACI_PRODAJA!$A:$A,0)),0)</f>
        <v>0</v>
      </c>
      <c r="AB249" s="23" t="n">
        <f aca="false">IFERROR(INDEX(PODACI_PRODAJA!K:K,MATCH($A249,PODACI_PRODAJA!$A:$A,0)),0)</f>
        <v>0</v>
      </c>
      <c r="AC249" s="23" t="n">
        <f aca="false">IFERROR(INDEX(PODACI_PRODAJA!L:L,MATCH($A249,PODACI_PRODAJA!$A:$A,0)),0)</f>
        <v>0</v>
      </c>
      <c r="AD249" s="23" t="n">
        <f aca="false">IFERROR(INDEX(PODACI_PRODAJA!M:M,MATCH($A249,PODACI_PRODAJA!$A:$A,0)),0)</f>
        <v>0</v>
      </c>
    </row>
    <row r="250" customFormat="false" ht="15" hidden="false" customHeight="false" outlineLevel="0" collapsed="false">
      <c r="A250" s="11" t="str">
        <f aca="false">PODACI_ZALIHE!A247</f>
        <v>15001</v>
      </c>
      <c r="B250" s="8" t="str">
        <f aca="false">PODACI_ZALIHE!B247</f>
        <v>EKO PANEL 5 mm grey marble 2440x1220x5 mm</v>
      </c>
      <c r="C250" s="9" t="n">
        <f aca="false">PODACI_ZALIHE!C247</f>
        <v>0</v>
      </c>
      <c r="D250" s="8" t="n">
        <f aca="false">PODACI_ZALIHE!D247</f>
        <v>0</v>
      </c>
      <c r="E250" s="19" t="n">
        <f aca="false">IF(PODACI_ZALIHE!E247="","",PODACI_ZALIHE!E247)</f>
        <v>32</v>
      </c>
      <c r="F250" s="20" t="n">
        <f aca="false">PODACI_ZALIHE!F247</f>
        <v>32</v>
      </c>
      <c r="G250" s="19" t="n">
        <f aca="false">IF(E250="","",E250-F250)</f>
        <v>0</v>
      </c>
      <c r="H250" s="9" t="n">
        <v>0</v>
      </c>
      <c r="I250" s="21" t="n">
        <f aca="false">IF(H250&lt;=0,999,ROUND(F250/H250,1))</f>
        <v>999</v>
      </c>
      <c r="J250" s="9" t="n">
        <f aca="false">SUMIFS(ROBA_U_DOLASKU!$C$6:$C$95,ROBA_U_DOLASKU!$A$6:$A$95,A250,ROBA_U_DOLASKU!$H$6:$H$95,1)</f>
        <v>0</v>
      </c>
      <c r="K250" s="9" t="n">
        <f aca="false">SUMIFS(ROBA_U_DOLASKU!$B$6:$B$95,ROBA_U_DOLASKU!$A$6:$A$95,A250,ROBA_U_DOLASKU!$H$6:$H$95,1)</f>
        <v>0</v>
      </c>
      <c r="L250" s="9" t="n">
        <f aca="false">SUMIFS(ROBA_U_DOLASKU!$C$6:$C$95,ROBA_U_DOLASKU!$A$6:$A$95,A250,ROBA_U_DOLASKU!$H$6:$H$95,2)</f>
        <v>0</v>
      </c>
      <c r="M250" s="9" t="n">
        <f aca="false">SUMIFS(ROBA_U_DOLASKU!$B$6:$B$95,ROBA_U_DOLASKU!$A$6:$A$95,A250,ROBA_U_DOLASKU!$H$6:$H$95,2)</f>
        <v>0</v>
      </c>
      <c r="N250" s="9" t="n">
        <f aca="false">SUMIFS(ROBA_U_DOLASKU!$C$6:$C$95,ROBA_U_DOLASKU!$A$6:$A$95,A250,ROBA_U_DOLASKU!$H$6:$H$95,3)</f>
        <v>0</v>
      </c>
      <c r="O250" s="9" t="n">
        <f aca="false">SUMIFS(ROBA_U_DOLASKU!$B$6:$B$95,ROBA_U_DOLASKU!$A$6:$A$95,A250,ROBA_U_DOLASKU!$H$6:$H$95,3)</f>
        <v>0</v>
      </c>
      <c r="P250" s="9" t="n">
        <f aca="false">IF(H250&lt;=0,999,IF(O250&gt;0,ROUND((F250-H250*N250+K250+M250+O250)/H250,1),IF(M250&gt;0,ROUND((F250-H250*L250+K250+M250)/H250,1),IF(K250&gt;0,ROUND((F250-H250*J250+K250)/H250,1),I250))))</f>
        <v>999</v>
      </c>
      <c r="Q250" s="22" t="str">
        <f aca="false">IF(H250&lt;=0,"Nema prodaje",IF(AND(K250=0,M250=0,O250=0),IF(I250&lt;POSTAVKE!$B$6,"Naruči odmah","Sve u redu"),IF(F250-H250*J250&lt;0,"Rupa za ~"&amp;TEXT(I250,"0.0")&amp;" mj.",IF(AND(M250&gt;0,F250-H250*L250+K250&lt;0),"Rupa nakon 1. dolaska",IF(AND(O250&gt;0,F250-H250*N250+K250+M250&lt;0),"Rupa nakon 2. dolaska",IF(P250&lt;POSTAVKE!$B$6,"Količina nije dovoljna",IF(I250&gt;=POSTAVKE!$B$6,"Sve u redu","Stiže na vrijeme")))))))</f>
        <v>Nema prodaje</v>
      </c>
      <c r="S250" s="23" t="n">
        <f aca="false">IFERROR(INDEX(PODACI_PRODAJA!B:B,MATCH($A250,PODACI_PRODAJA!$A:$A,0)),0)</f>
        <v>0</v>
      </c>
      <c r="T250" s="23" t="n">
        <f aca="false">IFERROR(INDEX(PODACI_PRODAJA!C:C,MATCH($A250,PODACI_PRODAJA!$A:$A,0)),0)</f>
        <v>0</v>
      </c>
      <c r="U250" s="23" t="n">
        <f aca="false">IFERROR(INDEX(PODACI_PRODAJA!D:D,MATCH($A250,PODACI_PRODAJA!$A:$A,0)),0)</f>
        <v>0</v>
      </c>
      <c r="V250" s="23" t="n">
        <f aca="false">IFERROR(INDEX(PODACI_PRODAJA!E:E,MATCH($A250,PODACI_PRODAJA!$A:$A,0)),0)</f>
        <v>0</v>
      </c>
      <c r="W250" s="23" t="n">
        <f aca="false">IFERROR(INDEX(PODACI_PRODAJA!F:F,MATCH($A250,PODACI_PRODAJA!$A:$A,0)),0)</f>
        <v>0</v>
      </c>
      <c r="X250" s="23" t="n">
        <f aca="false">IFERROR(INDEX(PODACI_PRODAJA!G:G,MATCH($A250,PODACI_PRODAJA!$A:$A,0)),0)</f>
        <v>0</v>
      </c>
      <c r="Y250" s="23" t="n">
        <f aca="false">IFERROR(INDEX(PODACI_PRODAJA!H:H,MATCH($A250,PODACI_PRODAJA!$A:$A,0)),0)</f>
        <v>0</v>
      </c>
      <c r="Z250" s="23" t="n">
        <f aca="false">IFERROR(INDEX(PODACI_PRODAJA!I:I,MATCH($A250,PODACI_PRODAJA!$A:$A,0)),0)</f>
        <v>0</v>
      </c>
      <c r="AA250" s="23" t="n">
        <f aca="false">IFERROR(INDEX(PODACI_PRODAJA!J:J,MATCH($A250,PODACI_PRODAJA!$A:$A,0)),0)</f>
        <v>0</v>
      </c>
      <c r="AB250" s="23" t="n">
        <f aca="false">IFERROR(INDEX(PODACI_PRODAJA!K:K,MATCH($A250,PODACI_PRODAJA!$A:$A,0)),0)</f>
        <v>0</v>
      </c>
      <c r="AC250" s="23" t="n">
        <f aca="false">IFERROR(INDEX(PODACI_PRODAJA!L:L,MATCH($A250,PODACI_PRODAJA!$A:$A,0)),0)</f>
        <v>0</v>
      </c>
      <c r="AD250" s="23" t="n">
        <f aca="false">IFERROR(INDEX(PODACI_PRODAJA!M:M,MATCH($A250,PODACI_PRODAJA!$A:$A,0)),0)</f>
        <v>0</v>
      </c>
    </row>
    <row r="251" customFormat="false" ht="15" hidden="false" customHeight="false" outlineLevel="0" collapsed="false">
      <c r="A251" s="11" t="str">
        <f aca="false">PODACI_ZALIHE!A248</f>
        <v>15255</v>
      </c>
      <c r="B251" s="8" t="str">
        <f aca="false">PODACI_ZALIHE!B248</f>
        <v>SCALA MIJEŠALICA ZA KADU</v>
      </c>
      <c r="C251" s="9" t="str">
        <f aca="false">PODACI_ZALIHE!C248</f>
        <v>5150</v>
      </c>
      <c r="D251" s="8" t="str">
        <f aca="false">PODACI_ZALIHE!D248</f>
        <v>ZHEJIANG VOLONG SANITARY WARES CO.,LTD.</v>
      </c>
      <c r="E251" s="19" t="n">
        <f aca="false">IF(PODACI_ZALIHE!E248="","",PODACI_ZALIHE!E248)</f>
        <v>32</v>
      </c>
      <c r="F251" s="20" t="n">
        <f aca="false">PODACI_ZALIHE!F248</f>
        <v>32</v>
      </c>
      <c r="G251" s="19" t="n">
        <f aca="false">IF(E251="","",E251-F251)</f>
        <v>0</v>
      </c>
      <c r="H251" s="9" t="n">
        <f aca="false">PODACI_PRODAJA!N469</f>
        <v>0.38</v>
      </c>
      <c r="I251" s="21" t="n">
        <f aca="false">IF(H251&lt;=0,999,ROUND(F251/H251,1))</f>
        <v>84.2</v>
      </c>
      <c r="J251" s="9" t="n">
        <f aca="false">SUMIFS(ROBA_U_DOLASKU!$C$6:$C$95,ROBA_U_DOLASKU!$A$6:$A$95,A251,ROBA_U_DOLASKU!$H$6:$H$95,1)</f>
        <v>0</v>
      </c>
      <c r="K251" s="9" t="n">
        <f aca="false">SUMIFS(ROBA_U_DOLASKU!$B$6:$B$95,ROBA_U_DOLASKU!$A$6:$A$95,A251,ROBA_U_DOLASKU!$H$6:$H$95,1)</f>
        <v>0</v>
      </c>
      <c r="L251" s="9" t="n">
        <f aca="false">SUMIFS(ROBA_U_DOLASKU!$C$6:$C$95,ROBA_U_DOLASKU!$A$6:$A$95,A251,ROBA_U_DOLASKU!$H$6:$H$95,2)</f>
        <v>0</v>
      </c>
      <c r="M251" s="9" t="n">
        <f aca="false">SUMIFS(ROBA_U_DOLASKU!$B$6:$B$95,ROBA_U_DOLASKU!$A$6:$A$95,A251,ROBA_U_DOLASKU!$H$6:$H$95,2)</f>
        <v>0</v>
      </c>
      <c r="N251" s="9" t="n">
        <f aca="false">SUMIFS(ROBA_U_DOLASKU!$C$6:$C$95,ROBA_U_DOLASKU!$A$6:$A$95,A251,ROBA_U_DOLASKU!$H$6:$H$95,3)</f>
        <v>0</v>
      </c>
      <c r="O251" s="9" t="n">
        <f aca="false">SUMIFS(ROBA_U_DOLASKU!$B$6:$B$95,ROBA_U_DOLASKU!$A$6:$A$95,A251,ROBA_U_DOLASKU!$H$6:$H$95,3)</f>
        <v>0</v>
      </c>
      <c r="P251" s="9" t="n">
        <f aca="false">IF(H251&lt;=0,999,IF(O251&gt;0,ROUND((F251-H251*N251+K251+M251+O251)/H251,1),IF(M251&gt;0,ROUND((F251-H251*L251+K251+M251)/H251,1),IF(K251&gt;0,ROUND((F251-H251*J251+K251)/H251,1),I251))))</f>
        <v>84.2</v>
      </c>
      <c r="Q251" s="22" t="str">
        <f aca="false">IF(H251&lt;=0,"Nema prodaje",IF(AND(K251=0,M251=0,O251=0),IF(I251&lt;POSTAVKE!$B$6,"Naruči odmah","Sve u redu"),IF(F251-H251*J251&lt;0,"Rupa za ~"&amp;TEXT(I251,"0.0")&amp;" mj.",IF(AND(M251&gt;0,F251-H251*L251+K251&lt;0),"Rupa nakon 1. dolaska",IF(AND(O251&gt;0,F251-H251*N251+K251+M251&lt;0),"Rupa nakon 2. dolaska",IF(P251&lt;POSTAVKE!$B$6,"Količina nije dovoljna",IF(I251&gt;=POSTAVKE!$B$6,"Sve u redu","Stiže na vrijeme")))))))</f>
        <v>Sve u redu</v>
      </c>
      <c r="S251" s="23" t="n">
        <f aca="false">IFERROR(INDEX(PODACI_PRODAJA!B:B,MATCH($A251,PODACI_PRODAJA!$A:$A,0)),0)</f>
        <v>0</v>
      </c>
      <c r="T251" s="23" t="n">
        <f aca="false">IFERROR(INDEX(PODACI_PRODAJA!C:C,MATCH($A251,PODACI_PRODAJA!$A:$A,0)),0)</f>
        <v>0</v>
      </c>
      <c r="U251" s="23" t="n">
        <f aca="false">IFERROR(INDEX(PODACI_PRODAJA!D:D,MATCH($A251,PODACI_PRODAJA!$A:$A,0)),0)</f>
        <v>0</v>
      </c>
      <c r="V251" s="23" t="n">
        <f aca="false">IFERROR(INDEX(PODACI_PRODAJA!E:E,MATCH($A251,PODACI_PRODAJA!$A:$A,0)),0)</f>
        <v>1</v>
      </c>
      <c r="W251" s="23" t="n">
        <f aca="false">IFERROR(INDEX(PODACI_PRODAJA!F:F,MATCH($A251,PODACI_PRODAJA!$A:$A,0)),0)</f>
        <v>0</v>
      </c>
      <c r="X251" s="23" t="n">
        <f aca="false">IFERROR(INDEX(PODACI_PRODAJA!G:G,MATCH($A251,PODACI_PRODAJA!$A:$A,0)),0)</f>
        <v>0</v>
      </c>
      <c r="Y251" s="23" t="n">
        <f aca="false">IFERROR(INDEX(PODACI_PRODAJA!H:H,MATCH($A251,PODACI_PRODAJA!$A:$A,0)),0)</f>
        <v>0</v>
      </c>
      <c r="Z251" s="23" t="n">
        <f aca="false">IFERROR(INDEX(PODACI_PRODAJA!I:I,MATCH($A251,PODACI_PRODAJA!$A:$A,0)),0)</f>
        <v>2</v>
      </c>
      <c r="AA251" s="23" t="n">
        <f aca="false">IFERROR(INDEX(PODACI_PRODAJA!J:J,MATCH($A251,PODACI_PRODAJA!$A:$A,0)),0)</f>
        <v>0</v>
      </c>
      <c r="AB251" s="23" t="n">
        <f aca="false">IFERROR(INDEX(PODACI_PRODAJA!K:K,MATCH($A251,PODACI_PRODAJA!$A:$A,0)),0)</f>
        <v>0</v>
      </c>
      <c r="AC251" s="23" t="n">
        <f aca="false">IFERROR(INDEX(PODACI_PRODAJA!L:L,MATCH($A251,PODACI_PRODAJA!$A:$A,0)),0)</f>
        <v>0</v>
      </c>
      <c r="AD251" s="23" t="n">
        <f aca="false">IFERROR(INDEX(PODACI_PRODAJA!M:M,MATCH($A251,PODACI_PRODAJA!$A:$A,0)),0)</f>
        <v>0</v>
      </c>
    </row>
    <row r="252" customFormat="false" ht="15" hidden="false" customHeight="false" outlineLevel="0" collapsed="false">
      <c r="A252" s="11" t="str">
        <f aca="false">PODACI_ZALIHE!A249</f>
        <v>15264</v>
      </c>
      <c r="B252" s="8" t="str">
        <f aca="false">PODACI_ZALIHE!B249</f>
        <v>TK MEIRA 90 KVADRATNA TUŠ KABINA 90x90x195 cm</v>
      </c>
      <c r="C252" s="9" t="str">
        <f aca="false">PODACI_ZALIHE!C249</f>
        <v>4328</v>
      </c>
      <c r="D252" s="8" t="str">
        <f aca="false">PODACI_ZALIHE!D249</f>
        <v>HANGZHOU DUHUI IMPORT AND EXPORT CO.,LTD</v>
      </c>
      <c r="E252" s="19" t="n">
        <f aca="false">IF(PODACI_ZALIHE!E249="","",PODACI_ZALIHE!E249)</f>
        <v>32</v>
      </c>
      <c r="F252" s="20" t="n">
        <f aca="false">PODACI_ZALIHE!F249</f>
        <v>32</v>
      </c>
      <c r="G252" s="19" t="n">
        <f aca="false">IF(E252="","",E252-F252)</f>
        <v>0</v>
      </c>
      <c r="H252" s="9" t="n">
        <f aca="false">PODACI_PRODAJA!N147</f>
        <v>3.38</v>
      </c>
      <c r="I252" s="21" t="n">
        <f aca="false">IF(H252&lt;=0,999,ROUND(F252/H252,1))</f>
        <v>9.5</v>
      </c>
      <c r="J252" s="9" t="n">
        <f aca="false">SUMIFS(ROBA_U_DOLASKU!$C$6:$C$95,ROBA_U_DOLASKU!$A$6:$A$95,A252,ROBA_U_DOLASKU!$H$6:$H$95,1)</f>
        <v>0</v>
      </c>
      <c r="K252" s="9" t="n">
        <f aca="false">SUMIFS(ROBA_U_DOLASKU!$B$6:$B$95,ROBA_U_DOLASKU!$A$6:$A$95,A252,ROBA_U_DOLASKU!$H$6:$H$95,1)</f>
        <v>0</v>
      </c>
      <c r="L252" s="9" t="n">
        <f aca="false">SUMIFS(ROBA_U_DOLASKU!$C$6:$C$95,ROBA_U_DOLASKU!$A$6:$A$95,A252,ROBA_U_DOLASKU!$H$6:$H$95,2)</f>
        <v>0</v>
      </c>
      <c r="M252" s="9" t="n">
        <f aca="false">SUMIFS(ROBA_U_DOLASKU!$B$6:$B$95,ROBA_U_DOLASKU!$A$6:$A$95,A252,ROBA_U_DOLASKU!$H$6:$H$95,2)</f>
        <v>0</v>
      </c>
      <c r="N252" s="9" t="n">
        <f aca="false">SUMIFS(ROBA_U_DOLASKU!$C$6:$C$95,ROBA_U_DOLASKU!$A$6:$A$95,A252,ROBA_U_DOLASKU!$H$6:$H$95,3)</f>
        <v>0</v>
      </c>
      <c r="O252" s="9" t="n">
        <f aca="false">SUMIFS(ROBA_U_DOLASKU!$B$6:$B$95,ROBA_U_DOLASKU!$A$6:$A$95,A252,ROBA_U_DOLASKU!$H$6:$H$95,3)</f>
        <v>0</v>
      </c>
      <c r="P252" s="9" t="n">
        <f aca="false">IF(H252&lt;=0,999,IF(O252&gt;0,ROUND((F252-H252*N252+K252+M252+O252)/H252,1),IF(M252&gt;0,ROUND((F252-H252*L252+K252+M252)/H252,1),IF(K252&gt;0,ROUND((F252-H252*J252+K252)/H252,1),I252))))</f>
        <v>9.5</v>
      </c>
      <c r="Q252" s="22" t="str">
        <f aca="false">IF(H252&lt;=0,"Nema prodaje",IF(AND(K252=0,M252=0,O252=0),IF(I252&lt;POSTAVKE!$B$6,"Naruči odmah","Sve u redu"),IF(F252-H252*J252&lt;0,"Rupa za ~"&amp;TEXT(I252,"0.0")&amp;" mj.",IF(AND(M252&gt;0,F252-H252*L252+K252&lt;0),"Rupa nakon 1. dolaska",IF(AND(O252&gt;0,F252-H252*N252+K252+M252&lt;0),"Rupa nakon 2. dolaska",IF(P252&lt;POSTAVKE!$B$6,"Količina nije dovoljna",IF(I252&gt;=POSTAVKE!$B$6,"Sve u redu","Stiže na vrijeme")))))))</f>
        <v>Sve u redu</v>
      </c>
      <c r="S252" s="23" t="n">
        <f aca="false">IFERROR(INDEX(PODACI_PRODAJA!B:B,MATCH($A252,PODACI_PRODAJA!$A:$A,0)),0)</f>
        <v>3</v>
      </c>
      <c r="T252" s="23" t="n">
        <f aca="false">IFERROR(INDEX(PODACI_PRODAJA!C:C,MATCH($A252,PODACI_PRODAJA!$A:$A,0)),0)</f>
        <v>2</v>
      </c>
      <c r="U252" s="23" t="n">
        <f aca="false">IFERROR(INDEX(PODACI_PRODAJA!D:D,MATCH($A252,PODACI_PRODAJA!$A:$A,0)),0)</f>
        <v>4</v>
      </c>
      <c r="V252" s="23" t="n">
        <f aca="false">IFERROR(INDEX(PODACI_PRODAJA!E:E,MATCH($A252,PODACI_PRODAJA!$A:$A,0)),0)</f>
        <v>4</v>
      </c>
      <c r="W252" s="23" t="n">
        <f aca="false">IFERROR(INDEX(PODACI_PRODAJA!F:F,MATCH($A252,PODACI_PRODAJA!$A:$A,0)),0)</f>
        <v>5</v>
      </c>
      <c r="X252" s="23" t="n">
        <f aca="false">IFERROR(INDEX(PODACI_PRODAJA!G:G,MATCH($A252,PODACI_PRODAJA!$A:$A,0)),0)</f>
        <v>3</v>
      </c>
      <c r="Y252" s="23" t="n">
        <f aca="false">IFERROR(INDEX(PODACI_PRODAJA!H:H,MATCH($A252,PODACI_PRODAJA!$A:$A,0)),0)</f>
        <v>4</v>
      </c>
      <c r="Z252" s="23" t="n">
        <f aca="false">IFERROR(INDEX(PODACI_PRODAJA!I:I,MATCH($A252,PODACI_PRODAJA!$A:$A,0)),0)</f>
        <v>2</v>
      </c>
      <c r="AA252" s="23" t="n">
        <f aca="false">IFERROR(INDEX(PODACI_PRODAJA!J:J,MATCH($A252,PODACI_PRODAJA!$A:$A,0)),0)</f>
        <v>0</v>
      </c>
      <c r="AB252" s="23" t="n">
        <f aca="false">IFERROR(INDEX(PODACI_PRODAJA!K:K,MATCH($A252,PODACI_PRODAJA!$A:$A,0)),0)</f>
        <v>0</v>
      </c>
      <c r="AC252" s="23" t="n">
        <f aca="false">IFERROR(INDEX(PODACI_PRODAJA!L:L,MATCH($A252,PODACI_PRODAJA!$A:$A,0)),0)</f>
        <v>0</v>
      </c>
      <c r="AD252" s="23" t="n">
        <f aca="false">IFERROR(INDEX(PODACI_PRODAJA!M:M,MATCH($A252,PODACI_PRODAJA!$A:$A,0)),0)</f>
        <v>0</v>
      </c>
    </row>
    <row r="253" customFormat="false" ht="15" hidden="false" customHeight="false" outlineLevel="0" collapsed="false">
      <c r="A253" s="11" t="str">
        <f aca="false">PODACI_ZALIHE!A250</f>
        <v>15275</v>
      </c>
      <c r="B253" s="8" t="str">
        <f aca="false">PODACI_ZALIHE!B250</f>
        <v>FRAME B6080 OGLEDALO S LED RASVJETOM 60x80 cm</v>
      </c>
      <c r="C253" s="9" t="str">
        <f aca="false">PODACI_ZALIHE!C250</f>
        <v>5720</v>
      </c>
      <c r="D253" s="8" t="str">
        <f aca="false">PODACI_ZALIHE!D250</f>
        <v>ZHEJIANG SUMMERSIDE SANITARY WARE TECHNOLOGY CO., LTD</v>
      </c>
      <c r="E253" s="19" t="n">
        <f aca="false">IF(PODACI_ZALIHE!E250="","",PODACI_ZALIHE!E250)</f>
        <v>32</v>
      </c>
      <c r="F253" s="20" t="n">
        <f aca="false">PODACI_ZALIHE!F250</f>
        <v>32</v>
      </c>
      <c r="G253" s="19" t="n">
        <f aca="false">IF(E253="","",E253-F253)</f>
        <v>0</v>
      </c>
      <c r="H253" s="9" t="n">
        <f aca="false">PODACI_PRODAJA!N115</f>
        <v>3.25</v>
      </c>
      <c r="I253" s="21" t="n">
        <f aca="false">IF(H253&lt;=0,999,ROUND(F253/H253,1))</f>
        <v>9.8</v>
      </c>
      <c r="J253" s="9" t="n">
        <f aca="false">SUMIFS(ROBA_U_DOLASKU!$C$6:$C$95,ROBA_U_DOLASKU!$A$6:$A$95,A253,ROBA_U_DOLASKU!$H$6:$H$95,1)</f>
        <v>0</v>
      </c>
      <c r="K253" s="9" t="n">
        <f aca="false">SUMIFS(ROBA_U_DOLASKU!$B$6:$B$95,ROBA_U_DOLASKU!$A$6:$A$95,A253,ROBA_U_DOLASKU!$H$6:$H$95,1)</f>
        <v>0</v>
      </c>
      <c r="L253" s="9" t="n">
        <f aca="false">SUMIFS(ROBA_U_DOLASKU!$C$6:$C$95,ROBA_U_DOLASKU!$A$6:$A$95,A253,ROBA_U_DOLASKU!$H$6:$H$95,2)</f>
        <v>0</v>
      </c>
      <c r="M253" s="9" t="n">
        <f aca="false">SUMIFS(ROBA_U_DOLASKU!$B$6:$B$95,ROBA_U_DOLASKU!$A$6:$A$95,A253,ROBA_U_DOLASKU!$H$6:$H$95,2)</f>
        <v>0</v>
      </c>
      <c r="N253" s="9" t="n">
        <f aca="false">SUMIFS(ROBA_U_DOLASKU!$C$6:$C$95,ROBA_U_DOLASKU!$A$6:$A$95,A253,ROBA_U_DOLASKU!$H$6:$H$95,3)</f>
        <v>0</v>
      </c>
      <c r="O253" s="9" t="n">
        <f aca="false">SUMIFS(ROBA_U_DOLASKU!$B$6:$B$95,ROBA_U_DOLASKU!$A$6:$A$95,A253,ROBA_U_DOLASKU!$H$6:$H$95,3)</f>
        <v>0</v>
      </c>
      <c r="P253" s="9" t="n">
        <f aca="false">IF(H253&lt;=0,999,IF(O253&gt;0,ROUND((F253-H253*N253+K253+M253+O253)/H253,1),IF(M253&gt;0,ROUND((F253-H253*L253+K253+M253)/H253,1),IF(K253&gt;0,ROUND((F253-H253*J253+K253)/H253,1),I253))))</f>
        <v>9.8</v>
      </c>
      <c r="Q253" s="22" t="str">
        <f aca="false">IF(H253&lt;=0,"Nema prodaje",IF(AND(K253=0,M253=0,O253=0),IF(I253&lt;POSTAVKE!$B$6,"Naruči odmah","Sve u redu"),IF(F253-H253*J253&lt;0,"Rupa za ~"&amp;TEXT(I253,"0.0")&amp;" mj.",IF(AND(M253&gt;0,F253-H253*L253+K253&lt;0),"Rupa nakon 1. dolaska",IF(AND(O253&gt;0,F253-H253*N253+K253+M253&lt;0),"Rupa nakon 2. dolaska",IF(P253&lt;POSTAVKE!$B$6,"Količina nije dovoljna",IF(I253&gt;=POSTAVKE!$B$6,"Sve u redu","Stiže na vrijeme")))))))</f>
        <v>Sve u redu</v>
      </c>
      <c r="S253" s="23" t="n">
        <f aca="false">IFERROR(INDEX(PODACI_PRODAJA!B:B,MATCH($A253,PODACI_PRODAJA!$A:$A,0)),0)</f>
        <v>5</v>
      </c>
      <c r="T253" s="23" t="n">
        <f aca="false">IFERROR(INDEX(PODACI_PRODAJA!C:C,MATCH($A253,PODACI_PRODAJA!$A:$A,0)),0)</f>
        <v>3</v>
      </c>
      <c r="U253" s="23" t="n">
        <f aca="false">IFERROR(INDEX(PODACI_PRODAJA!D:D,MATCH($A253,PODACI_PRODAJA!$A:$A,0)),0)</f>
        <v>3</v>
      </c>
      <c r="V253" s="23" t="n">
        <f aca="false">IFERROR(INDEX(PODACI_PRODAJA!E:E,MATCH($A253,PODACI_PRODAJA!$A:$A,0)),0)</f>
        <v>5</v>
      </c>
      <c r="W253" s="23" t="n">
        <f aca="false">IFERROR(INDEX(PODACI_PRODAJA!F:F,MATCH($A253,PODACI_PRODAJA!$A:$A,0)),0)</f>
        <v>3</v>
      </c>
      <c r="X253" s="23" t="n">
        <f aca="false">IFERROR(INDEX(PODACI_PRODAJA!G:G,MATCH($A253,PODACI_PRODAJA!$A:$A,0)),0)</f>
        <v>3</v>
      </c>
      <c r="Y253" s="23" t="n">
        <f aca="false">IFERROR(INDEX(PODACI_PRODAJA!H:H,MATCH($A253,PODACI_PRODAJA!$A:$A,0)),0)</f>
        <v>4</v>
      </c>
      <c r="Z253" s="23" t="n">
        <f aca="false">IFERROR(INDEX(PODACI_PRODAJA!I:I,MATCH($A253,PODACI_PRODAJA!$A:$A,0)),0)</f>
        <v>0</v>
      </c>
      <c r="AA253" s="23" t="n">
        <f aca="false">IFERROR(INDEX(PODACI_PRODAJA!J:J,MATCH($A253,PODACI_PRODAJA!$A:$A,0)),0)</f>
        <v>0</v>
      </c>
      <c r="AB253" s="23" t="n">
        <f aca="false">IFERROR(INDEX(PODACI_PRODAJA!K:K,MATCH($A253,PODACI_PRODAJA!$A:$A,0)),0)</f>
        <v>0</v>
      </c>
      <c r="AC253" s="23" t="n">
        <f aca="false">IFERROR(INDEX(PODACI_PRODAJA!L:L,MATCH($A253,PODACI_PRODAJA!$A:$A,0)),0)</f>
        <v>0</v>
      </c>
      <c r="AD253" s="23" t="n">
        <f aca="false">IFERROR(INDEX(PODACI_PRODAJA!M:M,MATCH($A253,PODACI_PRODAJA!$A:$A,0)),0)</f>
        <v>0</v>
      </c>
    </row>
    <row r="254" customFormat="false" ht="15" hidden="false" customHeight="false" outlineLevel="0" collapsed="false">
      <c r="A254" s="11" t="str">
        <f aca="false">PODACI_ZALIHE!A251</f>
        <v>15398</v>
      </c>
      <c r="B254" s="8" t="str">
        <f aca="false">PODACI_ZALIHE!B251</f>
        <v>SIMPLY HIDROMASAŽNA TUŠ KABINA 90X90X210 CM</v>
      </c>
      <c r="C254" s="9" t="str">
        <f aca="false">PODACI_ZALIHE!C251</f>
        <v>5590</v>
      </c>
      <c r="D254" s="8" t="str">
        <f aca="false">PODACI_ZALIHE!D251</f>
        <v>PINGHU YINUO SANITARY WARE CO.,LTD</v>
      </c>
      <c r="E254" s="19" t="n">
        <f aca="false">IF(PODACI_ZALIHE!E251="","",PODACI_ZALIHE!E251)</f>
        <v>32</v>
      </c>
      <c r="F254" s="20" t="n">
        <f aca="false">PODACI_ZALIHE!F251</f>
        <v>32</v>
      </c>
      <c r="G254" s="19" t="n">
        <f aca="false">IF(E254="","",E254-F254)</f>
        <v>0</v>
      </c>
      <c r="H254" s="9" t="n">
        <f aca="false">PODACI_PRODAJA!N116</f>
        <v>2.13</v>
      </c>
      <c r="I254" s="21" t="n">
        <f aca="false">IF(H254&lt;=0,999,ROUND(F254/H254,1))</f>
        <v>15</v>
      </c>
      <c r="J254" s="9" t="n">
        <f aca="false">SUMIFS(ROBA_U_DOLASKU!$C$6:$C$95,ROBA_U_DOLASKU!$A$6:$A$95,A254,ROBA_U_DOLASKU!$H$6:$H$95,1)</f>
        <v>0</v>
      </c>
      <c r="K254" s="9" t="n">
        <f aca="false">SUMIFS(ROBA_U_DOLASKU!$B$6:$B$95,ROBA_U_DOLASKU!$A$6:$A$95,A254,ROBA_U_DOLASKU!$H$6:$H$95,1)</f>
        <v>0</v>
      </c>
      <c r="L254" s="9" t="n">
        <f aca="false">SUMIFS(ROBA_U_DOLASKU!$C$6:$C$95,ROBA_U_DOLASKU!$A$6:$A$95,A254,ROBA_U_DOLASKU!$H$6:$H$95,2)</f>
        <v>0</v>
      </c>
      <c r="M254" s="9" t="n">
        <f aca="false">SUMIFS(ROBA_U_DOLASKU!$B$6:$B$95,ROBA_U_DOLASKU!$A$6:$A$95,A254,ROBA_U_DOLASKU!$H$6:$H$95,2)</f>
        <v>0</v>
      </c>
      <c r="N254" s="9" t="n">
        <f aca="false">SUMIFS(ROBA_U_DOLASKU!$C$6:$C$95,ROBA_U_DOLASKU!$A$6:$A$95,A254,ROBA_U_DOLASKU!$H$6:$H$95,3)</f>
        <v>0</v>
      </c>
      <c r="O254" s="9" t="n">
        <f aca="false">SUMIFS(ROBA_U_DOLASKU!$B$6:$B$95,ROBA_U_DOLASKU!$A$6:$A$95,A254,ROBA_U_DOLASKU!$H$6:$H$95,3)</f>
        <v>0</v>
      </c>
      <c r="P254" s="9" t="n">
        <f aca="false">IF(H254&lt;=0,999,IF(O254&gt;0,ROUND((F254-H254*N254+K254+M254+O254)/H254,1),IF(M254&gt;0,ROUND((F254-H254*L254+K254+M254)/H254,1),IF(K254&gt;0,ROUND((F254-H254*J254+K254)/H254,1),I254))))</f>
        <v>15</v>
      </c>
      <c r="Q254" s="22" t="str">
        <f aca="false">IF(H254&lt;=0,"Nema prodaje",IF(AND(K254=0,M254=0,O254=0),IF(I254&lt;POSTAVKE!$B$6,"Naruči odmah","Sve u redu"),IF(F254-H254*J254&lt;0,"Rupa za ~"&amp;TEXT(I254,"0.0")&amp;" mj.",IF(AND(M254&gt;0,F254-H254*L254+K254&lt;0),"Rupa nakon 1. dolaska",IF(AND(O254&gt;0,F254-H254*N254+K254+M254&lt;0),"Rupa nakon 2. dolaska",IF(P254&lt;POSTAVKE!$B$6,"Količina nije dovoljna",IF(I254&gt;=POSTAVKE!$B$6,"Sve u redu","Stiže na vrijeme")))))))</f>
        <v>Sve u redu</v>
      </c>
      <c r="S254" s="23" t="n">
        <f aca="false">IFERROR(INDEX(PODACI_PRODAJA!B:B,MATCH($A254,PODACI_PRODAJA!$A:$A,0)),0)</f>
        <v>5</v>
      </c>
      <c r="T254" s="23" t="n">
        <f aca="false">IFERROR(INDEX(PODACI_PRODAJA!C:C,MATCH($A254,PODACI_PRODAJA!$A:$A,0)),0)</f>
        <v>0</v>
      </c>
      <c r="U254" s="23" t="n">
        <f aca="false">IFERROR(INDEX(PODACI_PRODAJA!D:D,MATCH($A254,PODACI_PRODAJA!$A:$A,0)),0)</f>
        <v>1</v>
      </c>
      <c r="V254" s="23" t="n">
        <f aca="false">IFERROR(INDEX(PODACI_PRODAJA!E:E,MATCH($A254,PODACI_PRODAJA!$A:$A,0)),0)</f>
        <v>2</v>
      </c>
      <c r="W254" s="23" t="n">
        <f aca="false">IFERROR(INDEX(PODACI_PRODAJA!F:F,MATCH($A254,PODACI_PRODAJA!$A:$A,0)),0)</f>
        <v>0</v>
      </c>
      <c r="X254" s="23" t="n">
        <f aca="false">IFERROR(INDEX(PODACI_PRODAJA!G:G,MATCH($A254,PODACI_PRODAJA!$A:$A,0)),0)</f>
        <v>2</v>
      </c>
      <c r="Y254" s="23" t="n">
        <f aca="false">IFERROR(INDEX(PODACI_PRODAJA!H:H,MATCH($A254,PODACI_PRODAJA!$A:$A,0)),0)</f>
        <v>1</v>
      </c>
      <c r="Z254" s="23" t="n">
        <f aca="false">IFERROR(INDEX(PODACI_PRODAJA!I:I,MATCH($A254,PODACI_PRODAJA!$A:$A,0)),0)</f>
        <v>6</v>
      </c>
      <c r="AA254" s="23" t="n">
        <f aca="false">IFERROR(INDEX(PODACI_PRODAJA!J:J,MATCH($A254,PODACI_PRODAJA!$A:$A,0)),0)</f>
        <v>0</v>
      </c>
      <c r="AB254" s="23" t="n">
        <f aca="false">IFERROR(INDEX(PODACI_PRODAJA!K:K,MATCH($A254,PODACI_PRODAJA!$A:$A,0)),0)</f>
        <v>0</v>
      </c>
      <c r="AC254" s="23" t="n">
        <f aca="false">IFERROR(INDEX(PODACI_PRODAJA!L:L,MATCH($A254,PODACI_PRODAJA!$A:$A,0)),0)</f>
        <v>0</v>
      </c>
      <c r="AD254" s="23" t="n">
        <f aca="false">IFERROR(INDEX(PODACI_PRODAJA!M:M,MATCH($A254,PODACI_PRODAJA!$A:$A,0)),0)</f>
        <v>0</v>
      </c>
    </row>
    <row r="255" customFormat="false" ht="15" hidden="false" customHeight="false" outlineLevel="0" collapsed="false">
      <c r="A255" s="11" t="str">
        <f aca="false">PODACI_ZALIHE!A252</f>
        <v>16022</v>
      </c>
      <c r="B255" s="8" t="str">
        <f aca="false">PODACI_ZALIHE!B252</f>
        <v>TK RONDA 80 POLUKRUŽNA TUŠ KABINA 80x80x185 cm</v>
      </c>
      <c r="C255" s="9" t="str">
        <f aca="false">PODACI_ZALIHE!C252</f>
        <v>6163</v>
      </c>
      <c r="D255" s="8" t="str">
        <f aca="false">PODACI_ZALIHE!D252</f>
        <v>HANGZHOU TIANMEI INDUSTRY CO.,LTD</v>
      </c>
      <c r="E255" s="19" t="n">
        <f aca="false">IF(PODACI_ZALIHE!E252="","",PODACI_ZALIHE!E252)</f>
        <v>39</v>
      </c>
      <c r="F255" s="20" t="n">
        <f aca="false">PODACI_ZALIHE!F252</f>
        <v>32</v>
      </c>
      <c r="G255" s="19" t="n">
        <f aca="false">IF(E255="","",E255-F255)</f>
        <v>7</v>
      </c>
      <c r="H255" s="9" t="n">
        <f aca="false">PODACI_PRODAJA!N247</f>
        <v>0.38</v>
      </c>
      <c r="I255" s="21" t="n">
        <f aca="false">IF(H255&lt;=0,999,ROUND(F255/H255,1))</f>
        <v>84.2</v>
      </c>
      <c r="J255" s="9" t="n">
        <f aca="false">SUMIFS(ROBA_U_DOLASKU!$C$6:$C$95,ROBA_U_DOLASKU!$A$6:$A$95,A255,ROBA_U_DOLASKU!$H$6:$H$95,1)</f>
        <v>2.4</v>
      </c>
      <c r="K255" s="9" t="n">
        <f aca="false">SUMIFS(ROBA_U_DOLASKU!$B$6:$B$95,ROBA_U_DOLASKU!$A$6:$A$95,A255,ROBA_U_DOLASKU!$H$6:$H$95,1)</f>
        <v>60</v>
      </c>
      <c r="L255" s="9" t="n">
        <f aca="false">SUMIFS(ROBA_U_DOLASKU!$C$6:$C$95,ROBA_U_DOLASKU!$A$6:$A$95,A255,ROBA_U_DOLASKU!$H$6:$H$95,2)</f>
        <v>0</v>
      </c>
      <c r="M255" s="9" t="n">
        <f aca="false">SUMIFS(ROBA_U_DOLASKU!$B$6:$B$95,ROBA_U_DOLASKU!$A$6:$A$95,A255,ROBA_U_DOLASKU!$H$6:$H$95,2)</f>
        <v>0</v>
      </c>
      <c r="N255" s="9" t="n">
        <f aca="false">SUMIFS(ROBA_U_DOLASKU!$C$6:$C$95,ROBA_U_DOLASKU!$A$6:$A$95,A255,ROBA_U_DOLASKU!$H$6:$H$95,3)</f>
        <v>0</v>
      </c>
      <c r="O255" s="9" t="n">
        <f aca="false">SUMIFS(ROBA_U_DOLASKU!$B$6:$B$95,ROBA_U_DOLASKU!$A$6:$A$95,A255,ROBA_U_DOLASKU!$H$6:$H$95,3)</f>
        <v>0</v>
      </c>
      <c r="P255" s="9" t="n">
        <f aca="false">IF(H255&lt;=0,999,IF(O255&gt;0,ROUND((F255-H255*N255+K255+M255+O255)/H255,1),IF(M255&gt;0,ROUND((F255-H255*L255+K255+M255)/H255,1),IF(K255&gt;0,ROUND((F255-H255*J255+K255)/H255,1),I255))))</f>
        <v>239.7</v>
      </c>
      <c r="Q255" s="22" t="str">
        <f aca="false">IF(H255&lt;=0,"Nema prodaje",IF(AND(K255=0,M255=0,O255=0),IF(I255&lt;POSTAVKE!$B$6,"Naruči odmah","Sve u redu"),IF(F255-H255*J255&lt;0,"Rupa za ~"&amp;TEXT(I255,"0.0")&amp;" mj.",IF(AND(M255&gt;0,F255-H255*L255+K255&lt;0),"Rupa nakon 1. dolaska",IF(AND(O255&gt;0,F255-H255*N255+K255+M255&lt;0),"Rupa nakon 2. dolaska",IF(P255&lt;POSTAVKE!$B$6,"Količina nije dovoljna",IF(I255&gt;=POSTAVKE!$B$6,"Sve u redu","Stiže na vrijeme")))))))</f>
        <v>Sve u redu</v>
      </c>
      <c r="S255" s="23" t="n">
        <f aca="false">IFERROR(INDEX(PODACI_PRODAJA!B:B,MATCH($A255,PODACI_PRODAJA!$A:$A,0)),0)</f>
        <v>1</v>
      </c>
      <c r="T255" s="23" t="n">
        <f aca="false">IFERROR(INDEX(PODACI_PRODAJA!C:C,MATCH($A255,PODACI_PRODAJA!$A:$A,0)),0)</f>
        <v>0</v>
      </c>
      <c r="U255" s="23" t="n">
        <f aca="false">IFERROR(INDEX(PODACI_PRODAJA!D:D,MATCH($A255,PODACI_PRODAJA!$A:$A,0)),0)</f>
        <v>0</v>
      </c>
      <c r="V255" s="23" t="n">
        <f aca="false">IFERROR(INDEX(PODACI_PRODAJA!E:E,MATCH($A255,PODACI_PRODAJA!$A:$A,0)),0)</f>
        <v>1</v>
      </c>
      <c r="W255" s="23" t="n">
        <f aca="false">IFERROR(INDEX(PODACI_PRODAJA!F:F,MATCH($A255,PODACI_PRODAJA!$A:$A,0)),0)</f>
        <v>0</v>
      </c>
      <c r="X255" s="23" t="n">
        <f aca="false">IFERROR(INDEX(PODACI_PRODAJA!G:G,MATCH($A255,PODACI_PRODAJA!$A:$A,0)),0)</f>
        <v>0</v>
      </c>
      <c r="Y255" s="23" t="n">
        <f aca="false">IFERROR(INDEX(PODACI_PRODAJA!H:H,MATCH($A255,PODACI_PRODAJA!$A:$A,0)),0)</f>
        <v>0</v>
      </c>
      <c r="Z255" s="23" t="n">
        <f aca="false">IFERROR(INDEX(PODACI_PRODAJA!I:I,MATCH($A255,PODACI_PRODAJA!$A:$A,0)),0)</f>
        <v>1</v>
      </c>
      <c r="AA255" s="23" t="n">
        <f aca="false">IFERROR(INDEX(PODACI_PRODAJA!J:J,MATCH($A255,PODACI_PRODAJA!$A:$A,0)),0)</f>
        <v>0</v>
      </c>
      <c r="AB255" s="23" t="n">
        <f aca="false">IFERROR(INDEX(PODACI_PRODAJA!K:K,MATCH($A255,PODACI_PRODAJA!$A:$A,0)),0)</f>
        <v>0</v>
      </c>
      <c r="AC255" s="23" t="n">
        <f aca="false">IFERROR(INDEX(PODACI_PRODAJA!L:L,MATCH($A255,PODACI_PRODAJA!$A:$A,0)),0)</f>
        <v>0</v>
      </c>
      <c r="AD255" s="23" t="n">
        <f aca="false">IFERROR(INDEX(PODACI_PRODAJA!M:M,MATCH($A255,PODACI_PRODAJA!$A:$A,0)),0)</f>
        <v>0</v>
      </c>
    </row>
    <row r="256" customFormat="false" ht="15" hidden="false" customHeight="false" outlineLevel="0" collapsed="false">
      <c r="A256" s="11" t="str">
        <f aca="false">PODACI_ZALIHE!A253</f>
        <v>18565</v>
      </c>
      <c r="B256" s="8" t="str">
        <f aca="false">PODACI_ZALIHE!B253</f>
        <v>PURE 100 TUŠ VRATA CHROME 100x200 cm</v>
      </c>
      <c r="C256" s="9" t="str">
        <f aca="false">PODACI_ZALIHE!C253</f>
        <v>6762</v>
      </c>
      <c r="D256" s="8" t="str">
        <f aca="false">PODACI_ZALIHE!D253</f>
        <v>ZHEJIANG QUICKLINE SHOWERING CO., LTD.</v>
      </c>
      <c r="E256" s="19" t="n">
        <f aca="false">IF(PODACI_ZALIHE!E253="","",PODACI_ZALIHE!E253)</f>
        <v>32</v>
      </c>
      <c r="F256" s="20" t="n">
        <f aca="false">PODACI_ZALIHE!F253</f>
        <v>32</v>
      </c>
      <c r="G256" s="19" t="n">
        <f aca="false">IF(E256="","",E256-F256)</f>
        <v>0</v>
      </c>
      <c r="H256" s="9" t="n">
        <f aca="false">PODACI_PRODAJA!N675</f>
        <v>0.75</v>
      </c>
      <c r="I256" s="21" t="n">
        <f aca="false">IF(H256&lt;=0,999,ROUND(F256/H256,1))</f>
        <v>42.7</v>
      </c>
      <c r="J256" s="9" t="n">
        <f aca="false">SUMIFS(ROBA_U_DOLASKU!$C$6:$C$95,ROBA_U_DOLASKU!$A$6:$A$95,A256,ROBA_U_DOLASKU!$H$6:$H$95,1)</f>
        <v>0</v>
      </c>
      <c r="K256" s="9" t="n">
        <f aca="false">SUMIFS(ROBA_U_DOLASKU!$B$6:$B$95,ROBA_U_DOLASKU!$A$6:$A$95,A256,ROBA_U_DOLASKU!$H$6:$H$95,1)</f>
        <v>0</v>
      </c>
      <c r="L256" s="9" t="n">
        <f aca="false">SUMIFS(ROBA_U_DOLASKU!$C$6:$C$95,ROBA_U_DOLASKU!$A$6:$A$95,A256,ROBA_U_DOLASKU!$H$6:$H$95,2)</f>
        <v>0</v>
      </c>
      <c r="M256" s="9" t="n">
        <f aca="false">SUMIFS(ROBA_U_DOLASKU!$B$6:$B$95,ROBA_U_DOLASKU!$A$6:$A$95,A256,ROBA_U_DOLASKU!$H$6:$H$95,2)</f>
        <v>0</v>
      </c>
      <c r="N256" s="9" t="n">
        <f aca="false">SUMIFS(ROBA_U_DOLASKU!$C$6:$C$95,ROBA_U_DOLASKU!$A$6:$A$95,A256,ROBA_U_DOLASKU!$H$6:$H$95,3)</f>
        <v>0</v>
      </c>
      <c r="O256" s="9" t="n">
        <f aca="false">SUMIFS(ROBA_U_DOLASKU!$B$6:$B$95,ROBA_U_DOLASKU!$A$6:$A$95,A256,ROBA_U_DOLASKU!$H$6:$H$95,3)</f>
        <v>0</v>
      </c>
      <c r="P256" s="9" t="n">
        <f aca="false">IF(H256&lt;=0,999,IF(O256&gt;0,ROUND((F256-H256*N256+K256+M256+O256)/H256,1),IF(M256&gt;0,ROUND((F256-H256*L256+K256+M256)/H256,1),IF(K256&gt;0,ROUND((F256-H256*J256+K256)/H256,1),I256))))</f>
        <v>42.7</v>
      </c>
      <c r="Q256" s="22" t="str">
        <f aca="false">IF(H256&lt;=0,"Nema prodaje",IF(AND(K256=0,M256=0,O256=0),IF(I256&lt;POSTAVKE!$B$6,"Naruči odmah","Sve u redu"),IF(F256-H256*J256&lt;0,"Rupa za ~"&amp;TEXT(I256,"0.0")&amp;" mj.",IF(AND(M256&gt;0,F256-H256*L256+K256&lt;0),"Rupa nakon 1. dolaska",IF(AND(O256&gt;0,F256-H256*N256+K256+M256&lt;0),"Rupa nakon 2. dolaska",IF(P256&lt;POSTAVKE!$B$6,"Količina nije dovoljna",IF(I256&gt;=POSTAVKE!$B$6,"Sve u redu","Stiže na vrijeme")))))))</f>
        <v>Sve u redu</v>
      </c>
      <c r="S256" s="23" t="n">
        <f aca="false">IFERROR(INDEX(PODACI_PRODAJA!B:B,MATCH($A256,PODACI_PRODAJA!$A:$A,0)),0)</f>
        <v>0</v>
      </c>
      <c r="T256" s="23" t="n">
        <f aca="false">IFERROR(INDEX(PODACI_PRODAJA!C:C,MATCH($A256,PODACI_PRODAJA!$A:$A,0)),0)</f>
        <v>0</v>
      </c>
      <c r="U256" s="23" t="n">
        <f aca="false">IFERROR(INDEX(PODACI_PRODAJA!D:D,MATCH($A256,PODACI_PRODAJA!$A:$A,0)),0)</f>
        <v>0</v>
      </c>
      <c r="V256" s="23" t="n">
        <f aca="false">IFERROR(INDEX(PODACI_PRODAJA!E:E,MATCH($A256,PODACI_PRODAJA!$A:$A,0)),0)</f>
        <v>1</v>
      </c>
      <c r="W256" s="23" t="n">
        <f aca="false">IFERROR(INDEX(PODACI_PRODAJA!F:F,MATCH($A256,PODACI_PRODAJA!$A:$A,0)),0)</f>
        <v>1</v>
      </c>
      <c r="X256" s="23" t="n">
        <f aca="false">IFERROR(INDEX(PODACI_PRODAJA!G:G,MATCH($A256,PODACI_PRODAJA!$A:$A,0)),0)</f>
        <v>1</v>
      </c>
      <c r="Y256" s="23" t="n">
        <f aca="false">IFERROR(INDEX(PODACI_PRODAJA!H:H,MATCH($A256,PODACI_PRODAJA!$A:$A,0)),0)</f>
        <v>2</v>
      </c>
      <c r="Z256" s="23" t="n">
        <f aca="false">IFERROR(INDEX(PODACI_PRODAJA!I:I,MATCH($A256,PODACI_PRODAJA!$A:$A,0)),0)</f>
        <v>1</v>
      </c>
      <c r="AA256" s="23" t="n">
        <f aca="false">IFERROR(INDEX(PODACI_PRODAJA!J:J,MATCH($A256,PODACI_PRODAJA!$A:$A,0)),0)</f>
        <v>0</v>
      </c>
      <c r="AB256" s="23" t="n">
        <f aca="false">IFERROR(INDEX(PODACI_PRODAJA!K:K,MATCH($A256,PODACI_PRODAJA!$A:$A,0)),0)</f>
        <v>0</v>
      </c>
      <c r="AC256" s="23" t="n">
        <f aca="false">IFERROR(INDEX(PODACI_PRODAJA!L:L,MATCH($A256,PODACI_PRODAJA!$A:$A,0)),0)</f>
        <v>0</v>
      </c>
      <c r="AD256" s="23" t="n">
        <f aca="false">IFERROR(INDEX(PODACI_PRODAJA!M:M,MATCH($A256,PODACI_PRODAJA!$A:$A,0)),0)</f>
        <v>0</v>
      </c>
    </row>
    <row r="257" customFormat="false" ht="15" hidden="false" customHeight="false" outlineLevel="0" collapsed="false">
      <c r="A257" s="11" t="str">
        <f aca="false">PODACI_ZALIHE!A254</f>
        <v>18567</v>
      </c>
      <c r="B257" s="8" t="str">
        <f aca="false">PODACI_ZALIHE!B254</f>
        <v>PURE 140 TUŠ VRATA CHROME 140x200 cm</v>
      </c>
      <c r="C257" s="9" t="str">
        <f aca="false">PODACI_ZALIHE!C254</f>
        <v>6762</v>
      </c>
      <c r="D257" s="8" t="str">
        <f aca="false">PODACI_ZALIHE!D254</f>
        <v>ZHEJIANG QUICKLINE SHOWERING CO., LTD.</v>
      </c>
      <c r="E257" s="19" t="n">
        <f aca="false">IF(PODACI_ZALIHE!E254="","",PODACI_ZALIHE!E254)</f>
        <v>32</v>
      </c>
      <c r="F257" s="20" t="n">
        <f aca="false">PODACI_ZALIHE!F254</f>
        <v>32</v>
      </c>
      <c r="G257" s="19" t="n">
        <f aca="false">IF(E257="","",E257-F257)</f>
        <v>0</v>
      </c>
      <c r="H257" s="9" t="n">
        <f aca="false">PODACI_PRODAJA!N677</f>
        <v>0.88</v>
      </c>
      <c r="I257" s="21" t="n">
        <f aca="false">IF(H257&lt;=0,999,ROUND(F257/H257,1))</f>
        <v>36.4</v>
      </c>
      <c r="J257" s="9" t="n">
        <f aca="false">SUMIFS(ROBA_U_DOLASKU!$C$6:$C$95,ROBA_U_DOLASKU!$A$6:$A$95,A257,ROBA_U_DOLASKU!$H$6:$H$95,1)</f>
        <v>0</v>
      </c>
      <c r="K257" s="9" t="n">
        <f aca="false">SUMIFS(ROBA_U_DOLASKU!$B$6:$B$95,ROBA_U_DOLASKU!$A$6:$A$95,A257,ROBA_U_DOLASKU!$H$6:$H$95,1)</f>
        <v>0</v>
      </c>
      <c r="L257" s="9" t="n">
        <f aca="false">SUMIFS(ROBA_U_DOLASKU!$C$6:$C$95,ROBA_U_DOLASKU!$A$6:$A$95,A257,ROBA_U_DOLASKU!$H$6:$H$95,2)</f>
        <v>0</v>
      </c>
      <c r="M257" s="9" t="n">
        <f aca="false">SUMIFS(ROBA_U_DOLASKU!$B$6:$B$95,ROBA_U_DOLASKU!$A$6:$A$95,A257,ROBA_U_DOLASKU!$H$6:$H$95,2)</f>
        <v>0</v>
      </c>
      <c r="N257" s="9" t="n">
        <f aca="false">SUMIFS(ROBA_U_DOLASKU!$C$6:$C$95,ROBA_U_DOLASKU!$A$6:$A$95,A257,ROBA_U_DOLASKU!$H$6:$H$95,3)</f>
        <v>0</v>
      </c>
      <c r="O257" s="9" t="n">
        <f aca="false">SUMIFS(ROBA_U_DOLASKU!$B$6:$B$95,ROBA_U_DOLASKU!$A$6:$A$95,A257,ROBA_U_DOLASKU!$H$6:$H$95,3)</f>
        <v>0</v>
      </c>
      <c r="P257" s="9" t="n">
        <f aca="false">IF(H257&lt;=0,999,IF(O257&gt;0,ROUND((F257-H257*N257+K257+M257+O257)/H257,1),IF(M257&gt;0,ROUND((F257-H257*L257+K257+M257)/H257,1),IF(K257&gt;0,ROUND((F257-H257*J257+K257)/H257,1),I257))))</f>
        <v>36.4</v>
      </c>
      <c r="Q257" s="22" t="str">
        <f aca="false">IF(H257&lt;=0,"Nema prodaje",IF(AND(K257=0,M257=0,O257=0),IF(I257&lt;POSTAVKE!$B$6,"Naruči odmah","Sve u redu"),IF(F257-H257*J257&lt;0,"Rupa za ~"&amp;TEXT(I257,"0.0")&amp;" mj.",IF(AND(M257&gt;0,F257-H257*L257+K257&lt;0),"Rupa nakon 1. dolaska",IF(AND(O257&gt;0,F257-H257*N257+K257+M257&lt;0),"Rupa nakon 2. dolaska",IF(P257&lt;POSTAVKE!$B$6,"Količina nije dovoljna",IF(I257&gt;=POSTAVKE!$B$6,"Sve u redu","Stiže na vrijeme")))))))</f>
        <v>Sve u redu</v>
      </c>
      <c r="S257" s="23" t="n">
        <f aca="false">IFERROR(INDEX(PODACI_PRODAJA!B:B,MATCH($A257,PODACI_PRODAJA!$A:$A,0)),0)</f>
        <v>0</v>
      </c>
      <c r="T257" s="23" t="n">
        <f aca="false">IFERROR(INDEX(PODACI_PRODAJA!C:C,MATCH($A257,PODACI_PRODAJA!$A:$A,0)),0)</f>
        <v>2</v>
      </c>
      <c r="U257" s="23" t="n">
        <f aca="false">IFERROR(INDEX(PODACI_PRODAJA!D:D,MATCH($A257,PODACI_PRODAJA!$A:$A,0)),0)</f>
        <v>1</v>
      </c>
      <c r="V257" s="23" t="n">
        <f aca="false">IFERROR(INDEX(PODACI_PRODAJA!E:E,MATCH($A257,PODACI_PRODAJA!$A:$A,0)),0)</f>
        <v>1</v>
      </c>
      <c r="W257" s="23" t="n">
        <f aca="false">IFERROR(INDEX(PODACI_PRODAJA!F:F,MATCH($A257,PODACI_PRODAJA!$A:$A,0)),0)</f>
        <v>2</v>
      </c>
      <c r="X257" s="23" t="n">
        <f aca="false">IFERROR(INDEX(PODACI_PRODAJA!G:G,MATCH($A257,PODACI_PRODAJA!$A:$A,0)),0)</f>
        <v>1</v>
      </c>
      <c r="Y257" s="23" t="n">
        <f aca="false">IFERROR(INDEX(PODACI_PRODAJA!H:H,MATCH($A257,PODACI_PRODAJA!$A:$A,0)),0)</f>
        <v>0</v>
      </c>
      <c r="Z257" s="23" t="n">
        <f aca="false">IFERROR(INDEX(PODACI_PRODAJA!I:I,MATCH($A257,PODACI_PRODAJA!$A:$A,0)),0)</f>
        <v>0</v>
      </c>
      <c r="AA257" s="23" t="n">
        <f aca="false">IFERROR(INDEX(PODACI_PRODAJA!J:J,MATCH($A257,PODACI_PRODAJA!$A:$A,0)),0)</f>
        <v>0</v>
      </c>
      <c r="AB257" s="23" t="n">
        <f aca="false">IFERROR(INDEX(PODACI_PRODAJA!K:K,MATCH($A257,PODACI_PRODAJA!$A:$A,0)),0)</f>
        <v>0</v>
      </c>
      <c r="AC257" s="23" t="n">
        <f aca="false">IFERROR(INDEX(PODACI_PRODAJA!L:L,MATCH($A257,PODACI_PRODAJA!$A:$A,0)),0)</f>
        <v>0</v>
      </c>
      <c r="AD257" s="23" t="n">
        <f aca="false">IFERROR(INDEX(PODACI_PRODAJA!M:M,MATCH($A257,PODACI_PRODAJA!$A:$A,0)),0)</f>
        <v>0</v>
      </c>
    </row>
    <row r="258" customFormat="false" ht="15" hidden="false" customHeight="false" outlineLevel="0" collapsed="false">
      <c r="A258" s="11" t="str">
        <f aca="false">PODACI_ZALIHE!A255</f>
        <v>00516</v>
      </c>
      <c r="B258" s="8" t="str">
        <f aca="false">PODACI_ZALIHE!B255</f>
        <v>OGLEDALO GL-A119 80x60 cm</v>
      </c>
      <c r="C258" s="9" t="str">
        <f aca="false">PODACI_ZALIHE!C255</f>
        <v>2515</v>
      </c>
      <c r="D258" s="8" t="str">
        <f aca="false">PODACI_ZALIHE!D255</f>
        <v>HANGZHOU ZHUGELAI JINGYI CO., LTD.</v>
      </c>
      <c r="E258" s="19" t="n">
        <f aca="false">IF(PODACI_ZALIHE!E255="","",PODACI_ZALIHE!E255)</f>
        <v>31</v>
      </c>
      <c r="F258" s="20" t="n">
        <f aca="false">PODACI_ZALIHE!F255</f>
        <v>31</v>
      </c>
      <c r="G258" s="19" t="n">
        <f aca="false">IF(E258="","",E258-F258)</f>
        <v>0</v>
      </c>
      <c r="H258" s="9" t="n">
        <f aca="false">PODACI_PRODAJA!N380</f>
        <v>0</v>
      </c>
      <c r="I258" s="21" t="n">
        <f aca="false">IF(H258&lt;=0,999,ROUND(F258/H258,1))</f>
        <v>999</v>
      </c>
      <c r="J258" s="9" t="n">
        <f aca="false">SUMIFS(ROBA_U_DOLASKU!$C$6:$C$95,ROBA_U_DOLASKU!$A$6:$A$95,A258,ROBA_U_DOLASKU!$H$6:$H$95,1)</f>
        <v>0</v>
      </c>
      <c r="K258" s="9" t="n">
        <f aca="false">SUMIFS(ROBA_U_DOLASKU!$B$6:$B$95,ROBA_U_DOLASKU!$A$6:$A$95,A258,ROBA_U_DOLASKU!$H$6:$H$95,1)</f>
        <v>0</v>
      </c>
      <c r="L258" s="9" t="n">
        <f aca="false">SUMIFS(ROBA_U_DOLASKU!$C$6:$C$95,ROBA_U_DOLASKU!$A$6:$A$95,A258,ROBA_U_DOLASKU!$H$6:$H$95,2)</f>
        <v>0</v>
      </c>
      <c r="M258" s="9" t="n">
        <f aca="false">SUMIFS(ROBA_U_DOLASKU!$B$6:$B$95,ROBA_U_DOLASKU!$A$6:$A$95,A258,ROBA_U_DOLASKU!$H$6:$H$95,2)</f>
        <v>0</v>
      </c>
      <c r="N258" s="9" t="n">
        <f aca="false">SUMIFS(ROBA_U_DOLASKU!$C$6:$C$95,ROBA_U_DOLASKU!$A$6:$A$95,A258,ROBA_U_DOLASKU!$H$6:$H$95,3)</f>
        <v>0</v>
      </c>
      <c r="O258" s="9" t="n">
        <f aca="false">SUMIFS(ROBA_U_DOLASKU!$B$6:$B$95,ROBA_U_DOLASKU!$A$6:$A$95,A258,ROBA_U_DOLASKU!$H$6:$H$95,3)</f>
        <v>0</v>
      </c>
      <c r="P258" s="9" t="n">
        <f aca="false">IF(H258&lt;=0,999,IF(O258&gt;0,ROUND((F258-H258*N258+K258+M258+O258)/H258,1),IF(M258&gt;0,ROUND((F258-H258*L258+K258+M258)/H258,1),IF(K258&gt;0,ROUND((F258-H258*J258+K258)/H258,1),I258))))</f>
        <v>999</v>
      </c>
      <c r="Q258" s="22" t="str">
        <f aca="false">IF(H258&lt;=0,"Nema prodaje",IF(AND(K258=0,M258=0,O258=0),IF(I258&lt;POSTAVKE!$B$6,"Naruči odmah","Sve u redu"),IF(F258-H258*J258&lt;0,"Rupa za ~"&amp;TEXT(I258,"0.0")&amp;" mj.",IF(AND(M258&gt;0,F258-H258*L258+K258&lt;0),"Rupa nakon 1. dolaska",IF(AND(O258&gt;0,F258-H258*N258+K258+M258&lt;0),"Rupa nakon 2. dolaska",IF(P258&lt;POSTAVKE!$B$6,"Količina nije dovoljna",IF(I258&gt;=POSTAVKE!$B$6,"Sve u redu","Stiže na vrijeme")))))))</f>
        <v>Nema prodaje</v>
      </c>
      <c r="S258" s="23" t="n">
        <f aca="false">IFERROR(INDEX(PODACI_PRODAJA!B:B,MATCH($A258,PODACI_PRODAJA!$A:$A,0)),0)</f>
        <v>0</v>
      </c>
      <c r="T258" s="23" t="n">
        <f aca="false">IFERROR(INDEX(PODACI_PRODAJA!C:C,MATCH($A258,PODACI_PRODAJA!$A:$A,0)),0)</f>
        <v>0</v>
      </c>
      <c r="U258" s="23" t="n">
        <f aca="false">IFERROR(INDEX(PODACI_PRODAJA!D:D,MATCH($A258,PODACI_PRODAJA!$A:$A,0)),0)</f>
        <v>0</v>
      </c>
      <c r="V258" s="23" t="n">
        <f aca="false">IFERROR(INDEX(PODACI_PRODAJA!E:E,MATCH($A258,PODACI_PRODAJA!$A:$A,0)),0)</f>
        <v>0</v>
      </c>
      <c r="W258" s="23" t="n">
        <f aca="false">IFERROR(INDEX(PODACI_PRODAJA!F:F,MATCH($A258,PODACI_PRODAJA!$A:$A,0)),0)</f>
        <v>0</v>
      </c>
      <c r="X258" s="23" t="n">
        <f aca="false">IFERROR(INDEX(PODACI_PRODAJA!G:G,MATCH($A258,PODACI_PRODAJA!$A:$A,0)),0)</f>
        <v>0</v>
      </c>
      <c r="Y258" s="23" t="n">
        <f aca="false">IFERROR(INDEX(PODACI_PRODAJA!H:H,MATCH($A258,PODACI_PRODAJA!$A:$A,0)),0)</f>
        <v>0</v>
      </c>
      <c r="Z258" s="23" t="n">
        <f aca="false">IFERROR(INDEX(PODACI_PRODAJA!I:I,MATCH($A258,PODACI_PRODAJA!$A:$A,0)),0)</f>
        <v>0</v>
      </c>
      <c r="AA258" s="23" t="n">
        <f aca="false">IFERROR(INDEX(PODACI_PRODAJA!J:J,MATCH($A258,PODACI_PRODAJA!$A:$A,0)),0)</f>
        <v>0</v>
      </c>
      <c r="AB258" s="23" t="n">
        <f aca="false">IFERROR(INDEX(PODACI_PRODAJA!K:K,MATCH($A258,PODACI_PRODAJA!$A:$A,0)),0)</f>
        <v>0</v>
      </c>
      <c r="AC258" s="23" t="n">
        <f aca="false">IFERROR(INDEX(PODACI_PRODAJA!L:L,MATCH($A258,PODACI_PRODAJA!$A:$A,0)),0)</f>
        <v>0</v>
      </c>
      <c r="AD258" s="23" t="n">
        <f aca="false">IFERROR(INDEX(PODACI_PRODAJA!M:M,MATCH($A258,PODACI_PRODAJA!$A:$A,0)),0)</f>
        <v>0</v>
      </c>
    </row>
    <row r="259" customFormat="false" ht="15" hidden="false" customHeight="false" outlineLevel="0" collapsed="false">
      <c r="A259" s="11" t="str">
        <f aca="false">PODACI_ZALIHE!A256</f>
        <v>036150</v>
      </c>
      <c r="B259" s="8" t="str">
        <f aca="false">PODACI_ZALIHE!B256</f>
        <v>PORTO 140 TUŠ VRATA 140x195 cm</v>
      </c>
      <c r="C259" s="9" t="str">
        <f aca="false">PODACI_ZALIHE!C256</f>
        <v>4328</v>
      </c>
      <c r="D259" s="8" t="str">
        <f aca="false">PODACI_ZALIHE!D256</f>
        <v>HANGZHOU DUHUI IMPORT AND EXPORT CO.,LTD</v>
      </c>
      <c r="E259" s="19" t="n">
        <f aca="false">IF(PODACI_ZALIHE!E256="","",PODACI_ZALIHE!E256)</f>
        <v>31</v>
      </c>
      <c r="F259" s="20" t="n">
        <f aca="false">PODACI_ZALIHE!F256</f>
        <v>31</v>
      </c>
      <c r="G259" s="19" t="n">
        <f aca="false">IF(E259="","",E259-F259)</f>
        <v>0</v>
      </c>
      <c r="H259" s="9" t="n">
        <f aca="false">PODACI_PRODAJA!N174</f>
        <v>0.5</v>
      </c>
      <c r="I259" s="21" t="n">
        <f aca="false">IF(H259&lt;=0,999,ROUND(F259/H259,1))</f>
        <v>62</v>
      </c>
      <c r="J259" s="9" t="n">
        <f aca="false">SUMIFS(ROBA_U_DOLASKU!$C$6:$C$95,ROBA_U_DOLASKU!$A$6:$A$95,A259,ROBA_U_DOLASKU!$H$6:$H$95,1)</f>
        <v>0</v>
      </c>
      <c r="K259" s="9" t="n">
        <f aca="false">SUMIFS(ROBA_U_DOLASKU!$B$6:$B$95,ROBA_U_DOLASKU!$A$6:$A$95,A259,ROBA_U_DOLASKU!$H$6:$H$95,1)</f>
        <v>0</v>
      </c>
      <c r="L259" s="9" t="n">
        <f aca="false">SUMIFS(ROBA_U_DOLASKU!$C$6:$C$95,ROBA_U_DOLASKU!$A$6:$A$95,A259,ROBA_U_DOLASKU!$H$6:$H$95,2)</f>
        <v>0</v>
      </c>
      <c r="M259" s="9" t="n">
        <f aca="false">SUMIFS(ROBA_U_DOLASKU!$B$6:$B$95,ROBA_U_DOLASKU!$A$6:$A$95,A259,ROBA_U_DOLASKU!$H$6:$H$95,2)</f>
        <v>0</v>
      </c>
      <c r="N259" s="9" t="n">
        <f aca="false">SUMIFS(ROBA_U_DOLASKU!$C$6:$C$95,ROBA_U_DOLASKU!$A$6:$A$95,A259,ROBA_U_DOLASKU!$H$6:$H$95,3)</f>
        <v>0</v>
      </c>
      <c r="O259" s="9" t="n">
        <f aca="false">SUMIFS(ROBA_U_DOLASKU!$B$6:$B$95,ROBA_U_DOLASKU!$A$6:$A$95,A259,ROBA_U_DOLASKU!$H$6:$H$95,3)</f>
        <v>0</v>
      </c>
      <c r="P259" s="9" t="n">
        <f aca="false">IF(H259&lt;=0,999,IF(O259&gt;0,ROUND((F259-H259*N259+K259+M259+O259)/H259,1),IF(M259&gt;0,ROUND((F259-H259*L259+K259+M259)/H259,1),IF(K259&gt;0,ROUND((F259-H259*J259+K259)/H259,1),I259))))</f>
        <v>62</v>
      </c>
      <c r="Q259" s="22" t="str">
        <f aca="false">IF(H259&lt;=0,"Nema prodaje",IF(AND(K259=0,M259=0,O259=0),IF(I259&lt;POSTAVKE!$B$6,"Naruči odmah","Sve u redu"),IF(F259-H259*J259&lt;0,"Rupa za ~"&amp;TEXT(I259,"0.0")&amp;" mj.",IF(AND(M259&gt;0,F259-H259*L259+K259&lt;0),"Rupa nakon 1. dolaska",IF(AND(O259&gt;0,F259-H259*N259+K259+M259&lt;0),"Rupa nakon 2. dolaska",IF(P259&lt;POSTAVKE!$B$6,"Količina nije dovoljna",IF(I259&gt;=POSTAVKE!$B$6,"Sve u redu","Stiže na vrijeme")))))))</f>
        <v>Sve u redu</v>
      </c>
      <c r="S259" s="23" t="n">
        <f aca="false">IFERROR(INDEX(PODACI_PRODAJA!B:B,MATCH($A259,PODACI_PRODAJA!$A:$A,0)),0)</f>
        <v>2</v>
      </c>
      <c r="T259" s="23" t="n">
        <f aca="false">IFERROR(INDEX(PODACI_PRODAJA!C:C,MATCH($A259,PODACI_PRODAJA!$A:$A,0)),0)</f>
        <v>0</v>
      </c>
      <c r="U259" s="23" t="n">
        <f aca="false">IFERROR(INDEX(PODACI_PRODAJA!D:D,MATCH($A259,PODACI_PRODAJA!$A:$A,0)),0)</f>
        <v>0</v>
      </c>
      <c r="V259" s="23" t="n">
        <f aca="false">IFERROR(INDEX(PODACI_PRODAJA!E:E,MATCH($A259,PODACI_PRODAJA!$A:$A,0)),0)</f>
        <v>1</v>
      </c>
      <c r="W259" s="23" t="n">
        <f aca="false">IFERROR(INDEX(PODACI_PRODAJA!F:F,MATCH($A259,PODACI_PRODAJA!$A:$A,0)),0)</f>
        <v>0</v>
      </c>
      <c r="X259" s="23" t="n">
        <f aca="false">IFERROR(INDEX(PODACI_PRODAJA!G:G,MATCH($A259,PODACI_PRODAJA!$A:$A,0)),0)</f>
        <v>0</v>
      </c>
      <c r="Y259" s="23" t="n">
        <f aca="false">IFERROR(INDEX(PODACI_PRODAJA!H:H,MATCH($A259,PODACI_PRODAJA!$A:$A,0)),0)</f>
        <v>0</v>
      </c>
      <c r="Z259" s="23" t="n">
        <f aca="false">IFERROR(INDEX(PODACI_PRODAJA!I:I,MATCH($A259,PODACI_PRODAJA!$A:$A,0)),0)</f>
        <v>1</v>
      </c>
      <c r="AA259" s="23" t="n">
        <f aca="false">IFERROR(INDEX(PODACI_PRODAJA!J:J,MATCH($A259,PODACI_PRODAJA!$A:$A,0)),0)</f>
        <v>0</v>
      </c>
      <c r="AB259" s="23" t="n">
        <f aca="false">IFERROR(INDEX(PODACI_PRODAJA!K:K,MATCH($A259,PODACI_PRODAJA!$A:$A,0)),0)</f>
        <v>0</v>
      </c>
      <c r="AC259" s="23" t="n">
        <f aca="false">IFERROR(INDEX(PODACI_PRODAJA!L:L,MATCH($A259,PODACI_PRODAJA!$A:$A,0)),0)</f>
        <v>0</v>
      </c>
      <c r="AD259" s="23" t="n">
        <f aca="false">IFERROR(INDEX(PODACI_PRODAJA!M:M,MATCH($A259,PODACI_PRODAJA!$A:$A,0)),0)</f>
        <v>0</v>
      </c>
    </row>
    <row r="260" customFormat="false" ht="15" hidden="false" customHeight="false" outlineLevel="0" collapsed="false">
      <c r="A260" s="11" t="str">
        <f aca="false">PODACI_ZALIHE!A257</f>
        <v>17254</v>
      </c>
      <c r="B260" s="8" t="str">
        <f aca="false">PODACI_ZALIHE!B257</f>
        <v>TK RAPIDO 80 CHROME POLUKRUŽNA TUŠ KABINA 80X80X195 cm</v>
      </c>
      <c r="C260" s="9" t="str">
        <f aca="false">PODACI_ZALIHE!C257</f>
        <v>6762</v>
      </c>
      <c r="D260" s="8" t="str">
        <f aca="false">PODACI_ZALIHE!D257</f>
        <v>ZHEJIANG QUICKLINE SHOWERING CO., LTD.</v>
      </c>
      <c r="E260" s="19" t="n">
        <f aca="false">IF(PODACI_ZALIHE!E257="","",PODACI_ZALIHE!E257)</f>
        <v>31</v>
      </c>
      <c r="F260" s="20" t="n">
        <f aca="false">PODACI_ZALIHE!F257</f>
        <v>31</v>
      </c>
      <c r="G260" s="19" t="n">
        <f aca="false">IF(E260="","",E260-F260)</f>
        <v>0</v>
      </c>
      <c r="H260" s="9" t="n">
        <f aca="false">PODACI_PRODAJA!N628</f>
        <v>0.38</v>
      </c>
      <c r="I260" s="21" t="n">
        <f aca="false">IF(H260&lt;=0,999,ROUND(F260/H260,1))</f>
        <v>81.6</v>
      </c>
      <c r="J260" s="9" t="n">
        <f aca="false">SUMIFS(ROBA_U_DOLASKU!$C$6:$C$95,ROBA_U_DOLASKU!$A$6:$A$95,A260,ROBA_U_DOLASKU!$H$6:$H$95,1)</f>
        <v>0</v>
      </c>
      <c r="K260" s="9" t="n">
        <f aca="false">SUMIFS(ROBA_U_DOLASKU!$B$6:$B$95,ROBA_U_DOLASKU!$A$6:$A$95,A260,ROBA_U_DOLASKU!$H$6:$H$95,1)</f>
        <v>0</v>
      </c>
      <c r="L260" s="9" t="n">
        <f aca="false">SUMIFS(ROBA_U_DOLASKU!$C$6:$C$95,ROBA_U_DOLASKU!$A$6:$A$95,A260,ROBA_U_DOLASKU!$H$6:$H$95,2)</f>
        <v>0</v>
      </c>
      <c r="M260" s="9" t="n">
        <f aca="false">SUMIFS(ROBA_U_DOLASKU!$B$6:$B$95,ROBA_U_DOLASKU!$A$6:$A$95,A260,ROBA_U_DOLASKU!$H$6:$H$95,2)</f>
        <v>0</v>
      </c>
      <c r="N260" s="9" t="n">
        <f aca="false">SUMIFS(ROBA_U_DOLASKU!$C$6:$C$95,ROBA_U_DOLASKU!$A$6:$A$95,A260,ROBA_U_DOLASKU!$H$6:$H$95,3)</f>
        <v>0</v>
      </c>
      <c r="O260" s="9" t="n">
        <f aca="false">SUMIFS(ROBA_U_DOLASKU!$B$6:$B$95,ROBA_U_DOLASKU!$A$6:$A$95,A260,ROBA_U_DOLASKU!$H$6:$H$95,3)</f>
        <v>0</v>
      </c>
      <c r="P260" s="9" t="n">
        <f aca="false">IF(H260&lt;=0,999,IF(O260&gt;0,ROUND((F260-H260*N260+K260+M260+O260)/H260,1),IF(M260&gt;0,ROUND((F260-H260*L260+K260+M260)/H260,1),IF(K260&gt;0,ROUND((F260-H260*J260+K260)/H260,1),I260))))</f>
        <v>81.6</v>
      </c>
      <c r="Q260" s="22" t="str">
        <f aca="false">IF(H260&lt;=0,"Nema prodaje",IF(AND(K260=0,M260=0,O260=0),IF(I260&lt;POSTAVKE!$B$6,"Naruči odmah","Sve u redu"),IF(F260-H260*J260&lt;0,"Rupa za ~"&amp;TEXT(I260,"0.0")&amp;" mj.",IF(AND(M260&gt;0,F260-H260*L260+K260&lt;0),"Rupa nakon 1. dolaska",IF(AND(O260&gt;0,F260-H260*N260+K260+M260&lt;0),"Rupa nakon 2. dolaska",IF(P260&lt;POSTAVKE!$B$6,"Količina nije dovoljna",IF(I260&gt;=POSTAVKE!$B$6,"Sve u redu","Stiže na vrijeme")))))))</f>
        <v>Sve u redu</v>
      </c>
      <c r="S260" s="23" t="n">
        <f aca="false">IFERROR(INDEX(PODACI_PRODAJA!B:B,MATCH($A260,PODACI_PRODAJA!$A:$A,0)),0)</f>
        <v>0</v>
      </c>
      <c r="T260" s="23" t="n">
        <f aca="false">IFERROR(INDEX(PODACI_PRODAJA!C:C,MATCH($A260,PODACI_PRODAJA!$A:$A,0)),0)</f>
        <v>0</v>
      </c>
      <c r="U260" s="23" t="n">
        <f aca="false">IFERROR(INDEX(PODACI_PRODAJA!D:D,MATCH($A260,PODACI_PRODAJA!$A:$A,0)),0)</f>
        <v>0</v>
      </c>
      <c r="V260" s="23" t="n">
        <f aca="false">IFERROR(INDEX(PODACI_PRODAJA!E:E,MATCH($A260,PODACI_PRODAJA!$A:$A,0)),0)</f>
        <v>1</v>
      </c>
      <c r="W260" s="23" t="n">
        <f aca="false">IFERROR(INDEX(PODACI_PRODAJA!F:F,MATCH($A260,PODACI_PRODAJA!$A:$A,0)),0)</f>
        <v>0</v>
      </c>
      <c r="X260" s="23" t="n">
        <f aca="false">IFERROR(INDEX(PODACI_PRODAJA!G:G,MATCH($A260,PODACI_PRODAJA!$A:$A,0)),0)</f>
        <v>2</v>
      </c>
      <c r="Y260" s="23" t="n">
        <f aca="false">IFERROR(INDEX(PODACI_PRODAJA!H:H,MATCH($A260,PODACI_PRODAJA!$A:$A,0)),0)</f>
        <v>0</v>
      </c>
      <c r="Z260" s="23" t="n">
        <f aca="false">IFERROR(INDEX(PODACI_PRODAJA!I:I,MATCH($A260,PODACI_PRODAJA!$A:$A,0)),0)</f>
        <v>0</v>
      </c>
      <c r="AA260" s="23" t="n">
        <f aca="false">IFERROR(INDEX(PODACI_PRODAJA!J:J,MATCH($A260,PODACI_PRODAJA!$A:$A,0)),0)</f>
        <v>0</v>
      </c>
      <c r="AB260" s="23" t="n">
        <f aca="false">IFERROR(INDEX(PODACI_PRODAJA!K:K,MATCH($A260,PODACI_PRODAJA!$A:$A,0)),0)</f>
        <v>0</v>
      </c>
      <c r="AC260" s="23" t="n">
        <f aca="false">IFERROR(INDEX(PODACI_PRODAJA!L:L,MATCH($A260,PODACI_PRODAJA!$A:$A,0)),0)</f>
        <v>0</v>
      </c>
      <c r="AD260" s="23" t="n">
        <f aca="false">IFERROR(INDEX(PODACI_PRODAJA!M:M,MATCH($A260,PODACI_PRODAJA!$A:$A,0)),0)</f>
        <v>0</v>
      </c>
    </row>
    <row r="261" customFormat="false" ht="15" hidden="false" customHeight="false" outlineLevel="0" collapsed="false">
      <c r="A261" s="11" t="str">
        <f aca="false">PODACI_ZALIHE!A258</f>
        <v>18010</v>
      </c>
      <c r="B261" s="8" t="str">
        <f aca="false">PODACI_ZALIHE!B258</f>
        <v>VETRO BL TRS 6mm ECO TUŠ STIJENA 90x200</v>
      </c>
      <c r="C261" s="9" t="str">
        <f aca="false">PODACI_ZALIHE!C258</f>
        <v>6762</v>
      </c>
      <c r="D261" s="8" t="str">
        <f aca="false">PODACI_ZALIHE!D258</f>
        <v>ZHEJIANG QUICKLINE SHOWERING CO., LTD.</v>
      </c>
      <c r="E261" s="19" t="n">
        <f aca="false">IF(PODACI_ZALIHE!E258="","",PODACI_ZALIHE!E258)</f>
        <v>31</v>
      </c>
      <c r="F261" s="20" t="n">
        <f aca="false">PODACI_ZALIHE!F258</f>
        <v>31</v>
      </c>
      <c r="G261" s="19" t="n">
        <f aca="false">IF(E261="","",E261-F261)</f>
        <v>0</v>
      </c>
      <c r="H261" s="9" t="n">
        <f aca="false">PODACI_PRODAJA!N651</f>
        <v>3.63</v>
      </c>
      <c r="I261" s="21" t="n">
        <f aca="false">IF(H261&lt;=0,999,ROUND(F261/H261,1))</f>
        <v>8.5</v>
      </c>
      <c r="J261" s="9" t="n">
        <f aca="false">SUMIFS(ROBA_U_DOLASKU!$C$6:$C$95,ROBA_U_DOLASKU!$A$6:$A$95,A261,ROBA_U_DOLASKU!$H$6:$H$95,1)</f>
        <v>0</v>
      </c>
      <c r="K261" s="9" t="n">
        <f aca="false">SUMIFS(ROBA_U_DOLASKU!$B$6:$B$95,ROBA_U_DOLASKU!$A$6:$A$95,A261,ROBA_U_DOLASKU!$H$6:$H$95,1)</f>
        <v>0</v>
      </c>
      <c r="L261" s="9" t="n">
        <f aca="false">SUMIFS(ROBA_U_DOLASKU!$C$6:$C$95,ROBA_U_DOLASKU!$A$6:$A$95,A261,ROBA_U_DOLASKU!$H$6:$H$95,2)</f>
        <v>0</v>
      </c>
      <c r="M261" s="9" t="n">
        <f aca="false">SUMIFS(ROBA_U_DOLASKU!$B$6:$B$95,ROBA_U_DOLASKU!$A$6:$A$95,A261,ROBA_U_DOLASKU!$H$6:$H$95,2)</f>
        <v>0</v>
      </c>
      <c r="N261" s="9" t="n">
        <f aca="false">SUMIFS(ROBA_U_DOLASKU!$C$6:$C$95,ROBA_U_DOLASKU!$A$6:$A$95,A261,ROBA_U_DOLASKU!$H$6:$H$95,3)</f>
        <v>0</v>
      </c>
      <c r="O261" s="9" t="n">
        <f aca="false">SUMIFS(ROBA_U_DOLASKU!$B$6:$B$95,ROBA_U_DOLASKU!$A$6:$A$95,A261,ROBA_U_DOLASKU!$H$6:$H$95,3)</f>
        <v>0</v>
      </c>
      <c r="P261" s="9" t="n">
        <f aca="false">IF(H261&lt;=0,999,IF(O261&gt;0,ROUND((F261-H261*N261+K261+M261+O261)/H261,1),IF(M261&gt;0,ROUND((F261-H261*L261+K261+M261)/H261,1),IF(K261&gt;0,ROUND((F261-H261*J261+K261)/H261,1),I261))))</f>
        <v>8.5</v>
      </c>
      <c r="Q261" s="22" t="str">
        <f aca="false">IF(H261&lt;=0,"Nema prodaje",IF(AND(K261=0,M261=0,O261=0),IF(I261&lt;POSTAVKE!$B$6,"Naruči odmah","Sve u redu"),IF(F261-H261*J261&lt;0,"Rupa za ~"&amp;TEXT(I261,"0.0")&amp;" mj.",IF(AND(M261&gt;0,F261-H261*L261+K261&lt;0),"Rupa nakon 1. dolaska",IF(AND(O261&gt;0,F261-H261*N261+K261+M261&lt;0),"Rupa nakon 2. dolaska",IF(P261&lt;POSTAVKE!$B$6,"Količina nije dovoljna",IF(I261&gt;=POSTAVKE!$B$6,"Sve u redu","Stiže na vrijeme")))))))</f>
        <v>Sve u redu</v>
      </c>
      <c r="S261" s="23" t="n">
        <f aca="false">IFERROR(INDEX(PODACI_PRODAJA!B:B,MATCH($A261,PODACI_PRODAJA!$A:$A,0)),0)</f>
        <v>0</v>
      </c>
      <c r="T261" s="23" t="n">
        <f aca="false">IFERROR(INDEX(PODACI_PRODAJA!C:C,MATCH($A261,PODACI_PRODAJA!$A:$A,0)),0)</f>
        <v>0</v>
      </c>
      <c r="U261" s="23" t="n">
        <f aca="false">IFERROR(INDEX(PODACI_PRODAJA!D:D,MATCH($A261,PODACI_PRODAJA!$A:$A,0)),0)</f>
        <v>16</v>
      </c>
      <c r="V261" s="23" t="n">
        <f aca="false">IFERROR(INDEX(PODACI_PRODAJA!E:E,MATCH($A261,PODACI_PRODAJA!$A:$A,0)),0)</f>
        <v>0</v>
      </c>
      <c r="W261" s="23" t="n">
        <f aca="false">IFERROR(INDEX(PODACI_PRODAJA!F:F,MATCH($A261,PODACI_PRODAJA!$A:$A,0)),0)</f>
        <v>13</v>
      </c>
      <c r="X261" s="23" t="n">
        <f aca="false">IFERROR(INDEX(PODACI_PRODAJA!G:G,MATCH($A261,PODACI_PRODAJA!$A:$A,0)),0)</f>
        <v>0</v>
      </c>
      <c r="Y261" s="23" t="n">
        <f aca="false">IFERROR(INDEX(PODACI_PRODAJA!H:H,MATCH($A261,PODACI_PRODAJA!$A:$A,0)),0)</f>
        <v>0</v>
      </c>
      <c r="Z261" s="23" t="n">
        <f aca="false">IFERROR(INDEX(PODACI_PRODAJA!I:I,MATCH($A261,PODACI_PRODAJA!$A:$A,0)),0)</f>
        <v>0</v>
      </c>
      <c r="AA261" s="23" t="n">
        <f aca="false">IFERROR(INDEX(PODACI_PRODAJA!J:J,MATCH($A261,PODACI_PRODAJA!$A:$A,0)),0)</f>
        <v>0</v>
      </c>
      <c r="AB261" s="23" t="n">
        <f aca="false">IFERROR(INDEX(PODACI_PRODAJA!K:K,MATCH($A261,PODACI_PRODAJA!$A:$A,0)),0)</f>
        <v>0</v>
      </c>
      <c r="AC261" s="23" t="n">
        <f aca="false">IFERROR(INDEX(PODACI_PRODAJA!L:L,MATCH($A261,PODACI_PRODAJA!$A:$A,0)),0)</f>
        <v>0</v>
      </c>
      <c r="AD261" s="23" t="n">
        <f aca="false">IFERROR(INDEX(PODACI_PRODAJA!M:M,MATCH($A261,PODACI_PRODAJA!$A:$A,0)),0)</f>
        <v>0</v>
      </c>
    </row>
    <row r="262" customFormat="false" ht="15" hidden="false" customHeight="false" outlineLevel="0" collapsed="false">
      <c r="A262" s="11" t="str">
        <f aca="false">PODACI_ZALIHE!A259</f>
        <v>18025</v>
      </c>
      <c r="B262" s="8" t="str">
        <f aca="false">PODACI_ZALIHE!B259</f>
        <v>MARBELLA 120 TUŠ VRATA 120-130X200CM</v>
      </c>
      <c r="C262" s="9" t="str">
        <f aca="false">PODACI_ZALIHE!C259</f>
        <v>6762</v>
      </c>
      <c r="D262" s="8" t="str">
        <f aca="false">PODACI_ZALIHE!D259</f>
        <v>ZHEJIANG QUICKLINE SHOWERING CO., LTD.</v>
      </c>
      <c r="E262" s="19" t="n">
        <f aca="false">IF(PODACI_ZALIHE!E259="","",PODACI_ZALIHE!E259)</f>
        <v>31</v>
      </c>
      <c r="F262" s="20" t="n">
        <f aca="false">PODACI_ZALIHE!F259</f>
        <v>31</v>
      </c>
      <c r="G262" s="19" t="n">
        <f aca="false">IF(E262="","",E262-F262)</f>
        <v>0</v>
      </c>
      <c r="H262" s="9" t="n">
        <f aca="false">PODACI_PRODAJA!N165</f>
        <v>2.25</v>
      </c>
      <c r="I262" s="21" t="n">
        <f aca="false">IF(H262&lt;=0,999,ROUND(F262/H262,1))</f>
        <v>13.8</v>
      </c>
      <c r="J262" s="9" t="n">
        <f aca="false">SUMIFS(ROBA_U_DOLASKU!$C$6:$C$95,ROBA_U_DOLASKU!$A$6:$A$95,A262,ROBA_U_DOLASKU!$H$6:$H$95,1)</f>
        <v>0.8</v>
      </c>
      <c r="K262" s="9" t="n">
        <f aca="false">SUMIFS(ROBA_U_DOLASKU!$B$6:$B$95,ROBA_U_DOLASKU!$A$6:$A$95,A262,ROBA_U_DOLASKU!$H$6:$H$95,1)</f>
        <v>20</v>
      </c>
      <c r="L262" s="9" t="n">
        <f aca="false">SUMIFS(ROBA_U_DOLASKU!$C$6:$C$95,ROBA_U_DOLASKU!$A$6:$A$95,A262,ROBA_U_DOLASKU!$H$6:$H$95,2)</f>
        <v>0</v>
      </c>
      <c r="M262" s="9" t="n">
        <f aca="false">SUMIFS(ROBA_U_DOLASKU!$B$6:$B$95,ROBA_U_DOLASKU!$A$6:$A$95,A262,ROBA_U_DOLASKU!$H$6:$H$95,2)</f>
        <v>0</v>
      </c>
      <c r="N262" s="9" t="n">
        <f aca="false">SUMIFS(ROBA_U_DOLASKU!$C$6:$C$95,ROBA_U_DOLASKU!$A$6:$A$95,A262,ROBA_U_DOLASKU!$H$6:$H$95,3)</f>
        <v>0</v>
      </c>
      <c r="O262" s="9" t="n">
        <f aca="false">SUMIFS(ROBA_U_DOLASKU!$B$6:$B$95,ROBA_U_DOLASKU!$A$6:$A$95,A262,ROBA_U_DOLASKU!$H$6:$H$95,3)</f>
        <v>0</v>
      </c>
      <c r="P262" s="9" t="n">
        <f aca="false">IF(H262&lt;=0,999,IF(O262&gt;0,ROUND((F262-H262*N262+K262+M262+O262)/H262,1),IF(M262&gt;0,ROUND((F262-H262*L262+K262+M262)/H262,1),IF(K262&gt;0,ROUND((F262-H262*J262+K262)/H262,1),I262))))</f>
        <v>21.9</v>
      </c>
      <c r="Q262" s="22" t="str">
        <f aca="false">IF(H262&lt;=0,"Nema prodaje",IF(AND(K262=0,M262=0,O262=0),IF(I262&lt;POSTAVKE!$B$6,"Naruči odmah","Sve u redu"),IF(F262-H262*J262&lt;0,"Rupa za ~"&amp;TEXT(I262,"0.0")&amp;" mj.",IF(AND(M262&gt;0,F262-H262*L262+K262&lt;0),"Rupa nakon 1. dolaska",IF(AND(O262&gt;0,F262-H262*N262+K262+M262&lt;0),"Rupa nakon 2. dolaska",IF(P262&lt;POSTAVKE!$B$6,"Količina nije dovoljna",IF(I262&gt;=POSTAVKE!$B$6,"Sve u redu","Stiže na vrijeme")))))))</f>
        <v>Sve u redu</v>
      </c>
      <c r="S262" s="23" t="n">
        <f aca="false">IFERROR(INDEX(PODACI_PRODAJA!B:B,MATCH($A262,PODACI_PRODAJA!$A:$A,0)),0)</f>
        <v>3</v>
      </c>
      <c r="T262" s="23" t="n">
        <f aca="false">IFERROR(INDEX(PODACI_PRODAJA!C:C,MATCH($A262,PODACI_PRODAJA!$A:$A,0)),0)</f>
        <v>2</v>
      </c>
      <c r="U262" s="23" t="n">
        <f aca="false">IFERROR(INDEX(PODACI_PRODAJA!D:D,MATCH($A262,PODACI_PRODAJA!$A:$A,0)),0)</f>
        <v>0</v>
      </c>
      <c r="V262" s="23" t="n">
        <f aca="false">IFERROR(INDEX(PODACI_PRODAJA!E:E,MATCH($A262,PODACI_PRODAJA!$A:$A,0)),0)</f>
        <v>2</v>
      </c>
      <c r="W262" s="23" t="n">
        <f aca="false">IFERROR(INDEX(PODACI_PRODAJA!F:F,MATCH($A262,PODACI_PRODAJA!$A:$A,0)),0)</f>
        <v>0</v>
      </c>
      <c r="X262" s="23" t="n">
        <f aca="false">IFERROR(INDEX(PODACI_PRODAJA!G:G,MATCH($A262,PODACI_PRODAJA!$A:$A,0)),0)</f>
        <v>1</v>
      </c>
      <c r="Y262" s="23" t="n">
        <f aca="false">IFERROR(INDEX(PODACI_PRODAJA!H:H,MATCH($A262,PODACI_PRODAJA!$A:$A,0)),0)</f>
        <v>4</v>
      </c>
      <c r="Z262" s="23" t="n">
        <f aca="false">IFERROR(INDEX(PODACI_PRODAJA!I:I,MATCH($A262,PODACI_PRODAJA!$A:$A,0)),0)</f>
        <v>6</v>
      </c>
      <c r="AA262" s="23" t="n">
        <f aca="false">IFERROR(INDEX(PODACI_PRODAJA!J:J,MATCH($A262,PODACI_PRODAJA!$A:$A,0)),0)</f>
        <v>0</v>
      </c>
      <c r="AB262" s="23" t="n">
        <f aca="false">IFERROR(INDEX(PODACI_PRODAJA!K:K,MATCH($A262,PODACI_PRODAJA!$A:$A,0)),0)</f>
        <v>0</v>
      </c>
      <c r="AC262" s="23" t="n">
        <f aca="false">IFERROR(INDEX(PODACI_PRODAJA!L:L,MATCH($A262,PODACI_PRODAJA!$A:$A,0)),0)</f>
        <v>0</v>
      </c>
      <c r="AD262" s="23" t="n">
        <f aca="false">IFERROR(INDEX(PODACI_PRODAJA!M:M,MATCH($A262,PODACI_PRODAJA!$A:$A,0)),0)</f>
        <v>0</v>
      </c>
    </row>
    <row r="263" customFormat="false" ht="15" hidden="false" customHeight="false" outlineLevel="0" collapsed="false">
      <c r="A263" s="11" t="str">
        <f aca="false">PODACI_ZALIHE!A260</f>
        <v>006259Y</v>
      </c>
      <c r="B263" s="8" t="str">
        <f aca="false">PODACI_ZALIHE!B260</f>
        <v>TK-A80100-6S TUŠ KABINA 80x100x185cm</v>
      </c>
      <c r="C263" s="9" t="str">
        <f aca="false">PODACI_ZALIHE!C260</f>
        <v>5590</v>
      </c>
      <c r="D263" s="8" t="str">
        <f aca="false">PODACI_ZALIHE!D260</f>
        <v>PINGHU YINUO SANITARY WARE CO.,LTD</v>
      </c>
      <c r="E263" s="19" t="n">
        <f aca="false">IF(PODACI_ZALIHE!E260="","",PODACI_ZALIHE!E260)</f>
        <v>33</v>
      </c>
      <c r="F263" s="20" t="n">
        <f aca="false">PODACI_ZALIHE!F260</f>
        <v>30</v>
      </c>
      <c r="G263" s="19" t="n">
        <f aca="false">IF(E263="","",E263-F263)</f>
        <v>3</v>
      </c>
      <c r="H263" s="9" t="n">
        <f aca="false">PODACI_PRODAJA!N387</f>
        <v>0</v>
      </c>
      <c r="I263" s="21" t="n">
        <f aca="false">IF(H263&lt;=0,999,ROUND(F263/H263,1))</f>
        <v>999</v>
      </c>
      <c r="J263" s="9" t="n">
        <f aca="false">SUMIFS(ROBA_U_DOLASKU!$C$6:$C$95,ROBA_U_DOLASKU!$A$6:$A$95,A263,ROBA_U_DOLASKU!$H$6:$H$95,1)</f>
        <v>0</v>
      </c>
      <c r="K263" s="9" t="n">
        <f aca="false">SUMIFS(ROBA_U_DOLASKU!$B$6:$B$95,ROBA_U_DOLASKU!$A$6:$A$95,A263,ROBA_U_DOLASKU!$H$6:$H$95,1)</f>
        <v>0</v>
      </c>
      <c r="L263" s="9" t="n">
        <f aca="false">SUMIFS(ROBA_U_DOLASKU!$C$6:$C$95,ROBA_U_DOLASKU!$A$6:$A$95,A263,ROBA_U_DOLASKU!$H$6:$H$95,2)</f>
        <v>0</v>
      </c>
      <c r="M263" s="9" t="n">
        <f aca="false">SUMIFS(ROBA_U_DOLASKU!$B$6:$B$95,ROBA_U_DOLASKU!$A$6:$A$95,A263,ROBA_U_DOLASKU!$H$6:$H$95,2)</f>
        <v>0</v>
      </c>
      <c r="N263" s="9" t="n">
        <f aca="false">SUMIFS(ROBA_U_DOLASKU!$C$6:$C$95,ROBA_U_DOLASKU!$A$6:$A$95,A263,ROBA_U_DOLASKU!$H$6:$H$95,3)</f>
        <v>0</v>
      </c>
      <c r="O263" s="9" t="n">
        <f aca="false">SUMIFS(ROBA_U_DOLASKU!$B$6:$B$95,ROBA_U_DOLASKU!$A$6:$A$95,A263,ROBA_U_DOLASKU!$H$6:$H$95,3)</f>
        <v>0</v>
      </c>
      <c r="P263" s="9" t="n">
        <f aca="false">IF(H263&lt;=0,999,IF(O263&gt;0,ROUND((F263-H263*N263+K263+M263+O263)/H263,1),IF(M263&gt;0,ROUND((F263-H263*L263+K263+M263)/H263,1),IF(K263&gt;0,ROUND((F263-H263*J263+K263)/H263,1),I263))))</f>
        <v>999</v>
      </c>
      <c r="Q263" s="22" t="str">
        <f aca="false">IF(H263&lt;=0,"Nema prodaje",IF(AND(K263=0,M263=0,O263=0),IF(I263&lt;POSTAVKE!$B$6,"Naruči odmah","Sve u redu"),IF(F263-H263*J263&lt;0,"Rupa za ~"&amp;TEXT(I263,"0.0")&amp;" mj.",IF(AND(M263&gt;0,F263-H263*L263+K263&lt;0),"Rupa nakon 1. dolaska",IF(AND(O263&gt;0,F263-H263*N263+K263+M263&lt;0),"Rupa nakon 2. dolaska",IF(P263&lt;POSTAVKE!$B$6,"Količina nije dovoljna",IF(I263&gt;=POSTAVKE!$B$6,"Sve u redu","Stiže na vrijeme")))))))</f>
        <v>Nema prodaje</v>
      </c>
      <c r="S263" s="23" t="n">
        <f aca="false">IFERROR(INDEX(PODACI_PRODAJA!B:B,MATCH($A263,PODACI_PRODAJA!$A:$A,0)),0)</f>
        <v>0</v>
      </c>
      <c r="T263" s="23" t="n">
        <f aca="false">IFERROR(INDEX(PODACI_PRODAJA!C:C,MATCH($A263,PODACI_PRODAJA!$A:$A,0)),0)</f>
        <v>0</v>
      </c>
      <c r="U263" s="23" t="n">
        <f aca="false">IFERROR(INDEX(PODACI_PRODAJA!D:D,MATCH($A263,PODACI_PRODAJA!$A:$A,0)),0)</f>
        <v>0</v>
      </c>
      <c r="V263" s="23" t="n">
        <f aca="false">IFERROR(INDEX(PODACI_PRODAJA!E:E,MATCH($A263,PODACI_PRODAJA!$A:$A,0)),0)</f>
        <v>0</v>
      </c>
      <c r="W263" s="23" t="n">
        <f aca="false">IFERROR(INDEX(PODACI_PRODAJA!F:F,MATCH($A263,PODACI_PRODAJA!$A:$A,0)),0)</f>
        <v>0</v>
      </c>
      <c r="X263" s="23" t="n">
        <f aca="false">IFERROR(INDEX(PODACI_PRODAJA!G:G,MATCH($A263,PODACI_PRODAJA!$A:$A,0)),0)</f>
        <v>0</v>
      </c>
      <c r="Y263" s="23" t="n">
        <f aca="false">IFERROR(INDEX(PODACI_PRODAJA!H:H,MATCH($A263,PODACI_PRODAJA!$A:$A,0)),0)</f>
        <v>0</v>
      </c>
      <c r="Z263" s="23" t="n">
        <f aca="false">IFERROR(INDEX(PODACI_PRODAJA!I:I,MATCH($A263,PODACI_PRODAJA!$A:$A,0)),0)</f>
        <v>0</v>
      </c>
      <c r="AA263" s="23" t="n">
        <f aca="false">IFERROR(INDEX(PODACI_PRODAJA!J:J,MATCH($A263,PODACI_PRODAJA!$A:$A,0)),0)</f>
        <v>0</v>
      </c>
      <c r="AB263" s="23" t="n">
        <f aca="false">IFERROR(INDEX(PODACI_PRODAJA!K:K,MATCH($A263,PODACI_PRODAJA!$A:$A,0)),0)</f>
        <v>0</v>
      </c>
      <c r="AC263" s="23" t="n">
        <f aca="false">IFERROR(INDEX(PODACI_PRODAJA!L:L,MATCH($A263,PODACI_PRODAJA!$A:$A,0)),0)</f>
        <v>0</v>
      </c>
      <c r="AD263" s="23" t="n">
        <f aca="false">IFERROR(INDEX(PODACI_PRODAJA!M:M,MATCH($A263,PODACI_PRODAJA!$A:$A,0)),0)</f>
        <v>0</v>
      </c>
    </row>
    <row r="264" customFormat="false" ht="15" hidden="false" customHeight="false" outlineLevel="0" collapsed="false">
      <c r="A264" s="11" t="str">
        <f aca="false">PODACI_ZALIHE!A261</f>
        <v>16967</v>
      </c>
      <c r="B264" s="8" t="str">
        <f aca="false">PODACI_ZALIHE!B261</f>
        <v>CLEAR WALL 110 CHROME TUŠ VRATA 1100x1950 mm</v>
      </c>
      <c r="C264" s="9" t="str">
        <f aca="false">PODACI_ZALIHE!C261</f>
        <v>6163</v>
      </c>
      <c r="D264" s="8" t="str">
        <f aca="false">PODACI_ZALIHE!D261</f>
        <v>HANGZHOU TIANMEI INDUSTRY CO.,LTD</v>
      </c>
      <c r="E264" s="19" t="n">
        <f aca="false">IF(PODACI_ZALIHE!E261="","",PODACI_ZALIHE!E261)</f>
        <v>30</v>
      </c>
      <c r="F264" s="20" t="n">
        <f aca="false">PODACI_ZALIHE!F261</f>
        <v>30</v>
      </c>
      <c r="G264" s="19" t="n">
        <f aca="false">IF(E264="","",E264-F264)</f>
        <v>0</v>
      </c>
      <c r="H264" s="9" t="n">
        <f aca="false">PODACI_PRODAJA!N582</f>
        <v>0.38</v>
      </c>
      <c r="I264" s="21" t="n">
        <f aca="false">IF(H264&lt;=0,999,ROUND(F264/H264,1))</f>
        <v>78.9</v>
      </c>
      <c r="J264" s="9" t="n">
        <f aca="false">SUMIFS(ROBA_U_DOLASKU!$C$6:$C$95,ROBA_U_DOLASKU!$A$6:$A$95,A264,ROBA_U_DOLASKU!$H$6:$H$95,1)</f>
        <v>0</v>
      </c>
      <c r="K264" s="9" t="n">
        <f aca="false">SUMIFS(ROBA_U_DOLASKU!$B$6:$B$95,ROBA_U_DOLASKU!$A$6:$A$95,A264,ROBA_U_DOLASKU!$H$6:$H$95,1)</f>
        <v>0</v>
      </c>
      <c r="L264" s="9" t="n">
        <f aca="false">SUMIFS(ROBA_U_DOLASKU!$C$6:$C$95,ROBA_U_DOLASKU!$A$6:$A$95,A264,ROBA_U_DOLASKU!$H$6:$H$95,2)</f>
        <v>0</v>
      </c>
      <c r="M264" s="9" t="n">
        <f aca="false">SUMIFS(ROBA_U_DOLASKU!$B$6:$B$95,ROBA_U_DOLASKU!$A$6:$A$95,A264,ROBA_U_DOLASKU!$H$6:$H$95,2)</f>
        <v>0</v>
      </c>
      <c r="N264" s="9" t="n">
        <f aca="false">SUMIFS(ROBA_U_DOLASKU!$C$6:$C$95,ROBA_U_DOLASKU!$A$6:$A$95,A264,ROBA_U_DOLASKU!$H$6:$H$95,3)</f>
        <v>0</v>
      </c>
      <c r="O264" s="9" t="n">
        <f aca="false">SUMIFS(ROBA_U_DOLASKU!$B$6:$B$95,ROBA_U_DOLASKU!$A$6:$A$95,A264,ROBA_U_DOLASKU!$H$6:$H$95,3)</f>
        <v>0</v>
      </c>
      <c r="P264" s="9" t="n">
        <f aca="false">IF(H264&lt;=0,999,IF(O264&gt;0,ROUND((F264-H264*N264+K264+M264+O264)/H264,1),IF(M264&gt;0,ROUND((F264-H264*L264+K264+M264)/H264,1),IF(K264&gt;0,ROUND((F264-H264*J264+K264)/H264,1),I264))))</f>
        <v>78.9</v>
      </c>
      <c r="Q264" s="22" t="str">
        <f aca="false">IF(H264&lt;=0,"Nema prodaje",IF(AND(K264=0,M264=0,O264=0),IF(I264&lt;POSTAVKE!$B$6,"Naruči odmah","Sve u redu"),IF(F264-H264*J264&lt;0,"Rupa za ~"&amp;TEXT(I264,"0.0")&amp;" mj.",IF(AND(M264&gt;0,F264-H264*L264+K264&lt;0),"Rupa nakon 1. dolaska",IF(AND(O264&gt;0,F264-H264*N264+K264+M264&lt;0),"Rupa nakon 2. dolaska",IF(P264&lt;POSTAVKE!$B$6,"Količina nije dovoljna",IF(I264&gt;=POSTAVKE!$B$6,"Sve u redu","Stiže na vrijeme")))))))</f>
        <v>Sve u redu</v>
      </c>
      <c r="S264" s="23" t="n">
        <f aca="false">IFERROR(INDEX(PODACI_PRODAJA!B:B,MATCH($A264,PODACI_PRODAJA!$A:$A,0)),0)</f>
        <v>0</v>
      </c>
      <c r="T264" s="23" t="n">
        <f aca="false">IFERROR(INDEX(PODACI_PRODAJA!C:C,MATCH($A264,PODACI_PRODAJA!$A:$A,0)),0)</f>
        <v>1</v>
      </c>
      <c r="U264" s="23" t="n">
        <f aca="false">IFERROR(INDEX(PODACI_PRODAJA!D:D,MATCH($A264,PODACI_PRODAJA!$A:$A,0)),0)</f>
        <v>0</v>
      </c>
      <c r="V264" s="23" t="n">
        <f aca="false">IFERROR(INDEX(PODACI_PRODAJA!E:E,MATCH($A264,PODACI_PRODAJA!$A:$A,0)),0)</f>
        <v>0</v>
      </c>
      <c r="W264" s="23" t="n">
        <f aca="false">IFERROR(INDEX(PODACI_PRODAJA!F:F,MATCH($A264,PODACI_PRODAJA!$A:$A,0)),0)</f>
        <v>1</v>
      </c>
      <c r="X264" s="23" t="n">
        <f aca="false">IFERROR(INDEX(PODACI_PRODAJA!G:G,MATCH($A264,PODACI_PRODAJA!$A:$A,0)),0)</f>
        <v>1</v>
      </c>
      <c r="Y264" s="23" t="n">
        <f aca="false">IFERROR(INDEX(PODACI_PRODAJA!H:H,MATCH($A264,PODACI_PRODAJA!$A:$A,0)),0)</f>
        <v>0</v>
      </c>
      <c r="Z264" s="23" t="n">
        <f aca="false">IFERROR(INDEX(PODACI_PRODAJA!I:I,MATCH($A264,PODACI_PRODAJA!$A:$A,0)),0)</f>
        <v>0</v>
      </c>
      <c r="AA264" s="23" t="n">
        <f aca="false">IFERROR(INDEX(PODACI_PRODAJA!J:J,MATCH($A264,PODACI_PRODAJA!$A:$A,0)),0)</f>
        <v>0</v>
      </c>
      <c r="AB264" s="23" t="n">
        <f aca="false">IFERROR(INDEX(PODACI_PRODAJA!K:K,MATCH($A264,PODACI_PRODAJA!$A:$A,0)),0)</f>
        <v>0</v>
      </c>
      <c r="AC264" s="23" t="n">
        <f aca="false">IFERROR(INDEX(PODACI_PRODAJA!L:L,MATCH($A264,PODACI_PRODAJA!$A:$A,0)),0)</f>
        <v>0</v>
      </c>
      <c r="AD264" s="23" t="n">
        <f aca="false">IFERROR(INDEX(PODACI_PRODAJA!M:M,MATCH($A264,PODACI_PRODAJA!$A:$A,0)),0)</f>
        <v>0</v>
      </c>
    </row>
    <row r="265" customFormat="false" ht="15" hidden="false" customHeight="false" outlineLevel="0" collapsed="false">
      <c r="A265" s="11" t="str">
        <f aca="false">PODACI_ZALIHE!A262</f>
        <v>041970</v>
      </c>
      <c r="B265" s="8" t="str">
        <f aca="false">PODACI_ZALIHE!B262</f>
        <v>TK MADERA 80 POLUKRUŽNA TUŠ KABINA 80x80x185 cm</v>
      </c>
      <c r="C265" s="9" t="str">
        <f aca="false">PODACI_ZALIHE!C262</f>
        <v>4981</v>
      </c>
      <c r="D265" s="8" t="str">
        <f aca="false">PODACI_ZALIHE!D262</f>
        <v>HANGZHOU SUNLIGHT TRADE CO., LTD.</v>
      </c>
      <c r="E265" s="19" t="n">
        <f aca="false">IF(PODACI_ZALIHE!E262="","",PODACI_ZALIHE!E262)</f>
        <v>30</v>
      </c>
      <c r="F265" s="20" t="n">
        <f aca="false">PODACI_ZALIHE!F262</f>
        <v>29</v>
      </c>
      <c r="G265" s="19" t="n">
        <f aca="false">IF(E265="","",E265-F265)</f>
        <v>1</v>
      </c>
      <c r="H265" s="9" t="n">
        <f aca="false">PODACI_PRODAJA!N418</f>
        <v>0.25</v>
      </c>
      <c r="I265" s="21" t="n">
        <f aca="false">IF(H265&lt;=0,999,ROUND(F265/H265,1))</f>
        <v>116</v>
      </c>
      <c r="J265" s="9" t="n">
        <f aca="false">SUMIFS(ROBA_U_DOLASKU!$C$6:$C$95,ROBA_U_DOLASKU!$A$6:$A$95,A265,ROBA_U_DOLASKU!$H$6:$H$95,1)</f>
        <v>0</v>
      </c>
      <c r="K265" s="9" t="n">
        <f aca="false">SUMIFS(ROBA_U_DOLASKU!$B$6:$B$95,ROBA_U_DOLASKU!$A$6:$A$95,A265,ROBA_U_DOLASKU!$H$6:$H$95,1)</f>
        <v>0</v>
      </c>
      <c r="L265" s="9" t="n">
        <f aca="false">SUMIFS(ROBA_U_DOLASKU!$C$6:$C$95,ROBA_U_DOLASKU!$A$6:$A$95,A265,ROBA_U_DOLASKU!$H$6:$H$95,2)</f>
        <v>0</v>
      </c>
      <c r="M265" s="9" t="n">
        <f aca="false">SUMIFS(ROBA_U_DOLASKU!$B$6:$B$95,ROBA_U_DOLASKU!$A$6:$A$95,A265,ROBA_U_DOLASKU!$H$6:$H$95,2)</f>
        <v>0</v>
      </c>
      <c r="N265" s="9" t="n">
        <f aca="false">SUMIFS(ROBA_U_DOLASKU!$C$6:$C$95,ROBA_U_DOLASKU!$A$6:$A$95,A265,ROBA_U_DOLASKU!$H$6:$H$95,3)</f>
        <v>0</v>
      </c>
      <c r="O265" s="9" t="n">
        <f aca="false">SUMIFS(ROBA_U_DOLASKU!$B$6:$B$95,ROBA_U_DOLASKU!$A$6:$A$95,A265,ROBA_U_DOLASKU!$H$6:$H$95,3)</f>
        <v>0</v>
      </c>
      <c r="P265" s="9" t="n">
        <f aca="false">IF(H265&lt;=0,999,IF(O265&gt;0,ROUND((F265-H265*N265+K265+M265+O265)/H265,1),IF(M265&gt;0,ROUND((F265-H265*L265+K265+M265)/H265,1),IF(K265&gt;0,ROUND((F265-H265*J265+K265)/H265,1),I265))))</f>
        <v>116</v>
      </c>
      <c r="Q265" s="22" t="str">
        <f aca="false">IF(H265&lt;=0,"Nema prodaje",IF(AND(K265=0,M265=0,O265=0),IF(I265&lt;POSTAVKE!$B$6,"Naruči odmah","Sve u redu"),IF(F265-H265*J265&lt;0,"Rupa za ~"&amp;TEXT(I265,"0.0")&amp;" mj.",IF(AND(M265&gt;0,F265-H265*L265+K265&lt;0),"Rupa nakon 1. dolaska",IF(AND(O265&gt;0,F265-H265*N265+K265+M265&lt;0),"Rupa nakon 2. dolaska",IF(P265&lt;POSTAVKE!$B$6,"Količina nije dovoljna",IF(I265&gt;=POSTAVKE!$B$6,"Sve u redu","Stiže na vrijeme")))))))</f>
        <v>Sve u redu</v>
      </c>
      <c r="S265" s="23" t="n">
        <f aca="false">IFERROR(INDEX(PODACI_PRODAJA!B:B,MATCH($A265,PODACI_PRODAJA!$A:$A,0)),0)</f>
        <v>0</v>
      </c>
      <c r="T265" s="23" t="n">
        <f aca="false">IFERROR(INDEX(PODACI_PRODAJA!C:C,MATCH($A265,PODACI_PRODAJA!$A:$A,0)),0)</f>
        <v>1</v>
      </c>
      <c r="U265" s="23" t="n">
        <f aca="false">IFERROR(INDEX(PODACI_PRODAJA!D:D,MATCH($A265,PODACI_PRODAJA!$A:$A,0)),0)</f>
        <v>0</v>
      </c>
      <c r="V265" s="23" t="n">
        <f aca="false">IFERROR(INDEX(PODACI_PRODAJA!E:E,MATCH($A265,PODACI_PRODAJA!$A:$A,0)),0)</f>
        <v>0</v>
      </c>
      <c r="W265" s="23" t="n">
        <f aca="false">IFERROR(INDEX(PODACI_PRODAJA!F:F,MATCH($A265,PODACI_PRODAJA!$A:$A,0)),0)</f>
        <v>0</v>
      </c>
      <c r="X265" s="23" t="n">
        <f aca="false">IFERROR(INDEX(PODACI_PRODAJA!G:G,MATCH($A265,PODACI_PRODAJA!$A:$A,0)),0)</f>
        <v>0</v>
      </c>
      <c r="Y265" s="23" t="n">
        <f aca="false">IFERROR(INDEX(PODACI_PRODAJA!H:H,MATCH($A265,PODACI_PRODAJA!$A:$A,0)),0)</f>
        <v>0</v>
      </c>
      <c r="Z265" s="23" t="n">
        <f aca="false">IFERROR(INDEX(PODACI_PRODAJA!I:I,MATCH($A265,PODACI_PRODAJA!$A:$A,0)),0)</f>
        <v>1</v>
      </c>
      <c r="AA265" s="23" t="n">
        <f aca="false">IFERROR(INDEX(PODACI_PRODAJA!J:J,MATCH($A265,PODACI_PRODAJA!$A:$A,0)),0)</f>
        <v>0</v>
      </c>
      <c r="AB265" s="23" t="n">
        <f aca="false">IFERROR(INDEX(PODACI_PRODAJA!K:K,MATCH($A265,PODACI_PRODAJA!$A:$A,0)),0)</f>
        <v>0</v>
      </c>
      <c r="AC265" s="23" t="n">
        <f aca="false">IFERROR(INDEX(PODACI_PRODAJA!L:L,MATCH($A265,PODACI_PRODAJA!$A:$A,0)),0)</f>
        <v>0</v>
      </c>
      <c r="AD265" s="23" t="n">
        <f aca="false">IFERROR(INDEX(PODACI_PRODAJA!M:M,MATCH($A265,PODACI_PRODAJA!$A:$A,0)),0)</f>
        <v>0</v>
      </c>
    </row>
    <row r="266" customFormat="false" ht="15" hidden="false" customHeight="false" outlineLevel="0" collapsed="false">
      <c r="A266" s="11" t="str">
        <f aca="false">PODACI_ZALIHE!A263</f>
        <v>15955</v>
      </c>
      <c r="B266" s="8" t="str">
        <f aca="false">PODACI_ZALIHE!B263</f>
        <v>TK NEVA 90 POLUKRUŽNA TUŠ KABINA 90x90x180 cm</v>
      </c>
      <c r="C266" s="9" t="n">
        <f aca="false">PODACI_ZALIHE!C263</f>
        <v>0</v>
      </c>
      <c r="D266" s="8" t="n">
        <f aca="false">PODACI_ZALIHE!D263</f>
        <v>0</v>
      </c>
      <c r="E266" s="19" t="n">
        <f aca="false">IF(PODACI_ZALIHE!E263="","",PODACI_ZALIHE!E263)</f>
        <v>36</v>
      </c>
      <c r="F266" s="20" t="n">
        <f aca="false">PODACI_ZALIHE!F263</f>
        <v>29</v>
      </c>
      <c r="G266" s="19" t="n">
        <f aca="false">IF(E266="","",E266-F266)</f>
        <v>7</v>
      </c>
      <c r="H266" s="9" t="n">
        <f aca="false">PODACI_PRODAJA!N154</f>
        <v>5.88</v>
      </c>
      <c r="I266" s="21" t="n">
        <f aca="false">IF(H266&lt;=0,999,ROUND(F266/H266,1))</f>
        <v>4.9</v>
      </c>
      <c r="J266" s="9" t="n">
        <f aca="false">SUMIFS(ROBA_U_DOLASKU!$C$6:$C$95,ROBA_U_DOLASKU!$A$6:$A$95,A266,ROBA_U_DOLASKU!$H$6:$H$95,1)</f>
        <v>0</v>
      </c>
      <c r="K266" s="9" t="n">
        <f aca="false">SUMIFS(ROBA_U_DOLASKU!$B$6:$B$95,ROBA_U_DOLASKU!$A$6:$A$95,A266,ROBA_U_DOLASKU!$H$6:$H$95,1)</f>
        <v>0</v>
      </c>
      <c r="L266" s="9" t="n">
        <f aca="false">SUMIFS(ROBA_U_DOLASKU!$C$6:$C$95,ROBA_U_DOLASKU!$A$6:$A$95,A266,ROBA_U_DOLASKU!$H$6:$H$95,2)</f>
        <v>0</v>
      </c>
      <c r="M266" s="9" t="n">
        <f aca="false">SUMIFS(ROBA_U_DOLASKU!$B$6:$B$95,ROBA_U_DOLASKU!$A$6:$A$95,A266,ROBA_U_DOLASKU!$H$6:$H$95,2)</f>
        <v>0</v>
      </c>
      <c r="N266" s="9" t="n">
        <f aca="false">SUMIFS(ROBA_U_DOLASKU!$C$6:$C$95,ROBA_U_DOLASKU!$A$6:$A$95,A266,ROBA_U_DOLASKU!$H$6:$H$95,3)</f>
        <v>0</v>
      </c>
      <c r="O266" s="9" t="n">
        <f aca="false">SUMIFS(ROBA_U_DOLASKU!$B$6:$B$95,ROBA_U_DOLASKU!$A$6:$A$95,A266,ROBA_U_DOLASKU!$H$6:$H$95,3)</f>
        <v>0</v>
      </c>
      <c r="P266" s="9" t="n">
        <f aca="false">IF(H266&lt;=0,999,IF(O266&gt;0,ROUND((F266-H266*N266+K266+M266+O266)/H266,1),IF(M266&gt;0,ROUND((F266-H266*L266+K266+M266)/H266,1),IF(K266&gt;0,ROUND((F266-H266*J266+K266)/H266,1),I266))))</f>
        <v>4.9</v>
      </c>
      <c r="Q266" s="22" t="str">
        <f aca="false">IF(H266&lt;=0,"Nema prodaje",IF(AND(K266=0,M266=0,O266=0),IF(I266&lt;POSTAVKE!$B$6,"Naruči odmah","Sve u redu"),IF(F266-H266*J266&lt;0,"Rupa za ~"&amp;TEXT(I266,"0.0")&amp;" mj.",IF(AND(M266&gt;0,F266-H266*L266+K266&lt;0),"Rupa nakon 1. dolaska",IF(AND(O266&gt;0,F266-H266*N266+K266+M266&lt;0),"Rupa nakon 2. dolaska",IF(P266&lt;POSTAVKE!$B$6,"Količina nije dovoljna",IF(I266&gt;=POSTAVKE!$B$6,"Sve u redu","Stiže na vrijeme")))))))</f>
        <v>Naruči odmah</v>
      </c>
      <c r="S266" s="23" t="n">
        <f aca="false">IFERROR(INDEX(PODACI_PRODAJA!B:B,MATCH($A266,PODACI_PRODAJA!$A:$A,0)),0)</f>
        <v>3</v>
      </c>
      <c r="T266" s="23" t="n">
        <f aca="false">IFERROR(INDEX(PODACI_PRODAJA!C:C,MATCH($A266,PODACI_PRODAJA!$A:$A,0)),0)</f>
        <v>8</v>
      </c>
      <c r="U266" s="23" t="n">
        <f aca="false">IFERROR(INDEX(PODACI_PRODAJA!D:D,MATCH($A266,PODACI_PRODAJA!$A:$A,0)),0)</f>
        <v>4</v>
      </c>
      <c r="V266" s="23" t="n">
        <f aca="false">IFERROR(INDEX(PODACI_PRODAJA!E:E,MATCH($A266,PODACI_PRODAJA!$A:$A,0)),0)</f>
        <v>6</v>
      </c>
      <c r="W266" s="23" t="n">
        <f aca="false">IFERROR(INDEX(PODACI_PRODAJA!F:F,MATCH($A266,PODACI_PRODAJA!$A:$A,0)),0)</f>
        <v>5</v>
      </c>
      <c r="X266" s="23" t="n">
        <f aca="false">IFERROR(INDEX(PODACI_PRODAJA!G:G,MATCH($A266,PODACI_PRODAJA!$A:$A,0)),0)</f>
        <v>6</v>
      </c>
      <c r="Y266" s="23" t="n">
        <f aca="false">IFERROR(INDEX(PODACI_PRODAJA!H:H,MATCH($A266,PODACI_PRODAJA!$A:$A,0)),0)</f>
        <v>10</v>
      </c>
      <c r="Z266" s="23" t="n">
        <f aca="false">IFERROR(INDEX(PODACI_PRODAJA!I:I,MATCH($A266,PODACI_PRODAJA!$A:$A,0)),0)</f>
        <v>5</v>
      </c>
      <c r="AA266" s="23" t="n">
        <f aca="false">IFERROR(INDEX(PODACI_PRODAJA!J:J,MATCH($A266,PODACI_PRODAJA!$A:$A,0)),0)</f>
        <v>7</v>
      </c>
      <c r="AB266" s="23" t="n">
        <f aca="false">IFERROR(INDEX(PODACI_PRODAJA!K:K,MATCH($A266,PODACI_PRODAJA!$A:$A,0)),0)</f>
        <v>0</v>
      </c>
      <c r="AC266" s="23" t="n">
        <f aca="false">IFERROR(INDEX(PODACI_PRODAJA!L:L,MATCH($A266,PODACI_PRODAJA!$A:$A,0)),0)</f>
        <v>0</v>
      </c>
      <c r="AD266" s="23" t="n">
        <f aca="false">IFERROR(INDEX(PODACI_PRODAJA!M:M,MATCH($A266,PODACI_PRODAJA!$A:$A,0)),0)</f>
        <v>0</v>
      </c>
    </row>
    <row r="267" customFormat="false" ht="15" hidden="false" customHeight="false" outlineLevel="0" collapsed="false">
      <c r="A267" s="11" t="str">
        <f aca="false">PODACI_ZALIHE!A264</f>
        <v>16989</v>
      </c>
      <c r="B267" s="8" t="str">
        <f aca="false">PODACI_ZALIHE!B264</f>
        <v>TK TOLEDO 90120 PRAVOKUTNA TUŠ KABINA 90x120x195 cm</v>
      </c>
      <c r="C267" s="9" t="str">
        <f aca="false">PODACI_ZALIHE!C264</f>
        <v>4328</v>
      </c>
      <c r="D267" s="8" t="str">
        <f aca="false">PODACI_ZALIHE!D264</f>
        <v>HANGZHOU DUHUI IMPORT AND EXPORT CO.,LTD</v>
      </c>
      <c r="E267" s="19" t="n">
        <f aca="false">IF(PODACI_ZALIHE!E264="","",PODACI_ZALIHE!E264)</f>
        <v>29</v>
      </c>
      <c r="F267" s="20" t="n">
        <f aca="false">PODACI_ZALIHE!F264</f>
        <v>29</v>
      </c>
      <c r="G267" s="19" t="n">
        <f aca="false">IF(E267="","",E267-F267)</f>
        <v>0</v>
      </c>
      <c r="H267" s="9" t="n">
        <f aca="false">PODACI_PRODAJA!N76</f>
        <v>5.5</v>
      </c>
      <c r="I267" s="21" t="n">
        <f aca="false">IF(H267&lt;=0,999,ROUND(F267/H267,1))</f>
        <v>5.3</v>
      </c>
      <c r="J267" s="9" t="n">
        <f aca="false">SUMIFS(ROBA_U_DOLASKU!$C$6:$C$95,ROBA_U_DOLASKU!$A$6:$A$95,A267,ROBA_U_DOLASKU!$H$6:$H$95,1)</f>
        <v>0</v>
      </c>
      <c r="K267" s="9" t="n">
        <f aca="false">SUMIFS(ROBA_U_DOLASKU!$B$6:$B$95,ROBA_U_DOLASKU!$A$6:$A$95,A267,ROBA_U_DOLASKU!$H$6:$H$95,1)</f>
        <v>0</v>
      </c>
      <c r="L267" s="9" t="n">
        <f aca="false">SUMIFS(ROBA_U_DOLASKU!$C$6:$C$95,ROBA_U_DOLASKU!$A$6:$A$95,A267,ROBA_U_DOLASKU!$H$6:$H$95,2)</f>
        <v>0</v>
      </c>
      <c r="M267" s="9" t="n">
        <f aca="false">SUMIFS(ROBA_U_DOLASKU!$B$6:$B$95,ROBA_U_DOLASKU!$A$6:$A$95,A267,ROBA_U_DOLASKU!$H$6:$H$95,2)</f>
        <v>0</v>
      </c>
      <c r="N267" s="9" t="n">
        <f aca="false">SUMIFS(ROBA_U_DOLASKU!$C$6:$C$95,ROBA_U_DOLASKU!$A$6:$A$95,A267,ROBA_U_DOLASKU!$H$6:$H$95,3)</f>
        <v>0</v>
      </c>
      <c r="O267" s="9" t="n">
        <f aca="false">SUMIFS(ROBA_U_DOLASKU!$B$6:$B$95,ROBA_U_DOLASKU!$A$6:$A$95,A267,ROBA_U_DOLASKU!$H$6:$H$95,3)</f>
        <v>0</v>
      </c>
      <c r="P267" s="9" t="n">
        <f aca="false">IF(H267&lt;=0,999,IF(O267&gt;0,ROUND((F267-H267*N267+K267+M267+O267)/H267,1),IF(M267&gt;0,ROUND((F267-H267*L267+K267+M267)/H267,1),IF(K267&gt;0,ROUND((F267-H267*J267+K267)/H267,1),I267))))</f>
        <v>5.3</v>
      </c>
      <c r="Q267" s="22" t="str">
        <f aca="false">IF(H267&lt;=0,"Nema prodaje",IF(AND(K267=0,M267=0,O267=0),IF(I267&lt;POSTAVKE!$B$6,"Naruči odmah","Sve u redu"),IF(F267-H267*J267&lt;0,"Rupa za ~"&amp;TEXT(I267,"0.0")&amp;" mj.",IF(AND(M267&gt;0,F267-H267*L267+K267&lt;0),"Rupa nakon 1. dolaska",IF(AND(O267&gt;0,F267-H267*N267+K267+M267&lt;0),"Rupa nakon 2. dolaska",IF(P267&lt;POSTAVKE!$B$6,"Količina nije dovoljna",IF(I267&gt;=POSTAVKE!$B$6,"Sve u redu","Stiže na vrijeme")))))))</f>
        <v>Sve u redu</v>
      </c>
      <c r="S267" s="23" t="n">
        <f aca="false">IFERROR(INDEX(PODACI_PRODAJA!B:B,MATCH($A267,PODACI_PRODAJA!$A:$A,0)),0)</f>
        <v>9</v>
      </c>
      <c r="T267" s="23" t="n">
        <f aca="false">IFERROR(INDEX(PODACI_PRODAJA!C:C,MATCH($A267,PODACI_PRODAJA!$A:$A,0)),0)</f>
        <v>4</v>
      </c>
      <c r="U267" s="23" t="n">
        <f aca="false">IFERROR(INDEX(PODACI_PRODAJA!D:D,MATCH($A267,PODACI_PRODAJA!$A:$A,0)),0)</f>
        <v>2</v>
      </c>
      <c r="V267" s="23" t="n">
        <f aca="false">IFERROR(INDEX(PODACI_PRODAJA!E:E,MATCH($A267,PODACI_PRODAJA!$A:$A,0)),0)</f>
        <v>5</v>
      </c>
      <c r="W267" s="23" t="n">
        <f aca="false">IFERROR(INDEX(PODACI_PRODAJA!F:F,MATCH($A267,PODACI_PRODAJA!$A:$A,0)),0)</f>
        <v>10</v>
      </c>
      <c r="X267" s="23" t="n">
        <f aca="false">IFERROR(INDEX(PODACI_PRODAJA!G:G,MATCH($A267,PODACI_PRODAJA!$A:$A,0)),0)</f>
        <v>4</v>
      </c>
      <c r="Y267" s="23" t="n">
        <f aca="false">IFERROR(INDEX(PODACI_PRODAJA!H:H,MATCH($A267,PODACI_PRODAJA!$A:$A,0)),0)</f>
        <v>4</v>
      </c>
      <c r="Z267" s="23" t="n">
        <f aca="false">IFERROR(INDEX(PODACI_PRODAJA!I:I,MATCH($A267,PODACI_PRODAJA!$A:$A,0)),0)</f>
        <v>6</v>
      </c>
      <c r="AA267" s="23" t="n">
        <f aca="false">IFERROR(INDEX(PODACI_PRODAJA!J:J,MATCH($A267,PODACI_PRODAJA!$A:$A,0)),0)</f>
        <v>0</v>
      </c>
      <c r="AB267" s="23" t="n">
        <f aca="false">IFERROR(INDEX(PODACI_PRODAJA!K:K,MATCH($A267,PODACI_PRODAJA!$A:$A,0)),0)</f>
        <v>0</v>
      </c>
      <c r="AC267" s="23" t="n">
        <f aca="false">IFERROR(INDEX(PODACI_PRODAJA!L:L,MATCH($A267,PODACI_PRODAJA!$A:$A,0)),0)</f>
        <v>0</v>
      </c>
      <c r="AD267" s="23" t="n">
        <f aca="false">IFERROR(INDEX(PODACI_PRODAJA!M:M,MATCH($A267,PODACI_PRODAJA!$A:$A,0)),0)</f>
        <v>0</v>
      </c>
    </row>
    <row r="268" customFormat="false" ht="15" hidden="false" customHeight="false" outlineLevel="0" collapsed="false">
      <c r="A268" s="11" t="str">
        <f aca="false">PODACI_ZALIHE!A265</f>
        <v>17223</v>
      </c>
      <c r="B268" s="8" t="str">
        <f aca="false">PODACI_ZALIHE!B265</f>
        <v>TK MALAGA 80100 CHROME PRAVOKUTNA TUŠ KABINA 80X100X195 cm</v>
      </c>
      <c r="C268" s="9" t="str">
        <f aca="false">PODACI_ZALIHE!C265</f>
        <v>6762</v>
      </c>
      <c r="D268" s="8" t="str">
        <f aca="false">PODACI_ZALIHE!D265</f>
        <v>ZHEJIANG QUICKLINE SHOWERING CO., LTD.</v>
      </c>
      <c r="E268" s="19" t="n">
        <f aca="false">IF(PODACI_ZALIHE!E265="","",PODACI_ZALIHE!E265)</f>
        <v>30</v>
      </c>
      <c r="F268" s="20" t="n">
        <f aca="false">PODACI_ZALIHE!F265</f>
        <v>29</v>
      </c>
      <c r="G268" s="19" t="n">
        <f aca="false">IF(E268="","",E268-F268)</f>
        <v>1</v>
      </c>
      <c r="H268" s="9" t="n">
        <f aca="false">PODACI_PRODAJA!N212</f>
        <v>2</v>
      </c>
      <c r="I268" s="21" t="n">
        <f aca="false">IF(H268&lt;=0,999,ROUND(F268/H268,1))</f>
        <v>14.5</v>
      </c>
      <c r="J268" s="9" t="n">
        <f aca="false">SUMIFS(ROBA_U_DOLASKU!$C$6:$C$95,ROBA_U_DOLASKU!$A$6:$A$95,A268,ROBA_U_DOLASKU!$H$6:$H$95,1)</f>
        <v>0</v>
      </c>
      <c r="K268" s="9" t="n">
        <f aca="false">SUMIFS(ROBA_U_DOLASKU!$B$6:$B$95,ROBA_U_DOLASKU!$A$6:$A$95,A268,ROBA_U_DOLASKU!$H$6:$H$95,1)</f>
        <v>0</v>
      </c>
      <c r="L268" s="9" t="n">
        <f aca="false">SUMIFS(ROBA_U_DOLASKU!$C$6:$C$95,ROBA_U_DOLASKU!$A$6:$A$95,A268,ROBA_U_DOLASKU!$H$6:$H$95,2)</f>
        <v>0</v>
      </c>
      <c r="M268" s="9" t="n">
        <f aca="false">SUMIFS(ROBA_U_DOLASKU!$B$6:$B$95,ROBA_U_DOLASKU!$A$6:$A$95,A268,ROBA_U_DOLASKU!$H$6:$H$95,2)</f>
        <v>0</v>
      </c>
      <c r="N268" s="9" t="n">
        <f aca="false">SUMIFS(ROBA_U_DOLASKU!$C$6:$C$95,ROBA_U_DOLASKU!$A$6:$A$95,A268,ROBA_U_DOLASKU!$H$6:$H$95,3)</f>
        <v>0</v>
      </c>
      <c r="O268" s="9" t="n">
        <f aca="false">SUMIFS(ROBA_U_DOLASKU!$B$6:$B$95,ROBA_U_DOLASKU!$A$6:$A$95,A268,ROBA_U_DOLASKU!$H$6:$H$95,3)</f>
        <v>0</v>
      </c>
      <c r="P268" s="9" t="n">
        <f aca="false">IF(H268&lt;=0,999,IF(O268&gt;0,ROUND((F268-H268*N268+K268+M268+O268)/H268,1),IF(M268&gt;0,ROUND((F268-H268*L268+K268+M268)/H268,1),IF(K268&gt;0,ROUND((F268-H268*J268+K268)/H268,1),I268))))</f>
        <v>14.5</v>
      </c>
      <c r="Q268" s="22" t="str">
        <f aca="false">IF(H268&lt;=0,"Nema prodaje",IF(AND(K268=0,M268=0,O268=0),IF(I268&lt;POSTAVKE!$B$6,"Naruči odmah","Sve u redu"),IF(F268-H268*J268&lt;0,"Rupa za ~"&amp;TEXT(I268,"0.0")&amp;" mj.",IF(AND(M268&gt;0,F268-H268*L268+K268&lt;0),"Rupa nakon 1. dolaska",IF(AND(O268&gt;0,F268-H268*N268+K268+M268&lt;0),"Rupa nakon 2. dolaska",IF(P268&lt;POSTAVKE!$B$6,"Količina nije dovoljna",IF(I268&gt;=POSTAVKE!$B$6,"Sve u redu","Stiže na vrijeme")))))))</f>
        <v>Sve u redu</v>
      </c>
      <c r="S268" s="23" t="n">
        <f aca="false">IFERROR(INDEX(PODACI_PRODAJA!B:B,MATCH($A268,PODACI_PRODAJA!$A:$A,0)),0)</f>
        <v>2</v>
      </c>
      <c r="T268" s="23" t="n">
        <f aca="false">IFERROR(INDEX(PODACI_PRODAJA!C:C,MATCH($A268,PODACI_PRODAJA!$A:$A,0)),0)</f>
        <v>2</v>
      </c>
      <c r="U268" s="23" t="n">
        <f aca="false">IFERROR(INDEX(PODACI_PRODAJA!D:D,MATCH($A268,PODACI_PRODAJA!$A:$A,0)),0)</f>
        <v>1</v>
      </c>
      <c r="V268" s="23" t="n">
        <f aca="false">IFERROR(INDEX(PODACI_PRODAJA!E:E,MATCH($A268,PODACI_PRODAJA!$A:$A,0)),0)</f>
        <v>2</v>
      </c>
      <c r="W268" s="23" t="n">
        <f aca="false">IFERROR(INDEX(PODACI_PRODAJA!F:F,MATCH($A268,PODACI_PRODAJA!$A:$A,0)),0)</f>
        <v>6</v>
      </c>
      <c r="X268" s="23" t="n">
        <f aca="false">IFERROR(INDEX(PODACI_PRODAJA!G:G,MATCH($A268,PODACI_PRODAJA!$A:$A,0)),0)</f>
        <v>1</v>
      </c>
      <c r="Y268" s="23" t="n">
        <f aca="false">IFERROR(INDEX(PODACI_PRODAJA!H:H,MATCH($A268,PODACI_PRODAJA!$A:$A,0)),0)</f>
        <v>2</v>
      </c>
      <c r="Z268" s="23" t="n">
        <f aca="false">IFERROR(INDEX(PODACI_PRODAJA!I:I,MATCH($A268,PODACI_PRODAJA!$A:$A,0)),0)</f>
        <v>0</v>
      </c>
      <c r="AA268" s="23" t="n">
        <f aca="false">IFERROR(INDEX(PODACI_PRODAJA!J:J,MATCH($A268,PODACI_PRODAJA!$A:$A,0)),0)</f>
        <v>1</v>
      </c>
      <c r="AB268" s="23" t="n">
        <f aca="false">IFERROR(INDEX(PODACI_PRODAJA!K:K,MATCH($A268,PODACI_PRODAJA!$A:$A,0)),0)</f>
        <v>0</v>
      </c>
      <c r="AC268" s="23" t="n">
        <f aca="false">IFERROR(INDEX(PODACI_PRODAJA!L:L,MATCH($A268,PODACI_PRODAJA!$A:$A,0)),0)</f>
        <v>0</v>
      </c>
      <c r="AD268" s="23" t="n">
        <f aca="false">IFERROR(INDEX(PODACI_PRODAJA!M:M,MATCH($A268,PODACI_PRODAJA!$A:$A,0)),0)</f>
        <v>0</v>
      </c>
    </row>
    <row r="269" customFormat="false" ht="15" hidden="false" customHeight="false" outlineLevel="0" collapsed="false">
      <c r="A269" s="11" t="str">
        <f aca="false">PODACI_ZALIHE!A266</f>
        <v>17236</v>
      </c>
      <c r="B269" s="8" t="str">
        <f aca="false">PODACI_ZALIHE!B266</f>
        <v>TK PARLA 80 BLACK POLUKRUŽNA TUŠ KABINA 80X80X195 cm</v>
      </c>
      <c r="C269" s="9" t="str">
        <f aca="false">PODACI_ZALIHE!C266</f>
        <v>6762</v>
      </c>
      <c r="D269" s="8" t="str">
        <f aca="false">PODACI_ZALIHE!D266</f>
        <v>ZHEJIANG QUICKLINE SHOWERING CO., LTD.</v>
      </c>
      <c r="E269" s="19" t="n">
        <f aca="false">IF(PODACI_ZALIHE!E266="","",PODACI_ZALIHE!E266)</f>
        <v>29</v>
      </c>
      <c r="F269" s="20" t="n">
        <f aca="false">PODACI_ZALIHE!F266</f>
        <v>29</v>
      </c>
      <c r="G269" s="19" t="n">
        <f aca="false">IF(E269="","",E269-F269)</f>
        <v>0</v>
      </c>
      <c r="H269" s="9" t="n">
        <f aca="false">PODACI_PRODAJA!N615</f>
        <v>0.13</v>
      </c>
      <c r="I269" s="21" t="n">
        <f aca="false">IF(H269&lt;=0,999,ROUND(F269/H269,1))</f>
        <v>223.1</v>
      </c>
      <c r="J269" s="9" t="n">
        <f aca="false">SUMIFS(ROBA_U_DOLASKU!$C$6:$C$95,ROBA_U_DOLASKU!$A$6:$A$95,A269,ROBA_U_DOLASKU!$H$6:$H$95,1)</f>
        <v>0</v>
      </c>
      <c r="K269" s="9" t="n">
        <f aca="false">SUMIFS(ROBA_U_DOLASKU!$B$6:$B$95,ROBA_U_DOLASKU!$A$6:$A$95,A269,ROBA_U_DOLASKU!$H$6:$H$95,1)</f>
        <v>0</v>
      </c>
      <c r="L269" s="9" t="n">
        <f aca="false">SUMIFS(ROBA_U_DOLASKU!$C$6:$C$95,ROBA_U_DOLASKU!$A$6:$A$95,A269,ROBA_U_DOLASKU!$H$6:$H$95,2)</f>
        <v>0</v>
      </c>
      <c r="M269" s="9" t="n">
        <f aca="false">SUMIFS(ROBA_U_DOLASKU!$B$6:$B$95,ROBA_U_DOLASKU!$A$6:$A$95,A269,ROBA_U_DOLASKU!$H$6:$H$95,2)</f>
        <v>0</v>
      </c>
      <c r="N269" s="9" t="n">
        <f aca="false">SUMIFS(ROBA_U_DOLASKU!$C$6:$C$95,ROBA_U_DOLASKU!$A$6:$A$95,A269,ROBA_U_DOLASKU!$H$6:$H$95,3)</f>
        <v>0</v>
      </c>
      <c r="O269" s="9" t="n">
        <f aca="false">SUMIFS(ROBA_U_DOLASKU!$B$6:$B$95,ROBA_U_DOLASKU!$A$6:$A$95,A269,ROBA_U_DOLASKU!$H$6:$H$95,3)</f>
        <v>0</v>
      </c>
      <c r="P269" s="9" t="n">
        <f aca="false">IF(H269&lt;=0,999,IF(O269&gt;0,ROUND((F269-H269*N269+K269+M269+O269)/H269,1),IF(M269&gt;0,ROUND((F269-H269*L269+K269+M269)/H269,1),IF(K269&gt;0,ROUND((F269-H269*J269+K269)/H269,1),I269))))</f>
        <v>223.1</v>
      </c>
      <c r="Q269" s="22" t="str">
        <f aca="false">IF(H269&lt;=0,"Nema prodaje",IF(AND(K269=0,M269=0,O269=0),IF(I269&lt;POSTAVKE!$B$6,"Naruči odmah","Sve u redu"),IF(F269-H269*J269&lt;0,"Rupa za ~"&amp;TEXT(I269,"0.0")&amp;" mj.",IF(AND(M269&gt;0,F269-H269*L269+K269&lt;0),"Rupa nakon 1. dolaska",IF(AND(O269&gt;0,F269-H269*N269+K269+M269&lt;0),"Rupa nakon 2. dolaska",IF(P269&lt;POSTAVKE!$B$6,"Količina nije dovoljna",IF(I269&gt;=POSTAVKE!$B$6,"Sve u redu","Stiže na vrijeme")))))))</f>
        <v>Sve u redu</v>
      </c>
      <c r="S269" s="23" t="n">
        <f aca="false">IFERROR(INDEX(PODACI_PRODAJA!B:B,MATCH($A269,PODACI_PRODAJA!$A:$A,0)),0)</f>
        <v>0</v>
      </c>
      <c r="T269" s="23" t="n">
        <f aca="false">IFERROR(INDEX(PODACI_PRODAJA!C:C,MATCH($A269,PODACI_PRODAJA!$A:$A,0)),0)</f>
        <v>0</v>
      </c>
      <c r="U269" s="23" t="n">
        <f aca="false">IFERROR(INDEX(PODACI_PRODAJA!D:D,MATCH($A269,PODACI_PRODAJA!$A:$A,0)),0)</f>
        <v>0</v>
      </c>
      <c r="V269" s="23" t="n">
        <f aca="false">IFERROR(INDEX(PODACI_PRODAJA!E:E,MATCH($A269,PODACI_PRODAJA!$A:$A,0)),0)</f>
        <v>0</v>
      </c>
      <c r="W269" s="23" t="n">
        <f aca="false">IFERROR(INDEX(PODACI_PRODAJA!F:F,MATCH($A269,PODACI_PRODAJA!$A:$A,0)),0)</f>
        <v>0</v>
      </c>
      <c r="X269" s="23" t="n">
        <f aca="false">IFERROR(INDEX(PODACI_PRODAJA!G:G,MATCH($A269,PODACI_PRODAJA!$A:$A,0)),0)</f>
        <v>0</v>
      </c>
      <c r="Y269" s="23" t="n">
        <f aca="false">IFERROR(INDEX(PODACI_PRODAJA!H:H,MATCH($A269,PODACI_PRODAJA!$A:$A,0)),0)</f>
        <v>1</v>
      </c>
      <c r="Z269" s="23" t="n">
        <f aca="false">IFERROR(INDEX(PODACI_PRODAJA!I:I,MATCH($A269,PODACI_PRODAJA!$A:$A,0)),0)</f>
        <v>0</v>
      </c>
      <c r="AA269" s="23" t="n">
        <f aca="false">IFERROR(INDEX(PODACI_PRODAJA!J:J,MATCH($A269,PODACI_PRODAJA!$A:$A,0)),0)</f>
        <v>0</v>
      </c>
      <c r="AB269" s="23" t="n">
        <f aca="false">IFERROR(INDEX(PODACI_PRODAJA!K:K,MATCH($A269,PODACI_PRODAJA!$A:$A,0)),0)</f>
        <v>0</v>
      </c>
      <c r="AC269" s="23" t="n">
        <f aca="false">IFERROR(INDEX(PODACI_PRODAJA!L:L,MATCH($A269,PODACI_PRODAJA!$A:$A,0)),0)</f>
        <v>0</v>
      </c>
      <c r="AD269" s="23" t="n">
        <f aca="false">IFERROR(INDEX(PODACI_PRODAJA!M:M,MATCH($A269,PODACI_PRODAJA!$A:$A,0)),0)</f>
        <v>0</v>
      </c>
    </row>
    <row r="270" customFormat="false" ht="15" hidden="false" customHeight="false" outlineLevel="0" collapsed="false">
      <c r="A270" s="11" t="str">
        <f aca="false">PODACI_ZALIHE!A267</f>
        <v>18436</v>
      </c>
      <c r="B270" s="8" t="str">
        <f aca="false">PODACI_ZALIHE!B267</f>
        <v>ILLUMEA LED OGLEDALO 60x80 cm CCT 3000/4000/5000K</v>
      </c>
      <c r="C270" s="9" t="str">
        <f aca="false">PODACI_ZALIHE!C267</f>
        <v>6032</v>
      </c>
      <c r="D270" s="8" t="str">
        <f aca="false">PODACI_ZALIHE!D267</f>
        <v>HANGZHOU ZIHAN MIRROR INDUSTRY CO., LTD.</v>
      </c>
      <c r="E270" s="19" t="n">
        <f aca="false">IF(PODACI_ZALIHE!E267="","",PODACI_ZALIHE!E267)</f>
        <v>30</v>
      </c>
      <c r="F270" s="20" t="n">
        <f aca="false">PODACI_ZALIHE!F267</f>
        <v>29</v>
      </c>
      <c r="G270" s="19" t="n">
        <f aca="false">IF(E270="","",E270-F270)</f>
        <v>1</v>
      </c>
      <c r="H270" s="9" t="n">
        <f aca="false">PODACI_PRODAJA!N218</f>
        <v>11.5</v>
      </c>
      <c r="I270" s="21" t="n">
        <f aca="false">IF(H270&lt;=0,999,ROUND(F270/H270,1))</f>
        <v>2.5</v>
      </c>
      <c r="J270" s="9" t="n">
        <f aca="false">SUMIFS(ROBA_U_DOLASKU!$C$6:$C$95,ROBA_U_DOLASKU!$A$6:$A$95,A270,ROBA_U_DOLASKU!$H$6:$H$95,1)</f>
        <v>2.2</v>
      </c>
      <c r="K270" s="9" t="n">
        <f aca="false">SUMIFS(ROBA_U_DOLASKU!$B$6:$B$95,ROBA_U_DOLASKU!$A$6:$A$95,A270,ROBA_U_DOLASKU!$H$6:$H$95,1)</f>
        <v>100</v>
      </c>
      <c r="L270" s="9" t="n">
        <f aca="false">SUMIFS(ROBA_U_DOLASKU!$C$6:$C$95,ROBA_U_DOLASKU!$A$6:$A$95,A270,ROBA_U_DOLASKU!$H$6:$H$95,2)</f>
        <v>0</v>
      </c>
      <c r="M270" s="9" t="n">
        <f aca="false">SUMIFS(ROBA_U_DOLASKU!$B$6:$B$95,ROBA_U_DOLASKU!$A$6:$A$95,A270,ROBA_U_DOLASKU!$H$6:$H$95,2)</f>
        <v>0</v>
      </c>
      <c r="N270" s="9" t="n">
        <f aca="false">SUMIFS(ROBA_U_DOLASKU!$C$6:$C$95,ROBA_U_DOLASKU!$A$6:$A$95,A270,ROBA_U_DOLASKU!$H$6:$H$95,3)</f>
        <v>0</v>
      </c>
      <c r="O270" s="9" t="n">
        <f aca="false">SUMIFS(ROBA_U_DOLASKU!$B$6:$B$95,ROBA_U_DOLASKU!$A$6:$A$95,A270,ROBA_U_DOLASKU!$H$6:$H$95,3)</f>
        <v>0</v>
      </c>
      <c r="P270" s="9" t="n">
        <f aca="false">IF(H270&lt;=0,999,IF(O270&gt;0,ROUND((F270-H270*N270+K270+M270+O270)/H270,1),IF(M270&gt;0,ROUND((F270-H270*L270+K270+M270)/H270,1),IF(K270&gt;0,ROUND((F270-H270*J270+K270)/H270,1),I270))))</f>
        <v>9</v>
      </c>
      <c r="Q270" s="22" t="str">
        <f aca="false">IF(H270&lt;=0,"Nema prodaje",IF(AND(K270=0,M270=0,O270=0),IF(I270&lt;POSTAVKE!$B$6,"Naruči odmah","Sve u redu"),IF(F270-H270*J270&lt;0,"Rupa za ~"&amp;TEXT(I270,"0.0")&amp;" mj.",IF(AND(M270&gt;0,F270-H270*L270+K270&lt;0),"Rupa nakon 1. dolaska",IF(AND(O270&gt;0,F270-H270*N270+K270+M270&lt;0),"Rupa nakon 2. dolaska",IF(P270&lt;POSTAVKE!$B$6,"Količina nije dovoljna",IF(I270&gt;=POSTAVKE!$B$6,"Sve u redu","Stiže na vrijeme")))))))</f>
        <v>Stiže na vrijeme</v>
      </c>
      <c r="S270" s="23" t="n">
        <f aca="false">IFERROR(INDEX(PODACI_PRODAJA!B:B,MATCH($A270,PODACI_PRODAJA!$A:$A,0)),0)</f>
        <v>2</v>
      </c>
      <c r="T270" s="23" t="n">
        <f aca="false">IFERROR(INDEX(PODACI_PRODAJA!C:C,MATCH($A270,PODACI_PRODAJA!$A:$A,0)),0)</f>
        <v>5</v>
      </c>
      <c r="U270" s="23" t="n">
        <f aca="false">IFERROR(INDEX(PODACI_PRODAJA!D:D,MATCH($A270,PODACI_PRODAJA!$A:$A,0)),0)</f>
        <v>19</v>
      </c>
      <c r="V270" s="23" t="n">
        <f aca="false">IFERROR(INDEX(PODACI_PRODAJA!E:E,MATCH($A270,PODACI_PRODAJA!$A:$A,0)),0)</f>
        <v>25</v>
      </c>
      <c r="W270" s="23" t="n">
        <f aca="false">IFERROR(INDEX(PODACI_PRODAJA!F:F,MATCH($A270,PODACI_PRODAJA!$A:$A,0)),0)</f>
        <v>10</v>
      </c>
      <c r="X270" s="23" t="n">
        <f aca="false">IFERROR(INDEX(PODACI_PRODAJA!G:G,MATCH($A270,PODACI_PRODAJA!$A:$A,0)),0)</f>
        <v>15</v>
      </c>
      <c r="Y270" s="23" t="n">
        <f aca="false">IFERROR(INDEX(PODACI_PRODAJA!H:H,MATCH($A270,PODACI_PRODAJA!$A:$A,0)),0)</f>
        <v>6</v>
      </c>
      <c r="Z270" s="23" t="n">
        <f aca="false">IFERROR(INDEX(PODACI_PRODAJA!I:I,MATCH($A270,PODACI_PRODAJA!$A:$A,0)),0)</f>
        <v>10</v>
      </c>
      <c r="AA270" s="23" t="n">
        <f aca="false">IFERROR(INDEX(PODACI_PRODAJA!J:J,MATCH($A270,PODACI_PRODAJA!$A:$A,0)),0)</f>
        <v>1</v>
      </c>
      <c r="AB270" s="23" t="n">
        <f aca="false">IFERROR(INDEX(PODACI_PRODAJA!K:K,MATCH($A270,PODACI_PRODAJA!$A:$A,0)),0)</f>
        <v>0</v>
      </c>
      <c r="AC270" s="23" t="n">
        <f aca="false">IFERROR(INDEX(PODACI_PRODAJA!L:L,MATCH($A270,PODACI_PRODAJA!$A:$A,0)),0)</f>
        <v>0</v>
      </c>
      <c r="AD270" s="23" t="n">
        <f aca="false">IFERROR(INDEX(PODACI_PRODAJA!M:M,MATCH($A270,PODACI_PRODAJA!$A:$A,0)),0)</f>
        <v>0</v>
      </c>
    </row>
    <row r="271" customFormat="false" ht="15" hidden="false" customHeight="false" outlineLevel="0" collapsed="false">
      <c r="A271" s="11" t="str">
        <f aca="false">PODACI_ZALIHE!A268</f>
        <v>18561</v>
      </c>
      <c r="B271" s="8" t="str">
        <f aca="false">PODACI_ZALIHE!B268</f>
        <v>VETRO BRILLIANCE LINE CHROME 100 TUŠ STIJENA 100x200cm</v>
      </c>
      <c r="C271" s="9" t="str">
        <f aca="false">PODACI_ZALIHE!C268</f>
        <v>6762</v>
      </c>
      <c r="D271" s="8" t="str">
        <f aca="false">PODACI_ZALIHE!D268</f>
        <v>ZHEJIANG QUICKLINE SHOWERING CO., LTD.</v>
      </c>
      <c r="E271" s="19" t="n">
        <f aca="false">IF(PODACI_ZALIHE!E268="","",PODACI_ZALIHE!E268)</f>
        <v>29</v>
      </c>
      <c r="F271" s="20" t="n">
        <f aca="false">PODACI_ZALIHE!F268</f>
        <v>29</v>
      </c>
      <c r="G271" s="19" t="n">
        <f aca="false">IF(E271="","",E271-F271)</f>
        <v>0</v>
      </c>
      <c r="H271" s="9" t="n">
        <f aca="false">PODACI_PRODAJA!N672</f>
        <v>2.5</v>
      </c>
      <c r="I271" s="21" t="n">
        <f aca="false">IF(H271&lt;=0,999,ROUND(F271/H271,1))</f>
        <v>11.6</v>
      </c>
      <c r="J271" s="9" t="n">
        <f aca="false">SUMIFS(ROBA_U_DOLASKU!$C$6:$C$95,ROBA_U_DOLASKU!$A$6:$A$95,A271,ROBA_U_DOLASKU!$H$6:$H$95,1)</f>
        <v>0</v>
      </c>
      <c r="K271" s="9" t="n">
        <f aca="false">SUMIFS(ROBA_U_DOLASKU!$B$6:$B$95,ROBA_U_DOLASKU!$A$6:$A$95,A271,ROBA_U_DOLASKU!$H$6:$H$95,1)</f>
        <v>0</v>
      </c>
      <c r="L271" s="9" t="n">
        <f aca="false">SUMIFS(ROBA_U_DOLASKU!$C$6:$C$95,ROBA_U_DOLASKU!$A$6:$A$95,A271,ROBA_U_DOLASKU!$H$6:$H$95,2)</f>
        <v>0</v>
      </c>
      <c r="M271" s="9" t="n">
        <f aca="false">SUMIFS(ROBA_U_DOLASKU!$B$6:$B$95,ROBA_U_DOLASKU!$A$6:$A$95,A271,ROBA_U_DOLASKU!$H$6:$H$95,2)</f>
        <v>0</v>
      </c>
      <c r="N271" s="9" t="n">
        <f aca="false">SUMIFS(ROBA_U_DOLASKU!$C$6:$C$95,ROBA_U_DOLASKU!$A$6:$A$95,A271,ROBA_U_DOLASKU!$H$6:$H$95,3)</f>
        <v>0</v>
      </c>
      <c r="O271" s="9" t="n">
        <f aca="false">SUMIFS(ROBA_U_DOLASKU!$B$6:$B$95,ROBA_U_DOLASKU!$A$6:$A$95,A271,ROBA_U_DOLASKU!$H$6:$H$95,3)</f>
        <v>0</v>
      </c>
      <c r="P271" s="9" t="n">
        <f aca="false">IF(H271&lt;=0,999,IF(O271&gt;0,ROUND((F271-H271*N271+K271+M271+O271)/H271,1),IF(M271&gt;0,ROUND((F271-H271*L271+K271+M271)/H271,1),IF(K271&gt;0,ROUND((F271-H271*J271+K271)/H271,1),I271))))</f>
        <v>11.6</v>
      </c>
      <c r="Q271" s="22" t="str">
        <f aca="false">IF(H271&lt;=0,"Nema prodaje",IF(AND(K271=0,M271=0,O271=0),IF(I271&lt;POSTAVKE!$B$6,"Naruči odmah","Sve u redu"),IF(F271-H271*J271&lt;0,"Rupa za ~"&amp;TEXT(I271,"0.0")&amp;" mj.",IF(AND(M271&gt;0,F271-H271*L271+K271&lt;0),"Rupa nakon 1. dolaska",IF(AND(O271&gt;0,F271-H271*N271+K271+M271&lt;0),"Rupa nakon 2. dolaska",IF(P271&lt;POSTAVKE!$B$6,"Količina nije dovoljna",IF(I271&gt;=POSTAVKE!$B$6,"Sve u redu","Stiže na vrijeme")))))))</f>
        <v>Sve u redu</v>
      </c>
      <c r="S271" s="23" t="n">
        <f aca="false">IFERROR(INDEX(PODACI_PRODAJA!B:B,MATCH($A271,PODACI_PRODAJA!$A:$A,0)),0)</f>
        <v>0</v>
      </c>
      <c r="T271" s="23" t="n">
        <f aca="false">IFERROR(INDEX(PODACI_PRODAJA!C:C,MATCH($A271,PODACI_PRODAJA!$A:$A,0)),0)</f>
        <v>1</v>
      </c>
      <c r="U271" s="23" t="n">
        <f aca="false">IFERROR(INDEX(PODACI_PRODAJA!D:D,MATCH($A271,PODACI_PRODAJA!$A:$A,0)),0)</f>
        <v>1</v>
      </c>
      <c r="V271" s="23" t="n">
        <f aca="false">IFERROR(INDEX(PODACI_PRODAJA!E:E,MATCH($A271,PODACI_PRODAJA!$A:$A,0)),0)</f>
        <v>0</v>
      </c>
      <c r="W271" s="23" t="n">
        <f aca="false">IFERROR(INDEX(PODACI_PRODAJA!F:F,MATCH($A271,PODACI_PRODAJA!$A:$A,0)),0)</f>
        <v>1</v>
      </c>
      <c r="X271" s="23" t="n">
        <f aca="false">IFERROR(INDEX(PODACI_PRODAJA!G:G,MATCH($A271,PODACI_PRODAJA!$A:$A,0)),0)</f>
        <v>7</v>
      </c>
      <c r="Y271" s="23" t="n">
        <f aca="false">IFERROR(INDEX(PODACI_PRODAJA!H:H,MATCH($A271,PODACI_PRODAJA!$A:$A,0)),0)</f>
        <v>3</v>
      </c>
      <c r="Z271" s="23" t="n">
        <f aca="false">IFERROR(INDEX(PODACI_PRODAJA!I:I,MATCH($A271,PODACI_PRODAJA!$A:$A,0)),0)</f>
        <v>7</v>
      </c>
      <c r="AA271" s="23" t="n">
        <f aca="false">IFERROR(INDEX(PODACI_PRODAJA!J:J,MATCH($A271,PODACI_PRODAJA!$A:$A,0)),0)</f>
        <v>0</v>
      </c>
      <c r="AB271" s="23" t="n">
        <f aca="false">IFERROR(INDEX(PODACI_PRODAJA!K:K,MATCH($A271,PODACI_PRODAJA!$A:$A,0)),0)</f>
        <v>0</v>
      </c>
      <c r="AC271" s="23" t="n">
        <f aca="false">IFERROR(INDEX(PODACI_PRODAJA!L:L,MATCH($A271,PODACI_PRODAJA!$A:$A,0)),0)</f>
        <v>0</v>
      </c>
      <c r="AD271" s="23" t="n">
        <f aca="false">IFERROR(INDEX(PODACI_PRODAJA!M:M,MATCH($A271,PODACI_PRODAJA!$A:$A,0)),0)</f>
        <v>0</v>
      </c>
    </row>
    <row r="272" customFormat="false" ht="15" hidden="false" customHeight="false" outlineLevel="0" collapsed="false">
      <c r="A272" s="11" t="str">
        <f aca="false">PODACI_ZALIHE!A269</f>
        <v>00517</v>
      </c>
      <c r="B272" s="8" t="str">
        <f aca="false">PODACI_ZALIHE!B269</f>
        <v>OGLEDALO GLB5 80x60 cm</v>
      </c>
      <c r="C272" s="9" t="str">
        <f aca="false">PODACI_ZALIHE!C269</f>
        <v>2515</v>
      </c>
      <c r="D272" s="8" t="str">
        <f aca="false">PODACI_ZALIHE!D269</f>
        <v>HANGZHOU ZHUGELAI JINGYI CO., LTD.</v>
      </c>
      <c r="E272" s="19" t="n">
        <f aca="false">IF(PODACI_ZALIHE!E269="","",PODACI_ZALIHE!E269)</f>
        <v>28</v>
      </c>
      <c r="F272" s="20" t="n">
        <f aca="false">PODACI_ZALIHE!F269</f>
        <v>28</v>
      </c>
      <c r="G272" s="19" t="n">
        <f aca="false">IF(E272="","",E272-F272)</f>
        <v>0</v>
      </c>
      <c r="H272" s="9" t="n">
        <f aca="false">PODACI_PRODAJA!N381</f>
        <v>0.13</v>
      </c>
      <c r="I272" s="21" t="n">
        <f aca="false">IF(H272&lt;=0,999,ROUND(F272/H272,1))</f>
        <v>215.4</v>
      </c>
      <c r="J272" s="9" t="n">
        <f aca="false">SUMIFS(ROBA_U_DOLASKU!$C$6:$C$95,ROBA_U_DOLASKU!$A$6:$A$95,A272,ROBA_U_DOLASKU!$H$6:$H$95,1)</f>
        <v>0</v>
      </c>
      <c r="K272" s="9" t="n">
        <f aca="false">SUMIFS(ROBA_U_DOLASKU!$B$6:$B$95,ROBA_U_DOLASKU!$A$6:$A$95,A272,ROBA_U_DOLASKU!$H$6:$H$95,1)</f>
        <v>0</v>
      </c>
      <c r="L272" s="9" t="n">
        <f aca="false">SUMIFS(ROBA_U_DOLASKU!$C$6:$C$95,ROBA_U_DOLASKU!$A$6:$A$95,A272,ROBA_U_DOLASKU!$H$6:$H$95,2)</f>
        <v>0</v>
      </c>
      <c r="M272" s="9" t="n">
        <f aca="false">SUMIFS(ROBA_U_DOLASKU!$B$6:$B$95,ROBA_U_DOLASKU!$A$6:$A$95,A272,ROBA_U_DOLASKU!$H$6:$H$95,2)</f>
        <v>0</v>
      </c>
      <c r="N272" s="9" t="n">
        <f aca="false">SUMIFS(ROBA_U_DOLASKU!$C$6:$C$95,ROBA_U_DOLASKU!$A$6:$A$95,A272,ROBA_U_DOLASKU!$H$6:$H$95,3)</f>
        <v>0</v>
      </c>
      <c r="O272" s="9" t="n">
        <f aca="false">SUMIFS(ROBA_U_DOLASKU!$B$6:$B$95,ROBA_U_DOLASKU!$A$6:$A$95,A272,ROBA_U_DOLASKU!$H$6:$H$95,3)</f>
        <v>0</v>
      </c>
      <c r="P272" s="9" t="n">
        <f aca="false">IF(H272&lt;=0,999,IF(O272&gt;0,ROUND((F272-H272*N272+K272+M272+O272)/H272,1),IF(M272&gt;0,ROUND((F272-H272*L272+K272+M272)/H272,1),IF(K272&gt;0,ROUND((F272-H272*J272+K272)/H272,1),I272))))</f>
        <v>215.4</v>
      </c>
      <c r="Q272" s="22" t="str">
        <f aca="false">IF(H272&lt;=0,"Nema prodaje",IF(AND(K272=0,M272=0,O272=0),IF(I272&lt;POSTAVKE!$B$6,"Naruči odmah","Sve u redu"),IF(F272-H272*J272&lt;0,"Rupa za ~"&amp;TEXT(I272,"0.0")&amp;" mj.",IF(AND(M272&gt;0,F272-H272*L272+K272&lt;0),"Rupa nakon 1. dolaska",IF(AND(O272&gt;0,F272-H272*N272+K272+M272&lt;0),"Rupa nakon 2. dolaska",IF(P272&lt;POSTAVKE!$B$6,"Količina nije dovoljna",IF(I272&gt;=POSTAVKE!$B$6,"Sve u redu","Stiže na vrijeme")))))))</f>
        <v>Sve u redu</v>
      </c>
      <c r="S272" s="23" t="n">
        <f aca="false">IFERROR(INDEX(PODACI_PRODAJA!B:B,MATCH($A272,PODACI_PRODAJA!$A:$A,0)),0)</f>
        <v>0</v>
      </c>
      <c r="T272" s="23" t="n">
        <f aca="false">IFERROR(INDEX(PODACI_PRODAJA!C:C,MATCH($A272,PODACI_PRODAJA!$A:$A,0)),0)</f>
        <v>0</v>
      </c>
      <c r="U272" s="23" t="n">
        <f aca="false">IFERROR(INDEX(PODACI_PRODAJA!D:D,MATCH($A272,PODACI_PRODAJA!$A:$A,0)),0)</f>
        <v>0</v>
      </c>
      <c r="V272" s="23" t="n">
        <f aca="false">IFERROR(INDEX(PODACI_PRODAJA!E:E,MATCH($A272,PODACI_PRODAJA!$A:$A,0)),0)</f>
        <v>0</v>
      </c>
      <c r="W272" s="23" t="n">
        <f aca="false">IFERROR(INDEX(PODACI_PRODAJA!F:F,MATCH($A272,PODACI_PRODAJA!$A:$A,0)),0)</f>
        <v>1</v>
      </c>
      <c r="X272" s="23" t="n">
        <f aca="false">IFERROR(INDEX(PODACI_PRODAJA!G:G,MATCH($A272,PODACI_PRODAJA!$A:$A,0)),0)</f>
        <v>0</v>
      </c>
      <c r="Y272" s="23" t="n">
        <f aca="false">IFERROR(INDEX(PODACI_PRODAJA!H:H,MATCH($A272,PODACI_PRODAJA!$A:$A,0)),0)</f>
        <v>0</v>
      </c>
      <c r="Z272" s="23" t="n">
        <f aca="false">IFERROR(INDEX(PODACI_PRODAJA!I:I,MATCH($A272,PODACI_PRODAJA!$A:$A,0)),0)</f>
        <v>0</v>
      </c>
      <c r="AA272" s="23" t="n">
        <f aca="false">IFERROR(INDEX(PODACI_PRODAJA!J:J,MATCH($A272,PODACI_PRODAJA!$A:$A,0)),0)</f>
        <v>0</v>
      </c>
      <c r="AB272" s="23" t="n">
        <f aca="false">IFERROR(INDEX(PODACI_PRODAJA!K:K,MATCH($A272,PODACI_PRODAJA!$A:$A,0)),0)</f>
        <v>0</v>
      </c>
      <c r="AC272" s="23" t="n">
        <f aca="false">IFERROR(INDEX(PODACI_PRODAJA!L:L,MATCH($A272,PODACI_PRODAJA!$A:$A,0)),0)</f>
        <v>0</v>
      </c>
      <c r="AD272" s="23" t="n">
        <f aca="false">IFERROR(INDEX(PODACI_PRODAJA!M:M,MATCH($A272,PODACI_PRODAJA!$A:$A,0)),0)</f>
        <v>0</v>
      </c>
    </row>
    <row r="273" customFormat="false" ht="15" hidden="false" customHeight="false" outlineLevel="0" collapsed="false">
      <c r="A273" s="11" t="str">
        <f aca="false">PODACI_ZALIHE!A270</f>
        <v>15007</v>
      </c>
      <c r="B273" s="8" t="str">
        <f aca="false">PODACI_ZALIHE!B270</f>
        <v>KUTNI PROFIL ZA PANELE 10 mm</v>
      </c>
      <c r="C273" s="9" t="n">
        <f aca="false">PODACI_ZALIHE!C270</f>
        <v>0</v>
      </c>
      <c r="D273" s="8" t="n">
        <f aca="false">PODACI_ZALIHE!D270</f>
        <v>0</v>
      </c>
      <c r="E273" s="19" t="n">
        <f aca="false">IF(PODACI_ZALIHE!E270="","",PODACI_ZALIHE!E270)</f>
        <v>28</v>
      </c>
      <c r="F273" s="20" t="n">
        <f aca="false">PODACI_ZALIHE!F270</f>
        <v>28</v>
      </c>
      <c r="G273" s="19" t="n">
        <f aca="false">IF(E273="","",E273-F273)</f>
        <v>0</v>
      </c>
      <c r="H273" s="9" t="n">
        <v>0</v>
      </c>
      <c r="I273" s="21" t="n">
        <f aca="false">IF(H273&lt;=0,999,ROUND(F273/H273,1))</f>
        <v>999</v>
      </c>
      <c r="J273" s="9" t="n">
        <f aca="false">SUMIFS(ROBA_U_DOLASKU!$C$6:$C$95,ROBA_U_DOLASKU!$A$6:$A$95,A273,ROBA_U_DOLASKU!$H$6:$H$95,1)</f>
        <v>0</v>
      </c>
      <c r="K273" s="9" t="n">
        <f aca="false">SUMIFS(ROBA_U_DOLASKU!$B$6:$B$95,ROBA_U_DOLASKU!$A$6:$A$95,A273,ROBA_U_DOLASKU!$H$6:$H$95,1)</f>
        <v>0</v>
      </c>
      <c r="L273" s="9" t="n">
        <f aca="false">SUMIFS(ROBA_U_DOLASKU!$C$6:$C$95,ROBA_U_DOLASKU!$A$6:$A$95,A273,ROBA_U_DOLASKU!$H$6:$H$95,2)</f>
        <v>0</v>
      </c>
      <c r="M273" s="9" t="n">
        <f aca="false">SUMIFS(ROBA_U_DOLASKU!$B$6:$B$95,ROBA_U_DOLASKU!$A$6:$A$95,A273,ROBA_U_DOLASKU!$H$6:$H$95,2)</f>
        <v>0</v>
      </c>
      <c r="N273" s="9" t="n">
        <f aca="false">SUMIFS(ROBA_U_DOLASKU!$C$6:$C$95,ROBA_U_DOLASKU!$A$6:$A$95,A273,ROBA_U_DOLASKU!$H$6:$H$95,3)</f>
        <v>0</v>
      </c>
      <c r="O273" s="9" t="n">
        <f aca="false">SUMIFS(ROBA_U_DOLASKU!$B$6:$B$95,ROBA_U_DOLASKU!$A$6:$A$95,A273,ROBA_U_DOLASKU!$H$6:$H$95,3)</f>
        <v>0</v>
      </c>
      <c r="P273" s="9" t="n">
        <f aca="false">IF(H273&lt;=0,999,IF(O273&gt;0,ROUND((F273-H273*N273+K273+M273+O273)/H273,1),IF(M273&gt;0,ROUND((F273-H273*L273+K273+M273)/H273,1),IF(K273&gt;0,ROUND((F273-H273*J273+K273)/H273,1),I273))))</f>
        <v>999</v>
      </c>
      <c r="Q273" s="22" t="str">
        <f aca="false">IF(H273&lt;=0,"Nema prodaje",IF(AND(K273=0,M273=0,O273=0),IF(I273&lt;POSTAVKE!$B$6,"Naruči odmah","Sve u redu"),IF(F273-H273*J273&lt;0,"Rupa za ~"&amp;TEXT(I273,"0.0")&amp;" mj.",IF(AND(M273&gt;0,F273-H273*L273+K273&lt;0),"Rupa nakon 1. dolaska",IF(AND(O273&gt;0,F273-H273*N273+K273+M273&lt;0),"Rupa nakon 2. dolaska",IF(P273&lt;POSTAVKE!$B$6,"Količina nije dovoljna",IF(I273&gt;=POSTAVKE!$B$6,"Sve u redu","Stiže na vrijeme")))))))</f>
        <v>Nema prodaje</v>
      </c>
      <c r="S273" s="23" t="n">
        <f aca="false">IFERROR(INDEX(PODACI_PRODAJA!B:B,MATCH($A273,PODACI_PRODAJA!$A:$A,0)),0)</f>
        <v>0</v>
      </c>
      <c r="T273" s="23" t="n">
        <f aca="false">IFERROR(INDEX(PODACI_PRODAJA!C:C,MATCH($A273,PODACI_PRODAJA!$A:$A,0)),0)</f>
        <v>0</v>
      </c>
      <c r="U273" s="23" t="n">
        <f aca="false">IFERROR(INDEX(PODACI_PRODAJA!D:D,MATCH($A273,PODACI_PRODAJA!$A:$A,0)),0)</f>
        <v>0</v>
      </c>
      <c r="V273" s="23" t="n">
        <f aca="false">IFERROR(INDEX(PODACI_PRODAJA!E:E,MATCH($A273,PODACI_PRODAJA!$A:$A,0)),0)</f>
        <v>0</v>
      </c>
      <c r="W273" s="23" t="n">
        <f aca="false">IFERROR(INDEX(PODACI_PRODAJA!F:F,MATCH($A273,PODACI_PRODAJA!$A:$A,0)),0)</f>
        <v>0</v>
      </c>
      <c r="X273" s="23" t="n">
        <f aca="false">IFERROR(INDEX(PODACI_PRODAJA!G:G,MATCH($A273,PODACI_PRODAJA!$A:$A,0)),0)</f>
        <v>0</v>
      </c>
      <c r="Y273" s="23" t="n">
        <f aca="false">IFERROR(INDEX(PODACI_PRODAJA!H:H,MATCH($A273,PODACI_PRODAJA!$A:$A,0)),0)</f>
        <v>0</v>
      </c>
      <c r="Z273" s="23" t="n">
        <f aca="false">IFERROR(INDEX(PODACI_PRODAJA!I:I,MATCH($A273,PODACI_PRODAJA!$A:$A,0)),0)</f>
        <v>0</v>
      </c>
      <c r="AA273" s="23" t="n">
        <f aca="false">IFERROR(INDEX(PODACI_PRODAJA!J:J,MATCH($A273,PODACI_PRODAJA!$A:$A,0)),0)</f>
        <v>0</v>
      </c>
      <c r="AB273" s="23" t="n">
        <f aca="false">IFERROR(INDEX(PODACI_PRODAJA!K:K,MATCH($A273,PODACI_PRODAJA!$A:$A,0)),0)</f>
        <v>0</v>
      </c>
      <c r="AC273" s="23" t="n">
        <f aca="false">IFERROR(INDEX(PODACI_PRODAJA!L:L,MATCH($A273,PODACI_PRODAJA!$A:$A,0)),0)</f>
        <v>0</v>
      </c>
      <c r="AD273" s="23" t="n">
        <f aca="false">IFERROR(INDEX(PODACI_PRODAJA!M:M,MATCH($A273,PODACI_PRODAJA!$A:$A,0)),0)</f>
        <v>0</v>
      </c>
    </row>
    <row r="274" customFormat="false" ht="15" hidden="false" customHeight="false" outlineLevel="0" collapsed="false">
      <c r="A274" s="11" t="str">
        <f aca="false">PODACI_ZALIHE!A271</f>
        <v>15222</v>
      </c>
      <c r="B274" s="8" t="str">
        <f aca="false">PODACI_ZALIHE!B271</f>
        <v>TK BLACK 90 POLUKRUŽNA TUŠ KABINA 90x90x195 cm</v>
      </c>
      <c r="C274" s="9" t="str">
        <f aca="false">PODACI_ZALIHE!C271</f>
        <v>4981</v>
      </c>
      <c r="D274" s="8" t="str">
        <f aca="false">PODACI_ZALIHE!D271</f>
        <v>HANGZHOU SUNLIGHT TRADE CO., LTD.</v>
      </c>
      <c r="E274" s="19" t="n">
        <f aca="false">IF(PODACI_ZALIHE!E271="","",PODACI_ZALIHE!E271)</f>
        <v>28</v>
      </c>
      <c r="F274" s="20" t="n">
        <f aca="false">PODACI_ZALIHE!F271</f>
        <v>28</v>
      </c>
      <c r="G274" s="19" t="n">
        <f aca="false">IF(E274="","",E274-F274)</f>
        <v>0</v>
      </c>
      <c r="H274" s="9" t="n">
        <f aca="false">PODACI_PRODAJA!N144</f>
        <v>2.13</v>
      </c>
      <c r="I274" s="21" t="n">
        <f aca="false">IF(H274&lt;=0,999,ROUND(F274/H274,1))</f>
        <v>13.1</v>
      </c>
      <c r="J274" s="9" t="n">
        <f aca="false">SUMIFS(ROBA_U_DOLASKU!$C$6:$C$95,ROBA_U_DOLASKU!$A$6:$A$95,A274,ROBA_U_DOLASKU!$H$6:$H$95,1)</f>
        <v>0</v>
      </c>
      <c r="K274" s="9" t="n">
        <f aca="false">SUMIFS(ROBA_U_DOLASKU!$B$6:$B$95,ROBA_U_DOLASKU!$A$6:$A$95,A274,ROBA_U_DOLASKU!$H$6:$H$95,1)</f>
        <v>0</v>
      </c>
      <c r="L274" s="9" t="n">
        <f aca="false">SUMIFS(ROBA_U_DOLASKU!$C$6:$C$95,ROBA_U_DOLASKU!$A$6:$A$95,A274,ROBA_U_DOLASKU!$H$6:$H$95,2)</f>
        <v>0</v>
      </c>
      <c r="M274" s="9" t="n">
        <f aca="false">SUMIFS(ROBA_U_DOLASKU!$B$6:$B$95,ROBA_U_DOLASKU!$A$6:$A$95,A274,ROBA_U_DOLASKU!$H$6:$H$95,2)</f>
        <v>0</v>
      </c>
      <c r="N274" s="9" t="n">
        <f aca="false">SUMIFS(ROBA_U_DOLASKU!$C$6:$C$95,ROBA_U_DOLASKU!$A$6:$A$95,A274,ROBA_U_DOLASKU!$H$6:$H$95,3)</f>
        <v>0</v>
      </c>
      <c r="O274" s="9" t="n">
        <f aca="false">SUMIFS(ROBA_U_DOLASKU!$B$6:$B$95,ROBA_U_DOLASKU!$A$6:$A$95,A274,ROBA_U_DOLASKU!$H$6:$H$95,3)</f>
        <v>0</v>
      </c>
      <c r="P274" s="9" t="n">
        <f aca="false">IF(H274&lt;=0,999,IF(O274&gt;0,ROUND((F274-H274*N274+K274+M274+O274)/H274,1),IF(M274&gt;0,ROUND((F274-H274*L274+K274+M274)/H274,1),IF(K274&gt;0,ROUND((F274-H274*J274+K274)/H274,1),I274))))</f>
        <v>13.1</v>
      </c>
      <c r="Q274" s="22" t="str">
        <f aca="false">IF(H274&lt;=0,"Nema prodaje",IF(AND(K274=0,M274=0,O274=0),IF(I274&lt;POSTAVKE!$B$6,"Naruči odmah","Sve u redu"),IF(F274-H274*J274&lt;0,"Rupa za ~"&amp;TEXT(I274,"0.0")&amp;" mj.",IF(AND(M274&gt;0,F274-H274*L274+K274&lt;0),"Rupa nakon 1. dolaska",IF(AND(O274&gt;0,F274-H274*N274+K274+M274&lt;0),"Rupa nakon 2. dolaska",IF(P274&lt;POSTAVKE!$B$6,"Količina nije dovoljna",IF(I274&gt;=POSTAVKE!$B$6,"Sve u redu","Stiže na vrijeme")))))))</f>
        <v>Sve u redu</v>
      </c>
      <c r="S274" s="23" t="n">
        <f aca="false">IFERROR(INDEX(PODACI_PRODAJA!B:B,MATCH($A274,PODACI_PRODAJA!$A:$A,0)),0)</f>
        <v>3</v>
      </c>
      <c r="T274" s="23" t="n">
        <f aca="false">IFERROR(INDEX(PODACI_PRODAJA!C:C,MATCH($A274,PODACI_PRODAJA!$A:$A,0)),0)</f>
        <v>3</v>
      </c>
      <c r="U274" s="23" t="n">
        <f aca="false">IFERROR(INDEX(PODACI_PRODAJA!D:D,MATCH($A274,PODACI_PRODAJA!$A:$A,0)),0)</f>
        <v>0</v>
      </c>
      <c r="V274" s="23" t="n">
        <f aca="false">IFERROR(INDEX(PODACI_PRODAJA!E:E,MATCH($A274,PODACI_PRODAJA!$A:$A,0)),0)</f>
        <v>2</v>
      </c>
      <c r="W274" s="23" t="n">
        <f aca="false">IFERROR(INDEX(PODACI_PRODAJA!F:F,MATCH($A274,PODACI_PRODAJA!$A:$A,0)),0)</f>
        <v>6</v>
      </c>
      <c r="X274" s="23" t="n">
        <f aca="false">IFERROR(INDEX(PODACI_PRODAJA!G:G,MATCH($A274,PODACI_PRODAJA!$A:$A,0)),0)</f>
        <v>0</v>
      </c>
      <c r="Y274" s="23" t="n">
        <f aca="false">IFERROR(INDEX(PODACI_PRODAJA!H:H,MATCH($A274,PODACI_PRODAJA!$A:$A,0)),0)</f>
        <v>0</v>
      </c>
      <c r="Z274" s="23" t="n">
        <f aca="false">IFERROR(INDEX(PODACI_PRODAJA!I:I,MATCH($A274,PODACI_PRODAJA!$A:$A,0)),0)</f>
        <v>3</v>
      </c>
      <c r="AA274" s="23" t="n">
        <f aca="false">IFERROR(INDEX(PODACI_PRODAJA!J:J,MATCH($A274,PODACI_PRODAJA!$A:$A,0)),0)</f>
        <v>0</v>
      </c>
      <c r="AB274" s="23" t="n">
        <f aca="false">IFERROR(INDEX(PODACI_PRODAJA!K:K,MATCH($A274,PODACI_PRODAJA!$A:$A,0)),0)</f>
        <v>0</v>
      </c>
      <c r="AC274" s="23" t="n">
        <f aca="false">IFERROR(INDEX(PODACI_PRODAJA!L:L,MATCH($A274,PODACI_PRODAJA!$A:$A,0)),0)</f>
        <v>0</v>
      </c>
      <c r="AD274" s="23" t="n">
        <f aca="false">IFERROR(INDEX(PODACI_PRODAJA!M:M,MATCH($A274,PODACI_PRODAJA!$A:$A,0)),0)</f>
        <v>0</v>
      </c>
    </row>
    <row r="275" customFormat="false" ht="15" hidden="false" customHeight="false" outlineLevel="0" collapsed="false">
      <c r="A275" s="11" t="str">
        <f aca="false">PODACI_ZALIHE!A272</f>
        <v>15223</v>
      </c>
      <c r="B275" s="8" t="str">
        <f aca="false">PODACI_ZALIHE!B272</f>
        <v>TK BLACK 80 KVADRATNA TUŠ KABINA 80x80x195 cm</v>
      </c>
      <c r="C275" s="9" t="str">
        <f aca="false">PODACI_ZALIHE!C272</f>
        <v>4981</v>
      </c>
      <c r="D275" s="8" t="str">
        <f aca="false">PODACI_ZALIHE!D272</f>
        <v>HANGZHOU SUNLIGHT TRADE CO., LTD.</v>
      </c>
      <c r="E275" s="19" t="n">
        <f aca="false">IF(PODACI_ZALIHE!E272="","",PODACI_ZALIHE!E272)</f>
        <v>28</v>
      </c>
      <c r="F275" s="20" t="n">
        <f aca="false">PODACI_ZALIHE!F272</f>
        <v>28</v>
      </c>
      <c r="G275" s="19" t="n">
        <f aca="false">IF(E275="","",E275-F275)</f>
        <v>0</v>
      </c>
      <c r="H275" s="9" t="n">
        <f aca="false">PODACI_PRODAJA!N231</f>
        <v>6.88</v>
      </c>
      <c r="I275" s="21" t="n">
        <f aca="false">IF(H275&lt;=0,999,ROUND(F275/H275,1))</f>
        <v>4.1</v>
      </c>
      <c r="J275" s="9" t="n">
        <f aca="false">SUMIFS(ROBA_U_DOLASKU!$C$6:$C$95,ROBA_U_DOLASKU!$A$6:$A$95,A275,ROBA_U_DOLASKU!$H$6:$H$95,1)</f>
        <v>0</v>
      </c>
      <c r="K275" s="9" t="n">
        <f aca="false">SUMIFS(ROBA_U_DOLASKU!$B$6:$B$95,ROBA_U_DOLASKU!$A$6:$A$95,A275,ROBA_U_DOLASKU!$H$6:$H$95,1)</f>
        <v>0</v>
      </c>
      <c r="L275" s="9" t="n">
        <f aca="false">SUMIFS(ROBA_U_DOLASKU!$C$6:$C$95,ROBA_U_DOLASKU!$A$6:$A$95,A275,ROBA_U_DOLASKU!$H$6:$H$95,2)</f>
        <v>0</v>
      </c>
      <c r="M275" s="9" t="n">
        <f aca="false">SUMIFS(ROBA_U_DOLASKU!$B$6:$B$95,ROBA_U_DOLASKU!$A$6:$A$95,A275,ROBA_U_DOLASKU!$H$6:$H$95,2)</f>
        <v>0</v>
      </c>
      <c r="N275" s="9" t="n">
        <f aca="false">SUMIFS(ROBA_U_DOLASKU!$C$6:$C$95,ROBA_U_DOLASKU!$A$6:$A$95,A275,ROBA_U_DOLASKU!$H$6:$H$95,3)</f>
        <v>0</v>
      </c>
      <c r="O275" s="9" t="n">
        <f aca="false">SUMIFS(ROBA_U_DOLASKU!$B$6:$B$95,ROBA_U_DOLASKU!$A$6:$A$95,A275,ROBA_U_DOLASKU!$H$6:$H$95,3)</f>
        <v>0</v>
      </c>
      <c r="P275" s="9" t="n">
        <f aca="false">IF(H275&lt;=0,999,IF(O275&gt;0,ROUND((F275-H275*N275+K275+M275+O275)/H275,1),IF(M275&gt;0,ROUND((F275-H275*L275+K275+M275)/H275,1),IF(K275&gt;0,ROUND((F275-H275*J275+K275)/H275,1),I275))))</f>
        <v>4.1</v>
      </c>
      <c r="Q275" s="22" t="str">
        <f aca="false">IF(H275&lt;=0,"Nema prodaje",IF(AND(K275=0,M275=0,O275=0),IF(I275&lt;POSTAVKE!$B$6,"Naruči odmah","Sve u redu"),IF(F275-H275*J275&lt;0,"Rupa za ~"&amp;TEXT(I275,"0.0")&amp;" mj.",IF(AND(M275&gt;0,F275-H275*L275+K275&lt;0),"Rupa nakon 1. dolaska",IF(AND(O275&gt;0,F275-H275*N275+K275+M275&lt;0),"Rupa nakon 2. dolaska",IF(P275&lt;POSTAVKE!$B$6,"Količina nije dovoljna",IF(I275&gt;=POSTAVKE!$B$6,"Sve u redu","Stiže na vrijeme")))))))</f>
        <v>Naruči odmah</v>
      </c>
      <c r="S275" s="23" t="n">
        <f aca="false">IFERROR(INDEX(PODACI_PRODAJA!B:B,MATCH($A275,PODACI_PRODAJA!$A:$A,0)),0)</f>
        <v>1</v>
      </c>
      <c r="T275" s="23" t="n">
        <f aca="false">IFERROR(INDEX(PODACI_PRODAJA!C:C,MATCH($A275,PODACI_PRODAJA!$A:$A,0)),0)</f>
        <v>10</v>
      </c>
      <c r="U275" s="23" t="n">
        <f aca="false">IFERROR(INDEX(PODACI_PRODAJA!D:D,MATCH($A275,PODACI_PRODAJA!$A:$A,0)),0)</f>
        <v>9</v>
      </c>
      <c r="V275" s="23" t="n">
        <f aca="false">IFERROR(INDEX(PODACI_PRODAJA!E:E,MATCH($A275,PODACI_PRODAJA!$A:$A,0)),0)</f>
        <v>5</v>
      </c>
      <c r="W275" s="23" t="n">
        <f aca="false">IFERROR(INDEX(PODACI_PRODAJA!F:F,MATCH($A275,PODACI_PRODAJA!$A:$A,0)),0)</f>
        <v>11</v>
      </c>
      <c r="X275" s="23" t="n">
        <f aca="false">IFERROR(INDEX(PODACI_PRODAJA!G:G,MATCH($A275,PODACI_PRODAJA!$A:$A,0)),0)</f>
        <v>10</v>
      </c>
      <c r="Y275" s="23" t="n">
        <f aca="false">IFERROR(INDEX(PODACI_PRODAJA!H:H,MATCH($A275,PODACI_PRODAJA!$A:$A,0)),0)</f>
        <v>5</v>
      </c>
      <c r="Z275" s="23" t="n">
        <f aca="false">IFERROR(INDEX(PODACI_PRODAJA!I:I,MATCH($A275,PODACI_PRODAJA!$A:$A,0)),0)</f>
        <v>4</v>
      </c>
      <c r="AA275" s="23" t="n">
        <f aca="false">IFERROR(INDEX(PODACI_PRODAJA!J:J,MATCH($A275,PODACI_PRODAJA!$A:$A,0)),0)</f>
        <v>0</v>
      </c>
      <c r="AB275" s="23" t="n">
        <f aca="false">IFERROR(INDEX(PODACI_PRODAJA!K:K,MATCH($A275,PODACI_PRODAJA!$A:$A,0)),0)</f>
        <v>0</v>
      </c>
      <c r="AC275" s="23" t="n">
        <f aca="false">IFERROR(INDEX(PODACI_PRODAJA!L:L,MATCH($A275,PODACI_PRODAJA!$A:$A,0)),0)</f>
        <v>0</v>
      </c>
      <c r="AD275" s="23" t="n">
        <f aca="false">IFERROR(INDEX(PODACI_PRODAJA!M:M,MATCH($A275,PODACI_PRODAJA!$A:$A,0)),0)</f>
        <v>0</v>
      </c>
    </row>
    <row r="276" customFormat="false" ht="15" hidden="false" customHeight="false" outlineLevel="0" collapsed="false">
      <c r="A276" s="11" t="str">
        <f aca="false">PODACI_ZALIHE!A273</f>
        <v>16091</v>
      </c>
      <c r="B276" s="8" t="str">
        <f aca="false">PODACI_ZALIHE!B273</f>
        <v>GL5808B TUŠ PANEL 140x22 cm</v>
      </c>
      <c r="C276" s="9" t="n">
        <f aca="false">PODACI_ZALIHE!C273</f>
        <v>0</v>
      </c>
      <c r="D276" s="8" t="n">
        <f aca="false">PODACI_ZALIHE!D273</f>
        <v>0</v>
      </c>
      <c r="E276" s="19" t="n">
        <f aca="false">IF(PODACI_ZALIHE!E273="","",PODACI_ZALIHE!E273)</f>
        <v>30</v>
      </c>
      <c r="F276" s="20" t="n">
        <f aca="false">PODACI_ZALIHE!F273</f>
        <v>28</v>
      </c>
      <c r="G276" s="19" t="n">
        <f aca="false">IF(E276="","",E276-F276)</f>
        <v>2</v>
      </c>
      <c r="H276" s="9" t="n">
        <f aca="false">PODACI_PRODAJA!N87</f>
        <v>3</v>
      </c>
      <c r="I276" s="21" t="n">
        <f aca="false">IF(H276&lt;=0,999,ROUND(F276/H276,1))</f>
        <v>9.3</v>
      </c>
      <c r="J276" s="9" t="n">
        <f aca="false">SUMIFS(ROBA_U_DOLASKU!$C$6:$C$95,ROBA_U_DOLASKU!$A$6:$A$95,A276,ROBA_U_DOLASKU!$H$6:$H$95,1)</f>
        <v>0</v>
      </c>
      <c r="K276" s="9" t="n">
        <f aca="false">SUMIFS(ROBA_U_DOLASKU!$B$6:$B$95,ROBA_U_DOLASKU!$A$6:$A$95,A276,ROBA_U_DOLASKU!$H$6:$H$95,1)</f>
        <v>0</v>
      </c>
      <c r="L276" s="9" t="n">
        <f aca="false">SUMIFS(ROBA_U_DOLASKU!$C$6:$C$95,ROBA_U_DOLASKU!$A$6:$A$95,A276,ROBA_U_DOLASKU!$H$6:$H$95,2)</f>
        <v>0</v>
      </c>
      <c r="M276" s="9" t="n">
        <f aca="false">SUMIFS(ROBA_U_DOLASKU!$B$6:$B$95,ROBA_U_DOLASKU!$A$6:$A$95,A276,ROBA_U_DOLASKU!$H$6:$H$95,2)</f>
        <v>0</v>
      </c>
      <c r="N276" s="9" t="n">
        <f aca="false">SUMIFS(ROBA_U_DOLASKU!$C$6:$C$95,ROBA_U_DOLASKU!$A$6:$A$95,A276,ROBA_U_DOLASKU!$H$6:$H$95,3)</f>
        <v>0</v>
      </c>
      <c r="O276" s="9" t="n">
        <f aca="false">SUMIFS(ROBA_U_DOLASKU!$B$6:$B$95,ROBA_U_DOLASKU!$A$6:$A$95,A276,ROBA_U_DOLASKU!$H$6:$H$95,3)</f>
        <v>0</v>
      </c>
      <c r="P276" s="9" t="n">
        <f aca="false">IF(H276&lt;=0,999,IF(O276&gt;0,ROUND((F276-H276*N276+K276+M276+O276)/H276,1),IF(M276&gt;0,ROUND((F276-H276*L276+K276+M276)/H276,1),IF(K276&gt;0,ROUND((F276-H276*J276+K276)/H276,1),I276))))</f>
        <v>9.3</v>
      </c>
      <c r="Q276" s="22" t="str">
        <f aca="false">IF(H276&lt;=0,"Nema prodaje",IF(AND(K276=0,M276=0,O276=0),IF(I276&lt;POSTAVKE!$B$6,"Naruči odmah","Sve u redu"),IF(F276-H276*J276&lt;0,"Rupa za ~"&amp;TEXT(I276,"0.0")&amp;" mj.",IF(AND(M276&gt;0,F276-H276*L276+K276&lt;0),"Rupa nakon 1. dolaska",IF(AND(O276&gt;0,F276-H276*N276+K276+M276&lt;0),"Rupa nakon 2. dolaska",IF(P276&lt;POSTAVKE!$B$6,"Količina nije dovoljna",IF(I276&gt;=POSTAVKE!$B$6,"Sve u redu","Stiže na vrijeme")))))))</f>
        <v>Sve u redu</v>
      </c>
      <c r="S276" s="23" t="n">
        <f aca="false">IFERROR(INDEX(PODACI_PRODAJA!B:B,MATCH($A276,PODACI_PRODAJA!$A:$A,0)),0)</f>
        <v>8</v>
      </c>
      <c r="T276" s="23" t="n">
        <f aca="false">IFERROR(INDEX(PODACI_PRODAJA!C:C,MATCH($A276,PODACI_PRODAJA!$A:$A,0)),0)</f>
        <v>3</v>
      </c>
      <c r="U276" s="23" t="n">
        <f aca="false">IFERROR(INDEX(PODACI_PRODAJA!D:D,MATCH($A276,PODACI_PRODAJA!$A:$A,0)),0)</f>
        <v>0</v>
      </c>
      <c r="V276" s="23" t="n">
        <f aca="false">IFERROR(INDEX(PODACI_PRODAJA!E:E,MATCH($A276,PODACI_PRODAJA!$A:$A,0)),0)</f>
        <v>4</v>
      </c>
      <c r="W276" s="23" t="n">
        <f aca="false">IFERROR(INDEX(PODACI_PRODAJA!F:F,MATCH($A276,PODACI_PRODAJA!$A:$A,0)),0)</f>
        <v>2</v>
      </c>
      <c r="X276" s="23" t="n">
        <f aca="false">IFERROR(INDEX(PODACI_PRODAJA!G:G,MATCH($A276,PODACI_PRODAJA!$A:$A,0)),0)</f>
        <v>5</v>
      </c>
      <c r="Y276" s="23" t="n">
        <f aca="false">IFERROR(INDEX(PODACI_PRODAJA!H:H,MATCH($A276,PODACI_PRODAJA!$A:$A,0)),0)</f>
        <v>0</v>
      </c>
      <c r="Z276" s="23" t="n">
        <f aca="false">IFERROR(INDEX(PODACI_PRODAJA!I:I,MATCH($A276,PODACI_PRODAJA!$A:$A,0)),0)</f>
        <v>2</v>
      </c>
      <c r="AA276" s="23" t="n">
        <f aca="false">IFERROR(INDEX(PODACI_PRODAJA!J:J,MATCH($A276,PODACI_PRODAJA!$A:$A,0)),0)</f>
        <v>2</v>
      </c>
      <c r="AB276" s="23" t="n">
        <f aca="false">IFERROR(INDEX(PODACI_PRODAJA!K:K,MATCH($A276,PODACI_PRODAJA!$A:$A,0)),0)</f>
        <v>0</v>
      </c>
      <c r="AC276" s="23" t="n">
        <f aca="false">IFERROR(INDEX(PODACI_PRODAJA!L:L,MATCH($A276,PODACI_PRODAJA!$A:$A,0)),0)</f>
        <v>0</v>
      </c>
      <c r="AD276" s="23" t="n">
        <f aca="false">IFERROR(INDEX(PODACI_PRODAJA!M:M,MATCH($A276,PODACI_PRODAJA!$A:$A,0)),0)</f>
        <v>0</v>
      </c>
    </row>
    <row r="277" customFormat="false" ht="15" hidden="false" customHeight="false" outlineLevel="0" collapsed="false">
      <c r="A277" s="11" t="str">
        <f aca="false">PODACI_ZALIHE!A274</f>
        <v>16857</v>
      </c>
      <c r="B277" s="8" t="str">
        <f aca="false">PODACI_ZALIHE!B274</f>
        <v>MONDO BLACK VISEĆA ŠKOLJKA S DASKOM  RIMLESS 490x370x370 mm</v>
      </c>
      <c r="C277" s="9" t="str">
        <f aca="false">PODACI_ZALIHE!C274</f>
        <v>6376</v>
      </c>
      <c r="D277" s="8" t="str">
        <f aca="false">PODACI_ZALIHE!D274</f>
        <v>CHAOZHOU CHAOAN YALAIER CERAMICS CO.,LTD</v>
      </c>
      <c r="E277" s="19" t="n">
        <f aca="false">IF(PODACI_ZALIHE!E274="","",PODACI_ZALIHE!E274)</f>
        <v>28</v>
      </c>
      <c r="F277" s="20" t="n">
        <f aca="false">PODACI_ZALIHE!F274</f>
        <v>28</v>
      </c>
      <c r="G277" s="19" t="n">
        <f aca="false">IF(E277="","",E277-F277)</f>
        <v>0</v>
      </c>
      <c r="H277" s="9" t="n">
        <f aca="false">PODACI_PRODAJA!N257</f>
        <v>1.13</v>
      </c>
      <c r="I277" s="21" t="n">
        <f aca="false">IF(H277&lt;=0,999,ROUND(F277/H277,1))</f>
        <v>24.8</v>
      </c>
      <c r="J277" s="9" t="n">
        <f aca="false">SUMIFS(ROBA_U_DOLASKU!$C$6:$C$95,ROBA_U_DOLASKU!$A$6:$A$95,A277,ROBA_U_DOLASKU!$H$6:$H$95,1)</f>
        <v>0</v>
      </c>
      <c r="K277" s="9" t="n">
        <f aca="false">SUMIFS(ROBA_U_DOLASKU!$B$6:$B$95,ROBA_U_DOLASKU!$A$6:$A$95,A277,ROBA_U_DOLASKU!$H$6:$H$95,1)</f>
        <v>0</v>
      </c>
      <c r="L277" s="9" t="n">
        <f aca="false">SUMIFS(ROBA_U_DOLASKU!$C$6:$C$95,ROBA_U_DOLASKU!$A$6:$A$95,A277,ROBA_U_DOLASKU!$H$6:$H$95,2)</f>
        <v>0</v>
      </c>
      <c r="M277" s="9" t="n">
        <f aca="false">SUMIFS(ROBA_U_DOLASKU!$B$6:$B$95,ROBA_U_DOLASKU!$A$6:$A$95,A277,ROBA_U_DOLASKU!$H$6:$H$95,2)</f>
        <v>0</v>
      </c>
      <c r="N277" s="9" t="n">
        <f aca="false">SUMIFS(ROBA_U_DOLASKU!$C$6:$C$95,ROBA_U_DOLASKU!$A$6:$A$95,A277,ROBA_U_DOLASKU!$H$6:$H$95,3)</f>
        <v>0</v>
      </c>
      <c r="O277" s="9" t="n">
        <f aca="false">SUMIFS(ROBA_U_DOLASKU!$B$6:$B$95,ROBA_U_DOLASKU!$A$6:$A$95,A277,ROBA_U_DOLASKU!$H$6:$H$95,3)</f>
        <v>0</v>
      </c>
      <c r="P277" s="9" t="n">
        <f aca="false">IF(H277&lt;=0,999,IF(O277&gt;0,ROUND((F277-H277*N277+K277+M277+O277)/H277,1),IF(M277&gt;0,ROUND((F277-H277*L277+K277+M277)/H277,1),IF(K277&gt;0,ROUND((F277-H277*J277+K277)/H277,1),I277))))</f>
        <v>24.8</v>
      </c>
      <c r="Q277" s="22" t="str">
        <f aca="false">IF(H277&lt;=0,"Nema prodaje",IF(AND(K277=0,M277=0,O277=0),IF(I277&lt;POSTAVKE!$B$6,"Naruči odmah","Sve u redu"),IF(F277-H277*J277&lt;0,"Rupa za ~"&amp;TEXT(I277,"0.0")&amp;" mj.",IF(AND(M277&gt;0,F277-H277*L277+K277&lt;0),"Rupa nakon 1. dolaska",IF(AND(O277&gt;0,F277-H277*N277+K277+M277&lt;0),"Rupa nakon 2. dolaska",IF(P277&lt;POSTAVKE!$B$6,"Količina nije dovoljna",IF(I277&gt;=POSTAVKE!$B$6,"Sve u redu","Stiže na vrijeme")))))))</f>
        <v>Sve u redu</v>
      </c>
      <c r="S277" s="23" t="n">
        <f aca="false">IFERROR(INDEX(PODACI_PRODAJA!B:B,MATCH($A277,PODACI_PRODAJA!$A:$A,0)),0)</f>
        <v>1</v>
      </c>
      <c r="T277" s="23" t="n">
        <f aca="false">IFERROR(INDEX(PODACI_PRODAJA!C:C,MATCH($A277,PODACI_PRODAJA!$A:$A,0)),0)</f>
        <v>1</v>
      </c>
      <c r="U277" s="23" t="n">
        <f aca="false">IFERROR(INDEX(PODACI_PRODAJA!D:D,MATCH($A277,PODACI_PRODAJA!$A:$A,0)),0)</f>
        <v>1</v>
      </c>
      <c r="V277" s="23" t="n">
        <f aca="false">IFERROR(INDEX(PODACI_PRODAJA!E:E,MATCH($A277,PODACI_PRODAJA!$A:$A,0)),0)</f>
        <v>1</v>
      </c>
      <c r="W277" s="23" t="n">
        <f aca="false">IFERROR(INDEX(PODACI_PRODAJA!F:F,MATCH($A277,PODACI_PRODAJA!$A:$A,0)),0)</f>
        <v>2</v>
      </c>
      <c r="X277" s="23" t="n">
        <f aca="false">IFERROR(INDEX(PODACI_PRODAJA!G:G,MATCH($A277,PODACI_PRODAJA!$A:$A,0)),0)</f>
        <v>1</v>
      </c>
      <c r="Y277" s="23" t="n">
        <f aca="false">IFERROR(INDEX(PODACI_PRODAJA!H:H,MATCH($A277,PODACI_PRODAJA!$A:$A,0)),0)</f>
        <v>1</v>
      </c>
      <c r="Z277" s="23" t="n">
        <f aca="false">IFERROR(INDEX(PODACI_PRODAJA!I:I,MATCH($A277,PODACI_PRODAJA!$A:$A,0)),0)</f>
        <v>1</v>
      </c>
      <c r="AA277" s="23" t="n">
        <f aca="false">IFERROR(INDEX(PODACI_PRODAJA!J:J,MATCH($A277,PODACI_PRODAJA!$A:$A,0)),0)</f>
        <v>0</v>
      </c>
      <c r="AB277" s="23" t="n">
        <f aca="false">IFERROR(INDEX(PODACI_PRODAJA!K:K,MATCH($A277,PODACI_PRODAJA!$A:$A,0)),0)</f>
        <v>0</v>
      </c>
      <c r="AC277" s="23" t="n">
        <f aca="false">IFERROR(INDEX(PODACI_PRODAJA!L:L,MATCH($A277,PODACI_PRODAJA!$A:$A,0)),0)</f>
        <v>0</v>
      </c>
      <c r="AD277" s="23" t="n">
        <f aca="false">IFERROR(INDEX(PODACI_PRODAJA!M:M,MATCH($A277,PODACI_PRODAJA!$A:$A,0)),0)</f>
        <v>0</v>
      </c>
    </row>
    <row r="278" customFormat="false" ht="15" hidden="false" customHeight="false" outlineLevel="0" collapsed="false">
      <c r="A278" s="11" t="str">
        <f aca="false">PODACI_ZALIHE!A275</f>
        <v>P15823</v>
      </c>
      <c r="B278" s="8" t="str">
        <f aca="false">PODACI_ZALIHE!B275</f>
        <v>BOLD LUX 90 PK MINERALSOLID TUŠ KADA BIJELA SJAJNA 900x900x30 mm</v>
      </c>
      <c r="C278" s="9" t="str">
        <f aca="false">PODACI_ZALIHE!C275</f>
        <v>5140</v>
      </c>
      <c r="D278" s="8" t="str">
        <f aca="false">PODACI_ZALIHE!D275</f>
        <v>GUANGDONG OCEAN SANITARY WARE CO., LTD.</v>
      </c>
      <c r="E278" s="19" t="n">
        <f aca="false">IF(PODACI_ZALIHE!E275="","",PODACI_ZALIHE!E275)</f>
        <v>32</v>
      </c>
      <c r="F278" s="20" t="n">
        <f aca="false">PODACI_ZALIHE!F275</f>
        <v>27</v>
      </c>
      <c r="G278" s="19" t="n">
        <f aca="false">IF(E278="","",E278-F278)</f>
        <v>5</v>
      </c>
      <c r="H278" s="9" t="n">
        <f aca="false">PODACI_PRODAJA!N324</f>
        <v>0.5</v>
      </c>
      <c r="I278" s="21" t="n">
        <f aca="false">IF(H278&lt;=0,999,ROUND(F278/H278,1))</f>
        <v>54</v>
      </c>
      <c r="J278" s="9" t="n">
        <f aca="false">SUMIFS(ROBA_U_DOLASKU!$C$6:$C$95,ROBA_U_DOLASKU!$A$6:$A$95,A278,ROBA_U_DOLASKU!$H$6:$H$95,1)</f>
        <v>0</v>
      </c>
      <c r="K278" s="9" t="n">
        <f aca="false">SUMIFS(ROBA_U_DOLASKU!$B$6:$B$95,ROBA_U_DOLASKU!$A$6:$A$95,A278,ROBA_U_DOLASKU!$H$6:$H$95,1)</f>
        <v>0</v>
      </c>
      <c r="L278" s="9" t="n">
        <f aca="false">SUMIFS(ROBA_U_DOLASKU!$C$6:$C$95,ROBA_U_DOLASKU!$A$6:$A$95,A278,ROBA_U_DOLASKU!$H$6:$H$95,2)</f>
        <v>0</v>
      </c>
      <c r="M278" s="9" t="n">
        <f aca="false">SUMIFS(ROBA_U_DOLASKU!$B$6:$B$95,ROBA_U_DOLASKU!$A$6:$A$95,A278,ROBA_U_DOLASKU!$H$6:$H$95,2)</f>
        <v>0</v>
      </c>
      <c r="N278" s="9" t="n">
        <f aca="false">SUMIFS(ROBA_U_DOLASKU!$C$6:$C$95,ROBA_U_DOLASKU!$A$6:$A$95,A278,ROBA_U_DOLASKU!$H$6:$H$95,3)</f>
        <v>0</v>
      </c>
      <c r="O278" s="9" t="n">
        <f aca="false">SUMIFS(ROBA_U_DOLASKU!$B$6:$B$95,ROBA_U_DOLASKU!$A$6:$A$95,A278,ROBA_U_DOLASKU!$H$6:$H$95,3)</f>
        <v>0</v>
      </c>
      <c r="P278" s="9" t="n">
        <f aca="false">IF(H278&lt;=0,999,IF(O278&gt;0,ROUND((F278-H278*N278+K278+M278+O278)/H278,1),IF(M278&gt;0,ROUND((F278-H278*L278+K278+M278)/H278,1),IF(K278&gt;0,ROUND((F278-H278*J278+K278)/H278,1),I278))))</f>
        <v>54</v>
      </c>
      <c r="Q278" s="22" t="str">
        <f aca="false">IF(H278&lt;=0,"Nema prodaje",IF(AND(K278=0,M278=0,O278=0),IF(I278&lt;POSTAVKE!$B$6,"Naruči odmah","Sve u redu"),IF(F278-H278*J278&lt;0,"Rupa za ~"&amp;TEXT(I278,"0.0")&amp;" mj.",IF(AND(M278&gt;0,F278-H278*L278+K278&lt;0),"Rupa nakon 1. dolaska",IF(AND(O278&gt;0,F278-H278*N278+K278+M278&lt;0),"Rupa nakon 2. dolaska",IF(P278&lt;POSTAVKE!$B$6,"Količina nije dovoljna",IF(I278&gt;=POSTAVKE!$B$6,"Sve u redu","Stiže na vrijeme")))))))</f>
        <v>Sve u redu</v>
      </c>
      <c r="S278" s="23" t="n">
        <f aca="false">IFERROR(INDEX(PODACI_PRODAJA!B:B,MATCH($A278,PODACI_PRODAJA!$A:$A,0)),0)</f>
        <v>0</v>
      </c>
      <c r="T278" s="23" t="n">
        <f aca="false">IFERROR(INDEX(PODACI_PRODAJA!C:C,MATCH($A278,PODACI_PRODAJA!$A:$A,0)),0)</f>
        <v>0</v>
      </c>
      <c r="U278" s="23" t="n">
        <f aca="false">IFERROR(INDEX(PODACI_PRODAJA!D:D,MATCH($A278,PODACI_PRODAJA!$A:$A,0)),0)</f>
        <v>0</v>
      </c>
      <c r="V278" s="23" t="n">
        <f aca="false">IFERROR(INDEX(PODACI_PRODAJA!E:E,MATCH($A278,PODACI_PRODAJA!$A:$A,0)),0)</f>
        <v>0</v>
      </c>
      <c r="W278" s="23" t="n">
        <f aca="false">IFERROR(INDEX(PODACI_PRODAJA!F:F,MATCH($A278,PODACI_PRODAJA!$A:$A,0)),0)</f>
        <v>0</v>
      </c>
      <c r="X278" s="23" t="n">
        <f aca="false">IFERROR(INDEX(PODACI_PRODAJA!G:G,MATCH($A278,PODACI_PRODAJA!$A:$A,0)),0)</f>
        <v>1</v>
      </c>
      <c r="Y278" s="23" t="n">
        <f aca="false">IFERROR(INDEX(PODACI_PRODAJA!H:H,MATCH($A278,PODACI_PRODAJA!$A:$A,0)),0)</f>
        <v>1</v>
      </c>
      <c r="Z278" s="23" t="n">
        <f aca="false">IFERROR(INDEX(PODACI_PRODAJA!I:I,MATCH($A278,PODACI_PRODAJA!$A:$A,0)),0)</f>
        <v>2</v>
      </c>
      <c r="AA278" s="23" t="n">
        <f aca="false">IFERROR(INDEX(PODACI_PRODAJA!J:J,MATCH($A278,PODACI_PRODAJA!$A:$A,0)),0)</f>
        <v>5</v>
      </c>
      <c r="AB278" s="23" t="n">
        <f aca="false">IFERROR(INDEX(PODACI_PRODAJA!K:K,MATCH($A278,PODACI_PRODAJA!$A:$A,0)),0)</f>
        <v>0</v>
      </c>
      <c r="AC278" s="23" t="n">
        <f aca="false">IFERROR(INDEX(PODACI_PRODAJA!L:L,MATCH($A278,PODACI_PRODAJA!$A:$A,0)),0)</f>
        <v>0</v>
      </c>
      <c r="AD278" s="23" t="n">
        <f aca="false">IFERROR(INDEX(PODACI_PRODAJA!M:M,MATCH($A278,PODACI_PRODAJA!$A:$A,0)),0)</f>
        <v>0</v>
      </c>
    </row>
    <row r="279" customFormat="false" ht="15" hidden="false" customHeight="false" outlineLevel="0" collapsed="false">
      <c r="A279" s="11" t="str">
        <f aca="false">PODACI_ZALIHE!A276</f>
        <v>15265</v>
      </c>
      <c r="B279" s="8" t="str">
        <f aca="false">PODACI_ZALIHE!B276</f>
        <v>TK MEIRA 7090 PRAVOKUTNA TUŠ KABINA 70x90x195 cm</v>
      </c>
      <c r="C279" s="9" t="str">
        <f aca="false">PODACI_ZALIHE!C276</f>
        <v>4328</v>
      </c>
      <c r="D279" s="8" t="str">
        <f aca="false">PODACI_ZALIHE!D276</f>
        <v>HANGZHOU DUHUI IMPORT AND EXPORT CO.,LTD</v>
      </c>
      <c r="E279" s="19" t="n">
        <f aca="false">IF(PODACI_ZALIHE!E276="","",PODACI_ZALIHE!E276)</f>
        <v>27</v>
      </c>
      <c r="F279" s="20" t="n">
        <f aca="false">PODACI_ZALIHE!F276</f>
        <v>27</v>
      </c>
      <c r="G279" s="19" t="n">
        <f aca="false">IF(E279="","",E279-F279)</f>
        <v>0</v>
      </c>
      <c r="H279" s="9" t="n">
        <f aca="false">PODACI_PRODAJA!N148</f>
        <v>1.63</v>
      </c>
      <c r="I279" s="21" t="n">
        <f aca="false">IF(H279&lt;=0,999,ROUND(F279/H279,1))</f>
        <v>16.6</v>
      </c>
      <c r="J279" s="9" t="n">
        <f aca="false">SUMIFS(ROBA_U_DOLASKU!$C$6:$C$95,ROBA_U_DOLASKU!$A$6:$A$95,A279,ROBA_U_DOLASKU!$H$6:$H$95,1)</f>
        <v>0</v>
      </c>
      <c r="K279" s="9" t="n">
        <f aca="false">SUMIFS(ROBA_U_DOLASKU!$B$6:$B$95,ROBA_U_DOLASKU!$A$6:$A$95,A279,ROBA_U_DOLASKU!$H$6:$H$95,1)</f>
        <v>0</v>
      </c>
      <c r="L279" s="9" t="n">
        <f aca="false">SUMIFS(ROBA_U_DOLASKU!$C$6:$C$95,ROBA_U_DOLASKU!$A$6:$A$95,A279,ROBA_U_DOLASKU!$H$6:$H$95,2)</f>
        <v>0</v>
      </c>
      <c r="M279" s="9" t="n">
        <f aca="false">SUMIFS(ROBA_U_DOLASKU!$B$6:$B$95,ROBA_U_DOLASKU!$A$6:$A$95,A279,ROBA_U_DOLASKU!$H$6:$H$95,2)</f>
        <v>0</v>
      </c>
      <c r="N279" s="9" t="n">
        <f aca="false">SUMIFS(ROBA_U_DOLASKU!$C$6:$C$95,ROBA_U_DOLASKU!$A$6:$A$95,A279,ROBA_U_DOLASKU!$H$6:$H$95,3)</f>
        <v>0</v>
      </c>
      <c r="O279" s="9" t="n">
        <f aca="false">SUMIFS(ROBA_U_DOLASKU!$B$6:$B$95,ROBA_U_DOLASKU!$A$6:$A$95,A279,ROBA_U_DOLASKU!$H$6:$H$95,3)</f>
        <v>0</v>
      </c>
      <c r="P279" s="9" t="n">
        <f aca="false">IF(H279&lt;=0,999,IF(O279&gt;0,ROUND((F279-H279*N279+K279+M279+O279)/H279,1),IF(M279&gt;0,ROUND((F279-H279*L279+K279+M279)/H279,1),IF(K279&gt;0,ROUND((F279-H279*J279+K279)/H279,1),I279))))</f>
        <v>16.6</v>
      </c>
      <c r="Q279" s="22" t="str">
        <f aca="false">IF(H279&lt;=0,"Nema prodaje",IF(AND(K279=0,M279=0,O279=0),IF(I279&lt;POSTAVKE!$B$6,"Naruči odmah","Sve u redu"),IF(F279-H279*J279&lt;0,"Rupa za ~"&amp;TEXT(I279,"0.0")&amp;" mj.",IF(AND(M279&gt;0,F279-H279*L279+K279&lt;0),"Rupa nakon 1. dolaska",IF(AND(O279&gt;0,F279-H279*N279+K279+M279&lt;0),"Rupa nakon 2. dolaska",IF(P279&lt;POSTAVKE!$B$6,"Količina nije dovoljna",IF(I279&gt;=POSTAVKE!$B$6,"Sve u redu","Stiže na vrijeme")))))))</f>
        <v>Sve u redu</v>
      </c>
      <c r="S279" s="23" t="n">
        <f aca="false">IFERROR(INDEX(PODACI_PRODAJA!B:B,MATCH($A279,PODACI_PRODAJA!$A:$A,0)),0)</f>
        <v>3</v>
      </c>
      <c r="T279" s="23" t="n">
        <f aca="false">IFERROR(INDEX(PODACI_PRODAJA!C:C,MATCH($A279,PODACI_PRODAJA!$A:$A,0)),0)</f>
        <v>1</v>
      </c>
      <c r="U279" s="23" t="n">
        <f aca="false">IFERROR(INDEX(PODACI_PRODAJA!D:D,MATCH($A279,PODACI_PRODAJA!$A:$A,0)),0)</f>
        <v>3</v>
      </c>
      <c r="V279" s="23" t="n">
        <f aca="false">IFERROR(INDEX(PODACI_PRODAJA!E:E,MATCH($A279,PODACI_PRODAJA!$A:$A,0)),0)</f>
        <v>0</v>
      </c>
      <c r="W279" s="23" t="n">
        <f aca="false">IFERROR(INDEX(PODACI_PRODAJA!F:F,MATCH($A279,PODACI_PRODAJA!$A:$A,0)),0)</f>
        <v>3</v>
      </c>
      <c r="X279" s="23" t="n">
        <f aca="false">IFERROR(INDEX(PODACI_PRODAJA!G:G,MATCH($A279,PODACI_PRODAJA!$A:$A,0)),0)</f>
        <v>0</v>
      </c>
      <c r="Y279" s="23" t="n">
        <f aca="false">IFERROR(INDEX(PODACI_PRODAJA!H:H,MATCH($A279,PODACI_PRODAJA!$A:$A,0)),0)</f>
        <v>3</v>
      </c>
      <c r="Z279" s="23" t="n">
        <f aca="false">IFERROR(INDEX(PODACI_PRODAJA!I:I,MATCH($A279,PODACI_PRODAJA!$A:$A,0)),0)</f>
        <v>0</v>
      </c>
      <c r="AA279" s="23" t="n">
        <f aca="false">IFERROR(INDEX(PODACI_PRODAJA!J:J,MATCH($A279,PODACI_PRODAJA!$A:$A,0)),0)</f>
        <v>0</v>
      </c>
      <c r="AB279" s="23" t="n">
        <f aca="false">IFERROR(INDEX(PODACI_PRODAJA!K:K,MATCH($A279,PODACI_PRODAJA!$A:$A,0)),0)</f>
        <v>0</v>
      </c>
      <c r="AC279" s="23" t="n">
        <f aca="false">IFERROR(INDEX(PODACI_PRODAJA!L:L,MATCH($A279,PODACI_PRODAJA!$A:$A,0)),0)</f>
        <v>0</v>
      </c>
      <c r="AD279" s="23" t="n">
        <f aca="false">IFERROR(INDEX(PODACI_PRODAJA!M:M,MATCH($A279,PODACI_PRODAJA!$A:$A,0)),0)</f>
        <v>0</v>
      </c>
    </row>
    <row r="280" customFormat="false" ht="15" hidden="false" customHeight="false" outlineLevel="0" collapsed="false">
      <c r="A280" s="11" t="str">
        <f aca="false">PODACI_ZALIHE!A277</f>
        <v>15365</v>
      </c>
      <c r="B280" s="8" t="str">
        <f aca="false">PODACI_ZALIHE!B277</f>
        <v>VETRO BLACK 110 TUŠ STIJENA 110x200 cm</v>
      </c>
      <c r="C280" s="9" t="str">
        <f aca="false">PODACI_ZALIHE!C277</f>
        <v>6762</v>
      </c>
      <c r="D280" s="8" t="str">
        <f aca="false">PODACI_ZALIHE!D277</f>
        <v>ZHEJIANG QUICKLINE SHOWERING CO., LTD.</v>
      </c>
      <c r="E280" s="19" t="n">
        <f aca="false">IF(PODACI_ZALIHE!E277="","",PODACI_ZALIHE!E277)</f>
        <v>27</v>
      </c>
      <c r="F280" s="20" t="n">
        <f aca="false">PODACI_ZALIHE!F277</f>
        <v>27</v>
      </c>
      <c r="G280" s="19" t="n">
        <f aca="false">IF(E280="","",E280-F280)</f>
        <v>0</v>
      </c>
      <c r="H280" s="9" t="n">
        <f aca="false">PODACI_PRODAJA!N185</f>
        <v>2.75</v>
      </c>
      <c r="I280" s="21" t="n">
        <f aca="false">IF(H280&lt;=0,999,ROUND(F280/H280,1))</f>
        <v>9.8</v>
      </c>
      <c r="J280" s="9" t="n">
        <f aca="false">SUMIFS(ROBA_U_DOLASKU!$C$6:$C$95,ROBA_U_DOLASKU!$A$6:$A$95,A280,ROBA_U_DOLASKU!$H$6:$H$95,1)</f>
        <v>0</v>
      </c>
      <c r="K280" s="9" t="n">
        <f aca="false">SUMIFS(ROBA_U_DOLASKU!$B$6:$B$95,ROBA_U_DOLASKU!$A$6:$A$95,A280,ROBA_U_DOLASKU!$H$6:$H$95,1)</f>
        <v>0</v>
      </c>
      <c r="L280" s="9" t="n">
        <f aca="false">SUMIFS(ROBA_U_DOLASKU!$C$6:$C$95,ROBA_U_DOLASKU!$A$6:$A$95,A280,ROBA_U_DOLASKU!$H$6:$H$95,2)</f>
        <v>0</v>
      </c>
      <c r="M280" s="9" t="n">
        <f aca="false">SUMIFS(ROBA_U_DOLASKU!$B$6:$B$95,ROBA_U_DOLASKU!$A$6:$A$95,A280,ROBA_U_DOLASKU!$H$6:$H$95,2)</f>
        <v>0</v>
      </c>
      <c r="N280" s="9" t="n">
        <f aca="false">SUMIFS(ROBA_U_DOLASKU!$C$6:$C$95,ROBA_U_DOLASKU!$A$6:$A$95,A280,ROBA_U_DOLASKU!$H$6:$H$95,3)</f>
        <v>0</v>
      </c>
      <c r="O280" s="9" t="n">
        <f aca="false">SUMIFS(ROBA_U_DOLASKU!$B$6:$B$95,ROBA_U_DOLASKU!$A$6:$A$95,A280,ROBA_U_DOLASKU!$H$6:$H$95,3)</f>
        <v>0</v>
      </c>
      <c r="P280" s="9" t="n">
        <f aca="false">IF(H280&lt;=0,999,IF(O280&gt;0,ROUND((F280-H280*N280+K280+M280+O280)/H280,1),IF(M280&gt;0,ROUND((F280-H280*L280+K280+M280)/H280,1),IF(K280&gt;0,ROUND((F280-H280*J280+K280)/H280,1),I280))))</f>
        <v>9.8</v>
      </c>
      <c r="Q280" s="22" t="str">
        <f aca="false">IF(H280&lt;=0,"Nema prodaje",IF(AND(K280=0,M280=0,O280=0),IF(I280&lt;POSTAVKE!$B$6,"Naruči odmah","Sve u redu"),IF(F280-H280*J280&lt;0,"Rupa za ~"&amp;TEXT(I280,"0.0")&amp;" mj.",IF(AND(M280&gt;0,F280-H280*L280+K280&lt;0),"Rupa nakon 1. dolaska",IF(AND(O280&gt;0,F280-H280*N280+K280+M280&lt;0),"Rupa nakon 2. dolaska",IF(P280&lt;POSTAVKE!$B$6,"Količina nije dovoljna",IF(I280&gt;=POSTAVKE!$B$6,"Sve u redu","Stiže na vrijeme")))))))</f>
        <v>Sve u redu</v>
      </c>
      <c r="S280" s="23" t="n">
        <f aca="false">IFERROR(INDEX(PODACI_PRODAJA!B:B,MATCH($A280,PODACI_PRODAJA!$A:$A,0)),0)</f>
        <v>2</v>
      </c>
      <c r="T280" s="23" t="n">
        <f aca="false">IFERROR(INDEX(PODACI_PRODAJA!C:C,MATCH($A280,PODACI_PRODAJA!$A:$A,0)),0)</f>
        <v>3</v>
      </c>
      <c r="U280" s="23" t="n">
        <f aca="false">IFERROR(INDEX(PODACI_PRODAJA!D:D,MATCH($A280,PODACI_PRODAJA!$A:$A,0)),0)</f>
        <v>1</v>
      </c>
      <c r="V280" s="23" t="n">
        <f aca="false">IFERROR(INDEX(PODACI_PRODAJA!E:E,MATCH($A280,PODACI_PRODAJA!$A:$A,0)),0)</f>
        <v>9</v>
      </c>
      <c r="W280" s="23" t="n">
        <f aca="false">IFERROR(INDEX(PODACI_PRODAJA!F:F,MATCH($A280,PODACI_PRODAJA!$A:$A,0)),0)</f>
        <v>0</v>
      </c>
      <c r="X280" s="23" t="n">
        <f aca="false">IFERROR(INDEX(PODACI_PRODAJA!G:G,MATCH($A280,PODACI_PRODAJA!$A:$A,0)),0)</f>
        <v>3</v>
      </c>
      <c r="Y280" s="23" t="n">
        <f aca="false">IFERROR(INDEX(PODACI_PRODAJA!H:H,MATCH($A280,PODACI_PRODAJA!$A:$A,0)),0)</f>
        <v>1</v>
      </c>
      <c r="Z280" s="23" t="n">
        <f aca="false">IFERROR(INDEX(PODACI_PRODAJA!I:I,MATCH($A280,PODACI_PRODAJA!$A:$A,0)),0)</f>
        <v>3</v>
      </c>
      <c r="AA280" s="23" t="n">
        <f aca="false">IFERROR(INDEX(PODACI_PRODAJA!J:J,MATCH($A280,PODACI_PRODAJA!$A:$A,0)),0)</f>
        <v>0</v>
      </c>
      <c r="AB280" s="23" t="n">
        <f aca="false">IFERROR(INDEX(PODACI_PRODAJA!K:K,MATCH($A280,PODACI_PRODAJA!$A:$A,0)),0)</f>
        <v>0</v>
      </c>
      <c r="AC280" s="23" t="n">
        <f aca="false">IFERROR(INDEX(PODACI_PRODAJA!L:L,MATCH($A280,PODACI_PRODAJA!$A:$A,0)),0)</f>
        <v>0</v>
      </c>
      <c r="AD280" s="23" t="n">
        <f aca="false">IFERROR(INDEX(PODACI_PRODAJA!M:M,MATCH($A280,PODACI_PRODAJA!$A:$A,0)),0)</f>
        <v>0</v>
      </c>
    </row>
    <row r="281" customFormat="false" ht="15" hidden="false" customHeight="false" outlineLevel="0" collapsed="false">
      <c r="A281" s="11" t="str">
        <f aca="false">PODACI_ZALIHE!A278</f>
        <v>15946</v>
      </c>
      <c r="B281" s="8" t="str">
        <f aca="false">PODACI_ZALIHE!B278</f>
        <v>VETRO STYLE 100 TUŠ STIJENA 100x200 cm</v>
      </c>
      <c r="C281" s="9" t="str">
        <f aca="false">PODACI_ZALIHE!C278</f>
        <v>6762</v>
      </c>
      <c r="D281" s="8" t="str">
        <f aca="false">PODACI_ZALIHE!D278</f>
        <v>ZHEJIANG QUICKLINE SHOWERING CO., LTD.</v>
      </c>
      <c r="E281" s="19" t="n">
        <f aca="false">IF(PODACI_ZALIHE!E278="","",PODACI_ZALIHE!E278)</f>
        <v>27</v>
      </c>
      <c r="F281" s="20" t="n">
        <f aca="false">PODACI_ZALIHE!F278</f>
        <v>27</v>
      </c>
      <c r="G281" s="19" t="n">
        <f aca="false">IF(E281="","",E281-F281)</f>
        <v>0</v>
      </c>
      <c r="H281" s="9" t="n">
        <f aca="false">PODACI_PRODAJA!N104</f>
        <v>3.38</v>
      </c>
      <c r="I281" s="21" t="n">
        <f aca="false">IF(H281&lt;=0,999,ROUND(F281/H281,1))</f>
        <v>8</v>
      </c>
      <c r="J281" s="9" t="n">
        <f aca="false">SUMIFS(ROBA_U_DOLASKU!$C$6:$C$95,ROBA_U_DOLASKU!$A$6:$A$95,A281,ROBA_U_DOLASKU!$H$6:$H$95,1)</f>
        <v>0</v>
      </c>
      <c r="K281" s="9" t="n">
        <f aca="false">SUMIFS(ROBA_U_DOLASKU!$B$6:$B$95,ROBA_U_DOLASKU!$A$6:$A$95,A281,ROBA_U_DOLASKU!$H$6:$H$95,1)</f>
        <v>0</v>
      </c>
      <c r="L281" s="9" t="n">
        <f aca="false">SUMIFS(ROBA_U_DOLASKU!$C$6:$C$95,ROBA_U_DOLASKU!$A$6:$A$95,A281,ROBA_U_DOLASKU!$H$6:$H$95,2)</f>
        <v>0</v>
      </c>
      <c r="M281" s="9" t="n">
        <f aca="false">SUMIFS(ROBA_U_DOLASKU!$B$6:$B$95,ROBA_U_DOLASKU!$A$6:$A$95,A281,ROBA_U_DOLASKU!$H$6:$H$95,2)</f>
        <v>0</v>
      </c>
      <c r="N281" s="9" t="n">
        <f aca="false">SUMIFS(ROBA_U_DOLASKU!$C$6:$C$95,ROBA_U_DOLASKU!$A$6:$A$95,A281,ROBA_U_DOLASKU!$H$6:$H$95,3)</f>
        <v>0</v>
      </c>
      <c r="O281" s="9" t="n">
        <f aca="false">SUMIFS(ROBA_U_DOLASKU!$B$6:$B$95,ROBA_U_DOLASKU!$A$6:$A$95,A281,ROBA_U_DOLASKU!$H$6:$H$95,3)</f>
        <v>0</v>
      </c>
      <c r="P281" s="9" t="n">
        <f aca="false">IF(H281&lt;=0,999,IF(O281&gt;0,ROUND((F281-H281*N281+K281+M281+O281)/H281,1),IF(M281&gt;0,ROUND((F281-H281*L281+K281+M281)/H281,1),IF(K281&gt;0,ROUND((F281-H281*J281+K281)/H281,1),I281))))</f>
        <v>8</v>
      </c>
      <c r="Q281" s="22" t="str">
        <f aca="false">IF(H281&lt;=0,"Nema prodaje",IF(AND(K281=0,M281=0,O281=0),IF(I281&lt;POSTAVKE!$B$6,"Naruči odmah","Sve u redu"),IF(F281-H281*J281&lt;0,"Rupa za ~"&amp;TEXT(I281,"0.0")&amp;" mj.",IF(AND(M281&gt;0,F281-H281*L281+K281&lt;0),"Rupa nakon 1. dolaska",IF(AND(O281&gt;0,F281-H281*N281+K281+M281&lt;0),"Rupa nakon 2. dolaska",IF(P281&lt;POSTAVKE!$B$6,"Količina nije dovoljna",IF(I281&gt;=POSTAVKE!$B$6,"Sve u redu","Stiže na vrijeme")))))))</f>
        <v>Sve u redu</v>
      </c>
      <c r="S281" s="23" t="n">
        <f aca="false">IFERROR(INDEX(PODACI_PRODAJA!B:B,MATCH($A281,PODACI_PRODAJA!$A:$A,0)),0)</f>
        <v>6</v>
      </c>
      <c r="T281" s="23" t="n">
        <f aca="false">IFERROR(INDEX(PODACI_PRODAJA!C:C,MATCH($A281,PODACI_PRODAJA!$A:$A,0)),0)</f>
        <v>4</v>
      </c>
      <c r="U281" s="23" t="n">
        <f aca="false">IFERROR(INDEX(PODACI_PRODAJA!D:D,MATCH($A281,PODACI_PRODAJA!$A:$A,0)),0)</f>
        <v>2</v>
      </c>
      <c r="V281" s="23" t="n">
        <f aca="false">IFERROR(INDEX(PODACI_PRODAJA!E:E,MATCH($A281,PODACI_PRODAJA!$A:$A,0)),0)</f>
        <v>3</v>
      </c>
      <c r="W281" s="23" t="n">
        <f aca="false">IFERROR(INDEX(PODACI_PRODAJA!F:F,MATCH($A281,PODACI_PRODAJA!$A:$A,0)),0)</f>
        <v>1</v>
      </c>
      <c r="X281" s="23" t="n">
        <f aca="false">IFERROR(INDEX(PODACI_PRODAJA!G:G,MATCH($A281,PODACI_PRODAJA!$A:$A,0)),0)</f>
        <v>2</v>
      </c>
      <c r="Y281" s="23" t="n">
        <f aca="false">IFERROR(INDEX(PODACI_PRODAJA!H:H,MATCH($A281,PODACI_PRODAJA!$A:$A,0)),0)</f>
        <v>8</v>
      </c>
      <c r="Z281" s="23" t="n">
        <f aca="false">IFERROR(INDEX(PODACI_PRODAJA!I:I,MATCH($A281,PODACI_PRODAJA!$A:$A,0)),0)</f>
        <v>1</v>
      </c>
      <c r="AA281" s="23" t="n">
        <f aca="false">IFERROR(INDEX(PODACI_PRODAJA!J:J,MATCH($A281,PODACI_PRODAJA!$A:$A,0)),0)</f>
        <v>0</v>
      </c>
      <c r="AB281" s="23" t="n">
        <f aca="false">IFERROR(INDEX(PODACI_PRODAJA!K:K,MATCH($A281,PODACI_PRODAJA!$A:$A,0)),0)</f>
        <v>0</v>
      </c>
      <c r="AC281" s="23" t="n">
        <f aca="false">IFERROR(INDEX(PODACI_PRODAJA!L:L,MATCH($A281,PODACI_PRODAJA!$A:$A,0)),0)</f>
        <v>0</v>
      </c>
      <c r="AD281" s="23" t="n">
        <f aca="false">IFERROR(INDEX(PODACI_PRODAJA!M:M,MATCH($A281,PODACI_PRODAJA!$A:$A,0)),0)</f>
        <v>0</v>
      </c>
    </row>
    <row r="282" customFormat="false" ht="15" hidden="false" customHeight="false" outlineLevel="0" collapsed="false">
      <c r="A282" s="11" t="str">
        <f aca="false">PODACI_ZALIHE!A279</f>
        <v>17227</v>
      </c>
      <c r="B282" s="8" t="str">
        <f aca="false">PODACI_ZALIHE!B279</f>
        <v>TK MALAGA 80120 BLACK PRAVOKUTNA TUŠ KABINA 80X120X195 cm</v>
      </c>
      <c r="C282" s="9" t="str">
        <f aca="false">PODACI_ZALIHE!C279</f>
        <v>6762</v>
      </c>
      <c r="D282" s="8" t="str">
        <f aca="false">PODACI_ZALIHE!D279</f>
        <v>ZHEJIANG QUICKLINE SHOWERING CO., LTD.</v>
      </c>
      <c r="E282" s="19" t="n">
        <f aca="false">IF(PODACI_ZALIHE!E279="","",PODACI_ZALIHE!E279)</f>
        <v>27</v>
      </c>
      <c r="F282" s="20" t="n">
        <f aca="false">PODACI_ZALIHE!F279</f>
        <v>27</v>
      </c>
      <c r="G282" s="19" t="n">
        <f aca="false">IF(E282="","",E282-F282)</f>
        <v>0</v>
      </c>
      <c r="H282" s="9" t="n">
        <f aca="false">PODACI_PRODAJA!N610</f>
        <v>0.25</v>
      </c>
      <c r="I282" s="21" t="n">
        <f aca="false">IF(H282&lt;=0,999,ROUND(F282/H282,1))</f>
        <v>108</v>
      </c>
      <c r="J282" s="9" t="n">
        <f aca="false">SUMIFS(ROBA_U_DOLASKU!$C$6:$C$95,ROBA_U_DOLASKU!$A$6:$A$95,A282,ROBA_U_DOLASKU!$H$6:$H$95,1)</f>
        <v>0</v>
      </c>
      <c r="K282" s="9" t="n">
        <f aca="false">SUMIFS(ROBA_U_DOLASKU!$B$6:$B$95,ROBA_U_DOLASKU!$A$6:$A$95,A282,ROBA_U_DOLASKU!$H$6:$H$95,1)</f>
        <v>0</v>
      </c>
      <c r="L282" s="9" t="n">
        <f aca="false">SUMIFS(ROBA_U_DOLASKU!$C$6:$C$95,ROBA_U_DOLASKU!$A$6:$A$95,A282,ROBA_U_DOLASKU!$H$6:$H$95,2)</f>
        <v>0</v>
      </c>
      <c r="M282" s="9" t="n">
        <f aca="false">SUMIFS(ROBA_U_DOLASKU!$B$6:$B$95,ROBA_U_DOLASKU!$A$6:$A$95,A282,ROBA_U_DOLASKU!$H$6:$H$95,2)</f>
        <v>0</v>
      </c>
      <c r="N282" s="9" t="n">
        <f aca="false">SUMIFS(ROBA_U_DOLASKU!$C$6:$C$95,ROBA_U_DOLASKU!$A$6:$A$95,A282,ROBA_U_DOLASKU!$H$6:$H$95,3)</f>
        <v>0</v>
      </c>
      <c r="O282" s="9" t="n">
        <f aca="false">SUMIFS(ROBA_U_DOLASKU!$B$6:$B$95,ROBA_U_DOLASKU!$A$6:$A$95,A282,ROBA_U_DOLASKU!$H$6:$H$95,3)</f>
        <v>0</v>
      </c>
      <c r="P282" s="9" t="n">
        <f aca="false">IF(H282&lt;=0,999,IF(O282&gt;0,ROUND((F282-H282*N282+K282+M282+O282)/H282,1),IF(M282&gt;0,ROUND((F282-H282*L282+K282+M282)/H282,1),IF(K282&gt;0,ROUND((F282-H282*J282+K282)/H282,1),I282))))</f>
        <v>108</v>
      </c>
      <c r="Q282" s="22" t="str">
        <f aca="false">IF(H282&lt;=0,"Nema prodaje",IF(AND(K282=0,M282=0,O282=0),IF(I282&lt;POSTAVKE!$B$6,"Naruči odmah","Sve u redu"),IF(F282-H282*J282&lt;0,"Rupa za ~"&amp;TEXT(I282,"0.0")&amp;" mj.",IF(AND(M282&gt;0,F282-H282*L282+K282&lt;0),"Rupa nakon 1. dolaska",IF(AND(O282&gt;0,F282-H282*N282+K282+M282&lt;0),"Rupa nakon 2. dolaska",IF(P282&lt;POSTAVKE!$B$6,"Količina nije dovoljna",IF(I282&gt;=POSTAVKE!$B$6,"Sve u redu","Stiže na vrijeme")))))))</f>
        <v>Sve u redu</v>
      </c>
      <c r="S282" s="23" t="n">
        <f aca="false">IFERROR(INDEX(PODACI_PRODAJA!B:B,MATCH($A282,PODACI_PRODAJA!$A:$A,0)),0)</f>
        <v>0</v>
      </c>
      <c r="T282" s="23" t="n">
        <f aca="false">IFERROR(INDEX(PODACI_PRODAJA!C:C,MATCH($A282,PODACI_PRODAJA!$A:$A,0)),0)</f>
        <v>0</v>
      </c>
      <c r="U282" s="23" t="n">
        <f aca="false">IFERROR(INDEX(PODACI_PRODAJA!D:D,MATCH($A282,PODACI_PRODAJA!$A:$A,0)),0)</f>
        <v>0</v>
      </c>
      <c r="V282" s="23" t="n">
        <f aca="false">IFERROR(INDEX(PODACI_PRODAJA!E:E,MATCH($A282,PODACI_PRODAJA!$A:$A,0)),0)</f>
        <v>1</v>
      </c>
      <c r="W282" s="23" t="n">
        <f aca="false">IFERROR(INDEX(PODACI_PRODAJA!F:F,MATCH($A282,PODACI_PRODAJA!$A:$A,0)),0)</f>
        <v>0</v>
      </c>
      <c r="X282" s="23" t="n">
        <f aca="false">IFERROR(INDEX(PODACI_PRODAJA!G:G,MATCH($A282,PODACI_PRODAJA!$A:$A,0)),0)</f>
        <v>0</v>
      </c>
      <c r="Y282" s="23" t="n">
        <f aca="false">IFERROR(INDEX(PODACI_PRODAJA!H:H,MATCH($A282,PODACI_PRODAJA!$A:$A,0)),0)</f>
        <v>1</v>
      </c>
      <c r="Z282" s="23" t="n">
        <f aca="false">IFERROR(INDEX(PODACI_PRODAJA!I:I,MATCH($A282,PODACI_PRODAJA!$A:$A,0)),0)</f>
        <v>0</v>
      </c>
      <c r="AA282" s="23" t="n">
        <f aca="false">IFERROR(INDEX(PODACI_PRODAJA!J:J,MATCH($A282,PODACI_PRODAJA!$A:$A,0)),0)</f>
        <v>0</v>
      </c>
      <c r="AB282" s="23" t="n">
        <f aca="false">IFERROR(INDEX(PODACI_PRODAJA!K:K,MATCH($A282,PODACI_PRODAJA!$A:$A,0)),0)</f>
        <v>0</v>
      </c>
      <c r="AC282" s="23" t="n">
        <f aca="false">IFERROR(INDEX(PODACI_PRODAJA!L:L,MATCH($A282,PODACI_PRODAJA!$A:$A,0)),0)</f>
        <v>0</v>
      </c>
      <c r="AD282" s="23" t="n">
        <f aca="false">IFERROR(INDEX(PODACI_PRODAJA!M:M,MATCH($A282,PODACI_PRODAJA!$A:$A,0)),0)</f>
        <v>0</v>
      </c>
    </row>
    <row r="283" customFormat="false" ht="15" hidden="false" customHeight="false" outlineLevel="0" collapsed="false">
      <c r="A283" s="11" t="str">
        <f aca="false">PODACI_ZALIHE!A280</f>
        <v>18563</v>
      </c>
      <c r="B283" s="8" t="str">
        <f aca="false">PODACI_ZALIHE!B280</f>
        <v>PURE 80 PANEL ZA TUŠ KABINU 80x200cm</v>
      </c>
      <c r="C283" s="9" t="str">
        <f aca="false">PODACI_ZALIHE!C280</f>
        <v>6762</v>
      </c>
      <c r="D283" s="8" t="str">
        <f aca="false">PODACI_ZALIHE!D280</f>
        <v>ZHEJIANG QUICKLINE SHOWERING CO., LTD.</v>
      </c>
      <c r="E283" s="19" t="n">
        <f aca="false">IF(PODACI_ZALIHE!E280="","",PODACI_ZALIHE!E280)</f>
        <v>27</v>
      </c>
      <c r="F283" s="20" t="n">
        <f aca="false">PODACI_ZALIHE!F280</f>
        <v>27</v>
      </c>
      <c r="G283" s="19" t="n">
        <f aca="false">IF(E283="","",E283-F283)</f>
        <v>0</v>
      </c>
      <c r="H283" s="9" t="n">
        <f aca="false">PODACI_PRODAJA!N673</f>
        <v>1.25</v>
      </c>
      <c r="I283" s="21" t="n">
        <f aca="false">IF(H283&lt;=0,999,ROUND(F283/H283,1))</f>
        <v>21.6</v>
      </c>
      <c r="J283" s="9" t="n">
        <f aca="false">SUMIFS(ROBA_U_DOLASKU!$C$6:$C$95,ROBA_U_DOLASKU!$A$6:$A$95,A283,ROBA_U_DOLASKU!$H$6:$H$95,1)</f>
        <v>0</v>
      </c>
      <c r="K283" s="9" t="n">
        <f aca="false">SUMIFS(ROBA_U_DOLASKU!$B$6:$B$95,ROBA_U_DOLASKU!$A$6:$A$95,A283,ROBA_U_DOLASKU!$H$6:$H$95,1)</f>
        <v>0</v>
      </c>
      <c r="L283" s="9" t="n">
        <f aca="false">SUMIFS(ROBA_U_DOLASKU!$C$6:$C$95,ROBA_U_DOLASKU!$A$6:$A$95,A283,ROBA_U_DOLASKU!$H$6:$H$95,2)</f>
        <v>0</v>
      </c>
      <c r="M283" s="9" t="n">
        <f aca="false">SUMIFS(ROBA_U_DOLASKU!$B$6:$B$95,ROBA_U_DOLASKU!$A$6:$A$95,A283,ROBA_U_DOLASKU!$H$6:$H$95,2)</f>
        <v>0</v>
      </c>
      <c r="N283" s="9" t="n">
        <f aca="false">SUMIFS(ROBA_U_DOLASKU!$C$6:$C$95,ROBA_U_DOLASKU!$A$6:$A$95,A283,ROBA_U_DOLASKU!$H$6:$H$95,3)</f>
        <v>0</v>
      </c>
      <c r="O283" s="9" t="n">
        <f aca="false">SUMIFS(ROBA_U_DOLASKU!$B$6:$B$95,ROBA_U_DOLASKU!$A$6:$A$95,A283,ROBA_U_DOLASKU!$H$6:$H$95,3)</f>
        <v>0</v>
      </c>
      <c r="P283" s="9" t="n">
        <f aca="false">IF(H283&lt;=0,999,IF(O283&gt;0,ROUND((F283-H283*N283+K283+M283+O283)/H283,1),IF(M283&gt;0,ROUND((F283-H283*L283+K283+M283)/H283,1),IF(K283&gt;0,ROUND((F283-H283*J283+K283)/H283,1),I283))))</f>
        <v>21.6</v>
      </c>
      <c r="Q283" s="22" t="str">
        <f aca="false">IF(H283&lt;=0,"Nema prodaje",IF(AND(K283=0,M283=0,O283=0),IF(I283&lt;POSTAVKE!$B$6,"Naruči odmah","Sve u redu"),IF(F283-H283*J283&lt;0,"Rupa za ~"&amp;TEXT(I283,"0.0")&amp;" mj.",IF(AND(M283&gt;0,F283-H283*L283+K283&lt;0),"Rupa nakon 1. dolaska",IF(AND(O283&gt;0,F283-H283*N283+K283+M283&lt;0),"Rupa nakon 2. dolaska",IF(P283&lt;POSTAVKE!$B$6,"Količina nije dovoljna",IF(I283&gt;=POSTAVKE!$B$6,"Sve u redu","Stiže na vrijeme")))))))</f>
        <v>Sve u redu</v>
      </c>
      <c r="S283" s="23" t="n">
        <f aca="false">IFERROR(INDEX(PODACI_PRODAJA!B:B,MATCH($A283,PODACI_PRODAJA!$A:$A,0)),0)</f>
        <v>0</v>
      </c>
      <c r="T283" s="23" t="n">
        <f aca="false">IFERROR(INDEX(PODACI_PRODAJA!C:C,MATCH($A283,PODACI_PRODAJA!$A:$A,0)),0)</f>
        <v>0</v>
      </c>
      <c r="U283" s="23" t="n">
        <f aca="false">IFERROR(INDEX(PODACI_PRODAJA!D:D,MATCH($A283,PODACI_PRODAJA!$A:$A,0)),0)</f>
        <v>2</v>
      </c>
      <c r="V283" s="23" t="n">
        <f aca="false">IFERROR(INDEX(PODACI_PRODAJA!E:E,MATCH($A283,PODACI_PRODAJA!$A:$A,0)),0)</f>
        <v>5</v>
      </c>
      <c r="W283" s="23" t="n">
        <f aca="false">IFERROR(INDEX(PODACI_PRODAJA!F:F,MATCH($A283,PODACI_PRODAJA!$A:$A,0)),0)</f>
        <v>1</v>
      </c>
      <c r="X283" s="23" t="n">
        <f aca="false">IFERROR(INDEX(PODACI_PRODAJA!G:G,MATCH($A283,PODACI_PRODAJA!$A:$A,0)),0)</f>
        <v>2</v>
      </c>
      <c r="Y283" s="23" t="n">
        <f aca="false">IFERROR(INDEX(PODACI_PRODAJA!H:H,MATCH($A283,PODACI_PRODAJA!$A:$A,0)),0)</f>
        <v>0</v>
      </c>
      <c r="Z283" s="23" t="n">
        <f aca="false">IFERROR(INDEX(PODACI_PRODAJA!I:I,MATCH($A283,PODACI_PRODAJA!$A:$A,0)),0)</f>
        <v>0</v>
      </c>
      <c r="AA283" s="23" t="n">
        <f aca="false">IFERROR(INDEX(PODACI_PRODAJA!J:J,MATCH($A283,PODACI_PRODAJA!$A:$A,0)),0)</f>
        <v>0</v>
      </c>
      <c r="AB283" s="23" t="n">
        <f aca="false">IFERROR(INDEX(PODACI_PRODAJA!K:K,MATCH($A283,PODACI_PRODAJA!$A:$A,0)),0)</f>
        <v>0</v>
      </c>
      <c r="AC283" s="23" t="n">
        <f aca="false">IFERROR(INDEX(PODACI_PRODAJA!L:L,MATCH($A283,PODACI_PRODAJA!$A:$A,0)),0)</f>
        <v>0</v>
      </c>
      <c r="AD283" s="23" t="n">
        <f aca="false">IFERROR(INDEX(PODACI_PRODAJA!M:M,MATCH($A283,PODACI_PRODAJA!$A:$A,0)),0)</f>
        <v>0</v>
      </c>
    </row>
    <row r="284" customFormat="false" ht="15" hidden="false" customHeight="false" outlineLevel="0" collapsed="false">
      <c r="A284" s="11" t="str">
        <f aca="false">PODACI_ZALIHE!A281</f>
        <v>18564</v>
      </c>
      <c r="B284" s="8" t="str">
        <f aca="false">PODACI_ZALIHE!B281</f>
        <v>PURE 90 PANEL ZA TUŠ KABINU 90x200cm</v>
      </c>
      <c r="C284" s="9" t="str">
        <f aca="false">PODACI_ZALIHE!C281</f>
        <v>6762</v>
      </c>
      <c r="D284" s="8" t="str">
        <f aca="false">PODACI_ZALIHE!D281</f>
        <v>ZHEJIANG QUICKLINE SHOWERING CO., LTD.</v>
      </c>
      <c r="E284" s="19" t="n">
        <f aca="false">IF(PODACI_ZALIHE!E281="","",PODACI_ZALIHE!E281)</f>
        <v>28</v>
      </c>
      <c r="F284" s="20" t="n">
        <f aca="false">PODACI_ZALIHE!F281</f>
        <v>27</v>
      </c>
      <c r="G284" s="19" t="n">
        <f aca="false">IF(E284="","",E284-F284)</f>
        <v>1</v>
      </c>
      <c r="H284" s="9" t="n">
        <f aca="false">PODACI_PRODAJA!N674</f>
        <v>1.5</v>
      </c>
      <c r="I284" s="21" t="n">
        <f aca="false">IF(H284&lt;=0,999,ROUND(F284/H284,1))</f>
        <v>18</v>
      </c>
      <c r="J284" s="9" t="n">
        <f aca="false">SUMIFS(ROBA_U_DOLASKU!$C$6:$C$95,ROBA_U_DOLASKU!$A$6:$A$95,A284,ROBA_U_DOLASKU!$H$6:$H$95,1)</f>
        <v>0</v>
      </c>
      <c r="K284" s="9" t="n">
        <f aca="false">SUMIFS(ROBA_U_DOLASKU!$B$6:$B$95,ROBA_U_DOLASKU!$A$6:$A$95,A284,ROBA_U_DOLASKU!$H$6:$H$95,1)</f>
        <v>0</v>
      </c>
      <c r="L284" s="9" t="n">
        <f aca="false">SUMIFS(ROBA_U_DOLASKU!$C$6:$C$95,ROBA_U_DOLASKU!$A$6:$A$95,A284,ROBA_U_DOLASKU!$H$6:$H$95,2)</f>
        <v>0</v>
      </c>
      <c r="M284" s="9" t="n">
        <f aca="false">SUMIFS(ROBA_U_DOLASKU!$B$6:$B$95,ROBA_U_DOLASKU!$A$6:$A$95,A284,ROBA_U_DOLASKU!$H$6:$H$95,2)</f>
        <v>0</v>
      </c>
      <c r="N284" s="9" t="n">
        <f aca="false">SUMIFS(ROBA_U_DOLASKU!$C$6:$C$95,ROBA_U_DOLASKU!$A$6:$A$95,A284,ROBA_U_DOLASKU!$H$6:$H$95,3)</f>
        <v>0</v>
      </c>
      <c r="O284" s="9" t="n">
        <f aca="false">SUMIFS(ROBA_U_DOLASKU!$B$6:$B$95,ROBA_U_DOLASKU!$A$6:$A$95,A284,ROBA_U_DOLASKU!$H$6:$H$95,3)</f>
        <v>0</v>
      </c>
      <c r="P284" s="9" t="n">
        <f aca="false">IF(H284&lt;=0,999,IF(O284&gt;0,ROUND((F284-H284*N284+K284+M284+O284)/H284,1),IF(M284&gt;0,ROUND((F284-H284*L284+K284+M284)/H284,1),IF(K284&gt;0,ROUND((F284-H284*J284+K284)/H284,1),I284))))</f>
        <v>18</v>
      </c>
      <c r="Q284" s="22" t="str">
        <f aca="false">IF(H284&lt;=0,"Nema prodaje",IF(AND(K284=0,M284=0,O284=0),IF(I284&lt;POSTAVKE!$B$6,"Naruči odmah","Sve u redu"),IF(F284-H284*J284&lt;0,"Rupa za ~"&amp;TEXT(I284,"0.0")&amp;" mj.",IF(AND(M284&gt;0,F284-H284*L284+K284&lt;0),"Rupa nakon 1. dolaska",IF(AND(O284&gt;0,F284-H284*N284+K284+M284&lt;0),"Rupa nakon 2. dolaska",IF(P284&lt;POSTAVKE!$B$6,"Količina nije dovoljna",IF(I284&gt;=POSTAVKE!$B$6,"Sve u redu","Stiže na vrijeme")))))))</f>
        <v>Sve u redu</v>
      </c>
      <c r="S284" s="23" t="n">
        <f aca="false">IFERROR(INDEX(PODACI_PRODAJA!B:B,MATCH($A284,PODACI_PRODAJA!$A:$A,0)),0)</f>
        <v>0</v>
      </c>
      <c r="T284" s="23" t="n">
        <f aca="false">IFERROR(INDEX(PODACI_PRODAJA!C:C,MATCH($A284,PODACI_PRODAJA!$A:$A,0)),0)</f>
        <v>1</v>
      </c>
      <c r="U284" s="23" t="n">
        <f aca="false">IFERROR(INDEX(PODACI_PRODAJA!D:D,MATCH($A284,PODACI_PRODAJA!$A:$A,0)),0)</f>
        <v>1</v>
      </c>
      <c r="V284" s="23" t="n">
        <f aca="false">IFERROR(INDEX(PODACI_PRODAJA!E:E,MATCH($A284,PODACI_PRODAJA!$A:$A,0)),0)</f>
        <v>1</v>
      </c>
      <c r="W284" s="23" t="n">
        <f aca="false">IFERROR(INDEX(PODACI_PRODAJA!F:F,MATCH($A284,PODACI_PRODAJA!$A:$A,0)),0)</f>
        <v>3</v>
      </c>
      <c r="X284" s="23" t="n">
        <f aca="false">IFERROR(INDEX(PODACI_PRODAJA!G:G,MATCH($A284,PODACI_PRODAJA!$A:$A,0)),0)</f>
        <v>2</v>
      </c>
      <c r="Y284" s="23" t="n">
        <f aca="false">IFERROR(INDEX(PODACI_PRODAJA!H:H,MATCH($A284,PODACI_PRODAJA!$A:$A,0)),0)</f>
        <v>3</v>
      </c>
      <c r="Z284" s="23" t="n">
        <f aca="false">IFERROR(INDEX(PODACI_PRODAJA!I:I,MATCH($A284,PODACI_PRODAJA!$A:$A,0)),0)</f>
        <v>1</v>
      </c>
      <c r="AA284" s="23" t="n">
        <f aca="false">IFERROR(INDEX(PODACI_PRODAJA!J:J,MATCH($A284,PODACI_PRODAJA!$A:$A,0)),0)</f>
        <v>0</v>
      </c>
      <c r="AB284" s="23" t="n">
        <f aca="false">IFERROR(INDEX(PODACI_PRODAJA!K:K,MATCH($A284,PODACI_PRODAJA!$A:$A,0)),0)</f>
        <v>0</v>
      </c>
      <c r="AC284" s="23" t="n">
        <f aca="false">IFERROR(INDEX(PODACI_PRODAJA!L:L,MATCH($A284,PODACI_PRODAJA!$A:$A,0)),0)</f>
        <v>0</v>
      </c>
      <c r="AD284" s="23" t="n">
        <f aca="false">IFERROR(INDEX(PODACI_PRODAJA!M:M,MATCH($A284,PODACI_PRODAJA!$A:$A,0)),0)</f>
        <v>0</v>
      </c>
    </row>
    <row r="285" customFormat="false" ht="15" hidden="false" customHeight="false" outlineLevel="0" collapsed="false">
      <c r="A285" s="11" t="str">
        <f aca="false">PODACI_ZALIHE!A282</f>
        <v>00846</v>
      </c>
      <c r="B285" s="8" t="str">
        <f aca="false">PODACI_ZALIHE!B282</f>
        <v>GL00069 NASTAVAK ZA SIMPLON EKSCENTRIČNI 50 mm</v>
      </c>
      <c r="C285" s="9" t="str">
        <f aca="false">PODACI_ZALIHE!C282</f>
        <v>3291</v>
      </c>
      <c r="D285" s="8" t="str">
        <f aca="false">PODACI_ZALIHE!D282</f>
        <v>TEHNOEXPORT D.O.O.</v>
      </c>
      <c r="E285" s="19" t="n">
        <f aca="false">IF(PODACI_ZALIHE!E282="","",PODACI_ZALIHE!E282)</f>
        <v>26</v>
      </c>
      <c r="F285" s="20" t="n">
        <f aca="false">PODACI_ZALIHE!F282</f>
        <v>26</v>
      </c>
      <c r="G285" s="19" t="n">
        <f aca="false">IF(E285="","",E285-F285)</f>
        <v>0</v>
      </c>
      <c r="H285" s="9" t="n">
        <f aca="false">PODACI_PRODAJA!N95</f>
        <v>2.38</v>
      </c>
      <c r="I285" s="21" t="n">
        <f aca="false">IF(H285&lt;=0,999,ROUND(F285/H285,1))</f>
        <v>10.9</v>
      </c>
      <c r="J285" s="9" t="n">
        <f aca="false">SUMIFS(ROBA_U_DOLASKU!$C$6:$C$95,ROBA_U_DOLASKU!$A$6:$A$95,A285,ROBA_U_DOLASKU!$H$6:$H$95,1)</f>
        <v>0</v>
      </c>
      <c r="K285" s="9" t="n">
        <f aca="false">SUMIFS(ROBA_U_DOLASKU!$B$6:$B$95,ROBA_U_DOLASKU!$A$6:$A$95,A285,ROBA_U_DOLASKU!$H$6:$H$95,1)</f>
        <v>0</v>
      </c>
      <c r="L285" s="9" t="n">
        <f aca="false">SUMIFS(ROBA_U_DOLASKU!$C$6:$C$95,ROBA_U_DOLASKU!$A$6:$A$95,A285,ROBA_U_DOLASKU!$H$6:$H$95,2)</f>
        <v>0</v>
      </c>
      <c r="M285" s="9" t="n">
        <f aca="false">SUMIFS(ROBA_U_DOLASKU!$B$6:$B$95,ROBA_U_DOLASKU!$A$6:$A$95,A285,ROBA_U_DOLASKU!$H$6:$H$95,2)</f>
        <v>0</v>
      </c>
      <c r="N285" s="9" t="n">
        <f aca="false">SUMIFS(ROBA_U_DOLASKU!$C$6:$C$95,ROBA_U_DOLASKU!$A$6:$A$95,A285,ROBA_U_DOLASKU!$H$6:$H$95,3)</f>
        <v>0</v>
      </c>
      <c r="O285" s="9" t="n">
        <f aca="false">SUMIFS(ROBA_U_DOLASKU!$B$6:$B$95,ROBA_U_DOLASKU!$A$6:$A$95,A285,ROBA_U_DOLASKU!$H$6:$H$95,3)</f>
        <v>0</v>
      </c>
      <c r="P285" s="9" t="n">
        <f aca="false">IF(H285&lt;=0,999,IF(O285&gt;0,ROUND((F285-H285*N285+K285+M285+O285)/H285,1),IF(M285&gt;0,ROUND((F285-H285*L285+K285+M285)/H285,1),IF(K285&gt;0,ROUND((F285-H285*J285+K285)/H285,1),I285))))</f>
        <v>10.9</v>
      </c>
      <c r="Q285" s="22" t="str">
        <f aca="false">IF(H285&lt;=0,"Nema prodaje",IF(AND(K285=0,M285=0,O285=0),IF(I285&lt;POSTAVKE!$B$6,"Naruči odmah","Sve u redu"),IF(F285-H285*J285&lt;0,"Rupa za ~"&amp;TEXT(I285,"0.0")&amp;" mj.",IF(AND(M285&gt;0,F285-H285*L285+K285&lt;0),"Rupa nakon 1. dolaska",IF(AND(O285&gt;0,F285-H285*N285+K285+M285&lt;0),"Rupa nakon 2. dolaska",IF(P285&lt;POSTAVKE!$B$6,"Količina nije dovoljna",IF(I285&gt;=POSTAVKE!$B$6,"Sve u redu","Stiže na vrijeme")))))))</f>
        <v>Sve u redu</v>
      </c>
      <c r="S285" s="23" t="n">
        <f aca="false">IFERROR(INDEX(PODACI_PRODAJA!B:B,MATCH($A285,PODACI_PRODAJA!$A:$A,0)),0)</f>
        <v>6</v>
      </c>
      <c r="T285" s="23" t="n">
        <f aca="false">IFERROR(INDEX(PODACI_PRODAJA!C:C,MATCH($A285,PODACI_PRODAJA!$A:$A,0)),0)</f>
        <v>0</v>
      </c>
      <c r="U285" s="23" t="n">
        <f aca="false">IFERROR(INDEX(PODACI_PRODAJA!D:D,MATCH($A285,PODACI_PRODAJA!$A:$A,0)),0)</f>
        <v>0</v>
      </c>
      <c r="V285" s="23" t="n">
        <f aca="false">IFERROR(INDEX(PODACI_PRODAJA!E:E,MATCH($A285,PODACI_PRODAJA!$A:$A,0)),0)</f>
        <v>0</v>
      </c>
      <c r="W285" s="23" t="n">
        <f aca="false">IFERROR(INDEX(PODACI_PRODAJA!F:F,MATCH($A285,PODACI_PRODAJA!$A:$A,0)),0)</f>
        <v>13</v>
      </c>
      <c r="X285" s="23" t="n">
        <f aca="false">IFERROR(INDEX(PODACI_PRODAJA!G:G,MATCH($A285,PODACI_PRODAJA!$A:$A,0)),0)</f>
        <v>0</v>
      </c>
      <c r="Y285" s="23" t="n">
        <f aca="false">IFERROR(INDEX(PODACI_PRODAJA!H:H,MATCH($A285,PODACI_PRODAJA!$A:$A,0)),0)</f>
        <v>0</v>
      </c>
      <c r="Z285" s="23" t="n">
        <f aca="false">IFERROR(INDEX(PODACI_PRODAJA!I:I,MATCH($A285,PODACI_PRODAJA!$A:$A,0)),0)</f>
        <v>0</v>
      </c>
      <c r="AA285" s="23" t="n">
        <f aca="false">IFERROR(INDEX(PODACI_PRODAJA!J:J,MATCH($A285,PODACI_PRODAJA!$A:$A,0)),0)</f>
        <v>0</v>
      </c>
      <c r="AB285" s="23" t="n">
        <f aca="false">IFERROR(INDEX(PODACI_PRODAJA!K:K,MATCH($A285,PODACI_PRODAJA!$A:$A,0)),0)</f>
        <v>0</v>
      </c>
      <c r="AC285" s="23" t="n">
        <f aca="false">IFERROR(INDEX(PODACI_PRODAJA!L:L,MATCH($A285,PODACI_PRODAJA!$A:$A,0)),0)</f>
        <v>0</v>
      </c>
      <c r="AD285" s="23" t="n">
        <f aca="false">IFERROR(INDEX(PODACI_PRODAJA!M:M,MATCH($A285,PODACI_PRODAJA!$A:$A,0)),0)</f>
        <v>0</v>
      </c>
    </row>
    <row r="286" customFormat="false" ht="15" hidden="false" customHeight="false" outlineLevel="0" collapsed="false">
      <c r="A286" s="11" t="str">
        <f aca="false">PODACI_ZALIHE!A283</f>
        <v>02776</v>
      </c>
      <c r="B286" s="8" t="str">
        <f aca="false">PODACI_ZALIHE!B283</f>
        <v>TK MERIDA 90 POLUKRUŽNA TUŠ KABINA 90x90x160 cm</v>
      </c>
      <c r="C286" s="9" t="str">
        <f aca="false">PODACI_ZALIHE!C283</f>
        <v>4328</v>
      </c>
      <c r="D286" s="8" t="str">
        <f aca="false">PODACI_ZALIHE!D283</f>
        <v>HANGZHOU DUHUI IMPORT AND EXPORT CO.,LTD</v>
      </c>
      <c r="E286" s="19" t="n">
        <f aca="false">IF(PODACI_ZALIHE!E283="","",PODACI_ZALIHE!E283)</f>
        <v>28</v>
      </c>
      <c r="F286" s="20" t="n">
        <f aca="false">PODACI_ZALIHE!F283</f>
        <v>26</v>
      </c>
      <c r="G286" s="19" t="n">
        <f aca="false">IF(E286="","",E286-F286)</f>
        <v>2</v>
      </c>
      <c r="H286" s="9" t="n">
        <f aca="false">PODACI_PRODAJA!N96</f>
        <v>7.25</v>
      </c>
      <c r="I286" s="21" t="n">
        <f aca="false">IF(H286&lt;=0,999,ROUND(F286/H286,1))</f>
        <v>3.6</v>
      </c>
      <c r="J286" s="9" t="n">
        <f aca="false">SUMIFS(ROBA_U_DOLASKU!$C$6:$C$95,ROBA_U_DOLASKU!$A$6:$A$95,A286,ROBA_U_DOLASKU!$H$6:$H$95,1)</f>
        <v>0</v>
      </c>
      <c r="K286" s="9" t="n">
        <f aca="false">SUMIFS(ROBA_U_DOLASKU!$B$6:$B$95,ROBA_U_DOLASKU!$A$6:$A$95,A286,ROBA_U_DOLASKU!$H$6:$H$95,1)</f>
        <v>0</v>
      </c>
      <c r="L286" s="9" t="n">
        <f aca="false">SUMIFS(ROBA_U_DOLASKU!$C$6:$C$95,ROBA_U_DOLASKU!$A$6:$A$95,A286,ROBA_U_DOLASKU!$H$6:$H$95,2)</f>
        <v>0</v>
      </c>
      <c r="M286" s="9" t="n">
        <f aca="false">SUMIFS(ROBA_U_DOLASKU!$B$6:$B$95,ROBA_U_DOLASKU!$A$6:$A$95,A286,ROBA_U_DOLASKU!$H$6:$H$95,2)</f>
        <v>0</v>
      </c>
      <c r="N286" s="9" t="n">
        <f aca="false">SUMIFS(ROBA_U_DOLASKU!$C$6:$C$95,ROBA_U_DOLASKU!$A$6:$A$95,A286,ROBA_U_DOLASKU!$H$6:$H$95,3)</f>
        <v>0</v>
      </c>
      <c r="O286" s="9" t="n">
        <f aca="false">SUMIFS(ROBA_U_DOLASKU!$B$6:$B$95,ROBA_U_DOLASKU!$A$6:$A$95,A286,ROBA_U_DOLASKU!$H$6:$H$95,3)</f>
        <v>0</v>
      </c>
      <c r="P286" s="9" t="n">
        <f aca="false">IF(H286&lt;=0,999,IF(O286&gt;0,ROUND((F286-H286*N286+K286+M286+O286)/H286,1),IF(M286&gt;0,ROUND((F286-H286*L286+K286+M286)/H286,1),IF(K286&gt;0,ROUND((F286-H286*J286+K286)/H286,1),I286))))</f>
        <v>3.6</v>
      </c>
      <c r="Q286" s="22" t="str">
        <f aca="false">IF(H286&lt;=0,"Nema prodaje",IF(AND(K286=0,M286=0,O286=0),IF(I286&lt;POSTAVKE!$B$6,"Naruči odmah","Sve u redu"),IF(F286-H286*J286&lt;0,"Rupa za ~"&amp;TEXT(I286,"0.0")&amp;" mj.",IF(AND(M286&gt;0,F286-H286*L286+K286&lt;0),"Rupa nakon 1. dolaska",IF(AND(O286&gt;0,F286-H286*N286+K286+M286&lt;0),"Rupa nakon 2. dolaska",IF(P286&lt;POSTAVKE!$B$6,"Količina nije dovoljna",IF(I286&gt;=POSTAVKE!$B$6,"Sve u redu","Stiže na vrijeme")))))))</f>
        <v>Naruči odmah</v>
      </c>
      <c r="S286" s="23" t="n">
        <f aca="false">IFERROR(INDEX(PODACI_PRODAJA!B:B,MATCH($A286,PODACI_PRODAJA!$A:$A,0)),0)</f>
        <v>6</v>
      </c>
      <c r="T286" s="23" t="n">
        <f aca="false">IFERROR(INDEX(PODACI_PRODAJA!C:C,MATCH($A286,PODACI_PRODAJA!$A:$A,0)),0)</f>
        <v>4</v>
      </c>
      <c r="U286" s="23" t="n">
        <f aca="false">IFERROR(INDEX(PODACI_PRODAJA!D:D,MATCH($A286,PODACI_PRODAJA!$A:$A,0)),0)</f>
        <v>3</v>
      </c>
      <c r="V286" s="23" t="n">
        <f aca="false">IFERROR(INDEX(PODACI_PRODAJA!E:E,MATCH($A286,PODACI_PRODAJA!$A:$A,0)),0)</f>
        <v>15</v>
      </c>
      <c r="W286" s="23" t="n">
        <f aca="false">IFERROR(INDEX(PODACI_PRODAJA!F:F,MATCH($A286,PODACI_PRODAJA!$A:$A,0)),0)</f>
        <v>15</v>
      </c>
      <c r="X286" s="23" t="n">
        <f aca="false">IFERROR(INDEX(PODACI_PRODAJA!G:G,MATCH($A286,PODACI_PRODAJA!$A:$A,0)),0)</f>
        <v>2</v>
      </c>
      <c r="Y286" s="23" t="n">
        <f aca="false">IFERROR(INDEX(PODACI_PRODAJA!H:H,MATCH($A286,PODACI_PRODAJA!$A:$A,0)),0)</f>
        <v>7</v>
      </c>
      <c r="Z286" s="23" t="n">
        <f aca="false">IFERROR(INDEX(PODACI_PRODAJA!I:I,MATCH($A286,PODACI_PRODAJA!$A:$A,0)),0)</f>
        <v>6</v>
      </c>
      <c r="AA286" s="23" t="n">
        <f aca="false">IFERROR(INDEX(PODACI_PRODAJA!J:J,MATCH($A286,PODACI_PRODAJA!$A:$A,0)),0)</f>
        <v>2</v>
      </c>
      <c r="AB286" s="23" t="n">
        <f aca="false">IFERROR(INDEX(PODACI_PRODAJA!K:K,MATCH($A286,PODACI_PRODAJA!$A:$A,0)),0)</f>
        <v>0</v>
      </c>
      <c r="AC286" s="23" t="n">
        <f aca="false">IFERROR(INDEX(PODACI_PRODAJA!L:L,MATCH($A286,PODACI_PRODAJA!$A:$A,0)),0)</f>
        <v>0</v>
      </c>
      <c r="AD286" s="23" t="n">
        <f aca="false">IFERROR(INDEX(PODACI_PRODAJA!M:M,MATCH($A286,PODACI_PRODAJA!$A:$A,0)),0)</f>
        <v>0</v>
      </c>
    </row>
    <row r="287" customFormat="false" ht="15" hidden="false" customHeight="false" outlineLevel="0" collapsed="false">
      <c r="A287" s="11" t="str">
        <f aca="false">PODACI_ZALIHE!A284</f>
        <v>16087</v>
      </c>
      <c r="B287" s="8" t="str">
        <f aca="false">PODACI_ZALIHE!B284</f>
        <v>IMPULSE LED OGLEDALO 100x70 cm</v>
      </c>
      <c r="C287" s="9" t="n">
        <f aca="false">PODACI_ZALIHE!C284</f>
        <v>0</v>
      </c>
      <c r="D287" s="8" t="n">
        <f aca="false">PODACI_ZALIHE!D284</f>
        <v>0</v>
      </c>
      <c r="E287" s="19" t="n">
        <f aca="false">IF(PODACI_ZALIHE!E284="","",PODACI_ZALIHE!E284)</f>
        <v>26</v>
      </c>
      <c r="F287" s="20" t="n">
        <f aca="false">PODACI_ZALIHE!F284</f>
        <v>26</v>
      </c>
      <c r="G287" s="19" t="n">
        <f aca="false">IF(E287="","",E287-F287)</f>
        <v>0</v>
      </c>
      <c r="H287" s="9" t="n">
        <f aca="false">PODACI_PRODAJA!N192</f>
        <v>10.5</v>
      </c>
      <c r="I287" s="21" t="n">
        <f aca="false">IF(H287&lt;=0,999,ROUND(F287/H287,1))</f>
        <v>2.5</v>
      </c>
      <c r="J287" s="9" t="n">
        <f aca="false">SUMIFS(ROBA_U_DOLASKU!$C$6:$C$95,ROBA_U_DOLASKU!$A$6:$A$95,A287,ROBA_U_DOLASKU!$H$6:$H$95,1)</f>
        <v>2.2</v>
      </c>
      <c r="K287" s="9" t="n">
        <f aca="false">SUMIFS(ROBA_U_DOLASKU!$B$6:$B$95,ROBA_U_DOLASKU!$A$6:$A$95,A287,ROBA_U_DOLASKU!$H$6:$H$95,1)</f>
        <v>30</v>
      </c>
      <c r="L287" s="9" t="n">
        <f aca="false">SUMIFS(ROBA_U_DOLASKU!$C$6:$C$95,ROBA_U_DOLASKU!$A$6:$A$95,A287,ROBA_U_DOLASKU!$H$6:$H$95,2)</f>
        <v>0</v>
      </c>
      <c r="M287" s="9" t="n">
        <f aca="false">SUMIFS(ROBA_U_DOLASKU!$B$6:$B$95,ROBA_U_DOLASKU!$A$6:$A$95,A287,ROBA_U_DOLASKU!$H$6:$H$95,2)</f>
        <v>0</v>
      </c>
      <c r="N287" s="9" t="n">
        <f aca="false">SUMIFS(ROBA_U_DOLASKU!$C$6:$C$95,ROBA_U_DOLASKU!$A$6:$A$95,A287,ROBA_U_DOLASKU!$H$6:$H$95,3)</f>
        <v>0</v>
      </c>
      <c r="O287" s="9" t="n">
        <f aca="false">SUMIFS(ROBA_U_DOLASKU!$B$6:$B$95,ROBA_U_DOLASKU!$A$6:$A$95,A287,ROBA_U_DOLASKU!$H$6:$H$95,3)</f>
        <v>0</v>
      </c>
      <c r="P287" s="9" t="n">
        <f aca="false">IF(H287&lt;=0,999,IF(O287&gt;0,ROUND((F287-H287*N287+K287+M287+O287)/H287,1),IF(M287&gt;0,ROUND((F287-H287*L287+K287+M287)/H287,1),IF(K287&gt;0,ROUND((F287-H287*J287+K287)/H287,1),I287))))</f>
        <v>3.1</v>
      </c>
      <c r="Q287" s="22" t="str">
        <f aca="false">IF(H287&lt;=0,"Nema prodaje",IF(AND(K287=0,M287=0,O287=0),IF(I287&lt;POSTAVKE!$B$6,"Naruči odmah","Sve u redu"),IF(F287-H287*J287&lt;0,"Rupa za ~"&amp;TEXT(I287,"0.0")&amp;" mj.",IF(AND(M287&gt;0,F287-H287*L287+K287&lt;0),"Rupa nakon 1. dolaska",IF(AND(O287&gt;0,F287-H287*N287+K287+M287&lt;0),"Rupa nakon 2. dolaska",IF(P287&lt;POSTAVKE!$B$6,"Količina nije dovoljna",IF(I287&gt;=POSTAVKE!$B$6,"Sve u redu","Stiže na vrijeme")))))))</f>
        <v>Količina nije dovoljna</v>
      </c>
      <c r="S287" s="23" t="n">
        <f aca="false">IFERROR(INDEX(PODACI_PRODAJA!B:B,MATCH($A287,PODACI_PRODAJA!$A:$A,0)),0)</f>
        <v>2</v>
      </c>
      <c r="T287" s="23" t="n">
        <f aca="false">IFERROR(INDEX(PODACI_PRODAJA!C:C,MATCH($A287,PODACI_PRODAJA!$A:$A,0)),0)</f>
        <v>14</v>
      </c>
      <c r="U287" s="23" t="n">
        <f aca="false">IFERROR(INDEX(PODACI_PRODAJA!D:D,MATCH($A287,PODACI_PRODAJA!$A:$A,0)),0)</f>
        <v>12</v>
      </c>
      <c r="V287" s="23" t="n">
        <f aca="false">IFERROR(INDEX(PODACI_PRODAJA!E:E,MATCH($A287,PODACI_PRODAJA!$A:$A,0)),0)</f>
        <v>4</v>
      </c>
      <c r="W287" s="23" t="n">
        <f aca="false">IFERROR(INDEX(PODACI_PRODAJA!F:F,MATCH($A287,PODACI_PRODAJA!$A:$A,0)),0)</f>
        <v>0</v>
      </c>
      <c r="X287" s="23" t="n">
        <f aca="false">IFERROR(INDEX(PODACI_PRODAJA!G:G,MATCH($A287,PODACI_PRODAJA!$A:$A,0)),0)</f>
        <v>23</v>
      </c>
      <c r="Y287" s="23" t="n">
        <f aca="false">IFERROR(INDEX(PODACI_PRODAJA!H:H,MATCH($A287,PODACI_PRODAJA!$A:$A,0)),0)</f>
        <v>24</v>
      </c>
      <c r="Z287" s="23" t="n">
        <f aca="false">IFERROR(INDEX(PODACI_PRODAJA!I:I,MATCH($A287,PODACI_PRODAJA!$A:$A,0)),0)</f>
        <v>5</v>
      </c>
      <c r="AA287" s="23" t="n">
        <f aca="false">IFERROR(INDEX(PODACI_PRODAJA!J:J,MATCH($A287,PODACI_PRODAJA!$A:$A,0)),0)</f>
        <v>0</v>
      </c>
      <c r="AB287" s="23" t="n">
        <f aca="false">IFERROR(INDEX(PODACI_PRODAJA!K:K,MATCH($A287,PODACI_PRODAJA!$A:$A,0)),0)</f>
        <v>0</v>
      </c>
      <c r="AC287" s="23" t="n">
        <f aca="false">IFERROR(INDEX(PODACI_PRODAJA!L:L,MATCH($A287,PODACI_PRODAJA!$A:$A,0)),0)</f>
        <v>0</v>
      </c>
      <c r="AD287" s="23" t="n">
        <f aca="false">IFERROR(INDEX(PODACI_PRODAJA!M:M,MATCH($A287,PODACI_PRODAJA!$A:$A,0)),0)</f>
        <v>0</v>
      </c>
    </row>
    <row r="288" customFormat="false" ht="15" hidden="false" customHeight="false" outlineLevel="0" collapsed="false">
      <c r="A288" s="11" t="str">
        <f aca="false">PODACI_ZALIHE!A285</f>
        <v>16960</v>
      </c>
      <c r="B288" s="8" t="str">
        <f aca="false">PODACI_ZALIHE!B285</f>
        <v>CLEAR WALL 100 BLACK TUŠ VRATA 1000x1950mm</v>
      </c>
      <c r="C288" s="9" t="str">
        <f aca="false">PODACI_ZALIHE!C285</f>
        <v>6163</v>
      </c>
      <c r="D288" s="8" t="str">
        <f aca="false">PODACI_ZALIHE!D285</f>
        <v>HANGZHOU TIANMEI INDUSTRY CO.,LTD</v>
      </c>
      <c r="E288" s="19" t="n">
        <f aca="false">IF(PODACI_ZALIHE!E285="","",PODACI_ZALIHE!E285)</f>
        <v>26</v>
      </c>
      <c r="F288" s="20" t="n">
        <f aca="false">PODACI_ZALIHE!F285</f>
        <v>26</v>
      </c>
      <c r="G288" s="19" t="n">
        <f aca="false">IF(E288="","",E288-F288)</f>
        <v>0</v>
      </c>
      <c r="H288" s="9" t="n">
        <f aca="false">PODACI_PRODAJA!N108</f>
        <v>5</v>
      </c>
      <c r="I288" s="21" t="n">
        <f aca="false">IF(H288&lt;=0,999,ROUND(F288/H288,1))</f>
        <v>5.2</v>
      </c>
      <c r="J288" s="9" t="n">
        <f aca="false">SUMIFS(ROBA_U_DOLASKU!$C$6:$C$95,ROBA_U_DOLASKU!$A$6:$A$95,A288,ROBA_U_DOLASKU!$H$6:$H$95,1)</f>
        <v>0</v>
      </c>
      <c r="K288" s="9" t="n">
        <f aca="false">SUMIFS(ROBA_U_DOLASKU!$B$6:$B$95,ROBA_U_DOLASKU!$A$6:$A$95,A288,ROBA_U_DOLASKU!$H$6:$H$95,1)</f>
        <v>0</v>
      </c>
      <c r="L288" s="9" t="n">
        <f aca="false">SUMIFS(ROBA_U_DOLASKU!$C$6:$C$95,ROBA_U_DOLASKU!$A$6:$A$95,A288,ROBA_U_DOLASKU!$H$6:$H$95,2)</f>
        <v>0</v>
      </c>
      <c r="M288" s="9" t="n">
        <f aca="false">SUMIFS(ROBA_U_DOLASKU!$B$6:$B$95,ROBA_U_DOLASKU!$A$6:$A$95,A288,ROBA_U_DOLASKU!$H$6:$H$95,2)</f>
        <v>0</v>
      </c>
      <c r="N288" s="9" t="n">
        <f aca="false">SUMIFS(ROBA_U_DOLASKU!$C$6:$C$95,ROBA_U_DOLASKU!$A$6:$A$95,A288,ROBA_U_DOLASKU!$H$6:$H$95,3)</f>
        <v>0</v>
      </c>
      <c r="O288" s="9" t="n">
        <f aca="false">SUMIFS(ROBA_U_DOLASKU!$B$6:$B$95,ROBA_U_DOLASKU!$A$6:$A$95,A288,ROBA_U_DOLASKU!$H$6:$H$95,3)</f>
        <v>0</v>
      </c>
      <c r="P288" s="9" t="n">
        <f aca="false">IF(H288&lt;=0,999,IF(O288&gt;0,ROUND((F288-H288*N288+K288+M288+O288)/H288,1),IF(M288&gt;0,ROUND((F288-H288*L288+K288+M288)/H288,1),IF(K288&gt;0,ROUND((F288-H288*J288+K288)/H288,1),I288))))</f>
        <v>5.2</v>
      </c>
      <c r="Q288" s="22" t="str">
        <f aca="false">IF(H288&lt;=0,"Nema prodaje",IF(AND(K288=0,M288=0,O288=0),IF(I288&lt;POSTAVKE!$B$6,"Naruči odmah","Sve u redu"),IF(F288-H288*J288&lt;0,"Rupa za ~"&amp;TEXT(I288,"0.0")&amp;" mj.",IF(AND(M288&gt;0,F288-H288*L288+K288&lt;0),"Rupa nakon 1. dolaska",IF(AND(O288&gt;0,F288-H288*N288+K288+M288&lt;0),"Rupa nakon 2. dolaska",IF(P288&lt;POSTAVKE!$B$6,"Količina nije dovoljna",IF(I288&gt;=POSTAVKE!$B$6,"Sve u redu","Stiže na vrijeme")))))))</f>
        <v>Sve u redu</v>
      </c>
      <c r="S288" s="23" t="n">
        <f aca="false">IFERROR(INDEX(PODACI_PRODAJA!B:B,MATCH($A288,PODACI_PRODAJA!$A:$A,0)),0)</f>
        <v>6</v>
      </c>
      <c r="T288" s="23" t="n">
        <f aca="false">IFERROR(INDEX(PODACI_PRODAJA!C:C,MATCH($A288,PODACI_PRODAJA!$A:$A,0)),0)</f>
        <v>4</v>
      </c>
      <c r="U288" s="23" t="n">
        <f aca="false">IFERROR(INDEX(PODACI_PRODAJA!D:D,MATCH($A288,PODACI_PRODAJA!$A:$A,0)),0)</f>
        <v>3</v>
      </c>
      <c r="V288" s="23" t="n">
        <f aca="false">IFERROR(INDEX(PODACI_PRODAJA!E:E,MATCH($A288,PODACI_PRODAJA!$A:$A,0)),0)</f>
        <v>5</v>
      </c>
      <c r="W288" s="23" t="n">
        <f aca="false">IFERROR(INDEX(PODACI_PRODAJA!F:F,MATCH($A288,PODACI_PRODAJA!$A:$A,0)),0)</f>
        <v>5</v>
      </c>
      <c r="X288" s="23" t="n">
        <f aca="false">IFERROR(INDEX(PODACI_PRODAJA!G:G,MATCH($A288,PODACI_PRODAJA!$A:$A,0)),0)</f>
        <v>6</v>
      </c>
      <c r="Y288" s="23" t="n">
        <f aca="false">IFERROR(INDEX(PODACI_PRODAJA!H:H,MATCH($A288,PODACI_PRODAJA!$A:$A,0)),0)</f>
        <v>6</v>
      </c>
      <c r="Z288" s="23" t="n">
        <f aca="false">IFERROR(INDEX(PODACI_PRODAJA!I:I,MATCH($A288,PODACI_PRODAJA!$A:$A,0)),0)</f>
        <v>5</v>
      </c>
      <c r="AA288" s="23" t="n">
        <f aca="false">IFERROR(INDEX(PODACI_PRODAJA!J:J,MATCH($A288,PODACI_PRODAJA!$A:$A,0)),0)</f>
        <v>0</v>
      </c>
      <c r="AB288" s="23" t="n">
        <f aca="false">IFERROR(INDEX(PODACI_PRODAJA!K:K,MATCH($A288,PODACI_PRODAJA!$A:$A,0)),0)</f>
        <v>0</v>
      </c>
      <c r="AC288" s="23" t="n">
        <f aca="false">IFERROR(INDEX(PODACI_PRODAJA!L:L,MATCH($A288,PODACI_PRODAJA!$A:$A,0)),0)</f>
        <v>0</v>
      </c>
      <c r="AD288" s="23" t="n">
        <f aca="false">IFERROR(INDEX(PODACI_PRODAJA!M:M,MATCH($A288,PODACI_PRODAJA!$A:$A,0)),0)</f>
        <v>0</v>
      </c>
    </row>
    <row r="289" customFormat="false" ht="15" hidden="false" customHeight="false" outlineLevel="0" collapsed="false">
      <c r="A289" s="11" t="str">
        <f aca="false">PODACI_ZALIHE!A286</f>
        <v>17259</v>
      </c>
      <c r="B289" s="8" t="str">
        <f aca="false">PODACI_ZALIHE!B286</f>
        <v>VETRO SIDE CHROME TRS40 PREKLOPNA VRATA ZA VETRO 40X200 cm</v>
      </c>
      <c r="C289" s="9" t="str">
        <f aca="false">PODACI_ZALIHE!C286</f>
        <v>6762</v>
      </c>
      <c r="D289" s="8" t="str">
        <f aca="false">PODACI_ZALIHE!D286</f>
        <v>ZHEJIANG QUICKLINE SHOWERING CO., LTD.</v>
      </c>
      <c r="E289" s="19" t="n">
        <f aca="false">IF(PODACI_ZALIHE!E286="","",PODACI_ZALIHE!E286)</f>
        <v>26</v>
      </c>
      <c r="F289" s="20" t="n">
        <f aca="false">PODACI_ZALIHE!F286</f>
        <v>26</v>
      </c>
      <c r="G289" s="19" t="n">
        <f aca="false">IF(E289="","",E289-F289)</f>
        <v>0</v>
      </c>
      <c r="H289" s="9" t="n">
        <f aca="false">PODACI_PRODAJA!N631</f>
        <v>0.25</v>
      </c>
      <c r="I289" s="21" t="n">
        <f aca="false">IF(H289&lt;=0,999,ROUND(F289/H289,1))</f>
        <v>104</v>
      </c>
      <c r="J289" s="9" t="n">
        <f aca="false">SUMIFS(ROBA_U_DOLASKU!$C$6:$C$95,ROBA_U_DOLASKU!$A$6:$A$95,A289,ROBA_U_DOLASKU!$H$6:$H$95,1)</f>
        <v>0</v>
      </c>
      <c r="K289" s="9" t="n">
        <f aca="false">SUMIFS(ROBA_U_DOLASKU!$B$6:$B$95,ROBA_U_DOLASKU!$A$6:$A$95,A289,ROBA_U_DOLASKU!$H$6:$H$95,1)</f>
        <v>0</v>
      </c>
      <c r="L289" s="9" t="n">
        <f aca="false">SUMIFS(ROBA_U_DOLASKU!$C$6:$C$95,ROBA_U_DOLASKU!$A$6:$A$95,A289,ROBA_U_DOLASKU!$H$6:$H$95,2)</f>
        <v>0</v>
      </c>
      <c r="M289" s="9" t="n">
        <f aca="false">SUMIFS(ROBA_U_DOLASKU!$B$6:$B$95,ROBA_U_DOLASKU!$A$6:$A$95,A289,ROBA_U_DOLASKU!$H$6:$H$95,2)</f>
        <v>0</v>
      </c>
      <c r="N289" s="9" t="n">
        <f aca="false">SUMIFS(ROBA_U_DOLASKU!$C$6:$C$95,ROBA_U_DOLASKU!$A$6:$A$95,A289,ROBA_U_DOLASKU!$H$6:$H$95,3)</f>
        <v>0</v>
      </c>
      <c r="O289" s="9" t="n">
        <f aca="false">SUMIFS(ROBA_U_DOLASKU!$B$6:$B$95,ROBA_U_DOLASKU!$A$6:$A$95,A289,ROBA_U_DOLASKU!$H$6:$H$95,3)</f>
        <v>0</v>
      </c>
      <c r="P289" s="9" t="n">
        <f aca="false">IF(H289&lt;=0,999,IF(O289&gt;0,ROUND((F289-H289*N289+K289+M289+O289)/H289,1),IF(M289&gt;0,ROUND((F289-H289*L289+K289+M289)/H289,1),IF(K289&gt;0,ROUND((F289-H289*J289+K289)/H289,1),I289))))</f>
        <v>104</v>
      </c>
      <c r="Q289" s="22" t="str">
        <f aca="false">IF(H289&lt;=0,"Nema prodaje",IF(AND(K289=0,M289=0,O289=0),IF(I289&lt;POSTAVKE!$B$6,"Naruči odmah","Sve u redu"),IF(F289-H289*J289&lt;0,"Rupa za ~"&amp;TEXT(I289,"0.0")&amp;" mj.",IF(AND(M289&gt;0,F289-H289*L289+K289&lt;0),"Rupa nakon 1. dolaska",IF(AND(O289&gt;0,F289-H289*N289+K289+M289&lt;0),"Rupa nakon 2. dolaska",IF(P289&lt;POSTAVKE!$B$6,"Količina nije dovoljna",IF(I289&gt;=POSTAVKE!$B$6,"Sve u redu","Stiže na vrijeme")))))))</f>
        <v>Sve u redu</v>
      </c>
      <c r="S289" s="23" t="n">
        <f aca="false">IFERROR(INDEX(PODACI_PRODAJA!B:B,MATCH($A289,PODACI_PRODAJA!$A:$A,0)),0)</f>
        <v>0</v>
      </c>
      <c r="T289" s="23" t="n">
        <f aca="false">IFERROR(INDEX(PODACI_PRODAJA!C:C,MATCH($A289,PODACI_PRODAJA!$A:$A,0)),0)</f>
        <v>1</v>
      </c>
      <c r="U289" s="23" t="n">
        <f aca="false">IFERROR(INDEX(PODACI_PRODAJA!D:D,MATCH($A289,PODACI_PRODAJA!$A:$A,0)),0)</f>
        <v>0</v>
      </c>
      <c r="V289" s="23" t="n">
        <f aca="false">IFERROR(INDEX(PODACI_PRODAJA!E:E,MATCH($A289,PODACI_PRODAJA!$A:$A,0)),0)</f>
        <v>0</v>
      </c>
      <c r="W289" s="23" t="n">
        <f aca="false">IFERROR(INDEX(PODACI_PRODAJA!F:F,MATCH($A289,PODACI_PRODAJA!$A:$A,0)),0)</f>
        <v>0</v>
      </c>
      <c r="X289" s="23" t="n">
        <f aca="false">IFERROR(INDEX(PODACI_PRODAJA!G:G,MATCH($A289,PODACI_PRODAJA!$A:$A,0)),0)</f>
        <v>1</v>
      </c>
      <c r="Y289" s="23" t="n">
        <f aca="false">IFERROR(INDEX(PODACI_PRODAJA!H:H,MATCH($A289,PODACI_PRODAJA!$A:$A,0)),0)</f>
        <v>0</v>
      </c>
      <c r="Z289" s="23" t="n">
        <f aca="false">IFERROR(INDEX(PODACI_PRODAJA!I:I,MATCH($A289,PODACI_PRODAJA!$A:$A,0)),0)</f>
        <v>0</v>
      </c>
      <c r="AA289" s="23" t="n">
        <f aca="false">IFERROR(INDEX(PODACI_PRODAJA!J:J,MATCH($A289,PODACI_PRODAJA!$A:$A,0)),0)</f>
        <v>0</v>
      </c>
      <c r="AB289" s="23" t="n">
        <f aca="false">IFERROR(INDEX(PODACI_PRODAJA!K:K,MATCH($A289,PODACI_PRODAJA!$A:$A,0)),0)</f>
        <v>0</v>
      </c>
      <c r="AC289" s="23" t="n">
        <f aca="false">IFERROR(INDEX(PODACI_PRODAJA!L:L,MATCH($A289,PODACI_PRODAJA!$A:$A,0)),0)</f>
        <v>0</v>
      </c>
      <c r="AD289" s="23" t="n">
        <f aca="false">IFERROR(INDEX(PODACI_PRODAJA!M:M,MATCH($A289,PODACI_PRODAJA!$A:$A,0)),0)</f>
        <v>0</v>
      </c>
    </row>
    <row r="290" customFormat="false" ht="15" hidden="false" customHeight="false" outlineLevel="0" collapsed="false">
      <c r="A290" s="11" t="str">
        <f aca="false">PODACI_ZALIHE!A287</f>
        <v>042450</v>
      </c>
      <c r="B290" s="8" t="str">
        <f aca="false">PODACI_ZALIHE!B287</f>
        <v>VETRO LINEA 130 TUŠ STIJENA 130x200 cm</v>
      </c>
      <c r="C290" s="9" t="str">
        <f aca="false">PODACI_ZALIHE!C287</f>
        <v>4328</v>
      </c>
      <c r="D290" s="8" t="str">
        <f aca="false">PODACI_ZALIHE!D287</f>
        <v>HANGZHOU DUHUI IMPORT AND EXPORT CO.,LTD</v>
      </c>
      <c r="E290" s="19" t="n">
        <f aca="false">IF(PODACI_ZALIHE!E287="","",PODACI_ZALIHE!E287)</f>
        <v>25</v>
      </c>
      <c r="F290" s="20" t="n">
        <f aca="false">PODACI_ZALIHE!F287</f>
        <v>25</v>
      </c>
      <c r="G290" s="19" t="n">
        <f aca="false">IF(E290="","",E290-F290)</f>
        <v>0</v>
      </c>
      <c r="H290" s="9" t="n">
        <f aca="false">PODACI_PRODAJA!N228</f>
        <v>0.5</v>
      </c>
      <c r="I290" s="21" t="n">
        <f aca="false">IF(H290&lt;=0,999,ROUND(F290/H290,1))</f>
        <v>50</v>
      </c>
      <c r="J290" s="9" t="n">
        <f aca="false">SUMIFS(ROBA_U_DOLASKU!$C$6:$C$95,ROBA_U_DOLASKU!$A$6:$A$95,A290,ROBA_U_DOLASKU!$H$6:$H$95,1)</f>
        <v>0</v>
      </c>
      <c r="K290" s="9" t="n">
        <f aca="false">SUMIFS(ROBA_U_DOLASKU!$B$6:$B$95,ROBA_U_DOLASKU!$A$6:$A$95,A290,ROBA_U_DOLASKU!$H$6:$H$95,1)</f>
        <v>0</v>
      </c>
      <c r="L290" s="9" t="n">
        <f aca="false">SUMIFS(ROBA_U_DOLASKU!$C$6:$C$95,ROBA_U_DOLASKU!$A$6:$A$95,A290,ROBA_U_DOLASKU!$H$6:$H$95,2)</f>
        <v>0</v>
      </c>
      <c r="M290" s="9" t="n">
        <f aca="false">SUMIFS(ROBA_U_DOLASKU!$B$6:$B$95,ROBA_U_DOLASKU!$A$6:$A$95,A290,ROBA_U_DOLASKU!$H$6:$H$95,2)</f>
        <v>0</v>
      </c>
      <c r="N290" s="9" t="n">
        <f aca="false">SUMIFS(ROBA_U_DOLASKU!$C$6:$C$95,ROBA_U_DOLASKU!$A$6:$A$95,A290,ROBA_U_DOLASKU!$H$6:$H$95,3)</f>
        <v>0</v>
      </c>
      <c r="O290" s="9" t="n">
        <f aca="false">SUMIFS(ROBA_U_DOLASKU!$B$6:$B$95,ROBA_U_DOLASKU!$A$6:$A$95,A290,ROBA_U_DOLASKU!$H$6:$H$95,3)</f>
        <v>0</v>
      </c>
      <c r="P290" s="9" t="n">
        <f aca="false">IF(H290&lt;=0,999,IF(O290&gt;0,ROUND((F290-H290*N290+K290+M290+O290)/H290,1),IF(M290&gt;0,ROUND((F290-H290*L290+K290+M290)/H290,1),IF(K290&gt;0,ROUND((F290-H290*J290+K290)/H290,1),I290))))</f>
        <v>50</v>
      </c>
      <c r="Q290" s="22" t="str">
        <f aca="false">IF(H290&lt;=0,"Nema prodaje",IF(AND(K290=0,M290=0,O290=0),IF(I290&lt;POSTAVKE!$B$6,"Naruči odmah","Sve u redu"),IF(F290-H290*J290&lt;0,"Rupa za ~"&amp;TEXT(I290,"0.0")&amp;" mj.",IF(AND(M290&gt;0,F290-H290*L290+K290&lt;0),"Rupa nakon 1. dolaska",IF(AND(O290&gt;0,F290-H290*N290+K290+M290&lt;0),"Rupa nakon 2. dolaska",IF(P290&lt;POSTAVKE!$B$6,"Količina nije dovoljna",IF(I290&gt;=POSTAVKE!$B$6,"Sve u redu","Stiže na vrijeme")))))))</f>
        <v>Sve u redu</v>
      </c>
      <c r="S290" s="23" t="n">
        <f aca="false">IFERROR(INDEX(PODACI_PRODAJA!B:B,MATCH($A290,PODACI_PRODAJA!$A:$A,0)),0)</f>
        <v>1</v>
      </c>
      <c r="T290" s="23" t="n">
        <f aca="false">IFERROR(INDEX(PODACI_PRODAJA!C:C,MATCH($A290,PODACI_PRODAJA!$A:$A,0)),0)</f>
        <v>3</v>
      </c>
      <c r="U290" s="23" t="n">
        <f aca="false">IFERROR(INDEX(PODACI_PRODAJA!D:D,MATCH($A290,PODACI_PRODAJA!$A:$A,0)),0)</f>
        <v>0</v>
      </c>
      <c r="V290" s="23" t="n">
        <f aca="false">IFERROR(INDEX(PODACI_PRODAJA!E:E,MATCH($A290,PODACI_PRODAJA!$A:$A,0)),0)</f>
        <v>0</v>
      </c>
      <c r="W290" s="23" t="n">
        <f aca="false">IFERROR(INDEX(PODACI_PRODAJA!F:F,MATCH($A290,PODACI_PRODAJA!$A:$A,0)),0)</f>
        <v>0</v>
      </c>
      <c r="X290" s="23" t="n">
        <f aca="false">IFERROR(INDEX(PODACI_PRODAJA!G:G,MATCH($A290,PODACI_PRODAJA!$A:$A,0)),0)</f>
        <v>0</v>
      </c>
      <c r="Y290" s="23" t="n">
        <f aca="false">IFERROR(INDEX(PODACI_PRODAJA!H:H,MATCH($A290,PODACI_PRODAJA!$A:$A,0)),0)</f>
        <v>0</v>
      </c>
      <c r="Z290" s="23" t="n">
        <f aca="false">IFERROR(INDEX(PODACI_PRODAJA!I:I,MATCH($A290,PODACI_PRODAJA!$A:$A,0)),0)</f>
        <v>0</v>
      </c>
      <c r="AA290" s="23" t="n">
        <f aca="false">IFERROR(INDEX(PODACI_PRODAJA!J:J,MATCH($A290,PODACI_PRODAJA!$A:$A,0)),0)</f>
        <v>0</v>
      </c>
      <c r="AB290" s="23" t="n">
        <f aca="false">IFERROR(INDEX(PODACI_PRODAJA!K:K,MATCH($A290,PODACI_PRODAJA!$A:$A,0)),0)</f>
        <v>0</v>
      </c>
      <c r="AC290" s="23" t="n">
        <f aca="false">IFERROR(INDEX(PODACI_PRODAJA!L:L,MATCH($A290,PODACI_PRODAJA!$A:$A,0)),0)</f>
        <v>0</v>
      </c>
      <c r="AD290" s="23" t="n">
        <f aca="false">IFERROR(INDEX(PODACI_PRODAJA!M:M,MATCH($A290,PODACI_PRODAJA!$A:$A,0)),0)</f>
        <v>0</v>
      </c>
    </row>
    <row r="291" customFormat="false" ht="15" hidden="false" customHeight="false" outlineLevel="0" collapsed="false">
      <c r="A291" s="11" t="str">
        <f aca="false">PODACI_ZALIHE!A288</f>
        <v>16791</v>
      </c>
      <c r="B291" s="8" t="str">
        <f aca="false">PODACI_ZALIHE!B288</f>
        <v>VETRO FRAME 100 TUŠ STIJENA 100X195cm</v>
      </c>
      <c r="C291" s="9" t="str">
        <f aca="false">PODACI_ZALIHE!C288</f>
        <v>6163</v>
      </c>
      <c r="D291" s="8" t="str">
        <f aca="false">PODACI_ZALIHE!D288</f>
        <v>HANGZHOU TIANMEI INDUSTRY CO.,LTD</v>
      </c>
      <c r="E291" s="19" t="n">
        <f aca="false">IF(PODACI_ZALIHE!E288="","",PODACI_ZALIHE!E288)</f>
        <v>25</v>
      </c>
      <c r="F291" s="20" t="n">
        <f aca="false">PODACI_ZALIHE!F288</f>
        <v>25</v>
      </c>
      <c r="G291" s="19" t="n">
        <f aca="false">IF(E291="","",E291-F291)</f>
        <v>0</v>
      </c>
      <c r="H291" s="9" t="n">
        <f aca="false">PODACI_PRODAJA!N255</f>
        <v>0.88</v>
      </c>
      <c r="I291" s="21" t="n">
        <f aca="false">IF(H291&lt;=0,999,ROUND(F291/H291,1))</f>
        <v>28.4</v>
      </c>
      <c r="J291" s="9" t="n">
        <f aca="false">SUMIFS(ROBA_U_DOLASKU!$C$6:$C$95,ROBA_U_DOLASKU!$A$6:$A$95,A291,ROBA_U_DOLASKU!$H$6:$H$95,1)</f>
        <v>0</v>
      </c>
      <c r="K291" s="9" t="n">
        <f aca="false">SUMIFS(ROBA_U_DOLASKU!$B$6:$B$95,ROBA_U_DOLASKU!$A$6:$A$95,A291,ROBA_U_DOLASKU!$H$6:$H$95,1)</f>
        <v>0</v>
      </c>
      <c r="L291" s="9" t="n">
        <f aca="false">SUMIFS(ROBA_U_DOLASKU!$C$6:$C$95,ROBA_U_DOLASKU!$A$6:$A$95,A291,ROBA_U_DOLASKU!$H$6:$H$95,2)</f>
        <v>0</v>
      </c>
      <c r="M291" s="9" t="n">
        <f aca="false">SUMIFS(ROBA_U_DOLASKU!$B$6:$B$95,ROBA_U_DOLASKU!$A$6:$A$95,A291,ROBA_U_DOLASKU!$H$6:$H$95,2)</f>
        <v>0</v>
      </c>
      <c r="N291" s="9" t="n">
        <f aca="false">SUMIFS(ROBA_U_DOLASKU!$C$6:$C$95,ROBA_U_DOLASKU!$A$6:$A$95,A291,ROBA_U_DOLASKU!$H$6:$H$95,3)</f>
        <v>0</v>
      </c>
      <c r="O291" s="9" t="n">
        <f aca="false">SUMIFS(ROBA_U_DOLASKU!$B$6:$B$95,ROBA_U_DOLASKU!$A$6:$A$95,A291,ROBA_U_DOLASKU!$H$6:$H$95,3)</f>
        <v>0</v>
      </c>
      <c r="P291" s="9" t="n">
        <f aca="false">IF(H291&lt;=0,999,IF(O291&gt;0,ROUND((F291-H291*N291+K291+M291+O291)/H291,1),IF(M291&gt;0,ROUND((F291-H291*L291+K291+M291)/H291,1),IF(K291&gt;0,ROUND((F291-H291*J291+K291)/H291,1),I291))))</f>
        <v>28.4</v>
      </c>
      <c r="Q291" s="22" t="str">
        <f aca="false">IF(H291&lt;=0,"Nema prodaje",IF(AND(K291=0,M291=0,O291=0),IF(I291&lt;POSTAVKE!$B$6,"Naruči odmah","Sve u redu"),IF(F291-H291*J291&lt;0,"Rupa za ~"&amp;TEXT(I291,"0.0")&amp;" mj.",IF(AND(M291&gt;0,F291-H291*L291+K291&lt;0),"Rupa nakon 1. dolaska",IF(AND(O291&gt;0,F291-H291*N291+K291+M291&lt;0),"Rupa nakon 2. dolaska",IF(P291&lt;POSTAVKE!$B$6,"Količina nije dovoljna",IF(I291&gt;=POSTAVKE!$B$6,"Sve u redu","Stiže na vrijeme")))))))</f>
        <v>Sve u redu</v>
      </c>
      <c r="S291" s="23" t="n">
        <f aca="false">IFERROR(INDEX(PODACI_PRODAJA!B:B,MATCH($A291,PODACI_PRODAJA!$A:$A,0)),0)</f>
        <v>1</v>
      </c>
      <c r="T291" s="23" t="n">
        <f aca="false">IFERROR(INDEX(PODACI_PRODAJA!C:C,MATCH($A291,PODACI_PRODAJA!$A:$A,0)),0)</f>
        <v>1</v>
      </c>
      <c r="U291" s="23" t="n">
        <f aca="false">IFERROR(INDEX(PODACI_PRODAJA!D:D,MATCH($A291,PODACI_PRODAJA!$A:$A,0)),0)</f>
        <v>0</v>
      </c>
      <c r="V291" s="23" t="n">
        <f aca="false">IFERROR(INDEX(PODACI_PRODAJA!E:E,MATCH($A291,PODACI_PRODAJA!$A:$A,0)),0)</f>
        <v>0</v>
      </c>
      <c r="W291" s="23" t="n">
        <f aca="false">IFERROR(INDEX(PODACI_PRODAJA!F:F,MATCH($A291,PODACI_PRODAJA!$A:$A,0)),0)</f>
        <v>1</v>
      </c>
      <c r="X291" s="23" t="n">
        <f aca="false">IFERROR(INDEX(PODACI_PRODAJA!G:G,MATCH($A291,PODACI_PRODAJA!$A:$A,0)),0)</f>
        <v>1</v>
      </c>
      <c r="Y291" s="23" t="n">
        <f aca="false">IFERROR(INDEX(PODACI_PRODAJA!H:H,MATCH($A291,PODACI_PRODAJA!$A:$A,0)),0)</f>
        <v>2</v>
      </c>
      <c r="Z291" s="23" t="n">
        <f aca="false">IFERROR(INDEX(PODACI_PRODAJA!I:I,MATCH($A291,PODACI_PRODAJA!$A:$A,0)),0)</f>
        <v>1</v>
      </c>
      <c r="AA291" s="23" t="n">
        <f aca="false">IFERROR(INDEX(PODACI_PRODAJA!J:J,MATCH($A291,PODACI_PRODAJA!$A:$A,0)),0)</f>
        <v>0</v>
      </c>
      <c r="AB291" s="23" t="n">
        <f aca="false">IFERROR(INDEX(PODACI_PRODAJA!K:K,MATCH($A291,PODACI_PRODAJA!$A:$A,0)),0)</f>
        <v>0</v>
      </c>
      <c r="AC291" s="23" t="n">
        <f aca="false">IFERROR(INDEX(PODACI_PRODAJA!L:L,MATCH($A291,PODACI_PRODAJA!$A:$A,0)),0)</f>
        <v>0</v>
      </c>
      <c r="AD291" s="23" t="n">
        <f aca="false">IFERROR(INDEX(PODACI_PRODAJA!M:M,MATCH($A291,PODACI_PRODAJA!$A:$A,0)),0)</f>
        <v>0</v>
      </c>
    </row>
    <row r="292" customFormat="false" ht="15" hidden="false" customHeight="false" outlineLevel="0" collapsed="false">
      <c r="A292" s="11" t="str">
        <f aca="false">PODACI_ZALIHE!A289</f>
        <v>16973</v>
      </c>
      <c r="B292" s="8" t="str">
        <f aca="false">PODACI_ZALIHE!B289</f>
        <v>TK GRANADA 90 POLUKRUŽNA TUŠ KABINA 90x90x195 cm</v>
      </c>
      <c r="C292" s="9" t="str">
        <f aca="false">PODACI_ZALIHE!C289</f>
        <v>4328</v>
      </c>
      <c r="D292" s="8" t="str">
        <f aca="false">PODACI_ZALIHE!D289</f>
        <v>HANGZHOU DUHUI IMPORT AND EXPORT CO.,LTD</v>
      </c>
      <c r="E292" s="19" t="n">
        <f aca="false">IF(PODACI_ZALIHE!E289="","",PODACI_ZALIHE!E289)</f>
        <v>25</v>
      </c>
      <c r="F292" s="20" t="n">
        <f aca="false">PODACI_ZALIHE!F289</f>
        <v>25</v>
      </c>
      <c r="G292" s="19" t="n">
        <f aca="false">IF(E292="","",E292-F292)</f>
        <v>0</v>
      </c>
      <c r="H292" s="9" t="n">
        <f aca="false">PODACI_PRODAJA!N260</f>
        <v>0.63</v>
      </c>
      <c r="I292" s="21" t="n">
        <f aca="false">IF(H292&lt;=0,999,ROUND(F292/H292,1))</f>
        <v>39.7</v>
      </c>
      <c r="J292" s="9" t="n">
        <f aca="false">SUMIFS(ROBA_U_DOLASKU!$C$6:$C$95,ROBA_U_DOLASKU!$A$6:$A$95,A292,ROBA_U_DOLASKU!$H$6:$H$95,1)</f>
        <v>0</v>
      </c>
      <c r="K292" s="9" t="n">
        <f aca="false">SUMIFS(ROBA_U_DOLASKU!$B$6:$B$95,ROBA_U_DOLASKU!$A$6:$A$95,A292,ROBA_U_DOLASKU!$H$6:$H$95,1)</f>
        <v>0</v>
      </c>
      <c r="L292" s="9" t="n">
        <f aca="false">SUMIFS(ROBA_U_DOLASKU!$C$6:$C$95,ROBA_U_DOLASKU!$A$6:$A$95,A292,ROBA_U_DOLASKU!$H$6:$H$95,2)</f>
        <v>0</v>
      </c>
      <c r="M292" s="9" t="n">
        <f aca="false">SUMIFS(ROBA_U_DOLASKU!$B$6:$B$95,ROBA_U_DOLASKU!$A$6:$A$95,A292,ROBA_U_DOLASKU!$H$6:$H$95,2)</f>
        <v>0</v>
      </c>
      <c r="N292" s="9" t="n">
        <f aca="false">SUMIFS(ROBA_U_DOLASKU!$C$6:$C$95,ROBA_U_DOLASKU!$A$6:$A$95,A292,ROBA_U_DOLASKU!$H$6:$H$95,3)</f>
        <v>0</v>
      </c>
      <c r="O292" s="9" t="n">
        <f aca="false">SUMIFS(ROBA_U_DOLASKU!$B$6:$B$95,ROBA_U_DOLASKU!$A$6:$A$95,A292,ROBA_U_DOLASKU!$H$6:$H$95,3)</f>
        <v>0</v>
      </c>
      <c r="P292" s="9" t="n">
        <f aca="false">IF(H292&lt;=0,999,IF(O292&gt;0,ROUND((F292-H292*N292+K292+M292+O292)/H292,1),IF(M292&gt;0,ROUND((F292-H292*L292+K292+M292)/H292,1),IF(K292&gt;0,ROUND((F292-H292*J292+K292)/H292,1),I292))))</f>
        <v>39.7</v>
      </c>
      <c r="Q292" s="22" t="str">
        <f aca="false">IF(H292&lt;=0,"Nema prodaje",IF(AND(K292=0,M292=0,O292=0),IF(I292&lt;POSTAVKE!$B$6,"Naruči odmah","Sve u redu"),IF(F292-H292*J292&lt;0,"Rupa za ~"&amp;TEXT(I292,"0.0")&amp;" mj.",IF(AND(M292&gt;0,F292-H292*L292+K292&lt;0),"Rupa nakon 1. dolaska",IF(AND(O292&gt;0,F292-H292*N292+K292+M292&lt;0),"Rupa nakon 2. dolaska",IF(P292&lt;POSTAVKE!$B$6,"Količina nije dovoljna",IF(I292&gt;=POSTAVKE!$B$6,"Sve u redu","Stiže na vrijeme")))))))</f>
        <v>Sve u redu</v>
      </c>
      <c r="S292" s="23" t="n">
        <f aca="false">IFERROR(INDEX(PODACI_PRODAJA!B:B,MATCH($A292,PODACI_PRODAJA!$A:$A,0)),0)</f>
        <v>1</v>
      </c>
      <c r="T292" s="23" t="n">
        <f aca="false">IFERROR(INDEX(PODACI_PRODAJA!C:C,MATCH($A292,PODACI_PRODAJA!$A:$A,0)),0)</f>
        <v>1</v>
      </c>
      <c r="U292" s="23" t="n">
        <f aca="false">IFERROR(INDEX(PODACI_PRODAJA!D:D,MATCH($A292,PODACI_PRODAJA!$A:$A,0)),0)</f>
        <v>0</v>
      </c>
      <c r="V292" s="23" t="n">
        <f aca="false">IFERROR(INDEX(PODACI_PRODAJA!E:E,MATCH($A292,PODACI_PRODAJA!$A:$A,0)),0)</f>
        <v>0</v>
      </c>
      <c r="W292" s="23" t="n">
        <f aca="false">IFERROR(INDEX(PODACI_PRODAJA!F:F,MATCH($A292,PODACI_PRODAJA!$A:$A,0)),0)</f>
        <v>2</v>
      </c>
      <c r="X292" s="23" t="n">
        <f aca="false">IFERROR(INDEX(PODACI_PRODAJA!G:G,MATCH($A292,PODACI_PRODAJA!$A:$A,0)),0)</f>
        <v>0</v>
      </c>
      <c r="Y292" s="23" t="n">
        <f aca="false">IFERROR(INDEX(PODACI_PRODAJA!H:H,MATCH($A292,PODACI_PRODAJA!$A:$A,0)),0)</f>
        <v>1</v>
      </c>
      <c r="Z292" s="23" t="n">
        <f aca="false">IFERROR(INDEX(PODACI_PRODAJA!I:I,MATCH($A292,PODACI_PRODAJA!$A:$A,0)),0)</f>
        <v>0</v>
      </c>
      <c r="AA292" s="23" t="n">
        <f aca="false">IFERROR(INDEX(PODACI_PRODAJA!J:J,MATCH($A292,PODACI_PRODAJA!$A:$A,0)),0)</f>
        <v>0</v>
      </c>
      <c r="AB292" s="23" t="n">
        <f aca="false">IFERROR(INDEX(PODACI_PRODAJA!K:K,MATCH($A292,PODACI_PRODAJA!$A:$A,0)),0)</f>
        <v>0</v>
      </c>
      <c r="AC292" s="23" t="n">
        <f aca="false">IFERROR(INDEX(PODACI_PRODAJA!L:L,MATCH($A292,PODACI_PRODAJA!$A:$A,0)),0)</f>
        <v>0</v>
      </c>
      <c r="AD292" s="23" t="n">
        <f aca="false">IFERROR(INDEX(PODACI_PRODAJA!M:M,MATCH($A292,PODACI_PRODAJA!$A:$A,0)),0)</f>
        <v>0</v>
      </c>
    </row>
    <row r="293" customFormat="false" ht="15" hidden="false" customHeight="false" outlineLevel="0" collapsed="false">
      <c r="A293" s="11" t="str">
        <f aca="false">PODACI_ZALIHE!A290</f>
        <v>17229</v>
      </c>
      <c r="B293" s="8" t="str">
        <f aca="false">PODACI_ZALIHE!B290</f>
        <v>TK MALAGA 80100 BRUSHED GOLD PRAVOKUTNA TUŠ KABINA 80X100X195 cm</v>
      </c>
      <c r="C293" s="9" t="str">
        <f aca="false">PODACI_ZALIHE!C290</f>
        <v>6762</v>
      </c>
      <c r="D293" s="8" t="str">
        <f aca="false">PODACI_ZALIHE!D290</f>
        <v>ZHEJIANG QUICKLINE SHOWERING CO., LTD.</v>
      </c>
      <c r="E293" s="19" t="n">
        <f aca="false">IF(PODACI_ZALIHE!E290="","",PODACI_ZALIHE!E290)</f>
        <v>25</v>
      </c>
      <c r="F293" s="20" t="n">
        <f aca="false">PODACI_ZALIHE!F290</f>
        <v>25</v>
      </c>
      <c r="G293" s="19" t="n">
        <f aca="false">IF(E293="","",E293-F293)</f>
        <v>0</v>
      </c>
      <c r="H293" s="9" t="n">
        <f aca="false">PODACI_PRODAJA!N271</f>
        <v>2.25</v>
      </c>
      <c r="I293" s="21" t="n">
        <f aca="false">IF(H293&lt;=0,999,ROUND(F293/H293,1))</f>
        <v>11.1</v>
      </c>
      <c r="J293" s="9" t="n">
        <f aca="false">SUMIFS(ROBA_U_DOLASKU!$C$6:$C$95,ROBA_U_DOLASKU!$A$6:$A$95,A293,ROBA_U_DOLASKU!$H$6:$H$95,1)</f>
        <v>0</v>
      </c>
      <c r="K293" s="9" t="n">
        <f aca="false">SUMIFS(ROBA_U_DOLASKU!$B$6:$B$95,ROBA_U_DOLASKU!$A$6:$A$95,A293,ROBA_U_DOLASKU!$H$6:$H$95,1)</f>
        <v>0</v>
      </c>
      <c r="L293" s="9" t="n">
        <f aca="false">SUMIFS(ROBA_U_DOLASKU!$C$6:$C$95,ROBA_U_DOLASKU!$A$6:$A$95,A293,ROBA_U_DOLASKU!$H$6:$H$95,2)</f>
        <v>0</v>
      </c>
      <c r="M293" s="9" t="n">
        <f aca="false">SUMIFS(ROBA_U_DOLASKU!$B$6:$B$95,ROBA_U_DOLASKU!$A$6:$A$95,A293,ROBA_U_DOLASKU!$H$6:$H$95,2)</f>
        <v>0</v>
      </c>
      <c r="N293" s="9" t="n">
        <f aca="false">SUMIFS(ROBA_U_DOLASKU!$C$6:$C$95,ROBA_U_DOLASKU!$A$6:$A$95,A293,ROBA_U_DOLASKU!$H$6:$H$95,3)</f>
        <v>0</v>
      </c>
      <c r="O293" s="9" t="n">
        <f aca="false">SUMIFS(ROBA_U_DOLASKU!$B$6:$B$95,ROBA_U_DOLASKU!$A$6:$A$95,A293,ROBA_U_DOLASKU!$H$6:$H$95,3)</f>
        <v>0</v>
      </c>
      <c r="P293" s="9" t="n">
        <f aca="false">IF(H293&lt;=0,999,IF(O293&gt;0,ROUND((F293-H293*N293+K293+M293+O293)/H293,1),IF(M293&gt;0,ROUND((F293-H293*L293+K293+M293)/H293,1),IF(K293&gt;0,ROUND((F293-H293*J293+K293)/H293,1),I293))))</f>
        <v>11.1</v>
      </c>
      <c r="Q293" s="22" t="str">
        <f aca="false">IF(H293&lt;=0,"Nema prodaje",IF(AND(K293=0,M293=0,O293=0),IF(I293&lt;POSTAVKE!$B$6,"Naruči odmah","Sve u redu"),IF(F293-H293*J293&lt;0,"Rupa za ~"&amp;TEXT(I293,"0.0")&amp;" mj.",IF(AND(M293&gt;0,F293-H293*L293+K293&lt;0),"Rupa nakon 1. dolaska",IF(AND(O293&gt;0,F293-H293*N293+K293+M293&lt;0),"Rupa nakon 2. dolaska",IF(P293&lt;POSTAVKE!$B$6,"Količina nije dovoljna",IF(I293&gt;=POSTAVKE!$B$6,"Sve u redu","Stiže na vrijeme")))))))</f>
        <v>Sve u redu</v>
      </c>
      <c r="S293" s="23" t="n">
        <f aca="false">IFERROR(INDEX(PODACI_PRODAJA!B:B,MATCH($A293,PODACI_PRODAJA!$A:$A,0)),0)</f>
        <v>1</v>
      </c>
      <c r="T293" s="23" t="n">
        <f aca="false">IFERROR(INDEX(PODACI_PRODAJA!C:C,MATCH($A293,PODACI_PRODAJA!$A:$A,0)),0)</f>
        <v>0</v>
      </c>
      <c r="U293" s="23" t="n">
        <f aca="false">IFERROR(INDEX(PODACI_PRODAJA!D:D,MATCH($A293,PODACI_PRODAJA!$A:$A,0)),0)</f>
        <v>3</v>
      </c>
      <c r="V293" s="23" t="n">
        <f aca="false">IFERROR(INDEX(PODACI_PRODAJA!E:E,MATCH($A293,PODACI_PRODAJA!$A:$A,0)),0)</f>
        <v>7</v>
      </c>
      <c r="W293" s="23" t="n">
        <f aca="false">IFERROR(INDEX(PODACI_PRODAJA!F:F,MATCH($A293,PODACI_PRODAJA!$A:$A,0)),0)</f>
        <v>0</v>
      </c>
      <c r="X293" s="23" t="n">
        <f aca="false">IFERROR(INDEX(PODACI_PRODAJA!G:G,MATCH($A293,PODACI_PRODAJA!$A:$A,0)),0)</f>
        <v>2</v>
      </c>
      <c r="Y293" s="23" t="n">
        <f aca="false">IFERROR(INDEX(PODACI_PRODAJA!H:H,MATCH($A293,PODACI_PRODAJA!$A:$A,0)),0)</f>
        <v>4</v>
      </c>
      <c r="Z293" s="23" t="n">
        <f aca="false">IFERROR(INDEX(PODACI_PRODAJA!I:I,MATCH($A293,PODACI_PRODAJA!$A:$A,0)),0)</f>
        <v>1</v>
      </c>
      <c r="AA293" s="23" t="n">
        <f aca="false">IFERROR(INDEX(PODACI_PRODAJA!J:J,MATCH($A293,PODACI_PRODAJA!$A:$A,0)),0)</f>
        <v>0</v>
      </c>
      <c r="AB293" s="23" t="n">
        <f aca="false">IFERROR(INDEX(PODACI_PRODAJA!K:K,MATCH($A293,PODACI_PRODAJA!$A:$A,0)),0)</f>
        <v>0</v>
      </c>
      <c r="AC293" s="23" t="n">
        <f aca="false">IFERROR(INDEX(PODACI_PRODAJA!L:L,MATCH($A293,PODACI_PRODAJA!$A:$A,0)),0)</f>
        <v>0</v>
      </c>
      <c r="AD293" s="23" t="n">
        <f aca="false">IFERROR(INDEX(PODACI_PRODAJA!M:M,MATCH($A293,PODACI_PRODAJA!$A:$A,0)),0)</f>
        <v>0</v>
      </c>
    </row>
    <row r="294" customFormat="false" ht="15" hidden="false" customHeight="false" outlineLevel="0" collapsed="false">
      <c r="A294" s="11" t="str">
        <f aca="false">PODACI_ZALIHE!A291</f>
        <v>17230</v>
      </c>
      <c r="B294" s="8" t="str">
        <f aca="false">PODACI_ZALIHE!B291</f>
        <v>TK MALAGA 80120 BRUSHED GOLD PRAVOKUTNA TUŠ KABINA 80X120X195 cm</v>
      </c>
      <c r="C294" s="9" t="str">
        <f aca="false">PODACI_ZALIHE!C291</f>
        <v>6762</v>
      </c>
      <c r="D294" s="8" t="str">
        <f aca="false">PODACI_ZALIHE!D291</f>
        <v>ZHEJIANG QUICKLINE SHOWERING CO., LTD.</v>
      </c>
      <c r="E294" s="19" t="n">
        <f aca="false">IF(PODACI_ZALIHE!E291="","",PODACI_ZALIHE!E291)</f>
        <v>25</v>
      </c>
      <c r="F294" s="20" t="n">
        <f aca="false">PODACI_ZALIHE!F291</f>
        <v>25</v>
      </c>
      <c r="G294" s="19" t="n">
        <f aca="false">IF(E294="","",E294-F294)</f>
        <v>0</v>
      </c>
      <c r="H294" s="9" t="n">
        <f aca="false">PODACI_PRODAJA!N611</f>
        <v>1.13</v>
      </c>
      <c r="I294" s="21" t="n">
        <f aca="false">IF(H294&lt;=0,999,ROUND(F294/H294,1))</f>
        <v>22.1</v>
      </c>
      <c r="J294" s="9" t="n">
        <f aca="false">SUMIFS(ROBA_U_DOLASKU!$C$6:$C$95,ROBA_U_DOLASKU!$A$6:$A$95,A294,ROBA_U_DOLASKU!$H$6:$H$95,1)</f>
        <v>0</v>
      </c>
      <c r="K294" s="9" t="n">
        <f aca="false">SUMIFS(ROBA_U_DOLASKU!$B$6:$B$95,ROBA_U_DOLASKU!$A$6:$A$95,A294,ROBA_U_DOLASKU!$H$6:$H$95,1)</f>
        <v>0</v>
      </c>
      <c r="L294" s="9" t="n">
        <f aca="false">SUMIFS(ROBA_U_DOLASKU!$C$6:$C$95,ROBA_U_DOLASKU!$A$6:$A$95,A294,ROBA_U_DOLASKU!$H$6:$H$95,2)</f>
        <v>0</v>
      </c>
      <c r="M294" s="9" t="n">
        <f aca="false">SUMIFS(ROBA_U_DOLASKU!$B$6:$B$95,ROBA_U_DOLASKU!$A$6:$A$95,A294,ROBA_U_DOLASKU!$H$6:$H$95,2)</f>
        <v>0</v>
      </c>
      <c r="N294" s="9" t="n">
        <f aca="false">SUMIFS(ROBA_U_DOLASKU!$C$6:$C$95,ROBA_U_DOLASKU!$A$6:$A$95,A294,ROBA_U_DOLASKU!$H$6:$H$95,3)</f>
        <v>0</v>
      </c>
      <c r="O294" s="9" t="n">
        <f aca="false">SUMIFS(ROBA_U_DOLASKU!$B$6:$B$95,ROBA_U_DOLASKU!$A$6:$A$95,A294,ROBA_U_DOLASKU!$H$6:$H$95,3)</f>
        <v>0</v>
      </c>
      <c r="P294" s="9" t="n">
        <f aca="false">IF(H294&lt;=0,999,IF(O294&gt;0,ROUND((F294-H294*N294+K294+M294+O294)/H294,1),IF(M294&gt;0,ROUND((F294-H294*L294+K294+M294)/H294,1),IF(K294&gt;0,ROUND((F294-H294*J294+K294)/H294,1),I294))))</f>
        <v>22.1</v>
      </c>
      <c r="Q294" s="22" t="str">
        <f aca="false">IF(H294&lt;=0,"Nema prodaje",IF(AND(K294=0,M294=0,O294=0),IF(I294&lt;POSTAVKE!$B$6,"Naruči odmah","Sve u redu"),IF(F294-H294*J294&lt;0,"Rupa za ~"&amp;TEXT(I294,"0.0")&amp;" mj.",IF(AND(M294&gt;0,F294-H294*L294+K294&lt;0),"Rupa nakon 1. dolaska",IF(AND(O294&gt;0,F294-H294*N294+K294+M294&lt;0),"Rupa nakon 2. dolaska",IF(P294&lt;POSTAVKE!$B$6,"Količina nije dovoljna",IF(I294&gt;=POSTAVKE!$B$6,"Sve u redu","Stiže na vrijeme")))))))</f>
        <v>Sve u redu</v>
      </c>
      <c r="S294" s="23" t="n">
        <f aca="false">IFERROR(INDEX(PODACI_PRODAJA!B:B,MATCH($A294,PODACI_PRODAJA!$A:$A,0)),0)</f>
        <v>0</v>
      </c>
      <c r="T294" s="23" t="n">
        <f aca="false">IFERROR(INDEX(PODACI_PRODAJA!C:C,MATCH($A294,PODACI_PRODAJA!$A:$A,0)),0)</f>
        <v>1</v>
      </c>
      <c r="U294" s="23" t="n">
        <f aca="false">IFERROR(INDEX(PODACI_PRODAJA!D:D,MATCH($A294,PODACI_PRODAJA!$A:$A,0)),0)</f>
        <v>3</v>
      </c>
      <c r="V294" s="23" t="n">
        <f aca="false">IFERROR(INDEX(PODACI_PRODAJA!E:E,MATCH($A294,PODACI_PRODAJA!$A:$A,0)),0)</f>
        <v>2</v>
      </c>
      <c r="W294" s="23" t="n">
        <f aca="false">IFERROR(INDEX(PODACI_PRODAJA!F:F,MATCH($A294,PODACI_PRODAJA!$A:$A,0)),0)</f>
        <v>1</v>
      </c>
      <c r="X294" s="23" t="n">
        <f aca="false">IFERROR(INDEX(PODACI_PRODAJA!G:G,MATCH($A294,PODACI_PRODAJA!$A:$A,0)),0)</f>
        <v>1</v>
      </c>
      <c r="Y294" s="23" t="n">
        <f aca="false">IFERROR(INDEX(PODACI_PRODAJA!H:H,MATCH($A294,PODACI_PRODAJA!$A:$A,0)),0)</f>
        <v>1</v>
      </c>
      <c r="Z294" s="23" t="n">
        <f aca="false">IFERROR(INDEX(PODACI_PRODAJA!I:I,MATCH($A294,PODACI_PRODAJA!$A:$A,0)),0)</f>
        <v>0</v>
      </c>
      <c r="AA294" s="23" t="n">
        <f aca="false">IFERROR(INDEX(PODACI_PRODAJA!J:J,MATCH($A294,PODACI_PRODAJA!$A:$A,0)),0)</f>
        <v>0</v>
      </c>
      <c r="AB294" s="23" t="n">
        <f aca="false">IFERROR(INDEX(PODACI_PRODAJA!K:K,MATCH($A294,PODACI_PRODAJA!$A:$A,0)),0)</f>
        <v>0</v>
      </c>
      <c r="AC294" s="23" t="n">
        <f aca="false">IFERROR(INDEX(PODACI_PRODAJA!L:L,MATCH($A294,PODACI_PRODAJA!$A:$A,0)),0)</f>
        <v>0</v>
      </c>
      <c r="AD294" s="23" t="n">
        <f aca="false">IFERROR(INDEX(PODACI_PRODAJA!M:M,MATCH($A294,PODACI_PRODAJA!$A:$A,0)),0)</f>
        <v>0</v>
      </c>
    </row>
    <row r="295" customFormat="false" ht="15" hidden="false" customHeight="false" outlineLevel="0" collapsed="false">
      <c r="A295" s="11" t="str">
        <f aca="false">PODACI_ZALIHE!A292</f>
        <v>17237</v>
      </c>
      <c r="B295" s="8" t="str">
        <f aca="false">PODACI_ZALIHE!B292</f>
        <v>TK PARLA 90 BLACK POLUKRUŽNA TUŠ KABINA 90X90X195 cm</v>
      </c>
      <c r="C295" s="9" t="str">
        <f aca="false">PODACI_ZALIHE!C292</f>
        <v>6762</v>
      </c>
      <c r="D295" s="8" t="str">
        <f aca="false">PODACI_ZALIHE!D292</f>
        <v>ZHEJIANG QUICKLINE SHOWERING CO., LTD.</v>
      </c>
      <c r="E295" s="19" t="n">
        <f aca="false">IF(PODACI_ZALIHE!E292="","",PODACI_ZALIHE!E292)</f>
        <v>25</v>
      </c>
      <c r="F295" s="20" t="n">
        <f aca="false">PODACI_ZALIHE!F292</f>
        <v>25</v>
      </c>
      <c r="G295" s="19" t="n">
        <f aca="false">IF(E295="","",E295-F295)</f>
        <v>0</v>
      </c>
      <c r="H295" s="9" t="n">
        <f aca="false">PODACI_PRODAJA!N616</f>
        <v>0.13</v>
      </c>
      <c r="I295" s="21" t="n">
        <f aca="false">IF(H295&lt;=0,999,ROUND(F295/H295,1))</f>
        <v>192.3</v>
      </c>
      <c r="J295" s="9" t="n">
        <f aca="false">SUMIFS(ROBA_U_DOLASKU!$C$6:$C$95,ROBA_U_DOLASKU!$A$6:$A$95,A295,ROBA_U_DOLASKU!$H$6:$H$95,1)</f>
        <v>0</v>
      </c>
      <c r="K295" s="9" t="n">
        <f aca="false">SUMIFS(ROBA_U_DOLASKU!$B$6:$B$95,ROBA_U_DOLASKU!$A$6:$A$95,A295,ROBA_U_DOLASKU!$H$6:$H$95,1)</f>
        <v>0</v>
      </c>
      <c r="L295" s="9" t="n">
        <f aca="false">SUMIFS(ROBA_U_DOLASKU!$C$6:$C$95,ROBA_U_DOLASKU!$A$6:$A$95,A295,ROBA_U_DOLASKU!$H$6:$H$95,2)</f>
        <v>0</v>
      </c>
      <c r="M295" s="9" t="n">
        <f aca="false">SUMIFS(ROBA_U_DOLASKU!$B$6:$B$95,ROBA_U_DOLASKU!$A$6:$A$95,A295,ROBA_U_DOLASKU!$H$6:$H$95,2)</f>
        <v>0</v>
      </c>
      <c r="N295" s="9" t="n">
        <f aca="false">SUMIFS(ROBA_U_DOLASKU!$C$6:$C$95,ROBA_U_DOLASKU!$A$6:$A$95,A295,ROBA_U_DOLASKU!$H$6:$H$95,3)</f>
        <v>0</v>
      </c>
      <c r="O295" s="9" t="n">
        <f aca="false">SUMIFS(ROBA_U_DOLASKU!$B$6:$B$95,ROBA_U_DOLASKU!$A$6:$A$95,A295,ROBA_U_DOLASKU!$H$6:$H$95,3)</f>
        <v>0</v>
      </c>
      <c r="P295" s="9" t="n">
        <f aca="false">IF(H295&lt;=0,999,IF(O295&gt;0,ROUND((F295-H295*N295+K295+M295+O295)/H295,1),IF(M295&gt;0,ROUND((F295-H295*L295+K295+M295)/H295,1),IF(K295&gt;0,ROUND((F295-H295*J295+K295)/H295,1),I295))))</f>
        <v>192.3</v>
      </c>
      <c r="Q295" s="22" t="str">
        <f aca="false">IF(H295&lt;=0,"Nema prodaje",IF(AND(K295=0,M295=0,O295=0),IF(I295&lt;POSTAVKE!$B$6,"Naruči odmah","Sve u redu"),IF(F295-H295*J295&lt;0,"Rupa za ~"&amp;TEXT(I295,"0.0")&amp;" mj.",IF(AND(M295&gt;0,F295-H295*L295+K295&lt;0),"Rupa nakon 1. dolaska",IF(AND(O295&gt;0,F295-H295*N295+K295+M295&lt;0),"Rupa nakon 2. dolaska",IF(P295&lt;POSTAVKE!$B$6,"Količina nije dovoljna",IF(I295&gt;=POSTAVKE!$B$6,"Sve u redu","Stiže na vrijeme")))))))</f>
        <v>Sve u redu</v>
      </c>
      <c r="S295" s="23" t="n">
        <f aca="false">IFERROR(INDEX(PODACI_PRODAJA!B:B,MATCH($A295,PODACI_PRODAJA!$A:$A,0)),0)</f>
        <v>0</v>
      </c>
      <c r="T295" s="23" t="n">
        <f aca="false">IFERROR(INDEX(PODACI_PRODAJA!C:C,MATCH($A295,PODACI_PRODAJA!$A:$A,0)),0)</f>
        <v>0</v>
      </c>
      <c r="U295" s="23" t="n">
        <f aca="false">IFERROR(INDEX(PODACI_PRODAJA!D:D,MATCH($A295,PODACI_PRODAJA!$A:$A,0)),0)</f>
        <v>1</v>
      </c>
      <c r="V295" s="23" t="n">
        <f aca="false">IFERROR(INDEX(PODACI_PRODAJA!E:E,MATCH($A295,PODACI_PRODAJA!$A:$A,0)),0)</f>
        <v>0</v>
      </c>
      <c r="W295" s="23" t="n">
        <f aca="false">IFERROR(INDEX(PODACI_PRODAJA!F:F,MATCH($A295,PODACI_PRODAJA!$A:$A,0)),0)</f>
        <v>0</v>
      </c>
      <c r="X295" s="23" t="n">
        <f aca="false">IFERROR(INDEX(PODACI_PRODAJA!G:G,MATCH($A295,PODACI_PRODAJA!$A:$A,0)),0)</f>
        <v>0</v>
      </c>
      <c r="Y295" s="23" t="n">
        <f aca="false">IFERROR(INDEX(PODACI_PRODAJA!H:H,MATCH($A295,PODACI_PRODAJA!$A:$A,0)),0)</f>
        <v>0</v>
      </c>
      <c r="Z295" s="23" t="n">
        <f aca="false">IFERROR(INDEX(PODACI_PRODAJA!I:I,MATCH($A295,PODACI_PRODAJA!$A:$A,0)),0)</f>
        <v>0</v>
      </c>
      <c r="AA295" s="23" t="n">
        <f aca="false">IFERROR(INDEX(PODACI_PRODAJA!J:J,MATCH($A295,PODACI_PRODAJA!$A:$A,0)),0)</f>
        <v>0</v>
      </c>
      <c r="AB295" s="23" t="n">
        <f aca="false">IFERROR(INDEX(PODACI_PRODAJA!K:K,MATCH($A295,PODACI_PRODAJA!$A:$A,0)),0)</f>
        <v>0</v>
      </c>
      <c r="AC295" s="23" t="n">
        <f aca="false">IFERROR(INDEX(PODACI_PRODAJA!L:L,MATCH($A295,PODACI_PRODAJA!$A:$A,0)),0)</f>
        <v>0</v>
      </c>
      <c r="AD295" s="23" t="n">
        <f aca="false">IFERROR(INDEX(PODACI_PRODAJA!M:M,MATCH($A295,PODACI_PRODAJA!$A:$A,0)),0)</f>
        <v>0</v>
      </c>
    </row>
    <row r="296" customFormat="false" ht="15" hidden="false" customHeight="false" outlineLevel="0" collapsed="false">
      <c r="A296" s="11" t="str">
        <f aca="false">PODACI_ZALIHE!A293</f>
        <v>P15818</v>
      </c>
      <c r="B296" s="8" t="str">
        <f aca="false">PODACI_ZALIHE!B293</f>
        <v>BOLD LUX 90140 MINERALSOLID TUŠ KADA BIJELA SJAJNA 900x1400x30 mm</v>
      </c>
      <c r="C296" s="9" t="str">
        <f aca="false">PODACI_ZALIHE!C293</f>
        <v>5140</v>
      </c>
      <c r="D296" s="8" t="str">
        <f aca="false">PODACI_ZALIHE!D293</f>
        <v>GUANGDONG OCEAN SANITARY WARE CO., LTD.</v>
      </c>
      <c r="E296" s="19" t="n">
        <f aca="false">IF(PODACI_ZALIHE!E293="","",PODACI_ZALIHE!E293)</f>
        <v>24</v>
      </c>
      <c r="F296" s="20" t="n">
        <f aca="false">PODACI_ZALIHE!F293</f>
        <v>24</v>
      </c>
      <c r="G296" s="19" t="n">
        <f aca="false">IF(E296="","",E296-F296)</f>
        <v>0</v>
      </c>
      <c r="H296" s="9" t="n">
        <f aca="false">PODACI_PRODAJA!N321</f>
        <v>0</v>
      </c>
      <c r="I296" s="21" t="n">
        <f aca="false">IF(H296&lt;=0,999,ROUND(F296/H296,1))</f>
        <v>999</v>
      </c>
      <c r="J296" s="9" t="n">
        <f aca="false">SUMIFS(ROBA_U_DOLASKU!$C$6:$C$95,ROBA_U_DOLASKU!$A$6:$A$95,A296,ROBA_U_DOLASKU!$H$6:$H$95,1)</f>
        <v>0</v>
      </c>
      <c r="K296" s="9" t="n">
        <f aca="false">SUMIFS(ROBA_U_DOLASKU!$B$6:$B$95,ROBA_U_DOLASKU!$A$6:$A$95,A296,ROBA_U_DOLASKU!$H$6:$H$95,1)</f>
        <v>0</v>
      </c>
      <c r="L296" s="9" t="n">
        <f aca="false">SUMIFS(ROBA_U_DOLASKU!$C$6:$C$95,ROBA_U_DOLASKU!$A$6:$A$95,A296,ROBA_U_DOLASKU!$H$6:$H$95,2)</f>
        <v>0</v>
      </c>
      <c r="M296" s="9" t="n">
        <f aca="false">SUMIFS(ROBA_U_DOLASKU!$B$6:$B$95,ROBA_U_DOLASKU!$A$6:$A$95,A296,ROBA_U_DOLASKU!$H$6:$H$95,2)</f>
        <v>0</v>
      </c>
      <c r="N296" s="9" t="n">
        <f aca="false">SUMIFS(ROBA_U_DOLASKU!$C$6:$C$95,ROBA_U_DOLASKU!$A$6:$A$95,A296,ROBA_U_DOLASKU!$H$6:$H$95,3)</f>
        <v>0</v>
      </c>
      <c r="O296" s="9" t="n">
        <f aca="false">SUMIFS(ROBA_U_DOLASKU!$B$6:$B$95,ROBA_U_DOLASKU!$A$6:$A$95,A296,ROBA_U_DOLASKU!$H$6:$H$95,3)</f>
        <v>0</v>
      </c>
      <c r="P296" s="9" t="n">
        <f aca="false">IF(H296&lt;=0,999,IF(O296&gt;0,ROUND((F296-H296*N296+K296+M296+O296)/H296,1),IF(M296&gt;0,ROUND((F296-H296*L296+K296+M296)/H296,1),IF(K296&gt;0,ROUND((F296-H296*J296+K296)/H296,1),I296))))</f>
        <v>999</v>
      </c>
      <c r="Q296" s="22" t="str">
        <f aca="false">IF(H296&lt;=0,"Nema prodaje",IF(AND(K296=0,M296=0,O296=0),IF(I296&lt;POSTAVKE!$B$6,"Naruči odmah","Sve u redu"),IF(F296-H296*J296&lt;0,"Rupa za ~"&amp;TEXT(I296,"0.0")&amp;" mj.",IF(AND(M296&gt;0,F296-H296*L296+K296&lt;0),"Rupa nakon 1. dolaska",IF(AND(O296&gt;0,F296-H296*N296+K296+M296&lt;0),"Rupa nakon 2. dolaska",IF(P296&lt;POSTAVKE!$B$6,"Količina nije dovoljna",IF(I296&gt;=POSTAVKE!$B$6,"Sve u redu","Stiže na vrijeme")))))))</f>
        <v>Nema prodaje</v>
      </c>
      <c r="S296" s="23" t="n">
        <f aca="false">IFERROR(INDEX(PODACI_PRODAJA!B:B,MATCH($A296,PODACI_PRODAJA!$A:$A,0)),0)</f>
        <v>0</v>
      </c>
      <c r="T296" s="23" t="n">
        <f aca="false">IFERROR(INDEX(PODACI_PRODAJA!C:C,MATCH($A296,PODACI_PRODAJA!$A:$A,0)),0)</f>
        <v>0</v>
      </c>
      <c r="U296" s="23" t="n">
        <f aca="false">IFERROR(INDEX(PODACI_PRODAJA!D:D,MATCH($A296,PODACI_PRODAJA!$A:$A,0)),0)</f>
        <v>0</v>
      </c>
      <c r="V296" s="23" t="n">
        <f aca="false">IFERROR(INDEX(PODACI_PRODAJA!E:E,MATCH($A296,PODACI_PRODAJA!$A:$A,0)),0)</f>
        <v>0</v>
      </c>
      <c r="W296" s="23" t="n">
        <f aca="false">IFERROR(INDEX(PODACI_PRODAJA!F:F,MATCH($A296,PODACI_PRODAJA!$A:$A,0)),0)</f>
        <v>0</v>
      </c>
      <c r="X296" s="23" t="n">
        <f aca="false">IFERROR(INDEX(PODACI_PRODAJA!G:G,MATCH($A296,PODACI_PRODAJA!$A:$A,0)),0)</f>
        <v>0</v>
      </c>
      <c r="Y296" s="23" t="n">
        <f aca="false">IFERROR(INDEX(PODACI_PRODAJA!H:H,MATCH($A296,PODACI_PRODAJA!$A:$A,0)),0)</f>
        <v>0</v>
      </c>
      <c r="Z296" s="23" t="n">
        <f aca="false">IFERROR(INDEX(PODACI_PRODAJA!I:I,MATCH($A296,PODACI_PRODAJA!$A:$A,0)),0)</f>
        <v>0</v>
      </c>
      <c r="AA296" s="23" t="n">
        <f aca="false">IFERROR(INDEX(PODACI_PRODAJA!J:J,MATCH($A296,PODACI_PRODAJA!$A:$A,0)),0)</f>
        <v>0</v>
      </c>
      <c r="AB296" s="23" t="n">
        <f aca="false">IFERROR(INDEX(PODACI_PRODAJA!K:K,MATCH($A296,PODACI_PRODAJA!$A:$A,0)),0)</f>
        <v>0</v>
      </c>
      <c r="AC296" s="23" t="n">
        <f aca="false">IFERROR(INDEX(PODACI_PRODAJA!L:L,MATCH($A296,PODACI_PRODAJA!$A:$A,0)),0)</f>
        <v>0</v>
      </c>
      <c r="AD296" s="23" t="n">
        <f aca="false">IFERROR(INDEX(PODACI_PRODAJA!M:M,MATCH($A296,PODACI_PRODAJA!$A:$A,0)),0)</f>
        <v>0</v>
      </c>
    </row>
    <row r="297" customFormat="false" ht="15" hidden="false" customHeight="false" outlineLevel="0" collapsed="false">
      <c r="A297" s="11" t="str">
        <f aca="false">PODACI_ZALIHE!A294</f>
        <v>0361413</v>
      </c>
      <c r="B297" s="8" t="str">
        <f aca="false">PODACI_ZALIHE!B294</f>
        <v>UZORAK MINERALMRAMOR STONE 7*7 CM CRNI</v>
      </c>
      <c r="C297" s="9" t="n">
        <f aca="false">PODACI_ZALIHE!C294</f>
        <v>0</v>
      </c>
      <c r="D297" s="8" t="n">
        <f aca="false">PODACI_ZALIHE!D294</f>
        <v>0</v>
      </c>
      <c r="E297" s="19" t="n">
        <f aca="false">IF(PODACI_ZALIHE!E294="","",PODACI_ZALIHE!E294)</f>
        <v>24</v>
      </c>
      <c r="F297" s="20" t="n">
        <f aca="false">PODACI_ZALIHE!F294</f>
        <v>24</v>
      </c>
      <c r="G297" s="19" t="n">
        <f aca="false">IF(E297="","",E297-F297)</f>
        <v>0</v>
      </c>
      <c r="H297" s="9" t="n">
        <v>0</v>
      </c>
      <c r="I297" s="21" t="n">
        <f aca="false">IF(H297&lt;=0,999,ROUND(F297/H297,1))</f>
        <v>999</v>
      </c>
      <c r="J297" s="9" t="n">
        <f aca="false">SUMIFS(ROBA_U_DOLASKU!$C$6:$C$95,ROBA_U_DOLASKU!$A$6:$A$95,A297,ROBA_U_DOLASKU!$H$6:$H$95,1)</f>
        <v>0</v>
      </c>
      <c r="K297" s="9" t="n">
        <f aca="false">SUMIFS(ROBA_U_DOLASKU!$B$6:$B$95,ROBA_U_DOLASKU!$A$6:$A$95,A297,ROBA_U_DOLASKU!$H$6:$H$95,1)</f>
        <v>0</v>
      </c>
      <c r="L297" s="9" t="n">
        <f aca="false">SUMIFS(ROBA_U_DOLASKU!$C$6:$C$95,ROBA_U_DOLASKU!$A$6:$A$95,A297,ROBA_U_DOLASKU!$H$6:$H$95,2)</f>
        <v>0</v>
      </c>
      <c r="M297" s="9" t="n">
        <f aca="false">SUMIFS(ROBA_U_DOLASKU!$B$6:$B$95,ROBA_U_DOLASKU!$A$6:$A$95,A297,ROBA_U_DOLASKU!$H$6:$H$95,2)</f>
        <v>0</v>
      </c>
      <c r="N297" s="9" t="n">
        <f aca="false">SUMIFS(ROBA_U_DOLASKU!$C$6:$C$95,ROBA_U_DOLASKU!$A$6:$A$95,A297,ROBA_U_DOLASKU!$H$6:$H$95,3)</f>
        <v>0</v>
      </c>
      <c r="O297" s="9" t="n">
        <f aca="false">SUMIFS(ROBA_U_DOLASKU!$B$6:$B$95,ROBA_U_DOLASKU!$A$6:$A$95,A297,ROBA_U_DOLASKU!$H$6:$H$95,3)</f>
        <v>0</v>
      </c>
      <c r="P297" s="9" t="n">
        <f aca="false">IF(H297&lt;=0,999,IF(O297&gt;0,ROUND((F297-H297*N297+K297+M297+O297)/H297,1),IF(M297&gt;0,ROUND((F297-H297*L297+K297+M297)/H297,1),IF(K297&gt;0,ROUND((F297-H297*J297+K297)/H297,1),I297))))</f>
        <v>999</v>
      </c>
      <c r="Q297" s="22" t="str">
        <f aca="false">IF(H297&lt;=0,"Nema prodaje",IF(AND(K297=0,M297=0,O297=0),IF(I297&lt;POSTAVKE!$B$6,"Naruči odmah","Sve u redu"),IF(F297-H297*J297&lt;0,"Rupa za ~"&amp;TEXT(I297,"0.0")&amp;" mj.",IF(AND(M297&gt;0,F297-H297*L297+K297&lt;0),"Rupa nakon 1. dolaska",IF(AND(O297&gt;0,F297-H297*N297+K297+M297&lt;0),"Rupa nakon 2. dolaska",IF(P297&lt;POSTAVKE!$B$6,"Količina nije dovoljna",IF(I297&gt;=POSTAVKE!$B$6,"Sve u redu","Stiže na vrijeme")))))))</f>
        <v>Nema prodaje</v>
      </c>
      <c r="S297" s="23" t="n">
        <f aca="false">IFERROR(INDEX(PODACI_PRODAJA!B:B,MATCH($A297,PODACI_PRODAJA!$A:$A,0)),0)</f>
        <v>0</v>
      </c>
      <c r="T297" s="23" t="n">
        <f aca="false">IFERROR(INDEX(PODACI_PRODAJA!C:C,MATCH($A297,PODACI_PRODAJA!$A:$A,0)),0)</f>
        <v>0</v>
      </c>
      <c r="U297" s="23" t="n">
        <f aca="false">IFERROR(INDEX(PODACI_PRODAJA!D:D,MATCH($A297,PODACI_PRODAJA!$A:$A,0)),0)</f>
        <v>0</v>
      </c>
      <c r="V297" s="23" t="n">
        <f aca="false">IFERROR(INDEX(PODACI_PRODAJA!E:E,MATCH($A297,PODACI_PRODAJA!$A:$A,0)),0)</f>
        <v>0</v>
      </c>
      <c r="W297" s="23" t="n">
        <f aca="false">IFERROR(INDEX(PODACI_PRODAJA!F:F,MATCH($A297,PODACI_PRODAJA!$A:$A,0)),0)</f>
        <v>0</v>
      </c>
      <c r="X297" s="23" t="n">
        <f aca="false">IFERROR(INDEX(PODACI_PRODAJA!G:G,MATCH($A297,PODACI_PRODAJA!$A:$A,0)),0)</f>
        <v>0</v>
      </c>
      <c r="Y297" s="23" t="n">
        <f aca="false">IFERROR(INDEX(PODACI_PRODAJA!H:H,MATCH($A297,PODACI_PRODAJA!$A:$A,0)),0)</f>
        <v>0</v>
      </c>
      <c r="Z297" s="23" t="n">
        <f aca="false">IFERROR(INDEX(PODACI_PRODAJA!I:I,MATCH($A297,PODACI_PRODAJA!$A:$A,0)),0)</f>
        <v>0</v>
      </c>
      <c r="AA297" s="23" t="n">
        <f aca="false">IFERROR(INDEX(PODACI_PRODAJA!J:J,MATCH($A297,PODACI_PRODAJA!$A:$A,0)),0)</f>
        <v>0</v>
      </c>
      <c r="AB297" s="23" t="n">
        <f aca="false">IFERROR(INDEX(PODACI_PRODAJA!K:K,MATCH($A297,PODACI_PRODAJA!$A:$A,0)),0)</f>
        <v>0</v>
      </c>
      <c r="AC297" s="23" t="n">
        <f aca="false">IFERROR(INDEX(PODACI_PRODAJA!L:L,MATCH($A297,PODACI_PRODAJA!$A:$A,0)),0)</f>
        <v>0</v>
      </c>
      <c r="AD297" s="23" t="n">
        <f aca="false">IFERROR(INDEX(PODACI_PRODAJA!M:M,MATCH($A297,PODACI_PRODAJA!$A:$A,0)),0)</f>
        <v>0</v>
      </c>
    </row>
    <row r="298" customFormat="false" ht="15" hidden="false" customHeight="false" outlineLevel="0" collapsed="false">
      <c r="A298" s="11" t="str">
        <f aca="false">PODACI_ZALIHE!A295</f>
        <v>0361417</v>
      </c>
      <c r="B298" s="8" t="str">
        <f aca="false">PODACI_ZALIHE!B295</f>
        <v>UZORAK MINERALMRAMOR 7*7 CM CRNI</v>
      </c>
      <c r="C298" s="9" t="n">
        <f aca="false">PODACI_ZALIHE!C295</f>
        <v>0</v>
      </c>
      <c r="D298" s="8" t="n">
        <f aca="false">PODACI_ZALIHE!D295</f>
        <v>0</v>
      </c>
      <c r="E298" s="19" t="n">
        <f aca="false">IF(PODACI_ZALIHE!E295="","",PODACI_ZALIHE!E295)</f>
        <v>24</v>
      </c>
      <c r="F298" s="20" t="n">
        <f aca="false">PODACI_ZALIHE!F295</f>
        <v>24</v>
      </c>
      <c r="G298" s="19" t="n">
        <f aca="false">IF(E298="","",E298-F298)</f>
        <v>0</v>
      </c>
      <c r="H298" s="9" t="n">
        <v>0</v>
      </c>
      <c r="I298" s="21" t="n">
        <f aca="false">IF(H298&lt;=0,999,ROUND(F298/H298,1))</f>
        <v>999</v>
      </c>
      <c r="J298" s="9" t="n">
        <f aca="false">SUMIFS(ROBA_U_DOLASKU!$C$6:$C$95,ROBA_U_DOLASKU!$A$6:$A$95,A298,ROBA_U_DOLASKU!$H$6:$H$95,1)</f>
        <v>0</v>
      </c>
      <c r="K298" s="9" t="n">
        <f aca="false">SUMIFS(ROBA_U_DOLASKU!$B$6:$B$95,ROBA_U_DOLASKU!$A$6:$A$95,A298,ROBA_U_DOLASKU!$H$6:$H$95,1)</f>
        <v>0</v>
      </c>
      <c r="L298" s="9" t="n">
        <f aca="false">SUMIFS(ROBA_U_DOLASKU!$C$6:$C$95,ROBA_U_DOLASKU!$A$6:$A$95,A298,ROBA_U_DOLASKU!$H$6:$H$95,2)</f>
        <v>0</v>
      </c>
      <c r="M298" s="9" t="n">
        <f aca="false">SUMIFS(ROBA_U_DOLASKU!$B$6:$B$95,ROBA_U_DOLASKU!$A$6:$A$95,A298,ROBA_U_DOLASKU!$H$6:$H$95,2)</f>
        <v>0</v>
      </c>
      <c r="N298" s="9" t="n">
        <f aca="false">SUMIFS(ROBA_U_DOLASKU!$C$6:$C$95,ROBA_U_DOLASKU!$A$6:$A$95,A298,ROBA_U_DOLASKU!$H$6:$H$95,3)</f>
        <v>0</v>
      </c>
      <c r="O298" s="9" t="n">
        <f aca="false">SUMIFS(ROBA_U_DOLASKU!$B$6:$B$95,ROBA_U_DOLASKU!$A$6:$A$95,A298,ROBA_U_DOLASKU!$H$6:$H$95,3)</f>
        <v>0</v>
      </c>
      <c r="P298" s="9" t="n">
        <f aca="false">IF(H298&lt;=0,999,IF(O298&gt;0,ROUND((F298-H298*N298+K298+M298+O298)/H298,1),IF(M298&gt;0,ROUND((F298-H298*L298+K298+M298)/H298,1),IF(K298&gt;0,ROUND((F298-H298*J298+K298)/H298,1),I298))))</f>
        <v>999</v>
      </c>
      <c r="Q298" s="22" t="str">
        <f aca="false">IF(H298&lt;=0,"Nema prodaje",IF(AND(K298=0,M298=0,O298=0),IF(I298&lt;POSTAVKE!$B$6,"Naruči odmah","Sve u redu"),IF(F298-H298*J298&lt;0,"Rupa za ~"&amp;TEXT(I298,"0.0")&amp;" mj.",IF(AND(M298&gt;0,F298-H298*L298+K298&lt;0),"Rupa nakon 1. dolaska",IF(AND(O298&gt;0,F298-H298*N298+K298+M298&lt;0),"Rupa nakon 2. dolaska",IF(P298&lt;POSTAVKE!$B$6,"Količina nije dovoljna",IF(I298&gt;=POSTAVKE!$B$6,"Sve u redu","Stiže na vrijeme")))))))</f>
        <v>Nema prodaje</v>
      </c>
      <c r="S298" s="23" t="n">
        <f aca="false">IFERROR(INDEX(PODACI_PRODAJA!B:B,MATCH($A298,PODACI_PRODAJA!$A:$A,0)),0)</f>
        <v>0</v>
      </c>
      <c r="T298" s="23" t="n">
        <f aca="false">IFERROR(INDEX(PODACI_PRODAJA!C:C,MATCH($A298,PODACI_PRODAJA!$A:$A,0)),0)</f>
        <v>0</v>
      </c>
      <c r="U298" s="23" t="n">
        <f aca="false">IFERROR(INDEX(PODACI_PRODAJA!D:D,MATCH($A298,PODACI_PRODAJA!$A:$A,0)),0)</f>
        <v>0</v>
      </c>
      <c r="V298" s="23" t="n">
        <f aca="false">IFERROR(INDEX(PODACI_PRODAJA!E:E,MATCH($A298,PODACI_PRODAJA!$A:$A,0)),0)</f>
        <v>0</v>
      </c>
      <c r="W298" s="23" t="n">
        <f aca="false">IFERROR(INDEX(PODACI_PRODAJA!F:F,MATCH($A298,PODACI_PRODAJA!$A:$A,0)),0)</f>
        <v>0</v>
      </c>
      <c r="X298" s="23" t="n">
        <f aca="false">IFERROR(INDEX(PODACI_PRODAJA!G:G,MATCH($A298,PODACI_PRODAJA!$A:$A,0)),0)</f>
        <v>0</v>
      </c>
      <c r="Y298" s="23" t="n">
        <f aca="false">IFERROR(INDEX(PODACI_PRODAJA!H:H,MATCH($A298,PODACI_PRODAJA!$A:$A,0)),0)</f>
        <v>0</v>
      </c>
      <c r="Z298" s="23" t="n">
        <f aca="false">IFERROR(INDEX(PODACI_PRODAJA!I:I,MATCH($A298,PODACI_PRODAJA!$A:$A,0)),0)</f>
        <v>0</v>
      </c>
      <c r="AA298" s="23" t="n">
        <f aca="false">IFERROR(INDEX(PODACI_PRODAJA!J:J,MATCH($A298,PODACI_PRODAJA!$A:$A,0)),0)</f>
        <v>0</v>
      </c>
      <c r="AB298" s="23" t="n">
        <f aca="false">IFERROR(INDEX(PODACI_PRODAJA!K:K,MATCH($A298,PODACI_PRODAJA!$A:$A,0)),0)</f>
        <v>0</v>
      </c>
      <c r="AC298" s="23" t="n">
        <f aca="false">IFERROR(INDEX(PODACI_PRODAJA!L:L,MATCH($A298,PODACI_PRODAJA!$A:$A,0)),0)</f>
        <v>0</v>
      </c>
      <c r="AD298" s="23" t="n">
        <f aca="false">IFERROR(INDEX(PODACI_PRODAJA!M:M,MATCH($A298,PODACI_PRODAJA!$A:$A,0)),0)</f>
        <v>0</v>
      </c>
    </row>
    <row r="299" customFormat="false" ht="15" hidden="false" customHeight="false" outlineLevel="0" collapsed="false">
      <c r="A299" s="11" t="str">
        <f aca="false">PODACI_ZALIHE!A296</f>
        <v>041990</v>
      </c>
      <c r="B299" s="8" t="str">
        <f aca="false">PODACI_ZALIHE!B296</f>
        <v>TK MADERA 80 KVADRATNA TUŠ KABINA 80x80x185 cm</v>
      </c>
      <c r="C299" s="9" t="str">
        <f aca="false">PODACI_ZALIHE!C296</f>
        <v>4981</v>
      </c>
      <c r="D299" s="8" t="str">
        <f aca="false">PODACI_ZALIHE!D296</f>
        <v>HANGZHOU SUNLIGHT TRADE CO., LTD.</v>
      </c>
      <c r="E299" s="19" t="n">
        <f aca="false">IF(PODACI_ZALIHE!E296="","",PODACI_ZALIHE!E296)</f>
        <v>25</v>
      </c>
      <c r="F299" s="20" t="n">
        <f aca="false">PODACI_ZALIHE!F296</f>
        <v>24</v>
      </c>
      <c r="G299" s="19" t="n">
        <f aca="false">IF(E299="","",E299-F299)</f>
        <v>1</v>
      </c>
      <c r="H299" s="9" t="n">
        <f aca="false">PODACI_PRODAJA!N177</f>
        <v>1.75</v>
      </c>
      <c r="I299" s="21" t="n">
        <f aca="false">IF(H299&lt;=0,999,ROUND(F299/H299,1))</f>
        <v>13.7</v>
      </c>
      <c r="J299" s="9" t="n">
        <f aca="false">SUMIFS(ROBA_U_DOLASKU!$C$6:$C$95,ROBA_U_DOLASKU!$A$6:$A$95,A299,ROBA_U_DOLASKU!$H$6:$H$95,1)</f>
        <v>0</v>
      </c>
      <c r="K299" s="9" t="n">
        <f aca="false">SUMIFS(ROBA_U_DOLASKU!$B$6:$B$95,ROBA_U_DOLASKU!$A$6:$A$95,A299,ROBA_U_DOLASKU!$H$6:$H$95,1)</f>
        <v>0</v>
      </c>
      <c r="L299" s="9" t="n">
        <f aca="false">SUMIFS(ROBA_U_DOLASKU!$C$6:$C$95,ROBA_U_DOLASKU!$A$6:$A$95,A299,ROBA_U_DOLASKU!$H$6:$H$95,2)</f>
        <v>0</v>
      </c>
      <c r="M299" s="9" t="n">
        <f aca="false">SUMIFS(ROBA_U_DOLASKU!$B$6:$B$95,ROBA_U_DOLASKU!$A$6:$A$95,A299,ROBA_U_DOLASKU!$H$6:$H$95,2)</f>
        <v>0</v>
      </c>
      <c r="N299" s="9" t="n">
        <f aca="false">SUMIFS(ROBA_U_DOLASKU!$C$6:$C$95,ROBA_U_DOLASKU!$A$6:$A$95,A299,ROBA_U_DOLASKU!$H$6:$H$95,3)</f>
        <v>0</v>
      </c>
      <c r="O299" s="9" t="n">
        <f aca="false">SUMIFS(ROBA_U_DOLASKU!$B$6:$B$95,ROBA_U_DOLASKU!$A$6:$A$95,A299,ROBA_U_DOLASKU!$H$6:$H$95,3)</f>
        <v>0</v>
      </c>
      <c r="P299" s="9" t="n">
        <f aca="false">IF(H299&lt;=0,999,IF(O299&gt;0,ROUND((F299-H299*N299+K299+M299+O299)/H299,1),IF(M299&gt;0,ROUND((F299-H299*L299+K299+M299)/H299,1),IF(K299&gt;0,ROUND((F299-H299*J299+K299)/H299,1),I299))))</f>
        <v>13.7</v>
      </c>
      <c r="Q299" s="22" t="str">
        <f aca="false">IF(H299&lt;=0,"Nema prodaje",IF(AND(K299=0,M299=0,O299=0),IF(I299&lt;POSTAVKE!$B$6,"Naruči odmah","Sve u redu"),IF(F299-H299*J299&lt;0,"Rupa za ~"&amp;TEXT(I299,"0.0")&amp;" mj.",IF(AND(M299&gt;0,F299-H299*L299+K299&lt;0),"Rupa nakon 1. dolaska",IF(AND(O299&gt;0,F299-H299*N299+K299+M299&lt;0),"Rupa nakon 2. dolaska",IF(P299&lt;POSTAVKE!$B$6,"Količina nije dovoljna",IF(I299&gt;=POSTAVKE!$B$6,"Sve u redu","Stiže na vrijeme")))))))</f>
        <v>Sve u redu</v>
      </c>
      <c r="S299" s="23" t="n">
        <f aca="false">IFERROR(INDEX(PODACI_PRODAJA!B:B,MATCH($A299,PODACI_PRODAJA!$A:$A,0)),0)</f>
        <v>2</v>
      </c>
      <c r="T299" s="23" t="n">
        <f aca="false">IFERROR(INDEX(PODACI_PRODAJA!C:C,MATCH($A299,PODACI_PRODAJA!$A:$A,0)),0)</f>
        <v>1</v>
      </c>
      <c r="U299" s="23" t="n">
        <f aca="false">IFERROR(INDEX(PODACI_PRODAJA!D:D,MATCH($A299,PODACI_PRODAJA!$A:$A,0)),0)</f>
        <v>6</v>
      </c>
      <c r="V299" s="23" t="n">
        <f aca="false">IFERROR(INDEX(PODACI_PRODAJA!E:E,MATCH($A299,PODACI_PRODAJA!$A:$A,0)),0)</f>
        <v>0</v>
      </c>
      <c r="W299" s="23" t="n">
        <f aca="false">IFERROR(INDEX(PODACI_PRODAJA!F:F,MATCH($A299,PODACI_PRODAJA!$A:$A,0)),0)</f>
        <v>2</v>
      </c>
      <c r="X299" s="23" t="n">
        <f aca="false">IFERROR(INDEX(PODACI_PRODAJA!G:G,MATCH($A299,PODACI_PRODAJA!$A:$A,0)),0)</f>
        <v>0</v>
      </c>
      <c r="Y299" s="23" t="n">
        <f aca="false">IFERROR(INDEX(PODACI_PRODAJA!H:H,MATCH($A299,PODACI_PRODAJA!$A:$A,0)),0)</f>
        <v>3</v>
      </c>
      <c r="Z299" s="23" t="n">
        <f aca="false">IFERROR(INDEX(PODACI_PRODAJA!I:I,MATCH($A299,PODACI_PRODAJA!$A:$A,0)),0)</f>
        <v>0</v>
      </c>
      <c r="AA299" s="23" t="n">
        <f aca="false">IFERROR(INDEX(PODACI_PRODAJA!J:J,MATCH($A299,PODACI_PRODAJA!$A:$A,0)),0)</f>
        <v>1</v>
      </c>
      <c r="AB299" s="23" t="n">
        <f aca="false">IFERROR(INDEX(PODACI_PRODAJA!K:K,MATCH($A299,PODACI_PRODAJA!$A:$A,0)),0)</f>
        <v>0</v>
      </c>
      <c r="AC299" s="23" t="n">
        <f aca="false">IFERROR(INDEX(PODACI_PRODAJA!L:L,MATCH($A299,PODACI_PRODAJA!$A:$A,0)),0)</f>
        <v>0</v>
      </c>
      <c r="AD299" s="23" t="n">
        <f aca="false">IFERROR(INDEX(PODACI_PRODAJA!M:M,MATCH($A299,PODACI_PRODAJA!$A:$A,0)),0)</f>
        <v>0</v>
      </c>
    </row>
    <row r="300" customFormat="false" ht="15" hidden="false" customHeight="false" outlineLevel="0" collapsed="false">
      <c r="A300" s="11" t="str">
        <f aca="false">PODACI_ZALIHE!A297</f>
        <v>042070</v>
      </c>
      <c r="B300" s="8" t="str">
        <f aca="false">PODACI_ZALIHE!B297</f>
        <v>DRŽAČ ZA VETRO 70120 cm</v>
      </c>
      <c r="C300" s="9" t="str">
        <f aca="false">PODACI_ZALIHE!C297</f>
        <v>4328</v>
      </c>
      <c r="D300" s="8" t="str">
        <f aca="false">PODACI_ZALIHE!D297</f>
        <v>HANGZHOU DUHUI IMPORT AND EXPORT CO.,LTD</v>
      </c>
      <c r="E300" s="19" t="n">
        <f aca="false">IF(PODACI_ZALIHE!E297="","",PODACI_ZALIHE!E297)</f>
        <v>24</v>
      </c>
      <c r="F300" s="20" t="n">
        <f aca="false">PODACI_ZALIHE!F297</f>
        <v>24</v>
      </c>
      <c r="G300" s="19" t="n">
        <f aca="false">IF(E300="","",E300-F300)</f>
        <v>0</v>
      </c>
      <c r="H300" s="9" t="n">
        <f aca="false">PODACI_PRODAJA!N52</f>
        <v>11.5</v>
      </c>
      <c r="I300" s="21" t="n">
        <f aca="false">IF(H300&lt;=0,999,ROUND(F300/H300,1))</f>
        <v>2.1</v>
      </c>
      <c r="J300" s="9" t="n">
        <f aca="false">SUMIFS(ROBA_U_DOLASKU!$C$6:$C$95,ROBA_U_DOLASKU!$A$6:$A$95,A300,ROBA_U_DOLASKU!$H$6:$H$95,1)</f>
        <v>0</v>
      </c>
      <c r="K300" s="9" t="n">
        <f aca="false">SUMIFS(ROBA_U_DOLASKU!$B$6:$B$95,ROBA_U_DOLASKU!$A$6:$A$95,A300,ROBA_U_DOLASKU!$H$6:$H$95,1)</f>
        <v>0</v>
      </c>
      <c r="L300" s="9" t="n">
        <f aca="false">SUMIFS(ROBA_U_DOLASKU!$C$6:$C$95,ROBA_U_DOLASKU!$A$6:$A$95,A300,ROBA_U_DOLASKU!$H$6:$H$95,2)</f>
        <v>0</v>
      </c>
      <c r="M300" s="9" t="n">
        <f aca="false">SUMIFS(ROBA_U_DOLASKU!$B$6:$B$95,ROBA_U_DOLASKU!$A$6:$A$95,A300,ROBA_U_DOLASKU!$H$6:$H$95,2)</f>
        <v>0</v>
      </c>
      <c r="N300" s="9" t="n">
        <f aca="false">SUMIFS(ROBA_U_DOLASKU!$C$6:$C$95,ROBA_U_DOLASKU!$A$6:$A$95,A300,ROBA_U_DOLASKU!$H$6:$H$95,3)</f>
        <v>0</v>
      </c>
      <c r="O300" s="9" t="n">
        <f aca="false">SUMIFS(ROBA_U_DOLASKU!$B$6:$B$95,ROBA_U_DOLASKU!$A$6:$A$95,A300,ROBA_U_DOLASKU!$H$6:$H$95,3)</f>
        <v>0</v>
      </c>
      <c r="P300" s="9" t="n">
        <f aca="false">IF(H300&lt;=0,999,IF(O300&gt;0,ROUND((F300-H300*N300+K300+M300+O300)/H300,1),IF(M300&gt;0,ROUND((F300-H300*L300+K300+M300)/H300,1),IF(K300&gt;0,ROUND((F300-H300*J300+K300)/H300,1),I300))))</f>
        <v>2.1</v>
      </c>
      <c r="Q300" s="22" t="str">
        <f aca="false">IF(H300&lt;=0,"Nema prodaje",IF(AND(K300=0,M300=0,O300=0),IF(I300&lt;POSTAVKE!$B$6,"Naruči odmah","Sve u redu"),IF(F300-H300*J300&lt;0,"Rupa za ~"&amp;TEXT(I300,"0.0")&amp;" mj.",IF(AND(M300&gt;0,F300-H300*L300+K300&lt;0),"Rupa nakon 1. dolaska",IF(AND(O300&gt;0,F300-H300*N300+K300+M300&lt;0),"Rupa nakon 2. dolaska",IF(P300&lt;POSTAVKE!$B$6,"Količina nije dovoljna",IF(I300&gt;=POSTAVKE!$B$6,"Sve u redu","Stiže na vrijeme")))))))</f>
        <v>Naruči odmah</v>
      </c>
      <c r="S300" s="23" t="n">
        <f aca="false">IFERROR(INDEX(PODACI_PRODAJA!B:B,MATCH($A300,PODACI_PRODAJA!$A:$A,0)),0)</f>
        <v>17</v>
      </c>
      <c r="T300" s="23" t="n">
        <f aca="false">IFERROR(INDEX(PODACI_PRODAJA!C:C,MATCH($A300,PODACI_PRODAJA!$A:$A,0)),0)</f>
        <v>18</v>
      </c>
      <c r="U300" s="23" t="n">
        <f aca="false">IFERROR(INDEX(PODACI_PRODAJA!D:D,MATCH($A300,PODACI_PRODAJA!$A:$A,0)),0)</f>
        <v>2</v>
      </c>
      <c r="V300" s="23" t="n">
        <f aca="false">IFERROR(INDEX(PODACI_PRODAJA!E:E,MATCH($A300,PODACI_PRODAJA!$A:$A,0)),0)</f>
        <v>0</v>
      </c>
      <c r="W300" s="23" t="n">
        <f aca="false">IFERROR(INDEX(PODACI_PRODAJA!F:F,MATCH($A300,PODACI_PRODAJA!$A:$A,0)),0)</f>
        <v>9</v>
      </c>
      <c r="X300" s="23" t="n">
        <f aca="false">IFERROR(INDEX(PODACI_PRODAJA!G:G,MATCH($A300,PODACI_PRODAJA!$A:$A,0)),0)</f>
        <v>3</v>
      </c>
      <c r="Y300" s="23" t="n">
        <f aca="false">IFERROR(INDEX(PODACI_PRODAJA!H:H,MATCH($A300,PODACI_PRODAJA!$A:$A,0)),0)</f>
        <v>22</v>
      </c>
      <c r="Z300" s="23" t="n">
        <f aca="false">IFERROR(INDEX(PODACI_PRODAJA!I:I,MATCH($A300,PODACI_PRODAJA!$A:$A,0)),0)</f>
        <v>21</v>
      </c>
      <c r="AA300" s="23" t="n">
        <f aca="false">IFERROR(INDEX(PODACI_PRODAJA!J:J,MATCH($A300,PODACI_PRODAJA!$A:$A,0)),0)</f>
        <v>0</v>
      </c>
      <c r="AB300" s="23" t="n">
        <f aca="false">IFERROR(INDEX(PODACI_PRODAJA!K:K,MATCH($A300,PODACI_PRODAJA!$A:$A,0)),0)</f>
        <v>0</v>
      </c>
      <c r="AC300" s="23" t="n">
        <f aca="false">IFERROR(INDEX(PODACI_PRODAJA!L:L,MATCH($A300,PODACI_PRODAJA!$A:$A,0)),0)</f>
        <v>0</v>
      </c>
      <c r="AD300" s="23" t="n">
        <f aca="false">IFERROR(INDEX(PODACI_PRODAJA!M:M,MATCH($A300,PODACI_PRODAJA!$A:$A,0)),0)</f>
        <v>0</v>
      </c>
    </row>
    <row r="301" customFormat="false" ht="15" hidden="false" customHeight="false" outlineLevel="0" collapsed="false">
      <c r="A301" s="11" t="str">
        <f aca="false">PODACI_ZALIHE!A298</f>
        <v>042340</v>
      </c>
      <c r="B301" s="8" t="str">
        <f aca="false">PODACI_ZALIHE!B298</f>
        <v>VETRO TRS 140 TUŠ STIJENA 140x200 cm</v>
      </c>
      <c r="C301" s="9" t="str">
        <f aca="false">PODACI_ZALIHE!C298</f>
        <v>4328</v>
      </c>
      <c r="D301" s="8" t="str">
        <f aca="false">PODACI_ZALIHE!D298</f>
        <v>HANGZHOU DUHUI IMPORT AND EXPORT CO.,LTD</v>
      </c>
      <c r="E301" s="19" t="n">
        <f aca="false">IF(PODACI_ZALIHE!E298="","",PODACI_ZALIHE!E298)</f>
        <v>25</v>
      </c>
      <c r="F301" s="20" t="n">
        <f aca="false">PODACI_ZALIHE!F298</f>
        <v>24</v>
      </c>
      <c r="G301" s="19" t="n">
        <f aca="false">IF(E301="","",E301-F301)</f>
        <v>1</v>
      </c>
      <c r="H301" s="9" t="n">
        <f aca="false">PODACI_PRODAJA!N143</f>
        <v>2.88</v>
      </c>
      <c r="I301" s="21" t="n">
        <f aca="false">IF(H301&lt;=0,999,ROUND(F301/H301,1))</f>
        <v>8.3</v>
      </c>
      <c r="J301" s="9" t="n">
        <f aca="false">SUMIFS(ROBA_U_DOLASKU!$C$6:$C$95,ROBA_U_DOLASKU!$A$6:$A$95,A301,ROBA_U_DOLASKU!$H$6:$H$95,1)</f>
        <v>0</v>
      </c>
      <c r="K301" s="9" t="n">
        <f aca="false">SUMIFS(ROBA_U_DOLASKU!$B$6:$B$95,ROBA_U_DOLASKU!$A$6:$A$95,A301,ROBA_U_DOLASKU!$H$6:$H$95,1)</f>
        <v>0</v>
      </c>
      <c r="L301" s="9" t="n">
        <f aca="false">SUMIFS(ROBA_U_DOLASKU!$C$6:$C$95,ROBA_U_DOLASKU!$A$6:$A$95,A301,ROBA_U_DOLASKU!$H$6:$H$95,2)</f>
        <v>0</v>
      </c>
      <c r="M301" s="9" t="n">
        <f aca="false">SUMIFS(ROBA_U_DOLASKU!$B$6:$B$95,ROBA_U_DOLASKU!$A$6:$A$95,A301,ROBA_U_DOLASKU!$H$6:$H$95,2)</f>
        <v>0</v>
      </c>
      <c r="N301" s="9" t="n">
        <f aca="false">SUMIFS(ROBA_U_DOLASKU!$C$6:$C$95,ROBA_U_DOLASKU!$A$6:$A$95,A301,ROBA_U_DOLASKU!$H$6:$H$95,3)</f>
        <v>0</v>
      </c>
      <c r="O301" s="9" t="n">
        <f aca="false">SUMIFS(ROBA_U_DOLASKU!$B$6:$B$95,ROBA_U_DOLASKU!$A$6:$A$95,A301,ROBA_U_DOLASKU!$H$6:$H$95,3)</f>
        <v>0</v>
      </c>
      <c r="P301" s="9" t="n">
        <f aca="false">IF(H301&lt;=0,999,IF(O301&gt;0,ROUND((F301-H301*N301+K301+M301+O301)/H301,1),IF(M301&gt;0,ROUND((F301-H301*L301+K301+M301)/H301,1),IF(K301&gt;0,ROUND((F301-H301*J301+K301)/H301,1),I301))))</f>
        <v>8.3</v>
      </c>
      <c r="Q301" s="22" t="str">
        <f aca="false">IF(H301&lt;=0,"Nema prodaje",IF(AND(K301=0,M301=0,O301=0),IF(I301&lt;POSTAVKE!$B$6,"Naruči odmah","Sve u redu"),IF(F301-H301*J301&lt;0,"Rupa za ~"&amp;TEXT(I301,"0.0")&amp;" mj.",IF(AND(M301&gt;0,F301-H301*L301+K301&lt;0),"Rupa nakon 1. dolaska",IF(AND(O301&gt;0,F301-H301*N301+K301+M301&lt;0),"Rupa nakon 2. dolaska",IF(P301&lt;POSTAVKE!$B$6,"Količina nije dovoljna",IF(I301&gt;=POSTAVKE!$B$6,"Sve u redu","Stiže na vrijeme")))))))</f>
        <v>Sve u redu</v>
      </c>
      <c r="S301" s="23" t="n">
        <f aca="false">IFERROR(INDEX(PODACI_PRODAJA!B:B,MATCH($A301,PODACI_PRODAJA!$A:$A,0)),0)</f>
        <v>3</v>
      </c>
      <c r="T301" s="23" t="n">
        <f aca="false">IFERROR(INDEX(PODACI_PRODAJA!C:C,MATCH($A301,PODACI_PRODAJA!$A:$A,0)),0)</f>
        <v>3</v>
      </c>
      <c r="U301" s="23" t="n">
        <f aca="false">IFERROR(INDEX(PODACI_PRODAJA!D:D,MATCH($A301,PODACI_PRODAJA!$A:$A,0)),0)</f>
        <v>0</v>
      </c>
      <c r="V301" s="23" t="n">
        <f aca="false">IFERROR(INDEX(PODACI_PRODAJA!E:E,MATCH($A301,PODACI_PRODAJA!$A:$A,0)),0)</f>
        <v>1</v>
      </c>
      <c r="W301" s="23" t="n">
        <f aca="false">IFERROR(INDEX(PODACI_PRODAJA!F:F,MATCH($A301,PODACI_PRODAJA!$A:$A,0)),0)</f>
        <v>3</v>
      </c>
      <c r="X301" s="23" t="n">
        <f aca="false">IFERROR(INDEX(PODACI_PRODAJA!G:G,MATCH($A301,PODACI_PRODAJA!$A:$A,0)),0)</f>
        <v>5</v>
      </c>
      <c r="Y301" s="23" t="n">
        <f aca="false">IFERROR(INDEX(PODACI_PRODAJA!H:H,MATCH($A301,PODACI_PRODAJA!$A:$A,0)),0)</f>
        <v>3</v>
      </c>
      <c r="Z301" s="23" t="n">
        <f aca="false">IFERROR(INDEX(PODACI_PRODAJA!I:I,MATCH($A301,PODACI_PRODAJA!$A:$A,0)),0)</f>
        <v>5</v>
      </c>
      <c r="AA301" s="23" t="n">
        <f aca="false">IFERROR(INDEX(PODACI_PRODAJA!J:J,MATCH($A301,PODACI_PRODAJA!$A:$A,0)),0)</f>
        <v>1</v>
      </c>
      <c r="AB301" s="23" t="n">
        <f aca="false">IFERROR(INDEX(PODACI_PRODAJA!K:K,MATCH($A301,PODACI_PRODAJA!$A:$A,0)),0)</f>
        <v>0</v>
      </c>
      <c r="AC301" s="23" t="n">
        <f aca="false">IFERROR(INDEX(PODACI_PRODAJA!L:L,MATCH($A301,PODACI_PRODAJA!$A:$A,0)),0)</f>
        <v>0</v>
      </c>
      <c r="AD301" s="23" t="n">
        <f aca="false">IFERROR(INDEX(PODACI_PRODAJA!M:M,MATCH($A301,PODACI_PRODAJA!$A:$A,0)),0)</f>
        <v>0</v>
      </c>
    </row>
    <row r="302" customFormat="false" ht="15" hidden="false" customHeight="false" outlineLevel="0" collapsed="false">
      <c r="A302" s="11" t="str">
        <f aca="false">PODACI_ZALIHE!A299</f>
        <v>043800</v>
      </c>
      <c r="B302" s="8" t="str">
        <f aca="false">PODACI_ZALIHE!B299</f>
        <v>INTENSO BLACK MIJEŠALICA ZA TUŠ</v>
      </c>
      <c r="C302" s="9" t="str">
        <f aca="false">PODACI_ZALIHE!C299</f>
        <v>5150</v>
      </c>
      <c r="D302" s="8" t="str">
        <f aca="false">PODACI_ZALIHE!D299</f>
        <v>ZHEJIANG VOLONG SANITARY WARES CO.,LTD.</v>
      </c>
      <c r="E302" s="19" t="n">
        <f aca="false">IF(PODACI_ZALIHE!E299="","",PODACI_ZALIHE!E299)</f>
        <v>24</v>
      </c>
      <c r="F302" s="20" t="n">
        <f aca="false">PODACI_ZALIHE!F299</f>
        <v>24</v>
      </c>
      <c r="G302" s="19" t="n">
        <f aca="false">IF(E302="","",E302-F302)</f>
        <v>0</v>
      </c>
      <c r="H302" s="9" t="n">
        <f aca="false">PODACI_PRODAJA!N180</f>
        <v>1.5</v>
      </c>
      <c r="I302" s="21" t="n">
        <f aca="false">IF(H302&lt;=0,999,ROUND(F302/H302,1))</f>
        <v>16</v>
      </c>
      <c r="J302" s="9" t="n">
        <f aca="false">SUMIFS(ROBA_U_DOLASKU!$C$6:$C$95,ROBA_U_DOLASKU!$A$6:$A$95,A302,ROBA_U_DOLASKU!$H$6:$H$95,1)</f>
        <v>0</v>
      </c>
      <c r="K302" s="9" t="n">
        <f aca="false">SUMIFS(ROBA_U_DOLASKU!$B$6:$B$95,ROBA_U_DOLASKU!$A$6:$A$95,A302,ROBA_U_DOLASKU!$H$6:$H$95,1)</f>
        <v>0</v>
      </c>
      <c r="L302" s="9" t="n">
        <f aca="false">SUMIFS(ROBA_U_DOLASKU!$C$6:$C$95,ROBA_U_DOLASKU!$A$6:$A$95,A302,ROBA_U_DOLASKU!$H$6:$H$95,2)</f>
        <v>0</v>
      </c>
      <c r="M302" s="9" t="n">
        <f aca="false">SUMIFS(ROBA_U_DOLASKU!$B$6:$B$95,ROBA_U_DOLASKU!$A$6:$A$95,A302,ROBA_U_DOLASKU!$H$6:$H$95,2)</f>
        <v>0</v>
      </c>
      <c r="N302" s="9" t="n">
        <f aca="false">SUMIFS(ROBA_U_DOLASKU!$C$6:$C$95,ROBA_U_DOLASKU!$A$6:$A$95,A302,ROBA_U_DOLASKU!$H$6:$H$95,3)</f>
        <v>0</v>
      </c>
      <c r="O302" s="9" t="n">
        <f aca="false">SUMIFS(ROBA_U_DOLASKU!$B$6:$B$95,ROBA_U_DOLASKU!$A$6:$A$95,A302,ROBA_U_DOLASKU!$H$6:$H$95,3)</f>
        <v>0</v>
      </c>
      <c r="P302" s="9" t="n">
        <f aca="false">IF(H302&lt;=0,999,IF(O302&gt;0,ROUND((F302-H302*N302+K302+M302+O302)/H302,1),IF(M302&gt;0,ROUND((F302-H302*L302+K302+M302)/H302,1),IF(K302&gt;0,ROUND((F302-H302*J302+K302)/H302,1),I302))))</f>
        <v>16</v>
      </c>
      <c r="Q302" s="22" t="str">
        <f aca="false">IF(H302&lt;=0,"Nema prodaje",IF(AND(K302=0,M302=0,O302=0),IF(I302&lt;POSTAVKE!$B$6,"Naruči odmah","Sve u redu"),IF(F302-H302*J302&lt;0,"Rupa za ~"&amp;TEXT(I302,"0.0")&amp;" mj.",IF(AND(M302&gt;0,F302-H302*L302+K302&lt;0),"Rupa nakon 1. dolaska",IF(AND(O302&gt;0,F302-H302*N302+K302+M302&lt;0),"Rupa nakon 2. dolaska",IF(P302&lt;POSTAVKE!$B$6,"Količina nije dovoljna",IF(I302&gt;=POSTAVKE!$B$6,"Sve u redu","Stiže na vrijeme")))))))</f>
        <v>Sve u redu</v>
      </c>
      <c r="S302" s="23" t="n">
        <f aca="false">IFERROR(INDEX(PODACI_PRODAJA!B:B,MATCH($A302,PODACI_PRODAJA!$A:$A,0)),0)</f>
        <v>2</v>
      </c>
      <c r="T302" s="23" t="n">
        <f aca="false">IFERROR(INDEX(PODACI_PRODAJA!C:C,MATCH($A302,PODACI_PRODAJA!$A:$A,0)),0)</f>
        <v>4</v>
      </c>
      <c r="U302" s="23" t="n">
        <f aca="false">IFERROR(INDEX(PODACI_PRODAJA!D:D,MATCH($A302,PODACI_PRODAJA!$A:$A,0)),0)</f>
        <v>-1</v>
      </c>
      <c r="V302" s="23" t="n">
        <f aca="false">IFERROR(INDEX(PODACI_PRODAJA!E:E,MATCH($A302,PODACI_PRODAJA!$A:$A,0)),0)</f>
        <v>3</v>
      </c>
      <c r="W302" s="23" t="n">
        <f aca="false">IFERROR(INDEX(PODACI_PRODAJA!F:F,MATCH($A302,PODACI_PRODAJA!$A:$A,0)),0)</f>
        <v>3</v>
      </c>
      <c r="X302" s="23" t="n">
        <f aca="false">IFERROR(INDEX(PODACI_PRODAJA!G:G,MATCH($A302,PODACI_PRODAJA!$A:$A,0)),0)</f>
        <v>1</v>
      </c>
      <c r="Y302" s="23" t="n">
        <f aca="false">IFERROR(INDEX(PODACI_PRODAJA!H:H,MATCH($A302,PODACI_PRODAJA!$A:$A,0)),0)</f>
        <v>0</v>
      </c>
      <c r="Z302" s="23" t="n">
        <f aca="false">IFERROR(INDEX(PODACI_PRODAJA!I:I,MATCH($A302,PODACI_PRODAJA!$A:$A,0)),0)</f>
        <v>0</v>
      </c>
      <c r="AA302" s="23" t="n">
        <f aca="false">IFERROR(INDEX(PODACI_PRODAJA!J:J,MATCH($A302,PODACI_PRODAJA!$A:$A,0)),0)</f>
        <v>0</v>
      </c>
      <c r="AB302" s="23" t="n">
        <f aca="false">IFERROR(INDEX(PODACI_PRODAJA!K:K,MATCH($A302,PODACI_PRODAJA!$A:$A,0)),0)</f>
        <v>0</v>
      </c>
      <c r="AC302" s="23" t="n">
        <f aca="false">IFERROR(INDEX(PODACI_PRODAJA!L:L,MATCH($A302,PODACI_PRODAJA!$A:$A,0)),0)</f>
        <v>0</v>
      </c>
      <c r="AD302" s="23" t="n">
        <f aca="false">IFERROR(INDEX(PODACI_PRODAJA!M:M,MATCH($A302,PODACI_PRODAJA!$A:$A,0)),0)</f>
        <v>0</v>
      </c>
    </row>
    <row r="303" customFormat="false" ht="15" hidden="false" customHeight="false" outlineLevel="0" collapsed="false">
      <c r="A303" s="11" t="str">
        <f aca="false">PODACI_ZALIHE!A300</f>
        <v>15397</v>
      </c>
      <c r="B303" s="8" t="str">
        <f aca="false">PODACI_ZALIHE!B300</f>
        <v>TK NORENA 80 KVADRATNA TUŠ KABINA 80x80x195 cm</v>
      </c>
      <c r="C303" s="9" t="str">
        <f aca="false">PODACI_ZALIHE!C300</f>
        <v>4328</v>
      </c>
      <c r="D303" s="8" t="str">
        <f aca="false">PODACI_ZALIHE!D300</f>
        <v>HANGZHOU DUHUI IMPORT AND EXPORT CO.,LTD</v>
      </c>
      <c r="E303" s="19" t="n">
        <f aca="false">IF(PODACI_ZALIHE!E300="","",PODACI_ZALIHE!E300)</f>
        <v>24</v>
      </c>
      <c r="F303" s="20" t="n">
        <f aca="false">PODACI_ZALIHE!F300</f>
        <v>24</v>
      </c>
      <c r="G303" s="19" t="n">
        <f aca="false">IF(E303="","",E303-F303)</f>
        <v>0</v>
      </c>
      <c r="H303" s="9" t="n">
        <f aca="false">PODACI_PRODAJA!N475</f>
        <v>3.13</v>
      </c>
      <c r="I303" s="21" t="n">
        <f aca="false">IF(H303&lt;=0,999,ROUND(F303/H303,1))</f>
        <v>7.7</v>
      </c>
      <c r="J303" s="9" t="n">
        <f aca="false">SUMIFS(ROBA_U_DOLASKU!$C$6:$C$95,ROBA_U_DOLASKU!$A$6:$A$95,A303,ROBA_U_DOLASKU!$H$6:$H$95,1)</f>
        <v>0</v>
      </c>
      <c r="K303" s="9" t="n">
        <f aca="false">SUMIFS(ROBA_U_DOLASKU!$B$6:$B$95,ROBA_U_DOLASKU!$A$6:$A$95,A303,ROBA_U_DOLASKU!$H$6:$H$95,1)</f>
        <v>0</v>
      </c>
      <c r="L303" s="9" t="n">
        <f aca="false">SUMIFS(ROBA_U_DOLASKU!$C$6:$C$95,ROBA_U_DOLASKU!$A$6:$A$95,A303,ROBA_U_DOLASKU!$H$6:$H$95,2)</f>
        <v>0</v>
      </c>
      <c r="M303" s="9" t="n">
        <f aca="false">SUMIFS(ROBA_U_DOLASKU!$B$6:$B$95,ROBA_U_DOLASKU!$A$6:$A$95,A303,ROBA_U_DOLASKU!$H$6:$H$95,2)</f>
        <v>0</v>
      </c>
      <c r="N303" s="9" t="n">
        <f aca="false">SUMIFS(ROBA_U_DOLASKU!$C$6:$C$95,ROBA_U_DOLASKU!$A$6:$A$95,A303,ROBA_U_DOLASKU!$H$6:$H$95,3)</f>
        <v>0</v>
      </c>
      <c r="O303" s="9" t="n">
        <f aca="false">SUMIFS(ROBA_U_DOLASKU!$B$6:$B$95,ROBA_U_DOLASKU!$A$6:$A$95,A303,ROBA_U_DOLASKU!$H$6:$H$95,3)</f>
        <v>0</v>
      </c>
      <c r="P303" s="9" t="n">
        <f aca="false">IF(H303&lt;=0,999,IF(O303&gt;0,ROUND((F303-H303*N303+K303+M303+O303)/H303,1),IF(M303&gt;0,ROUND((F303-H303*L303+K303+M303)/H303,1),IF(K303&gt;0,ROUND((F303-H303*J303+K303)/H303,1),I303))))</f>
        <v>7.7</v>
      </c>
      <c r="Q303" s="22" t="str">
        <f aca="false">IF(H303&lt;=0,"Nema prodaje",IF(AND(K303=0,M303=0,O303=0),IF(I303&lt;POSTAVKE!$B$6,"Naruči odmah","Sve u redu"),IF(F303-H303*J303&lt;0,"Rupa za ~"&amp;TEXT(I303,"0.0")&amp;" mj.",IF(AND(M303&gt;0,F303-H303*L303+K303&lt;0),"Rupa nakon 1. dolaska",IF(AND(O303&gt;0,F303-H303*N303+K303+M303&lt;0),"Rupa nakon 2. dolaska",IF(P303&lt;POSTAVKE!$B$6,"Količina nije dovoljna",IF(I303&gt;=POSTAVKE!$B$6,"Sve u redu","Stiže na vrijeme")))))))</f>
        <v>Sve u redu</v>
      </c>
      <c r="S303" s="23" t="n">
        <f aca="false">IFERROR(INDEX(PODACI_PRODAJA!B:B,MATCH($A303,PODACI_PRODAJA!$A:$A,0)),0)</f>
        <v>0</v>
      </c>
      <c r="T303" s="23" t="n">
        <f aca="false">IFERROR(INDEX(PODACI_PRODAJA!C:C,MATCH($A303,PODACI_PRODAJA!$A:$A,0)),0)</f>
        <v>10</v>
      </c>
      <c r="U303" s="23" t="n">
        <f aca="false">IFERROR(INDEX(PODACI_PRODAJA!D:D,MATCH($A303,PODACI_PRODAJA!$A:$A,0)),0)</f>
        <v>8</v>
      </c>
      <c r="V303" s="23" t="n">
        <f aca="false">IFERROR(INDEX(PODACI_PRODAJA!E:E,MATCH($A303,PODACI_PRODAJA!$A:$A,0)),0)</f>
        <v>2</v>
      </c>
      <c r="W303" s="23" t="n">
        <f aca="false">IFERROR(INDEX(PODACI_PRODAJA!F:F,MATCH($A303,PODACI_PRODAJA!$A:$A,0)),0)</f>
        <v>0</v>
      </c>
      <c r="X303" s="23" t="n">
        <f aca="false">IFERROR(INDEX(PODACI_PRODAJA!G:G,MATCH($A303,PODACI_PRODAJA!$A:$A,0)),0)</f>
        <v>0</v>
      </c>
      <c r="Y303" s="23" t="n">
        <f aca="false">IFERROR(INDEX(PODACI_PRODAJA!H:H,MATCH($A303,PODACI_PRODAJA!$A:$A,0)),0)</f>
        <v>2</v>
      </c>
      <c r="Z303" s="23" t="n">
        <f aca="false">IFERROR(INDEX(PODACI_PRODAJA!I:I,MATCH($A303,PODACI_PRODAJA!$A:$A,0)),0)</f>
        <v>3</v>
      </c>
      <c r="AA303" s="23" t="n">
        <f aca="false">IFERROR(INDEX(PODACI_PRODAJA!J:J,MATCH($A303,PODACI_PRODAJA!$A:$A,0)),0)</f>
        <v>0</v>
      </c>
      <c r="AB303" s="23" t="n">
        <f aca="false">IFERROR(INDEX(PODACI_PRODAJA!K:K,MATCH($A303,PODACI_PRODAJA!$A:$A,0)),0)</f>
        <v>0</v>
      </c>
      <c r="AC303" s="23" t="n">
        <f aca="false">IFERROR(INDEX(PODACI_PRODAJA!L:L,MATCH($A303,PODACI_PRODAJA!$A:$A,0)),0)</f>
        <v>0</v>
      </c>
      <c r="AD303" s="23" t="n">
        <f aca="false">IFERROR(INDEX(PODACI_PRODAJA!M:M,MATCH($A303,PODACI_PRODAJA!$A:$A,0)),0)</f>
        <v>0</v>
      </c>
    </row>
    <row r="304" customFormat="false" ht="15" hidden="false" customHeight="false" outlineLevel="0" collapsed="false">
      <c r="A304" s="11" t="str">
        <f aca="false">PODACI_ZALIHE!A301</f>
        <v>15947</v>
      </c>
      <c r="B304" s="8" t="str">
        <f aca="false">PODACI_ZALIHE!B301</f>
        <v>VETRO STYLE 110 TUŠ STIJENA 110x200 cm</v>
      </c>
      <c r="C304" s="9" t="str">
        <f aca="false">PODACI_ZALIHE!C301</f>
        <v>6762</v>
      </c>
      <c r="D304" s="8" t="str">
        <f aca="false">PODACI_ZALIHE!D301</f>
        <v>ZHEJIANG QUICKLINE SHOWERING CO., LTD.</v>
      </c>
      <c r="E304" s="19" t="n">
        <f aca="false">IF(PODACI_ZALIHE!E301="","",PODACI_ZALIHE!E301)</f>
        <v>25</v>
      </c>
      <c r="F304" s="20" t="n">
        <f aca="false">PODACI_ZALIHE!F301</f>
        <v>24</v>
      </c>
      <c r="G304" s="19" t="n">
        <f aca="false">IF(E304="","",E304-F304)</f>
        <v>1</v>
      </c>
      <c r="H304" s="9" t="n">
        <f aca="false">PODACI_PRODAJA!N105</f>
        <v>1.63</v>
      </c>
      <c r="I304" s="21" t="n">
        <f aca="false">IF(H304&lt;=0,999,ROUND(F304/H304,1))</f>
        <v>14.7</v>
      </c>
      <c r="J304" s="9" t="n">
        <f aca="false">SUMIFS(ROBA_U_DOLASKU!$C$6:$C$95,ROBA_U_DOLASKU!$A$6:$A$95,A304,ROBA_U_DOLASKU!$H$6:$H$95,1)</f>
        <v>1</v>
      </c>
      <c r="K304" s="9" t="n">
        <f aca="false">SUMIFS(ROBA_U_DOLASKU!$B$6:$B$95,ROBA_U_DOLASKU!$A$6:$A$95,A304,ROBA_U_DOLASKU!$H$6:$H$95,1)</f>
        <v>20</v>
      </c>
      <c r="L304" s="9" t="n">
        <f aca="false">SUMIFS(ROBA_U_DOLASKU!$C$6:$C$95,ROBA_U_DOLASKU!$A$6:$A$95,A304,ROBA_U_DOLASKU!$H$6:$H$95,2)</f>
        <v>0</v>
      </c>
      <c r="M304" s="9" t="n">
        <f aca="false">SUMIFS(ROBA_U_DOLASKU!$B$6:$B$95,ROBA_U_DOLASKU!$A$6:$A$95,A304,ROBA_U_DOLASKU!$H$6:$H$95,2)</f>
        <v>0</v>
      </c>
      <c r="N304" s="9" t="n">
        <f aca="false">SUMIFS(ROBA_U_DOLASKU!$C$6:$C$95,ROBA_U_DOLASKU!$A$6:$A$95,A304,ROBA_U_DOLASKU!$H$6:$H$95,3)</f>
        <v>0</v>
      </c>
      <c r="O304" s="9" t="n">
        <f aca="false">SUMIFS(ROBA_U_DOLASKU!$B$6:$B$95,ROBA_U_DOLASKU!$A$6:$A$95,A304,ROBA_U_DOLASKU!$H$6:$H$95,3)</f>
        <v>0</v>
      </c>
      <c r="P304" s="9" t="n">
        <f aca="false">IF(H304&lt;=0,999,IF(O304&gt;0,ROUND((F304-H304*N304+K304+M304+O304)/H304,1),IF(M304&gt;0,ROUND((F304-H304*L304+K304+M304)/H304,1),IF(K304&gt;0,ROUND((F304-H304*J304+K304)/H304,1),I304))))</f>
        <v>26</v>
      </c>
      <c r="Q304" s="22" t="str">
        <f aca="false">IF(H304&lt;=0,"Nema prodaje",IF(AND(K304=0,M304=0,O304=0),IF(I304&lt;POSTAVKE!$B$6,"Naruči odmah","Sve u redu"),IF(F304-H304*J304&lt;0,"Rupa za ~"&amp;TEXT(I304,"0.0")&amp;" mj.",IF(AND(M304&gt;0,F304-H304*L304+K304&lt;0),"Rupa nakon 1. dolaska",IF(AND(O304&gt;0,F304-H304*N304+K304+M304&lt;0),"Rupa nakon 2. dolaska",IF(P304&lt;POSTAVKE!$B$6,"Količina nije dovoljna",IF(I304&gt;=POSTAVKE!$B$6,"Sve u redu","Stiže na vrijeme")))))))</f>
        <v>Sve u redu</v>
      </c>
      <c r="S304" s="23" t="n">
        <f aca="false">IFERROR(INDEX(PODACI_PRODAJA!B:B,MATCH($A304,PODACI_PRODAJA!$A:$A,0)),0)</f>
        <v>6</v>
      </c>
      <c r="T304" s="23" t="n">
        <f aca="false">IFERROR(INDEX(PODACI_PRODAJA!C:C,MATCH($A304,PODACI_PRODAJA!$A:$A,0)),0)</f>
        <v>3</v>
      </c>
      <c r="U304" s="23" t="n">
        <f aca="false">IFERROR(INDEX(PODACI_PRODAJA!D:D,MATCH($A304,PODACI_PRODAJA!$A:$A,0)),0)</f>
        <v>3</v>
      </c>
      <c r="V304" s="23" t="n">
        <f aca="false">IFERROR(INDEX(PODACI_PRODAJA!E:E,MATCH($A304,PODACI_PRODAJA!$A:$A,0)),0)</f>
        <v>0</v>
      </c>
      <c r="W304" s="23" t="n">
        <f aca="false">IFERROR(INDEX(PODACI_PRODAJA!F:F,MATCH($A304,PODACI_PRODAJA!$A:$A,0)),0)</f>
        <v>0</v>
      </c>
      <c r="X304" s="23" t="n">
        <f aca="false">IFERROR(INDEX(PODACI_PRODAJA!G:G,MATCH($A304,PODACI_PRODAJA!$A:$A,0)),0)</f>
        <v>0</v>
      </c>
      <c r="Y304" s="23" t="n">
        <f aca="false">IFERROR(INDEX(PODACI_PRODAJA!H:H,MATCH($A304,PODACI_PRODAJA!$A:$A,0)),0)</f>
        <v>0</v>
      </c>
      <c r="Z304" s="23" t="n">
        <f aca="false">IFERROR(INDEX(PODACI_PRODAJA!I:I,MATCH($A304,PODACI_PRODAJA!$A:$A,0)),0)</f>
        <v>1</v>
      </c>
      <c r="AA304" s="23" t="n">
        <f aca="false">IFERROR(INDEX(PODACI_PRODAJA!J:J,MATCH($A304,PODACI_PRODAJA!$A:$A,0)),0)</f>
        <v>0</v>
      </c>
      <c r="AB304" s="23" t="n">
        <f aca="false">IFERROR(INDEX(PODACI_PRODAJA!K:K,MATCH($A304,PODACI_PRODAJA!$A:$A,0)),0)</f>
        <v>0</v>
      </c>
      <c r="AC304" s="23" t="n">
        <f aca="false">IFERROR(INDEX(PODACI_PRODAJA!L:L,MATCH($A304,PODACI_PRODAJA!$A:$A,0)),0)</f>
        <v>0</v>
      </c>
      <c r="AD304" s="23" t="n">
        <f aca="false">IFERROR(INDEX(PODACI_PRODAJA!M:M,MATCH($A304,PODACI_PRODAJA!$A:$A,0)),0)</f>
        <v>0</v>
      </c>
    </row>
    <row r="305" customFormat="false" ht="15" hidden="false" customHeight="false" outlineLevel="0" collapsed="false">
      <c r="A305" s="11" t="str">
        <f aca="false">PODACI_ZALIHE!A302</f>
        <v>18016</v>
      </c>
      <c r="B305" s="8" t="str">
        <f aca="false">PODACI_ZALIHE!B302</f>
        <v>VETRO BL TRS 6mm ECO TUŠ STIJENA 150x200</v>
      </c>
      <c r="C305" s="9" t="str">
        <f aca="false">PODACI_ZALIHE!C302</f>
        <v>6762</v>
      </c>
      <c r="D305" s="8" t="str">
        <f aca="false">PODACI_ZALIHE!D302</f>
        <v>ZHEJIANG QUICKLINE SHOWERING CO., LTD.</v>
      </c>
      <c r="E305" s="19" t="n">
        <f aca="false">IF(PODACI_ZALIHE!E302="","",PODACI_ZALIHE!E302)</f>
        <v>24</v>
      </c>
      <c r="F305" s="20" t="n">
        <f aca="false">PODACI_ZALIHE!F302</f>
        <v>24</v>
      </c>
      <c r="G305" s="19" t="n">
        <f aca="false">IF(E305="","",E305-F305)</f>
        <v>0</v>
      </c>
      <c r="H305" s="9" t="n">
        <f aca="false">PODACI_PRODAJA!N657</f>
        <v>0.75</v>
      </c>
      <c r="I305" s="21" t="n">
        <f aca="false">IF(H305&lt;=0,999,ROUND(F305/H305,1))</f>
        <v>32</v>
      </c>
      <c r="J305" s="9" t="n">
        <f aca="false">SUMIFS(ROBA_U_DOLASKU!$C$6:$C$95,ROBA_U_DOLASKU!$A$6:$A$95,A305,ROBA_U_DOLASKU!$H$6:$H$95,1)</f>
        <v>0</v>
      </c>
      <c r="K305" s="9" t="n">
        <f aca="false">SUMIFS(ROBA_U_DOLASKU!$B$6:$B$95,ROBA_U_DOLASKU!$A$6:$A$95,A305,ROBA_U_DOLASKU!$H$6:$H$95,1)</f>
        <v>0</v>
      </c>
      <c r="L305" s="9" t="n">
        <f aca="false">SUMIFS(ROBA_U_DOLASKU!$C$6:$C$95,ROBA_U_DOLASKU!$A$6:$A$95,A305,ROBA_U_DOLASKU!$H$6:$H$95,2)</f>
        <v>0</v>
      </c>
      <c r="M305" s="9" t="n">
        <f aca="false">SUMIFS(ROBA_U_DOLASKU!$B$6:$B$95,ROBA_U_DOLASKU!$A$6:$A$95,A305,ROBA_U_DOLASKU!$H$6:$H$95,2)</f>
        <v>0</v>
      </c>
      <c r="N305" s="9" t="n">
        <f aca="false">SUMIFS(ROBA_U_DOLASKU!$C$6:$C$95,ROBA_U_DOLASKU!$A$6:$A$95,A305,ROBA_U_DOLASKU!$H$6:$H$95,3)</f>
        <v>0</v>
      </c>
      <c r="O305" s="9" t="n">
        <f aca="false">SUMIFS(ROBA_U_DOLASKU!$B$6:$B$95,ROBA_U_DOLASKU!$A$6:$A$95,A305,ROBA_U_DOLASKU!$H$6:$H$95,3)</f>
        <v>0</v>
      </c>
      <c r="P305" s="9" t="n">
        <f aca="false">IF(H305&lt;=0,999,IF(O305&gt;0,ROUND((F305-H305*N305+K305+M305+O305)/H305,1),IF(M305&gt;0,ROUND((F305-H305*L305+K305+M305)/H305,1),IF(K305&gt;0,ROUND((F305-H305*J305+K305)/H305,1),I305))))</f>
        <v>32</v>
      </c>
      <c r="Q305" s="22" t="str">
        <f aca="false">IF(H305&lt;=0,"Nema prodaje",IF(AND(K305=0,M305=0,O305=0),IF(I305&lt;POSTAVKE!$B$6,"Naruči odmah","Sve u redu"),IF(F305-H305*J305&lt;0,"Rupa za ~"&amp;TEXT(I305,"0.0")&amp;" mj.",IF(AND(M305&gt;0,F305-H305*L305+K305&lt;0),"Rupa nakon 1. dolaska",IF(AND(O305&gt;0,F305-H305*N305+K305+M305&lt;0),"Rupa nakon 2. dolaska",IF(P305&lt;POSTAVKE!$B$6,"Količina nije dovoljna",IF(I305&gt;=POSTAVKE!$B$6,"Sve u redu","Stiže na vrijeme")))))))</f>
        <v>Sve u redu</v>
      </c>
      <c r="S305" s="23" t="n">
        <f aca="false">IFERROR(INDEX(PODACI_PRODAJA!B:B,MATCH($A305,PODACI_PRODAJA!$A:$A,0)),0)</f>
        <v>0</v>
      </c>
      <c r="T305" s="23" t="n">
        <f aca="false">IFERROR(INDEX(PODACI_PRODAJA!C:C,MATCH($A305,PODACI_PRODAJA!$A:$A,0)),0)</f>
        <v>0</v>
      </c>
      <c r="U305" s="23" t="n">
        <f aca="false">IFERROR(INDEX(PODACI_PRODAJA!D:D,MATCH($A305,PODACI_PRODAJA!$A:$A,0)),0)</f>
        <v>0</v>
      </c>
      <c r="V305" s="23" t="n">
        <f aca="false">IFERROR(INDEX(PODACI_PRODAJA!E:E,MATCH($A305,PODACI_PRODAJA!$A:$A,0)),0)</f>
        <v>0</v>
      </c>
      <c r="W305" s="23" t="n">
        <f aca="false">IFERROR(INDEX(PODACI_PRODAJA!F:F,MATCH($A305,PODACI_PRODAJA!$A:$A,0)),0)</f>
        <v>1</v>
      </c>
      <c r="X305" s="23" t="n">
        <f aca="false">IFERROR(INDEX(PODACI_PRODAJA!G:G,MATCH($A305,PODACI_PRODAJA!$A:$A,0)),0)</f>
        <v>5</v>
      </c>
      <c r="Y305" s="23" t="n">
        <f aca="false">IFERROR(INDEX(PODACI_PRODAJA!H:H,MATCH($A305,PODACI_PRODAJA!$A:$A,0)),0)</f>
        <v>0</v>
      </c>
      <c r="Z305" s="23" t="n">
        <f aca="false">IFERROR(INDEX(PODACI_PRODAJA!I:I,MATCH($A305,PODACI_PRODAJA!$A:$A,0)),0)</f>
        <v>0</v>
      </c>
      <c r="AA305" s="23" t="n">
        <f aca="false">IFERROR(INDEX(PODACI_PRODAJA!J:J,MATCH($A305,PODACI_PRODAJA!$A:$A,0)),0)</f>
        <v>0</v>
      </c>
      <c r="AB305" s="23" t="n">
        <f aca="false">IFERROR(INDEX(PODACI_PRODAJA!K:K,MATCH($A305,PODACI_PRODAJA!$A:$A,0)),0)</f>
        <v>0</v>
      </c>
      <c r="AC305" s="23" t="n">
        <f aca="false">IFERROR(INDEX(PODACI_PRODAJA!L:L,MATCH($A305,PODACI_PRODAJA!$A:$A,0)),0)</f>
        <v>0</v>
      </c>
      <c r="AD305" s="23" t="n">
        <f aca="false">IFERROR(INDEX(PODACI_PRODAJA!M:M,MATCH($A305,PODACI_PRODAJA!$A:$A,0)),0)</f>
        <v>0</v>
      </c>
    </row>
    <row r="306" customFormat="false" ht="15" hidden="false" customHeight="false" outlineLevel="0" collapsed="false">
      <c r="A306" s="11" t="str">
        <f aca="false">PODACI_ZALIHE!A303</f>
        <v>00843</v>
      </c>
      <c r="B306" s="8" t="str">
        <f aca="false">PODACI_ZALIHE!B303</f>
        <v>GL00008 FLEKSIBILNI NASTAVAK BALTIC</v>
      </c>
      <c r="C306" s="9" t="str">
        <f aca="false">PODACI_ZALIHE!C303</f>
        <v>3291</v>
      </c>
      <c r="D306" s="8" t="str">
        <f aca="false">PODACI_ZALIHE!D303</f>
        <v>TEHNOEXPORT D.O.O.</v>
      </c>
      <c r="E306" s="19" t="n">
        <f aca="false">IF(PODACI_ZALIHE!E303="","",PODACI_ZALIHE!E303)</f>
        <v>23</v>
      </c>
      <c r="F306" s="20" t="n">
        <f aca="false">PODACI_ZALIHE!F303</f>
        <v>23</v>
      </c>
      <c r="G306" s="19" t="n">
        <f aca="false">IF(E306="","",E306-F306)</f>
        <v>0</v>
      </c>
      <c r="H306" s="9" t="n">
        <f aca="false">PODACI_PRODAJA!N89</f>
        <v>1.13</v>
      </c>
      <c r="I306" s="21" t="n">
        <f aca="false">IF(H306&lt;=0,999,ROUND(F306/H306,1))</f>
        <v>20.4</v>
      </c>
      <c r="J306" s="9" t="n">
        <f aca="false">SUMIFS(ROBA_U_DOLASKU!$C$6:$C$95,ROBA_U_DOLASKU!$A$6:$A$95,A306,ROBA_U_DOLASKU!$H$6:$H$95,1)</f>
        <v>0</v>
      </c>
      <c r="K306" s="9" t="n">
        <f aca="false">SUMIFS(ROBA_U_DOLASKU!$B$6:$B$95,ROBA_U_DOLASKU!$A$6:$A$95,A306,ROBA_U_DOLASKU!$H$6:$H$95,1)</f>
        <v>0</v>
      </c>
      <c r="L306" s="9" t="n">
        <f aca="false">SUMIFS(ROBA_U_DOLASKU!$C$6:$C$95,ROBA_U_DOLASKU!$A$6:$A$95,A306,ROBA_U_DOLASKU!$H$6:$H$95,2)</f>
        <v>0</v>
      </c>
      <c r="M306" s="9" t="n">
        <f aca="false">SUMIFS(ROBA_U_DOLASKU!$B$6:$B$95,ROBA_U_DOLASKU!$A$6:$A$95,A306,ROBA_U_DOLASKU!$H$6:$H$95,2)</f>
        <v>0</v>
      </c>
      <c r="N306" s="9" t="n">
        <f aca="false">SUMIFS(ROBA_U_DOLASKU!$C$6:$C$95,ROBA_U_DOLASKU!$A$6:$A$95,A306,ROBA_U_DOLASKU!$H$6:$H$95,3)</f>
        <v>0</v>
      </c>
      <c r="O306" s="9" t="n">
        <f aca="false">SUMIFS(ROBA_U_DOLASKU!$B$6:$B$95,ROBA_U_DOLASKU!$A$6:$A$95,A306,ROBA_U_DOLASKU!$H$6:$H$95,3)</f>
        <v>0</v>
      </c>
      <c r="P306" s="9" t="n">
        <f aca="false">IF(H306&lt;=0,999,IF(O306&gt;0,ROUND((F306-H306*N306+K306+M306+O306)/H306,1),IF(M306&gt;0,ROUND((F306-H306*L306+K306+M306)/H306,1),IF(K306&gt;0,ROUND((F306-H306*J306+K306)/H306,1),I306))))</f>
        <v>20.4</v>
      </c>
      <c r="Q306" s="22" t="str">
        <f aca="false">IF(H306&lt;=0,"Nema prodaje",IF(AND(K306=0,M306=0,O306=0),IF(I306&lt;POSTAVKE!$B$6,"Naruči odmah","Sve u redu"),IF(F306-H306*J306&lt;0,"Rupa za ~"&amp;TEXT(I306,"0.0")&amp;" mj.",IF(AND(M306&gt;0,F306-H306*L306+K306&lt;0),"Rupa nakon 1. dolaska",IF(AND(O306&gt;0,F306-H306*N306+K306+M306&lt;0),"Rupa nakon 2. dolaska",IF(P306&lt;POSTAVKE!$B$6,"Količina nije dovoljna",IF(I306&gt;=POSTAVKE!$B$6,"Sve u redu","Stiže na vrijeme")))))))</f>
        <v>Sve u redu</v>
      </c>
      <c r="S306" s="23" t="n">
        <f aca="false">IFERROR(INDEX(PODACI_PRODAJA!B:B,MATCH($A306,PODACI_PRODAJA!$A:$A,0)),0)</f>
        <v>7</v>
      </c>
      <c r="T306" s="23" t="n">
        <f aca="false">IFERROR(INDEX(PODACI_PRODAJA!C:C,MATCH($A306,PODACI_PRODAJA!$A:$A,0)),0)</f>
        <v>2</v>
      </c>
      <c r="U306" s="23" t="n">
        <f aca="false">IFERROR(INDEX(PODACI_PRODAJA!D:D,MATCH($A306,PODACI_PRODAJA!$A:$A,0)),0)</f>
        <v>0</v>
      </c>
      <c r="V306" s="23" t="n">
        <f aca="false">IFERROR(INDEX(PODACI_PRODAJA!E:E,MATCH($A306,PODACI_PRODAJA!$A:$A,0)),0)</f>
        <v>0</v>
      </c>
      <c r="W306" s="23" t="n">
        <f aca="false">IFERROR(INDEX(PODACI_PRODAJA!F:F,MATCH($A306,PODACI_PRODAJA!$A:$A,0)),0)</f>
        <v>0</v>
      </c>
      <c r="X306" s="23" t="n">
        <f aca="false">IFERROR(INDEX(PODACI_PRODAJA!G:G,MATCH($A306,PODACI_PRODAJA!$A:$A,0)),0)</f>
        <v>0</v>
      </c>
      <c r="Y306" s="23" t="n">
        <f aca="false">IFERROR(INDEX(PODACI_PRODAJA!H:H,MATCH($A306,PODACI_PRODAJA!$A:$A,0)),0)</f>
        <v>0</v>
      </c>
      <c r="Z306" s="23" t="n">
        <f aca="false">IFERROR(INDEX(PODACI_PRODAJA!I:I,MATCH($A306,PODACI_PRODAJA!$A:$A,0)),0)</f>
        <v>0</v>
      </c>
      <c r="AA306" s="23" t="n">
        <f aca="false">IFERROR(INDEX(PODACI_PRODAJA!J:J,MATCH($A306,PODACI_PRODAJA!$A:$A,0)),0)</f>
        <v>0</v>
      </c>
      <c r="AB306" s="23" t="n">
        <f aca="false">IFERROR(INDEX(PODACI_PRODAJA!K:K,MATCH($A306,PODACI_PRODAJA!$A:$A,0)),0)</f>
        <v>0</v>
      </c>
      <c r="AC306" s="23" t="n">
        <f aca="false">IFERROR(INDEX(PODACI_PRODAJA!L:L,MATCH($A306,PODACI_PRODAJA!$A:$A,0)),0)</f>
        <v>0</v>
      </c>
      <c r="AD306" s="23" t="n">
        <f aca="false">IFERROR(INDEX(PODACI_PRODAJA!M:M,MATCH($A306,PODACI_PRODAJA!$A:$A,0)),0)</f>
        <v>0</v>
      </c>
    </row>
    <row r="307" customFormat="false" ht="15" hidden="false" customHeight="false" outlineLevel="0" collapsed="false">
      <c r="A307" s="11" t="str">
        <f aca="false">PODACI_ZALIHE!A304</f>
        <v>02775</v>
      </c>
      <c r="B307" s="8" t="str">
        <f aca="false">PODACI_ZALIHE!B304</f>
        <v>TK MERIDA 80 POLUKRUŽNA TUŠ KABINA 80x80x160 cm</v>
      </c>
      <c r="C307" s="9" t="str">
        <f aca="false">PODACI_ZALIHE!C304</f>
        <v>4328</v>
      </c>
      <c r="D307" s="8" t="str">
        <f aca="false">PODACI_ZALIHE!D304</f>
        <v>HANGZHOU DUHUI IMPORT AND EXPORT CO.,LTD</v>
      </c>
      <c r="E307" s="19" t="n">
        <f aca="false">IF(PODACI_ZALIHE!E304="","",PODACI_ZALIHE!E304)</f>
        <v>23</v>
      </c>
      <c r="F307" s="20" t="n">
        <f aca="false">PODACI_ZALIHE!F304</f>
        <v>23</v>
      </c>
      <c r="G307" s="19" t="n">
        <f aca="false">IF(E307="","",E307-F307)</f>
        <v>0</v>
      </c>
      <c r="H307" s="9" t="n">
        <f aca="false">PODACI_PRODAJA!N403</f>
        <v>6.5</v>
      </c>
      <c r="I307" s="21" t="n">
        <f aca="false">IF(H307&lt;=0,999,ROUND(F307/H307,1))</f>
        <v>3.5</v>
      </c>
      <c r="J307" s="9" t="n">
        <f aca="false">SUMIFS(ROBA_U_DOLASKU!$C$6:$C$95,ROBA_U_DOLASKU!$A$6:$A$95,A307,ROBA_U_DOLASKU!$H$6:$H$95,1)</f>
        <v>0</v>
      </c>
      <c r="K307" s="9" t="n">
        <f aca="false">SUMIFS(ROBA_U_DOLASKU!$B$6:$B$95,ROBA_U_DOLASKU!$A$6:$A$95,A307,ROBA_U_DOLASKU!$H$6:$H$95,1)</f>
        <v>0</v>
      </c>
      <c r="L307" s="9" t="n">
        <f aca="false">SUMIFS(ROBA_U_DOLASKU!$C$6:$C$95,ROBA_U_DOLASKU!$A$6:$A$95,A307,ROBA_U_DOLASKU!$H$6:$H$95,2)</f>
        <v>0</v>
      </c>
      <c r="M307" s="9" t="n">
        <f aca="false">SUMIFS(ROBA_U_DOLASKU!$B$6:$B$95,ROBA_U_DOLASKU!$A$6:$A$95,A307,ROBA_U_DOLASKU!$H$6:$H$95,2)</f>
        <v>0</v>
      </c>
      <c r="N307" s="9" t="n">
        <f aca="false">SUMIFS(ROBA_U_DOLASKU!$C$6:$C$95,ROBA_U_DOLASKU!$A$6:$A$95,A307,ROBA_U_DOLASKU!$H$6:$H$95,3)</f>
        <v>0</v>
      </c>
      <c r="O307" s="9" t="n">
        <f aca="false">SUMIFS(ROBA_U_DOLASKU!$B$6:$B$95,ROBA_U_DOLASKU!$A$6:$A$95,A307,ROBA_U_DOLASKU!$H$6:$H$95,3)</f>
        <v>0</v>
      </c>
      <c r="P307" s="9" t="n">
        <f aca="false">IF(H307&lt;=0,999,IF(O307&gt;0,ROUND((F307-H307*N307+K307+M307+O307)/H307,1),IF(M307&gt;0,ROUND((F307-H307*L307+K307+M307)/H307,1),IF(K307&gt;0,ROUND((F307-H307*J307+K307)/H307,1),I307))))</f>
        <v>3.5</v>
      </c>
      <c r="Q307" s="22" t="str">
        <f aca="false">IF(H307&lt;=0,"Nema prodaje",IF(AND(K307=0,M307=0,O307=0),IF(I307&lt;POSTAVKE!$B$6,"Naruči odmah","Sve u redu"),IF(F307-H307*J307&lt;0,"Rupa za ~"&amp;TEXT(I307,"0.0")&amp;" mj.",IF(AND(M307&gt;0,F307-H307*L307+K307&lt;0),"Rupa nakon 1. dolaska",IF(AND(O307&gt;0,F307-H307*N307+K307+M307&lt;0),"Rupa nakon 2. dolaska",IF(P307&lt;POSTAVKE!$B$6,"Količina nije dovoljna",IF(I307&gt;=POSTAVKE!$B$6,"Sve u redu","Stiže na vrijeme")))))))</f>
        <v>Naruči odmah</v>
      </c>
      <c r="S307" s="23" t="n">
        <f aca="false">IFERROR(INDEX(PODACI_PRODAJA!B:B,MATCH($A307,PODACI_PRODAJA!$A:$A,0)),0)</f>
        <v>0</v>
      </c>
      <c r="T307" s="23" t="n">
        <f aca="false">IFERROR(INDEX(PODACI_PRODAJA!C:C,MATCH($A307,PODACI_PRODAJA!$A:$A,0)),0)</f>
        <v>7</v>
      </c>
      <c r="U307" s="23" t="n">
        <f aca="false">IFERROR(INDEX(PODACI_PRODAJA!D:D,MATCH($A307,PODACI_PRODAJA!$A:$A,0)),0)</f>
        <v>6</v>
      </c>
      <c r="V307" s="23" t="n">
        <f aca="false">IFERROR(INDEX(PODACI_PRODAJA!E:E,MATCH($A307,PODACI_PRODAJA!$A:$A,0)),0)</f>
        <v>14</v>
      </c>
      <c r="W307" s="23" t="n">
        <f aca="false">IFERROR(INDEX(PODACI_PRODAJA!F:F,MATCH($A307,PODACI_PRODAJA!$A:$A,0)),0)</f>
        <v>11</v>
      </c>
      <c r="X307" s="23" t="n">
        <f aca="false">IFERROR(INDEX(PODACI_PRODAJA!G:G,MATCH($A307,PODACI_PRODAJA!$A:$A,0)),0)</f>
        <v>11</v>
      </c>
      <c r="Y307" s="23" t="n">
        <f aca="false">IFERROR(INDEX(PODACI_PRODAJA!H:H,MATCH($A307,PODACI_PRODAJA!$A:$A,0)),0)</f>
        <v>1</v>
      </c>
      <c r="Z307" s="23" t="n">
        <f aca="false">IFERROR(INDEX(PODACI_PRODAJA!I:I,MATCH($A307,PODACI_PRODAJA!$A:$A,0)),0)</f>
        <v>2</v>
      </c>
      <c r="AA307" s="23" t="n">
        <f aca="false">IFERROR(INDEX(PODACI_PRODAJA!J:J,MATCH($A307,PODACI_PRODAJA!$A:$A,0)),0)</f>
        <v>0</v>
      </c>
      <c r="AB307" s="23" t="n">
        <f aca="false">IFERROR(INDEX(PODACI_PRODAJA!K:K,MATCH($A307,PODACI_PRODAJA!$A:$A,0)),0)</f>
        <v>0</v>
      </c>
      <c r="AC307" s="23" t="n">
        <f aca="false">IFERROR(INDEX(PODACI_PRODAJA!L:L,MATCH($A307,PODACI_PRODAJA!$A:$A,0)),0)</f>
        <v>0</v>
      </c>
      <c r="AD307" s="23" t="n">
        <f aca="false">IFERROR(INDEX(PODACI_PRODAJA!M:M,MATCH($A307,PODACI_PRODAJA!$A:$A,0)),0)</f>
        <v>0</v>
      </c>
    </row>
    <row r="308" customFormat="false" ht="15" hidden="false" customHeight="false" outlineLevel="0" collapsed="false">
      <c r="A308" s="11" t="str">
        <f aca="false">PODACI_ZALIHE!A305</f>
        <v>060654Y</v>
      </c>
      <c r="B308" s="8" t="str">
        <f aca="false">PODACI_ZALIHE!B305</f>
        <v>TKA70KV4S KVADRATNA TUŠ KABINA 70x70x185 cm</v>
      </c>
      <c r="C308" s="9" t="str">
        <f aca="false">PODACI_ZALIHE!C305</f>
        <v>5590</v>
      </c>
      <c r="D308" s="8" t="str">
        <f aca="false">PODACI_ZALIHE!D305</f>
        <v>PINGHU YINUO SANITARY WARE CO.,LTD</v>
      </c>
      <c r="E308" s="19" t="n">
        <f aca="false">IF(PODACI_ZALIHE!E305="","",PODACI_ZALIHE!E305)</f>
        <v>23</v>
      </c>
      <c r="F308" s="20" t="n">
        <f aca="false">PODACI_ZALIHE!F305</f>
        <v>23</v>
      </c>
      <c r="G308" s="19" t="n">
        <f aca="false">IF(E308="","",E308-F308)</f>
        <v>0</v>
      </c>
      <c r="H308" s="9" t="n">
        <f aca="false">PODACI_PRODAJA!N182</f>
        <v>0.75</v>
      </c>
      <c r="I308" s="21" t="n">
        <f aca="false">IF(H308&lt;=0,999,ROUND(F308/H308,1))</f>
        <v>30.7</v>
      </c>
      <c r="J308" s="9" t="n">
        <f aca="false">SUMIFS(ROBA_U_DOLASKU!$C$6:$C$95,ROBA_U_DOLASKU!$A$6:$A$95,A308,ROBA_U_DOLASKU!$H$6:$H$95,1)</f>
        <v>0</v>
      </c>
      <c r="K308" s="9" t="n">
        <f aca="false">SUMIFS(ROBA_U_DOLASKU!$B$6:$B$95,ROBA_U_DOLASKU!$A$6:$A$95,A308,ROBA_U_DOLASKU!$H$6:$H$95,1)</f>
        <v>0</v>
      </c>
      <c r="L308" s="9" t="n">
        <f aca="false">SUMIFS(ROBA_U_DOLASKU!$C$6:$C$95,ROBA_U_DOLASKU!$A$6:$A$95,A308,ROBA_U_DOLASKU!$H$6:$H$95,2)</f>
        <v>0</v>
      </c>
      <c r="M308" s="9" t="n">
        <f aca="false">SUMIFS(ROBA_U_DOLASKU!$B$6:$B$95,ROBA_U_DOLASKU!$A$6:$A$95,A308,ROBA_U_DOLASKU!$H$6:$H$95,2)</f>
        <v>0</v>
      </c>
      <c r="N308" s="9" t="n">
        <f aca="false">SUMIFS(ROBA_U_DOLASKU!$C$6:$C$95,ROBA_U_DOLASKU!$A$6:$A$95,A308,ROBA_U_DOLASKU!$H$6:$H$95,3)</f>
        <v>0</v>
      </c>
      <c r="O308" s="9" t="n">
        <f aca="false">SUMIFS(ROBA_U_DOLASKU!$B$6:$B$95,ROBA_U_DOLASKU!$A$6:$A$95,A308,ROBA_U_DOLASKU!$H$6:$H$95,3)</f>
        <v>0</v>
      </c>
      <c r="P308" s="9" t="n">
        <f aca="false">IF(H308&lt;=0,999,IF(O308&gt;0,ROUND((F308-H308*N308+K308+M308+O308)/H308,1),IF(M308&gt;0,ROUND((F308-H308*L308+K308+M308)/H308,1),IF(K308&gt;0,ROUND((F308-H308*J308+K308)/H308,1),I308))))</f>
        <v>30.7</v>
      </c>
      <c r="Q308" s="22" t="str">
        <f aca="false">IF(H308&lt;=0,"Nema prodaje",IF(AND(K308=0,M308=0,O308=0),IF(I308&lt;POSTAVKE!$B$6,"Naruči odmah","Sve u redu"),IF(F308-H308*J308&lt;0,"Rupa za ~"&amp;TEXT(I308,"0.0")&amp;" mj.",IF(AND(M308&gt;0,F308-H308*L308+K308&lt;0),"Rupa nakon 1. dolaska",IF(AND(O308&gt;0,F308-H308*N308+K308+M308&lt;0),"Rupa nakon 2. dolaska",IF(P308&lt;POSTAVKE!$B$6,"Količina nije dovoljna",IF(I308&gt;=POSTAVKE!$B$6,"Sve u redu","Stiže na vrijeme")))))))</f>
        <v>Sve u redu</v>
      </c>
      <c r="S308" s="23" t="n">
        <f aca="false">IFERROR(INDEX(PODACI_PRODAJA!B:B,MATCH($A308,PODACI_PRODAJA!$A:$A,0)),0)</f>
        <v>2</v>
      </c>
      <c r="T308" s="23" t="n">
        <f aca="false">IFERROR(INDEX(PODACI_PRODAJA!C:C,MATCH($A308,PODACI_PRODAJA!$A:$A,0)),0)</f>
        <v>0</v>
      </c>
      <c r="U308" s="23" t="n">
        <f aca="false">IFERROR(INDEX(PODACI_PRODAJA!D:D,MATCH($A308,PODACI_PRODAJA!$A:$A,0)),0)</f>
        <v>0</v>
      </c>
      <c r="V308" s="23" t="n">
        <f aca="false">IFERROR(INDEX(PODACI_PRODAJA!E:E,MATCH($A308,PODACI_PRODAJA!$A:$A,0)),0)</f>
        <v>0</v>
      </c>
      <c r="W308" s="23" t="n">
        <f aca="false">IFERROR(INDEX(PODACI_PRODAJA!F:F,MATCH($A308,PODACI_PRODAJA!$A:$A,0)),0)</f>
        <v>1</v>
      </c>
      <c r="X308" s="23" t="n">
        <f aca="false">IFERROR(INDEX(PODACI_PRODAJA!G:G,MATCH($A308,PODACI_PRODAJA!$A:$A,0)),0)</f>
        <v>2</v>
      </c>
      <c r="Y308" s="23" t="n">
        <f aca="false">IFERROR(INDEX(PODACI_PRODAJA!H:H,MATCH($A308,PODACI_PRODAJA!$A:$A,0)),0)</f>
        <v>1</v>
      </c>
      <c r="Z308" s="23" t="n">
        <f aca="false">IFERROR(INDEX(PODACI_PRODAJA!I:I,MATCH($A308,PODACI_PRODAJA!$A:$A,0)),0)</f>
        <v>0</v>
      </c>
      <c r="AA308" s="23" t="n">
        <f aca="false">IFERROR(INDEX(PODACI_PRODAJA!J:J,MATCH($A308,PODACI_PRODAJA!$A:$A,0)),0)</f>
        <v>0</v>
      </c>
      <c r="AB308" s="23" t="n">
        <f aca="false">IFERROR(INDEX(PODACI_PRODAJA!K:K,MATCH($A308,PODACI_PRODAJA!$A:$A,0)),0)</f>
        <v>0</v>
      </c>
      <c r="AC308" s="23" t="n">
        <f aca="false">IFERROR(INDEX(PODACI_PRODAJA!L:L,MATCH($A308,PODACI_PRODAJA!$A:$A,0)),0)</f>
        <v>0</v>
      </c>
      <c r="AD308" s="23" t="n">
        <f aca="false">IFERROR(INDEX(PODACI_PRODAJA!M:M,MATCH($A308,PODACI_PRODAJA!$A:$A,0)),0)</f>
        <v>0</v>
      </c>
    </row>
    <row r="309" customFormat="false" ht="15" hidden="false" customHeight="false" outlineLevel="0" collapsed="false">
      <c r="A309" s="11" t="str">
        <f aca="false">PODACI_ZALIHE!A306</f>
        <v>1568100</v>
      </c>
      <c r="B309" s="8" t="str">
        <f aca="false">PODACI_ZALIHE!B306</f>
        <v>BOLD S BIJELA 100 KV MINERALSOLID TUŠ KADA 1000x1000x30 mm</v>
      </c>
      <c r="C309" s="9" t="str">
        <f aca="false">PODACI_ZALIHE!C306</f>
        <v>5140</v>
      </c>
      <c r="D309" s="8" t="str">
        <f aca="false">PODACI_ZALIHE!D306</f>
        <v>GUANGDONG OCEAN SANITARY WARE CO., LTD.</v>
      </c>
      <c r="E309" s="19" t="n">
        <f aca="false">IF(PODACI_ZALIHE!E306="","",PODACI_ZALIHE!E306)</f>
        <v>23</v>
      </c>
      <c r="F309" s="20" t="n">
        <f aca="false">PODACI_ZALIHE!F306</f>
        <v>23</v>
      </c>
      <c r="G309" s="19" t="n">
        <f aca="false">IF(E309="","",E309-F309)</f>
        <v>0</v>
      </c>
      <c r="H309" s="9" t="n">
        <f aca="false">PODACI_PRODAJA!N516</f>
        <v>3.25</v>
      </c>
      <c r="I309" s="21" t="n">
        <f aca="false">IF(H309&lt;=0,999,ROUND(F309/H309,1))</f>
        <v>7.1</v>
      </c>
      <c r="J309" s="9" t="n">
        <f aca="false">SUMIFS(ROBA_U_DOLASKU!$C$6:$C$95,ROBA_U_DOLASKU!$A$6:$A$95,A309,ROBA_U_DOLASKU!$H$6:$H$95,1)</f>
        <v>0</v>
      </c>
      <c r="K309" s="9" t="n">
        <f aca="false">SUMIFS(ROBA_U_DOLASKU!$B$6:$B$95,ROBA_U_DOLASKU!$A$6:$A$95,A309,ROBA_U_DOLASKU!$H$6:$H$95,1)</f>
        <v>0</v>
      </c>
      <c r="L309" s="9" t="n">
        <f aca="false">SUMIFS(ROBA_U_DOLASKU!$C$6:$C$95,ROBA_U_DOLASKU!$A$6:$A$95,A309,ROBA_U_DOLASKU!$H$6:$H$95,2)</f>
        <v>0</v>
      </c>
      <c r="M309" s="9" t="n">
        <f aca="false">SUMIFS(ROBA_U_DOLASKU!$B$6:$B$95,ROBA_U_DOLASKU!$A$6:$A$95,A309,ROBA_U_DOLASKU!$H$6:$H$95,2)</f>
        <v>0</v>
      </c>
      <c r="N309" s="9" t="n">
        <f aca="false">SUMIFS(ROBA_U_DOLASKU!$C$6:$C$95,ROBA_U_DOLASKU!$A$6:$A$95,A309,ROBA_U_DOLASKU!$H$6:$H$95,3)</f>
        <v>0</v>
      </c>
      <c r="O309" s="9" t="n">
        <f aca="false">SUMIFS(ROBA_U_DOLASKU!$B$6:$B$95,ROBA_U_DOLASKU!$A$6:$A$95,A309,ROBA_U_DOLASKU!$H$6:$H$95,3)</f>
        <v>0</v>
      </c>
      <c r="P309" s="9" t="n">
        <f aca="false">IF(H309&lt;=0,999,IF(O309&gt;0,ROUND((F309-H309*N309+K309+M309+O309)/H309,1),IF(M309&gt;0,ROUND((F309-H309*L309+K309+M309)/H309,1),IF(K309&gt;0,ROUND((F309-H309*J309+K309)/H309,1),I309))))</f>
        <v>7.1</v>
      </c>
      <c r="Q309" s="22" t="str">
        <f aca="false">IF(H309&lt;=0,"Nema prodaje",IF(AND(K309=0,M309=0,O309=0),IF(I309&lt;POSTAVKE!$B$6,"Naruči odmah","Sve u redu"),IF(F309-H309*J309&lt;0,"Rupa za ~"&amp;TEXT(I309,"0.0")&amp;" mj.",IF(AND(M309&gt;0,F309-H309*L309+K309&lt;0),"Rupa nakon 1. dolaska",IF(AND(O309&gt;0,F309-H309*N309+K309+M309&lt;0),"Rupa nakon 2. dolaska",IF(P309&lt;POSTAVKE!$B$6,"Količina nije dovoljna",IF(I309&gt;=POSTAVKE!$B$6,"Sve u redu","Stiže na vrijeme")))))))</f>
        <v>Sve u redu</v>
      </c>
      <c r="S309" s="23" t="n">
        <f aca="false">IFERROR(INDEX(PODACI_PRODAJA!B:B,MATCH($A309,PODACI_PRODAJA!$A:$A,0)),0)</f>
        <v>0</v>
      </c>
      <c r="T309" s="23" t="n">
        <f aca="false">IFERROR(INDEX(PODACI_PRODAJA!C:C,MATCH($A309,PODACI_PRODAJA!$A:$A,0)),0)</f>
        <v>0</v>
      </c>
      <c r="U309" s="23" t="n">
        <f aca="false">IFERROR(INDEX(PODACI_PRODAJA!D:D,MATCH($A309,PODACI_PRODAJA!$A:$A,0)),0)</f>
        <v>18</v>
      </c>
      <c r="V309" s="23" t="n">
        <f aca="false">IFERROR(INDEX(PODACI_PRODAJA!E:E,MATCH($A309,PODACI_PRODAJA!$A:$A,0)),0)</f>
        <v>0</v>
      </c>
      <c r="W309" s="23" t="n">
        <f aca="false">IFERROR(INDEX(PODACI_PRODAJA!F:F,MATCH($A309,PODACI_PRODAJA!$A:$A,0)),0)</f>
        <v>0</v>
      </c>
      <c r="X309" s="23" t="n">
        <f aca="false">IFERROR(INDEX(PODACI_PRODAJA!G:G,MATCH($A309,PODACI_PRODAJA!$A:$A,0)),0)</f>
        <v>0</v>
      </c>
      <c r="Y309" s="23" t="n">
        <f aca="false">IFERROR(INDEX(PODACI_PRODAJA!H:H,MATCH($A309,PODACI_PRODAJA!$A:$A,0)),0)</f>
        <v>-1</v>
      </c>
      <c r="Z309" s="23" t="n">
        <f aca="false">IFERROR(INDEX(PODACI_PRODAJA!I:I,MATCH($A309,PODACI_PRODAJA!$A:$A,0)),0)</f>
        <v>9</v>
      </c>
      <c r="AA309" s="23" t="n">
        <f aca="false">IFERROR(INDEX(PODACI_PRODAJA!J:J,MATCH($A309,PODACI_PRODAJA!$A:$A,0)),0)</f>
        <v>0</v>
      </c>
      <c r="AB309" s="23" t="n">
        <f aca="false">IFERROR(INDEX(PODACI_PRODAJA!K:K,MATCH($A309,PODACI_PRODAJA!$A:$A,0)),0)</f>
        <v>0</v>
      </c>
      <c r="AC309" s="23" t="n">
        <f aca="false">IFERROR(INDEX(PODACI_PRODAJA!L:L,MATCH($A309,PODACI_PRODAJA!$A:$A,0)),0)</f>
        <v>0</v>
      </c>
      <c r="AD309" s="23" t="n">
        <f aca="false">IFERROR(INDEX(PODACI_PRODAJA!M:M,MATCH($A309,PODACI_PRODAJA!$A:$A,0)),0)</f>
        <v>0</v>
      </c>
    </row>
    <row r="310" customFormat="false" ht="15" hidden="false" customHeight="false" outlineLevel="0" collapsed="false">
      <c r="A310" s="11" t="str">
        <f aca="false">PODACI_ZALIHE!A307</f>
        <v>16094</v>
      </c>
      <c r="B310" s="8" t="str">
        <f aca="false">PODACI_ZALIHE!B307</f>
        <v>TK SILVER LINE 90120 PRAVOKUTNA TUŠ KABINA 90x120x195 cm</v>
      </c>
      <c r="C310" s="9" t="str">
        <f aca="false">PODACI_ZALIHE!C307</f>
        <v>4328</v>
      </c>
      <c r="D310" s="8" t="str">
        <f aca="false">PODACI_ZALIHE!D307</f>
        <v>HANGZHOU DUHUI IMPORT AND EXPORT CO.,LTD</v>
      </c>
      <c r="E310" s="19" t="n">
        <f aca="false">IF(PODACI_ZALIHE!E307="","",PODACI_ZALIHE!E307)</f>
        <v>23</v>
      </c>
      <c r="F310" s="20" t="n">
        <f aca="false">PODACI_ZALIHE!F307</f>
        <v>23</v>
      </c>
      <c r="G310" s="19" t="n">
        <f aca="false">IF(E310="","",E310-F310)</f>
        <v>0</v>
      </c>
      <c r="H310" s="9" t="n">
        <f aca="false">PODACI_PRODAJA!N250</f>
        <v>1</v>
      </c>
      <c r="I310" s="21" t="n">
        <f aca="false">IF(H310&lt;=0,999,ROUND(F310/H310,1))</f>
        <v>23</v>
      </c>
      <c r="J310" s="9" t="n">
        <f aca="false">SUMIFS(ROBA_U_DOLASKU!$C$6:$C$95,ROBA_U_DOLASKU!$A$6:$A$95,A310,ROBA_U_DOLASKU!$H$6:$H$95,1)</f>
        <v>0</v>
      </c>
      <c r="K310" s="9" t="n">
        <f aca="false">SUMIFS(ROBA_U_DOLASKU!$B$6:$B$95,ROBA_U_DOLASKU!$A$6:$A$95,A310,ROBA_U_DOLASKU!$H$6:$H$95,1)</f>
        <v>0</v>
      </c>
      <c r="L310" s="9" t="n">
        <f aca="false">SUMIFS(ROBA_U_DOLASKU!$C$6:$C$95,ROBA_U_DOLASKU!$A$6:$A$95,A310,ROBA_U_DOLASKU!$H$6:$H$95,2)</f>
        <v>0</v>
      </c>
      <c r="M310" s="9" t="n">
        <f aca="false">SUMIFS(ROBA_U_DOLASKU!$B$6:$B$95,ROBA_U_DOLASKU!$A$6:$A$95,A310,ROBA_U_DOLASKU!$H$6:$H$95,2)</f>
        <v>0</v>
      </c>
      <c r="N310" s="9" t="n">
        <f aca="false">SUMIFS(ROBA_U_DOLASKU!$C$6:$C$95,ROBA_U_DOLASKU!$A$6:$A$95,A310,ROBA_U_DOLASKU!$H$6:$H$95,3)</f>
        <v>0</v>
      </c>
      <c r="O310" s="9" t="n">
        <f aca="false">SUMIFS(ROBA_U_DOLASKU!$B$6:$B$95,ROBA_U_DOLASKU!$A$6:$A$95,A310,ROBA_U_DOLASKU!$H$6:$H$95,3)</f>
        <v>0</v>
      </c>
      <c r="P310" s="9" t="n">
        <f aca="false">IF(H310&lt;=0,999,IF(O310&gt;0,ROUND((F310-H310*N310+K310+M310+O310)/H310,1),IF(M310&gt;0,ROUND((F310-H310*L310+K310+M310)/H310,1),IF(K310&gt;0,ROUND((F310-H310*J310+K310)/H310,1),I310))))</f>
        <v>23</v>
      </c>
      <c r="Q310" s="22" t="str">
        <f aca="false">IF(H310&lt;=0,"Nema prodaje",IF(AND(K310=0,M310=0,O310=0),IF(I310&lt;POSTAVKE!$B$6,"Naruči odmah","Sve u redu"),IF(F310-H310*J310&lt;0,"Rupa za ~"&amp;TEXT(I310,"0.0")&amp;" mj.",IF(AND(M310&gt;0,F310-H310*L310+K310&lt;0),"Rupa nakon 1. dolaska",IF(AND(O310&gt;0,F310-H310*N310+K310+M310&lt;0),"Rupa nakon 2. dolaska",IF(P310&lt;POSTAVKE!$B$6,"Količina nije dovoljna",IF(I310&gt;=POSTAVKE!$B$6,"Sve u redu","Stiže na vrijeme")))))))</f>
        <v>Sve u redu</v>
      </c>
      <c r="S310" s="23" t="n">
        <f aca="false">IFERROR(INDEX(PODACI_PRODAJA!B:B,MATCH($A310,PODACI_PRODAJA!$A:$A,0)),0)</f>
        <v>1</v>
      </c>
      <c r="T310" s="23" t="n">
        <f aca="false">IFERROR(INDEX(PODACI_PRODAJA!C:C,MATCH($A310,PODACI_PRODAJA!$A:$A,0)),0)</f>
        <v>0</v>
      </c>
      <c r="U310" s="23" t="n">
        <f aca="false">IFERROR(INDEX(PODACI_PRODAJA!D:D,MATCH($A310,PODACI_PRODAJA!$A:$A,0)),0)</f>
        <v>1</v>
      </c>
      <c r="V310" s="23" t="n">
        <f aca="false">IFERROR(INDEX(PODACI_PRODAJA!E:E,MATCH($A310,PODACI_PRODAJA!$A:$A,0)),0)</f>
        <v>0</v>
      </c>
      <c r="W310" s="23" t="n">
        <f aca="false">IFERROR(INDEX(PODACI_PRODAJA!F:F,MATCH($A310,PODACI_PRODAJA!$A:$A,0)),0)</f>
        <v>0</v>
      </c>
      <c r="X310" s="23" t="n">
        <f aca="false">IFERROR(INDEX(PODACI_PRODAJA!G:G,MATCH($A310,PODACI_PRODAJA!$A:$A,0)),0)</f>
        <v>6</v>
      </c>
      <c r="Y310" s="23" t="n">
        <f aca="false">IFERROR(INDEX(PODACI_PRODAJA!H:H,MATCH($A310,PODACI_PRODAJA!$A:$A,0)),0)</f>
        <v>0</v>
      </c>
      <c r="Z310" s="23" t="n">
        <f aca="false">IFERROR(INDEX(PODACI_PRODAJA!I:I,MATCH($A310,PODACI_PRODAJA!$A:$A,0)),0)</f>
        <v>0</v>
      </c>
      <c r="AA310" s="23" t="n">
        <f aca="false">IFERROR(INDEX(PODACI_PRODAJA!J:J,MATCH($A310,PODACI_PRODAJA!$A:$A,0)),0)</f>
        <v>0</v>
      </c>
      <c r="AB310" s="23" t="n">
        <f aca="false">IFERROR(INDEX(PODACI_PRODAJA!K:K,MATCH($A310,PODACI_PRODAJA!$A:$A,0)),0)</f>
        <v>0</v>
      </c>
      <c r="AC310" s="23" t="n">
        <f aca="false">IFERROR(INDEX(PODACI_PRODAJA!L:L,MATCH($A310,PODACI_PRODAJA!$A:$A,0)),0)</f>
        <v>0</v>
      </c>
      <c r="AD310" s="23" t="n">
        <f aca="false">IFERROR(INDEX(PODACI_PRODAJA!M:M,MATCH($A310,PODACI_PRODAJA!$A:$A,0)),0)</f>
        <v>0</v>
      </c>
    </row>
    <row r="311" customFormat="false" ht="15" hidden="false" customHeight="false" outlineLevel="0" collapsed="false">
      <c r="A311" s="11" t="str">
        <f aca="false">PODACI_ZALIHE!A308</f>
        <v>16160</v>
      </c>
      <c r="B311" s="8" t="str">
        <f aca="false">PODACI_ZALIHE!B308</f>
        <v>TK GRACE 80 POLUKRUŽNA TUŠ KABINA 80X80X190cm</v>
      </c>
      <c r="C311" s="9" t="str">
        <f aca="false">PODACI_ZALIHE!C308</f>
        <v>4328</v>
      </c>
      <c r="D311" s="8" t="str">
        <f aca="false">PODACI_ZALIHE!D308</f>
        <v>HANGZHOU DUHUI IMPORT AND EXPORT CO.,LTD</v>
      </c>
      <c r="E311" s="19" t="n">
        <f aca="false">IF(PODACI_ZALIHE!E308="","",PODACI_ZALIHE!E308)</f>
        <v>23</v>
      </c>
      <c r="F311" s="20" t="n">
        <f aca="false">PODACI_ZALIHE!F308</f>
        <v>23</v>
      </c>
      <c r="G311" s="19" t="n">
        <f aca="false">IF(E311="","",E311-F311)</f>
        <v>0</v>
      </c>
      <c r="H311" s="9" t="n">
        <f aca="false">PODACI_PRODAJA!N253</f>
        <v>2.75</v>
      </c>
      <c r="I311" s="21" t="n">
        <f aca="false">IF(H311&lt;=0,999,ROUND(F311/H311,1))</f>
        <v>8.4</v>
      </c>
      <c r="J311" s="9" t="n">
        <f aca="false">SUMIFS(ROBA_U_DOLASKU!$C$6:$C$95,ROBA_U_DOLASKU!$A$6:$A$95,A311,ROBA_U_DOLASKU!$H$6:$H$95,1)</f>
        <v>0</v>
      </c>
      <c r="K311" s="9" t="n">
        <f aca="false">SUMIFS(ROBA_U_DOLASKU!$B$6:$B$95,ROBA_U_DOLASKU!$A$6:$A$95,A311,ROBA_U_DOLASKU!$H$6:$H$95,1)</f>
        <v>0</v>
      </c>
      <c r="L311" s="9" t="n">
        <f aca="false">SUMIFS(ROBA_U_DOLASKU!$C$6:$C$95,ROBA_U_DOLASKU!$A$6:$A$95,A311,ROBA_U_DOLASKU!$H$6:$H$95,2)</f>
        <v>0</v>
      </c>
      <c r="M311" s="9" t="n">
        <f aca="false">SUMIFS(ROBA_U_DOLASKU!$B$6:$B$95,ROBA_U_DOLASKU!$A$6:$A$95,A311,ROBA_U_DOLASKU!$H$6:$H$95,2)</f>
        <v>0</v>
      </c>
      <c r="N311" s="9" t="n">
        <f aca="false">SUMIFS(ROBA_U_DOLASKU!$C$6:$C$95,ROBA_U_DOLASKU!$A$6:$A$95,A311,ROBA_U_DOLASKU!$H$6:$H$95,3)</f>
        <v>0</v>
      </c>
      <c r="O311" s="9" t="n">
        <f aca="false">SUMIFS(ROBA_U_DOLASKU!$B$6:$B$95,ROBA_U_DOLASKU!$A$6:$A$95,A311,ROBA_U_DOLASKU!$H$6:$H$95,3)</f>
        <v>0</v>
      </c>
      <c r="P311" s="9" t="n">
        <f aca="false">IF(H311&lt;=0,999,IF(O311&gt;0,ROUND((F311-H311*N311+K311+M311+O311)/H311,1),IF(M311&gt;0,ROUND((F311-H311*L311+K311+M311)/H311,1),IF(K311&gt;0,ROUND((F311-H311*J311+K311)/H311,1),I311))))</f>
        <v>8.4</v>
      </c>
      <c r="Q311" s="22" t="str">
        <f aca="false">IF(H311&lt;=0,"Nema prodaje",IF(AND(K311=0,M311=0,O311=0),IF(I311&lt;POSTAVKE!$B$6,"Naruči odmah","Sve u redu"),IF(F311-H311*J311&lt;0,"Rupa za ~"&amp;TEXT(I311,"0.0")&amp;" mj.",IF(AND(M311&gt;0,F311-H311*L311+K311&lt;0),"Rupa nakon 1. dolaska",IF(AND(O311&gt;0,F311-H311*N311+K311+M311&lt;0),"Rupa nakon 2. dolaska",IF(P311&lt;POSTAVKE!$B$6,"Količina nije dovoljna",IF(I311&gt;=POSTAVKE!$B$6,"Sve u redu","Stiže na vrijeme")))))))</f>
        <v>Sve u redu</v>
      </c>
      <c r="S311" s="23" t="n">
        <f aca="false">IFERROR(INDEX(PODACI_PRODAJA!B:B,MATCH($A311,PODACI_PRODAJA!$A:$A,0)),0)</f>
        <v>1</v>
      </c>
      <c r="T311" s="23" t="n">
        <f aca="false">IFERROR(INDEX(PODACI_PRODAJA!C:C,MATCH($A311,PODACI_PRODAJA!$A:$A,0)),0)</f>
        <v>1</v>
      </c>
      <c r="U311" s="23" t="n">
        <f aca="false">IFERROR(INDEX(PODACI_PRODAJA!D:D,MATCH($A311,PODACI_PRODAJA!$A:$A,0)),0)</f>
        <v>9</v>
      </c>
      <c r="V311" s="23" t="n">
        <f aca="false">IFERROR(INDEX(PODACI_PRODAJA!E:E,MATCH($A311,PODACI_PRODAJA!$A:$A,0)),0)</f>
        <v>3</v>
      </c>
      <c r="W311" s="23" t="n">
        <f aca="false">IFERROR(INDEX(PODACI_PRODAJA!F:F,MATCH($A311,PODACI_PRODAJA!$A:$A,0)),0)</f>
        <v>1</v>
      </c>
      <c r="X311" s="23" t="n">
        <f aca="false">IFERROR(INDEX(PODACI_PRODAJA!G:G,MATCH($A311,PODACI_PRODAJA!$A:$A,0)),0)</f>
        <v>0</v>
      </c>
      <c r="Y311" s="23" t="n">
        <f aca="false">IFERROR(INDEX(PODACI_PRODAJA!H:H,MATCH($A311,PODACI_PRODAJA!$A:$A,0)),0)</f>
        <v>6</v>
      </c>
      <c r="Z311" s="23" t="n">
        <f aca="false">IFERROR(INDEX(PODACI_PRODAJA!I:I,MATCH($A311,PODACI_PRODAJA!$A:$A,0)),0)</f>
        <v>1</v>
      </c>
      <c r="AA311" s="23" t="n">
        <f aca="false">IFERROR(INDEX(PODACI_PRODAJA!J:J,MATCH($A311,PODACI_PRODAJA!$A:$A,0)),0)</f>
        <v>0</v>
      </c>
      <c r="AB311" s="23" t="n">
        <f aca="false">IFERROR(INDEX(PODACI_PRODAJA!K:K,MATCH($A311,PODACI_PRODAJA!$A:$A,0)),0)</f>
        <v>0</v>
      </c>
      <c r="AC311" s="23" t="n">
        <f aca="false">IFERROR(INDEX(PODACI_PRODAJA!L:L,MATCH($A311,PODACI_PRODAJA!$A:$A,0)),0)</f>
        <v>0</v>
      </c>
      <c r="AD311" s="23" t="n">
        <f aca="false">IFERROR(INDEX(PODACI_PRODAJA!M:M,MATCH($A311,PODACI_PRODAJA!$A:$A,0)),0)</f>
        <v>0</v>
      </c>
    </row>
    <row r="312" customFormat="false" ht="15" hidden="false" customHeight="false" outlineLevel="0" collapsed="false">
      <c r="A312" s="11" t="str">
        <f aca="false">PODACI_ZALIHE!A309</f>
        <v>16161</v>
      </c>
      <c r="B312" s="8" t="str">
        <f aca="false">PODACI_ZALIHE!B309</f>
        <v>TK GRACE 90 POLUKRUŽNA TUŠ KABINA 90X90X190cm</v>
      </c>
      <c r="C312" s="9" t="str">
        <f aca="false">PODACI_ZALIHE!C309</f>
        <v>4328</v>
      </c>
      <c r="D312" s="8" t="str">
        <f aca="false">PODACI_ZALIHE!D309</f>
        <v>HANGZHOU DUHUI IMPORT AND EXPORT CO.,LTD</v>
      </c>
      <c r="E312" s="19" t="n">
        <f aca="false">IF(PODACI_ZALIHE!E309="","",PODACI_ZALIHE!E309)</f>
        <v>23</v>
      </c>
      <c r="F312" s="20" t="n">
        <f aca="false">PODACI_ZALIHE!F309</f>
        <v>23</v>
      </c>
      <c r="G312" s="19" t="n">
        <f aca="false">IF(E312="","",E312-F312)</f>
        <v>0</v>
      </c>
      <c r="H312" s="9" t="n">
        <f aca="false">PODACI_PRODAJA!N198</f>
        <v>3.25</v>
      </c>
      <c r="I312" s="21" t="n">
        <f aca="false">IF(H312&lt;=0,999,ROUND(F312/H312,1))</f>
        <v>7.1</v>
      </c>
      <c r="J312" s="9" t="n">
        <f aca="false">SUMIFS(ROBA_U_DOLASKU!$C$6:$C$95,ROBA_U_DOLASKU!$A$6:$A$95,A312,ROBA_U_DOLASKU!$H$6:$H$95,1)</f>
        <v>0</v>
      </c>
      <c r="K312" s="9" t="n">
        <f aca="false">SUMIFS(ROBA_U_DOLASKU!$B$6:$B$95,ROBA_U_DOLASKU!$A$6:$A$95,A312,ROBA_U_DOLASKU!$H$6:$H$95,1)</f>
        <v>0</v>
      </c>
      <c r="L312" s="9" t="n">
        <f aca="false">SUMIFS(ROBA_U_DOLASKU!$C$6:$C$95,ROBA_U_DOLASKU!$A$6:$A$95,A312,ROBA_U_DOLASKU!$H$6:$H$95,2)</f>
        <v>0</v>
      </c>
      <c r="M312" s="9" t="n">
        <f aca="false">SUMIFS(ROBA_U_DOLASKU!$B$6:$B$95,ROBA_U_DOLASKU!$A$6:$A$95,A312,ROBA_U_DOLASKU!$H$6:$H$95,2)</f>
        <v>0</v>
      </c>
      <c r="N312" s="9" t="n">
        <f aca="false">SUMIFS(ROBA_U_DOLASKU!$C$6:$C$95,ROBA_U_DOLASKU!$A$6:$A$95,A312,ROBA_U_DOLASKU!$H$6:$H$95,3)</f>
        <v>0</v>
      </c>
      <c r="O312" s="9" t="n">
        <f aca="false">SUMIFS(ROBA_U_DOLASKU!$B$6:$B$95,ROBA_U_DOLASKU!$A$6:$A$95,A312,ROBA_U_DOLASKU!$H$6:$H$95,3)</f>
        <v>0</v>
      </c>
      <c r="P312" s="9" t="n">
        <f aca="false">IF(H312&lt;=0,999,IF(O312&gt;0,ROUND((F312-H312*N312+K312+M312+O312)/H312,1),IF(M312&gt;0,ROUND((F312-H312*L312+K312+M312)/H312,1),IF(K312&gt;0,ROUND((F312-H312*J312+K312)/H312,1),I312))))</f>
        <v>7.1</v>
      </c>
      <c r="Q312" s="22" t="str">
        <f aca="false">IF(H312&lt;=0,"Nema prodaje",IF(AND(K312=0,M312=0,O312=0),IF(I312&lt;POSTAVKE!$B$6,"Naruči odmah","Sve u redu"),IF(F312-H312*J312&lt;0,"Rupa za ~"&amp;TEXT(I312,"0.0")&amp;" mj.",IF(AND(M312&gt;0,F312-H312*L312+K312&lt;0),"Rupa nakon 1. dolaska",IF(AND(O312&gt;0,F312-H312*N312+K312+M312&lt;0),"Rupa nakon 2. dolaska",IF(P312&lt;POSTAVKE!$B$6,"Količina nije dovoljna",IF(I312&gt;=POSTAVKE!$B$6,"Sve u redu","Stiže na vrijeme")))))))</f>
        <v>Sve u redu</v>
      </c>
      <c r="S312" s="23" t="n">
        <f aca="false">IFERROR(INDEX(PODACI_PRODAJA!B:B,MATCH($A312,PODACI_PRODAJA!$A:$A,0)),0)</f>
        <v>2</v>
      </c>
      <c r="T312" s="23" t="n">
        <f aca="false">IFERROR(INDEX(PODACI_PRODAJA!C:C,MATCH($A312,PODACI_PRODAJA!$A:$A,0)),0)</f>
        <v>1</v>
      </c>
      <c r="U312" s="23" t="n">
        <f aca="false">IFERROR(INDEX(PODACI_PRODAJA!D:D,MATCH($A312,PODACI_PRODAJA!$A:$A,0)),0)</f>
        <v>9</v>
      </c>
      <c r="V312" s="23" t="n">
        <f aca="false">IFERROR(INDEX(PODACI_PRODAJA!E:E,MATCH($A312,PODACI_PRODAJA!$A:$A,0)),0)</f>
        <v>4</v>
      </c>
      <c r="W312" s="23" t="n">
        <f aca="false">IFERROR(INDEX(PODACI_PRODAJA!F:F,MATCH($A312,PODACI_PRODAJA!$A:$A,0)),0)</f>
        <v>2</v>
      </c>
      <c r="X312" s="23" t="n">
        <f aca="false">IFERROR(INDEX(PODACI_PRODAJA!G:G,MATCH($A312,PODACI_PRODAJA!$A:$A,0)),0)</f>
        <v>1</v>
      </c>
      <c r="Y312" s="23" t="n">
        <f aca="false">IFERROR(INDEX(PODACI_PRODAJA!H:H,MATCH($A312,PODACI_PRODAJA!$A:$A,0)),0)</f>
        <v>3</v>
      </c>
      <c r="Z312" s="23" t="n">
        <f aca="false">IFERROR(INDEX(PODACI_PRODAJA!I:I,MATCH($A312,PODACI_PRODAJA!$A:$A,0)),0)</f>
        <v>4</v>
      </c>
      <c r="AA312" s="23" t="n">
        <f aca="false">IFERROR(INDEX(PODACI_PRODAJA!J:J,MATCH($A312,PODACI_PRODAJA!$A:$A,0)),0)</f>
        <v>0</v>
      </c>
      <c r="AB312" s="23" t="n">
        <f aca="false">IFERROR(INDEX(PODACI_PRODAJA!K:K,MATCH($A312,PODACI_PRODAJA!$A:$A,0)),0)</f>
        <v>0</v>
      </c>
      <c r="AC312" s="23" t="n">
        <f aca="false">IFERROR(INDEX(PODACI_PRODAJA!L:L,MATCH($A312,PODACI_PRODAJA!$A:$A,0)),0)</f>
        <v>0</v>
      </c>
      <c r="AD312" s="23" t="n">
        <f aca="false">IFERROR(INDEX(PODACI_PRODAJA!M:M,MATCH($A312,PODACI_PRODAJA!$A:$A,0)),0)</f>
        <v>0</v>
      </c>
    </row>
    <row r="313" customFormat="false" ht="15" hidden="false" customHeight="false" outlineLevel="0" collapsed="false">
      <c r="A313" s="11" t="str">
        <f aca="false">PODACI_ZALIHE!A310</f>
        <v>17225</v>
      </c>
      <c r="B313" s="8" t="str">
        <f aca="false">PODACI_ZALIHE!B310</f>
        <v>TK MALAGA 90120 CHROME PRAVOKUTNA TUŠ KABINA 90X120X195 cm</v>
      </c>
      <c r="C313" s="9" t="str">
        <f aca="false">PODACI_ZALIHE!C310</f>
        <v>6762</v>
      </c>
      <c r="D313" s="8" t="str">
        <f aca="false">PODACI_ZALIHE!D310</f>
        <v>ZHEJIANG QUICKLINE SHOWERING CO., LTD.</v>
      </c>
      <c r="E313" s="19" t="n">
        <f aca="false">IF(PODACI_ZALIHE!E310="","",PODACI_ZALIHE!E310)</f>
        <v>23</v>
      </c>
      <c r="F313" s="20" t="n">
        <f aca="false">PODACI_ZALIHE!F310</f>
        <v>23</v>
      </c>
      <c r="G313" s="19" t="n">
        <f aca="false">IF(E313="","",E313-F313)</f>
        <v>0</v>
      </c>
      <c r="H313" s="9" t="n">
        <f aca="false">PODACI_PRODAJA!N609</f>
        <v>2.13</v>
      </c>
      <c r="I313" s="21" t="n">
        <f aca="false">IF(H313&lt;=0,999,ROUND(F313/H313,1))</f>
        <v>10.8</v>
      </c>
      <c r="J313" s="9" t="n">
        <f aca="false">SUMIFS(ROBA_U_DOLASKU!$C$6:$C$95,ROBA_U_DOLASKU!$A$6:$A$95,A313,ROBA_U_DOLASKU!$H$6:$H$95,1)</f>
        <v>0</v>
      </c>
      <c r="K313" s="9" t="n">
        <f aca="false">SUMIFS(ROBA_U_DOLASKU!$B$6:$B$95,ROBA_U_DOLASKU!$A$6:$A$95,A313,ROBA_U_DOLASKU!$H$6:$H$95,1)</f>
        <v>0</v>
      </c>
      <c r="L313" s="9" t="n">
        <f aca="false">SUMIFS(ROBA_U_DOLASKU!$C$6:$C$95,ROBA_U_DOLASKU!$A$6:$A$95,A313,ROBA_U_DOLASKU!$H$6:$H$95,2)</f>
        <v>0</v>
      </c>
      <c r="M313" s="9" t="n">
        <f aca="false">SUMIFS(ROBA_U_DOLASKU!$B$6:$B$95,ROBA_U_DOLASKU!$A$6:$A$95,A313,ROBA_U_DOLASKU!$H$6:$H$95,2)</f>
        <v>0</v>
      </c>
      <c r="N313" s="9" t="n">
        <f aca="false">SUMIFS(ROBA_U_DOLASKU!$C$6:$C$95,ROBA_U_DOLASKU!$A$6:$A$95,A313,ROBA_U_DOLASKU!$H$6:$H$95,3)</f>
        <v>0</v>
      </c>
      <c r="O313" s="9" t="n">
        <f aca="false">SUMIFS(ROBA_U_DOLASKU!$B$6:$B$95,ROBA_U_DOLASKU!$A$6:$A$95,A313,ROBA_U_DOLASKU!$H$6:$H$95,3)</f>
        <v>0</v>
      </c>
      <c r="P313" s="9" t="n">
        <f aca="false">IF(H313&lt;=0,999,IF(O313&gt;0,ROUND((F313-H313*N313+K313+M313+O313)/H313,1),IF(M313&gt;0,ROUND((F313-H313*L313+K313+M313)/H313,1),IF(K313&gt;0,ROUND((F313-H313*J313+K313)/H313,1),I313))))</f>
        <v>10.8</v>
      </c>
      <c r="Q313" s="22" t="str">
        <f aca="false">IF(H313&lt;=0,"Nema prodaje",IF(AND(K313=0,M313=0,O313=0),IF(I313&lt;POSTAVKE!$B$6,"Naruči odmah","Sve u redu"),IF(F313-H313*J313&lt;0,"Rupa za ~"&amp;TEXT(I313,"0.0")&amp;" mj.",IF(AND(M313&gt;0,F313-H313*L313+K313&lt;0),"Rupa nakon 1. dolaska",IF(AND(O313&gt;0,F313-H313*N313+K313+M313&lt;0),"Rupa nakon 2. dolaska",IF(P313&lt;POSTAVKE!$B$6,"Količina nije dovoljna",IF(I313&gt;=POSTAVKE!$B$6,"Sve u redu","Stiže na vrijeme")))))))</f>
        <v>Sve u redu</v>
      </c>
      <c r="S313" s="23" t="n">
        <f aca="false">IFERROR(INDEX(PODACI_PRODAJA!B:B,MATCH($A313,PODACI_PRODAJA!$A:$A,0)),0)</f>
        <v>0</v>
      </c>
      <c r="T313" s="23" t="n">
        <f aca="false">IFERROR(INDEX(PODACI_PRODAJA!C:C,MATCH($A313,PODACI_PRODAJA!$A:$A,0)),0)</f>
        <v>3</v>
      </c>
      <c r="U313" s="23" t="n">
        <f aca="false">IFERROR(INDEX(PODACI_PRODAJA!D:D,MATCH($A313,PODACI_PRODAJA!$A:$A,0)),0)</f>
        <v>4</v>
      </c>
      <c r="V313" s="23" t="n">
        <f aca="false">IFERROR(INDEX(PODACI_PRODAJA!E:E,MATCH($A313,PODACI_PRODAJA!$A:$A,0)),0)</f>
        <v>1</v>
      </c>
      <c r="W313" s="23" t="n">
        <f aca="false">IFERROR(INDEX(PODACI_PRODAJA!F:F,MATCH($A313,PODACI_PRODAJA!$A:$A,0)),0)</f>
        <v>6</v>
      </c>
      <c r="X313" s="23" t="n">
        <f aca="false">IFERROR(INDEX(PODACI_PRODAJA!G:G,MATCH($A313,PODACI_PRODAJA!$A:$A,0)),0)</f>
        <v>1</v>
      </c>
      <c r="Y313" s="23" t="n">
        <f aca="false">IFERROR(INDEX(PODACI_PRODAJA!H:H,MATCH($A313,PODACI_PRODAJA!$A:$A,0)),0)</f>
        <v>2</v>
      </c>
      <c r="Z313" s="23" t="n">
        <f aca="false">IFERROR(INDEX(PODACI_PRODAJA!I:I,MATCH($A313,PODACI_PRODAJA!$A:$A,0)),0)</f>
        <v>0</v>
      </c>
      <c r="AA313" s="23" t="n">
        <f aca="false">IFERROR(INDEX(PODACI_PRODAJA!J:J,MATCH($A313,PODACI_PRODAJA!$A:$A,0)),0)</f>
        <v>0</v>
      </c>
      <c r="AB313" s="23" t="n">
        <f aca="false">IFERROR(INDEX(PODACI_PRODAJA!K:K,MATCH($A313,PODACI_PRODAJA!$A:$A,0)),0)</f>
        <v>0</v>
      </c>
      <c r="AC313" s="23" t="n">
        <f aca="false">IFERROR(INDEX(PODACI_PRODAJA!L:L,MATCH($A313,PODACI_PRODAJA!$A:$A,0)),0)</f>
        <v>0</v>
      </c>
      <c r="AD313" s="23" t="n">
        <f aca="false">IFERROR(INDEX(PODACI_PRODAJA!M:M,MATCH($A313,PODACI_PRODAJA!$A:$A,0)),0)</f>
        <v>0</v>
      </c>
    </row>
    <row r="314" customFormat="false" ht="15" hidden="false" customHeight="false" outlineLevel="0" collapsed="false">
      <c r="A314" s="11" t="str">
        <f aca="false">PODACI_ZALIHE!A311</f>
        <v>18014</v>
      </c>
      <c r="B314" s="8" t="str">
        <f aca="false">PODACI_ZALIHE!B311</f>
        <v>VETRO BL TRS 6mm ECO TUŠ STIJENA 130x200</v>
      </c>
      <c r="C314" s="9" t="str">
        <f aca="false">PODACI_ZALIHE!C311</f>
        <v>6762</v>
      </c>
      <c r="D314" s="8" t="str">
        <f aca="false">PODACI_ZALIHE!D311</f>
        <v>ZHEJIANG QUICKLINE SHOWERING CO., LTD.</v>
      </c>
      <c r="E314" s="19" t="n">
        <f aca="false">IF(PODACI_ZALIHE!E311="","",PODACI_ZALIHE!E311)</f>
        <v>23</v>
      </c>
      <c r="F314" s="20" t="n">
        <f aca="false">PODACI_ZALIHE!F311</f>
        <v>23</v>
      </c>
      <c r="G314" s="19" t="n">
        <f aca="false">IF(E314="","",E314-F314)</f>
        <v>0</v>
      </c>
      <c r="H314" s="9" t="n">
        <f aca="false">PODACI_PRODAJA!N655</f>
        <v>3.38</v>
      </c>
      <c r="I314" s="21" t="n">
        <f aca="false">IF(H314&lt;=0,999,ROUND(F314/H314,1))</f>
        <v>6.8</v>
      </c>
      <c r="J314" s="9" t="n">
        <f aca="false">SUMIFS(ROBA_U_DOLASKU!$C$6:$C$95,ROBA_U_DOLASKU!$A$6:$A$95,A314,ROBA_U_DOLASKU!$H$6:$H$95,1)</f>
        <v>0</v>
      </c>
      <c r="K314" s="9" t="n">
        <f aca="false">SUMIFS(ROBA_U_DOLASKU!$B$6:$B$95,ROBA_U_DOLASKU!$A$6:$A$95,A314,ROBA_U_DOLASKU!$H$6:$H$95,1)</f>
        <v>0</v>
      </c>
      <c r="L314" s="9" t="n">
        <f aca="false">SUMIFS(ROBA_U_DOLASKU!$C$6:$C$95,ROBA_U_DOLASKU!$A$6:$A$95,A314,ROBA_U_DOLASKU!$H$6:$H$95,2)</f>
        <v>0</v>
      </c>
      <c r="M314" s="9" t="n">
        <f aca="false">SUMIFS(ROBA_U_DOLASKU!$B$6:$B$95,ROBA_U_DOLASKU!$A$6:$A$95,A314,ROBA_U_DOLASKU!$H$6:$H$95,2)</f>
        <v>0</v>
      </c>
      <c r="N314" s="9" t="n">
        <f aca="false">SUMIFS(ROBA_U_DOLASKU!$C$6:$C$95,ROBA_U_DOLASKU!$A$6:$A$95,A314,ROBA_U_DOLASKU!$H$6:$H$95,3)</f>
        <v>0</v>
      </c>
      <c r="O314" s="9" t="n">
        <f aca="false">SUMIFS(ROBA_U_DOLASKU!$B$6:$B$95,ROBA_U_DOLASKU!$A$6:$A$95,A314,ROBA_U_DOLASKU!$H$6:$H$95,3)</f>
        <v>0</v>
      </c>
      <c r="P314" s="9" t="n">
        <f aca="false">IF(H314&lt;=0,999,IF(O314&gt;0,ROUND((F314-H314*N314+K314+M314+O314)/H314,1),IF(M314&gt;0,ROUND((F314-H314*L314+K314+M314)/H314,1),IF(K314&gt;0,ROUND((F314-H314*J314+K314)/H314,1),I314))))</f>
        <v>6.8</v>
      </c>
      <c r="Q314" s="22" t="str">
        <f aca="false">IF(H314&lt;=0,"Nema prodaje",IF(AND(K314=0,M314=0,O314=0),IF(I314&lt;POSTAVKE!$B$6,"Naruči odmah","Sve u redu"),IF(F314-H314*J314&lt;0,"Rupa za ~"&amp;TEXT(I314,"0.0")&amp;" mj.",IF(AND(M314&gt;0,F314-H314*L314+K314&lt;0),"Rupa nakon 1. dolaska",IF(AND(O314&gt;0,F314-H314*N314+K314+M314&lt;0),"Rupa nakon 2. dolaska",IF(P314&lt;POSTAVKE!$B$6,"Količina nije dovoljna",IF(I314&gt;=POSTAVKE!$B$6,"Sve u redu","Stiže na vrijeme")))))))</f>
        <v>Sve u redu</v>
      </c>
      <c r="S314" s="23" t="n">
        <f aca="false">IFERROR(INDEX(PODACI_PRODAJA!B:B,MATCH($A314,PODACI_PRODAJA!$A:$A,0)),0)</f>
        <v>0</v>
      </c>
      <c r="T314" s="23" t="n">
        <f aca="false">IFERROR(INDEX(PODACI_PRODAJA!C:C,MATCH($A314,PODACI_PRODAJA!$A:$A,0)),0)</f>
        <v>0</v>
      </c>
      <c r="U314" s="23" t="n">
        <f aca="false">IFERROR(INDEX(PODACI_PRODAJA!D:D,MATCH($A314,PODACI_PRODAJA!$A:$A,0)),0)</f>
        <v>1</v>
      </c>
      <c r="V314" s="23" t="n">
        <f aca="false">IFERROR(INDEX(PODACI_PRODAJA!E:E,MATCH($A314,PODACI_PRODAJA!$A:$A,0)),0)</f>
        <v>0</v>
      </c>
      <c r="W314" s="23" t="n">
        <f aca="false">IFERROR(INDEX(PODACI_PRODAJA!F:F,MATCH($A314,PODACI_PRODAJA!$A:$A,0)),0)</f>
        <v>7</v>
      </c>
      <c r="X314" s="23" t="n">
        <f aca="false">IFERROR(INDEX(PODACI_PRODAJA!G:G,MATCH($A314,PODACI_PRODAJA!$A:$A,0)),0)</f>
        <v>14</v>
      </c>
      <c r="Y314" s="23" t="n">
        <f aca="false">IFERROR(INDEX(PODACI_PRODAJA!H:H,MATCH($A314,PODACI_PRODAJA!$A:$A,0)),0)</f>
        <v>0</v>
      </c>
      <c r="Z314" s="23" t="n">
        <f aca="false">IFERROR(INDEX(PODACI_PRODAJA!I:I,MATCH($A314,PODACI_PRODAJA!$A:$A,0)),0)</f>
        <v>5</v>
      </c>
      <c r="AA314" s="23" t="n">
        <f aca="false">IFERROR(INDEX(PODACI_PRODAJA!J:J,MATCH($A314,PODACI_PRODAJA!$A:$A,0)),0)</f>
        <v>0</v>
      </c>
      <c r="AB314" s="23" t="n">
        <f aca="false">IFERROR(INDEX(PODACI_PRODAJA!K:K,MATCH($A314,PODACI_PRODAJA!$A:$A,0)),0)</f>
        <v>0</v>
      </c>
      <c r="AC314" s="23" t="n">
        <f aca="false">IFERROR(INDEX(PODACI_PRODAJA!L:L,MATCH($A314,PODACI_PRODAJA!$A:$A,0)),0)</f>
        <v>0</v>
      </c>
      <c r="AD314" s="23" t="n">
        <f aca="false">IFERROR(INDEX(PODACI_PRODAJA!M:M,MATCH($A314,PODACI_PRODAJA!$A:$A,0)),0)</f>
        <v>0</v>
      </c>
    </row>
    <row r="315" customFormat="false" ht="15" hidden="false" customHeight="false" outlineLevel="0" collapsed="false">
      <c r="A315" s="11" t="str">
        <f aca="false">PODACI_ZALIHE!A312</f>
        <v>042040</v>
      </c>
      <c r="B315" s="8" t="str">
        <f aca="false">PODACI_ZALIHE!B312</f>
        <v>TK MADERA 80120 PAVOKUTNA TUŠ KABINA 80x120x185 cm</v>
      </c>
      <c r="C315" s="9" t="str">
        <f aca="false">PODACI_ZALIHE!C312</f>
        <v>4981</v>
      </c>
      <c r="D315" s="8" t="str">
        <f aca="false">PODACI_ZALIHE!D312</f>
        <v>HANGZHOU SUNLIGHT TRADE CO., LTD.</v>
      </c>
      <c r="E315" s="19" t="n">
        <f aca="false">IF(PODACI_ZALIHE!E312="","",PODACI_ZALIHE!E312)</f>
        <v>23</v>
      </c>
      <c r="F315" s="20" t="n">
        <f aca="false">PODACI_ZALIHE!F312</f>
        <v>22</v>
      </c>
      <c r="G315" s="19" t="n">
        <f aca="false">IF(E315="","",E315-F315)</f>
        <v>1</v>
      </c>
      <c r="H315" s="9" t="n">
        <f aca="false">PODACI_PRODAJA!N421</f>
        <v>0.25</v>
      </c>
      <c r="I315" s="21" t="n">
        <f aca="false">IF(H315&lt;=0,999,ROUND(F315/H315,1))</f>
        <v>88</v>
      </c>
      <c r="J315" s="9" t="n">
        <f aca="false">SUMIFS(ROBA_U_DOLASKU!$C$6:$C$95,ROBA_U_DOLASKU!$A$6:$A$95,A315,ROBA_U_DOLASKU!$H$6:$H$95,1)</f>
        <v>0</v>
      </c>
      <c r="K315" s="9" t="n">
        <f aca="false">SUMIFS(ROBA_U_DOLASKU!$B$6:$B$95,ROBA_U_DOLASKU!$A$6:$A$95,A315,ROBA_U_DOLASKU!$H$6:$H$95,1)</f>
        <v>0</v>
      </c>
      <c r="L315" s="9" t="n">
        <f aca="false">SUMIFS(ROBA_U_DOLASKU!$C$6:$C$95,ROBA_U_DOLASKU!$A$6:$A$95,A315,ROBA_U_DOLASKU!$H$6:$H$95,2)</f>
        <v>0</v>
      </c>
      <c r="M315" s="9" t="n">
        <f aca="false">SUMIFS(ROBA_U_DOLASKU!$B$6:$B$95,ROBA_U_DOLASKU!$A$6:$A$95,A315,ROBA_U_DOLASKU!$H$6:$H$95,2)</f>
        <v>0</v>
      </c>
      <c r="N315" s="9" t="n">
        <f aca="false">SUMIFS(ROBA_U_DOLASKU!$C$6:$C$95,ROBA_U_DOLASKU!$A$6:$A$95,A315,ROBA_U_DOLASKU!$H$6:$H$95,3)</f>
        <v>0</v>
      </c>
      <c r="O315" s="9" t="n">
        <f aca="false">SUMIFS(ROBA_U_DOLASKU!$B$6:$B$95,ROBA_U_DOLASKU!$A$6:$A$95,A315,ROBA_U_DOLASKU!$H$6:$H$95,3)</f>
        <v>0</v>
      </c>
      <c r="P315" s="9" t="n">
        <f aca="false">IF(H315&lt;=0,999,IF(O315&gt;0,ROUND((F315-H315*N315+K315+M315+O315)/H315,1),IF(M315&gt;0,ROUND((F315-H315*L315+K315+M315)/H315,1),IF(K315&gt;0,ROUND((F315-H315*J315+K315)/H315,1),I315))))</f>
        <v>88</v>
      </c>
      <c r="Q315" s="22" t="str">
        <f aca="false">IF(H315&lt;=0,"Nema prodaje",IF(AND(K315=0,M315=0,O315=0),IF(I315&lt;POSTAVKE!$B$6,"Naruči odmah","Sve u redu"),IF(F315-H315*J315&lt;0,"Rupa za ~"&amp;TEXT(I315,"0.0")&amp;" mj.",IF(AND(M315&gt;0,F315-H315*L315+K315&lt;0),"Rupa nakon 1. dolaska",IF(AND(O315&gt;0,F315-H315*N315+K315+M315&lt;0),"Rupa nakon 2. dolaska",IF(P315&lt;POSTAVKE!$B$6,"Količina nije dovoljna",IF(I315&gt;=POSTAVKE!$B$6,"Sve u redu","Stiže na vrijeme")))))))</f>
        <v>Sve u redu</v>
      </c>
      <c r="S315" s="23" t="n">
        <f aca="false">IFERROR(INDEX(PODACI_PRODAJA!B:B,MATCH($A315,PODACI_PRODAJA!$A:$A,0)),0)</f>
        <v>0</v>
      </c>
      <c r="T315" s="23" t="n">
        <f aca="false">IFERROR(INDEX(PODACI_PRODAJA!C:C,MATCH($A315,PODACI_PRODAJA!$A:$A,0)),0)</f>
        <v>1</v>
      </c>
      <c r="U315" s="23" t="n">
        <f aca="false">IFERROR(INDEX(PODACI_PRODAJA!D:D,MATCH($A315,PODACI_PRODAJA!$A:$A,0)),0)</f>
        <v>0</v>
      </c>
      <c r="V315" s="23" t="n">
        <f aca="false">IFERROR(INDEX(PODACI_PRODAJA!E:E,MATCH($A315,PODACI_PRODAJA!$A:$A,0)),0)</f>
        <v>0</v>
      </c>
      <c r="W315" s="23" t="n">
        <f aca="false">IFERROR(INDEX(PODACI_PRODAJA!F:F,MATCH($A315,PODACI_PRODAJA!$A:$A,0)),0)</f>
        <v>1</v>
      </c>
      <c r="X315" s="23" t="n">
        <f aca="false">IFERROR(INDEX(PODACI_PRODAJA!G:G,MATCH($A315,PODACI_PRODAJA!$A:$A,0)),0)</f>
        <v>0</v>
      </c>
      <c r="Y315" s="23" t="n">
        <f aca="false">IFERROR(INDEX(PODACI_PRODAJA!H:H,MATCH($A315,PODACI_PRODAJA!$A:$A,0)),0)</f>
        <v>0</v>
      </c>
      <c r="Z315" s="23" t="n">
        <f aca="false">IFERROR(INDEX(PODACI_PRODAJA!I:I,MATCH($A315,PODACI_PRODAJA!$A:$A,0)),0)</f>
        <v>0</v>
      </c>
      <c r="AA315" s="23" t="n">
        <f aca="false">IFERROR(INDEX(PODACI_PRODAJA!J:J,MATCH($A315,PODACI_PRODAJA!$A:$A,0)),0)</f>
        <v>0</v>
      </c>
      <c r="AB315" s="23" t="n">
        <f aca="false">IFERROR(INDEX(PODACI_PRODAJA!K:K,MATCH($A315,PODACI_PRODAJA!$A:$A,0)),0)</f>
        <v>0</v>
      </c>
      <c r="AC315" s="23" t="n">
        <f aca="false">IFERROR(INDEX(PODACI_PRODAJA!L:L,MATCH($A315,PODACI_PRODAJA!$A:$A,0)),0)</f>
        <v>0</v>
      </c>
      <c r="AD315" s="23" t="n">
        <f aca="false">IFERROR(INDEX(PODACI_PRODAJA!M:M,MATCH($A315,PODACI_PRODAJA!$A:$A,0)),0)</f>
        <v>0</v>
      </c>
    </row>
    <row r="316" customFormat="false" ht="15" hidden="false" customHeight="false" outlineLevel="0" collapsed="false">
      <c r="A316" s="11" t="str">
        <f aca="false">PODACI_ZALIHE!A313</f>
        <v>042420</v>
      </c>
      <c r="B316" s="8" t="str">
        <f aca="false">PODACI_ZALIHE!B313</f>
        <v>VETRO TRS 150 TUŠ STIJENA 150x200 cm</v>
      </c>
      <c r="C316" s="9" t="str">
        <f aca="false">PODACI_ZALIHE!C313</f>
        <v>4328</v>
      </c>
      <c r="D316" s="8" t="str">
        <f aca="false">PODACI_ZALIHE!D313</f>
        <v>HANGZHOU DUHUI IMPORT AND EXPORT CO.,LTD</v>
      </c>
      <c r="E316" s="19" t="n">
        <f aca="false">IF(PODACI_ZALIHE!E313="","",PODACI_ZALIHE!E313)</f>
        <v>22</v>
      </c>
      <c r="F316" s="20" t="n">
        <f aca="false">PODACI_ZALIHE!F313</f>
        <v>22</v>
      </c>
      <c r="G316" s="19" t="n">
        <f aca="false">IF(E316="","",E316-F316)</f>
        <v>0</v>
      </c>
      <c r="H316" s="9" t="n">
        <f aca="false">PODACI_PRODAJA!N227</f>
        <v>0.88</v>
      </c>
      <c r="I316" s="21" t="n">
        <f aca="false">IF(H316&lt;=0,999,ROUND(F316/H316,1))</f>
        <v>25</v>
      </c>
      <c r="J316" s="9" t="n">
        <f aca="false">SUMIFS(ROBA_U_DOLASKU!$C$6:$C$95,ROBA_U_DOLASKU!$A$6:$A$95,A316,ROBA_U_DOLASKU!$H$6:$H$95,1)</f>
        <v>0</v>
      </c>
      <c r="K316" s="9" t="n">
        <f aca="false">SUMIFS(ROBA_U_DOLASKU!$B$6:$B$95,ROBA_U_DOLASKU!$A$6:$A$95,A316,ROBA_U_DOLASKU!$H$6:$H$95,1)</f>
        <v>0</v>
      </c>
      <c r="L316" s="9" t="n">
        <f aca="false">SUMIFS(ROBA_U_DOLASKU!$C$6:$C$95,ROBA_U_DOLASKU!$A$6:$A$95,A316,ROBA_U_DOLASKU!$H$6:$H$95,2)</f>
        <v>0</v>
      </c>
      <c r="M316" s="9" t="n">
        <f aca="false">SUMIFS(ROBA_U_DOLASKU!$B$6:$B$95,ROBA_U_DOLASKU!$A$6:$A$95,A316,ROBA_U_DOLASKU!$H$6:$H$95,2)</f>
        <v>0</v>
      </c>
      <c r="N316" s="9" t="n">
        <f aca="false">SUMIFS(ROBA_U_DOLASKU!$C$6:$C$95,ROBA_U_DOLASKU!$A$6:$A$95,A316,ROBA_U_DOLASKU!$H$6:$H$95,3)</f>
        <v>0</v>
      </c>
      <c r="O316" s="9" t="n">
        <f aca="false">SUMIFS(ROBA_U_DOLASKU!$B$6:$B$95,ROBA_U_DOLASKU!$A$6:$A$95,A316,ROBA_U_DOLASKU!$H$6:$H$95,3)</f>
        <v>0</v>
      </c>
      <c r="P316" s="9" t="n">
        <f aca="false">IF(H316&lt;=0,999,IF(O316&gt;0,ROUND((F316-H316*N316+K316+M316+O316)/H316,1),IF(M316&gt;0,ROUND((F316-H316*L316+K316+M316)/H316,1),IF(K316&gt;0,ROUND((F316-H316*J316+K316)/H316,1),I316))))</f>
        <v>25</v>
      </c>
      <c r="Q316" s="22" t="str">
        <f aca="false">IF(H316&lt;=0,"Nema prodaje",IF(AND(K316=0,M316=0,O316=0),IF(I316&lt;POSTAVKE!$B$6,"Naruči odmah","Sve u redu"),IF(F316-H316*J316&lt;0,"Rupa za ~"&amp;TEXT(I316,"0.0")&amp;" mj.",IF(AND(M316&gt;0,F316-H316*L316+K316&lt;0),"Rupa nakon 1. dolaska",IF(AND(O316&gt;0,F316-H316*N316+K316+M316&lt;0),"Rupa nakon 2. dolaska",IF(P316&lt;POSTAVKE!$B$6,"Količina nije dovoljna",IF(I316&gt;=POSTAVKE!$B$6,"Sve u redu","Stiže na vrijeme")))))))</f>
        <v>Sve u redu</v>
      </c>
      <c r="S316" s="23" t="n">
        <f aca="false">IFERROR(INDEX(PODACI_PRODAJA!B:B,MATCH($A316,PODACI_PRODAJA!$A:$A,0)),0)</f>
        <v>1</v>
      </c>
      <c r="T316" s="23" t="n">
        <f aca="false">IFERROR(INDEX(PODACI_PRODAJA!C:C,MATCH($A316,PODACI_PRODAJA!$A:$A,0)),0)</f>
        <v>0</v>
      </c>
      <c r="U316" s="23" t="n">
        <f aca="false">IFERROR(INDEX(PODACI_PRODAJA!D:D,MATCH($A316,PODACI_PRODAJA!$A:$A,0)),0)</f>
        <v>1</v>
      </c>
      <c r="V316" s="23" t="n">
        <f aca="false">IFERROR(INDEX(PODACI_PRODAJA!E:E,MATCH($A316,PODACI_PRODAJA!$A:$A,0)),0)</f>
        <v>1</v>
      </c>
      <c r="W316" s="23" t="n">
        <f aca="false">IFERROR(INDEX(PODACI_PRODAJA!F:F,MATCH($A316,PODACI_PRODAJA!$A:$A,0)),0)</f>
        <v>1</v>
      </c>
      <c r="X316" s="23" t="n">
        <f aca="false">IFERROR(INDEX(PODACI_PRODAJA!G:G,MATCH($A316,PODACI_PRODAJA!$A:$A,0)),0)</f>
        <v>1</v>
      </c>
      <c r="Y316" s="23" t="n">
        <f aca="false">IFERROR(INDEX(PODACI_PRODAJA!H:H,MATCH($A316,PODACI_PRODAJA!$A:$A,0)),0)</f>
        <v>1</v>
      </c>
      <c r="Z316" s="23" t="n">
        <f aca="false">IFERROR(INDEX(PODACI_PRODAJA!I:I,MATCH($A316,PODACI_PRODAJA!$A:$A,0)),0)</f>
        <v>1</v>
      </c>
      <c r="AA316" s="23" t="n">
        <f aca="false">IFERROR(INDEX(PODACI_PRODAJA!J:J,MATCH($A316,PODACI_PRODAJA!$A:$A,0)),0)</f>
        <v>0</v>
      </c>
      <c r="AB316" s="23" t="n">
        <f aca="false">IFERROR(INDEX(PODACI_PRODAJA!K:K,MATCH($A316,PODACI_PRODAJA!$A:$A,0)),0)</f>
        <v>0</v>
      </c>
      <c r="AC316" s="23" t="n">
        <f aca="false">IFERROR(INDEX(PODACI_PRODAJA!L:L,MATCH($A316,PODACI_PRODAJA!$A:$A,0)),0)</f>
        <v>0</v>
      </c>
      <c r="AD316" s="23" t="n">
        <f aca="false">IFERROR(INDEX(PODACI_PRODAJA!M:M,MATCH($A316,PODACI_PRODAJA!$A:$A,0)),0)</f>
        <v>0</v>
      </c>
    </row>
    <row r="317" customFormat="false" ht="15" hidden="false" customHeight="false" outlineLevel="0" collapsed="false">
      <c r="A317" s="11" t="str">
        <f aca="false">PODACI_ZALIHE!A314</f>
        <v>042440</v>
      </c>
      <c r="B317" s="8" t="str">
        <f aca="false">PODACI_ZALIHE!B314</f>
        <v>VETRO LINEA 80 TUŠ STIJENA 80x200 cm</v>
      </c>
      <c r="C317" s="9" t="str">
        <f aca="false">PODACI_ZALIHE!C314</f>
        <v>6762</v>
      </c>
      <c r="D317" s="8" t="str">
        <f aca="false">PODACI_ZALIHE!D314</f>
        <v>ZHEJIANG QUICKLINE SHOWERING CO., LTD.</v>
      </c>
      <c r="E317" s="19" t="n">
        <f aca="false">IF(PODACI_ZALIHE!E314="","",PODACI_ZALIHE!E314)</f>
        <v>22</v>
      </c>
      <c r="F317" s="20" t="n">
        <f aca="false">PODACI_ZALIHE!F314</f>
        <v>22</v>
      </c>
      <c r="G317" s="19" t="n">
        <f aca="false">IF(E317="","",E317-F317)</f>
        <v>0</v>
      </c>
      <c r="H317" s="9" t="n">
        <f aca="false">PODACI_PRODAJA!N85</f>
        <v>7.13</v>
      </c>
      <c r="I317" s="21" t="n">
        <f aca="false">IF(H317&lt;=0,999,ROUND(F317/H317,1))</f>
        <v>3.1</v>
      </c>
      <c r="J317" s="9" t="n">
        <f aca="false">SUMIFS(ROBA_U_DOLASKU!$C$6:$C$95,ROBA_U_DOLASKU!$A$6:$A$95,A317,ROBA_U_DOLASKU!$H$6:$H$95,1)</f>
        <v>1</v>
      </c>
      <c r="K317" s="9" t="n">
        <f aca="false">SUMIFS(ROBA_U_DOLASKU!$B$6:$B$95,ROBA_U_DOLASKU!$A$6:$A$95,A317,ROBA_U_DOLASKU!$H$6:$H$95,1)</f>
        <v>20</v>
      </c>
      <c r="L317" s="9" t="n">
        <f aca="false">SUMIFS(ROBA_U_DOLASKU!$C$6:$C$95,ROBA_U_DOLASKU!$A$6:$A$95,A317,ROBA_U_DOLASKU!$H$6:$H$95,2)</f>
        <v>0</v>
      </c>
      <c r="M317" s="9" t="n">
        <f aca="false">SUMIFS(ROBA_U_DOLASKU!$B$6:$B$95,ROBA_U_DOLASKU!$A$6:$A$95,A317,ROBA_U_DOLASKU!$H$6:$H$95,2)</f>
        <v>0</v>
      </c>
      <c r="N317" s="9" t="n">
        <f aca="false">SUMIFS(ROBA_U_DOLASKU!$C$6:$C$95,ROBA_U_DOLASKU!$A$6:$A$95,A317,ROBA_U_DOLASKU!$H$6:$H$95,3)</f>
        <v>0</v>
      </c>
      <c r="O317" s="9" t="n">
        <f aca="false">SUMIFS(ROBA_U_DOLASKU!$B$6:$B$95,ROBA_U_DOLASKU!$A$6:$A$95,A317,ROBA_U_DOLASKU!$H$6:$H$95,3)</f>
        <v>0</v>
      </c>
      <c r="P317" s="9" t="n">
        <f aca="false">IF(H317&lt;=0,999,IF(O317&gt;0,ROUND((F317-H317*N317+K317+M317+O317)/H317,1),IF(M317&gt;0,ROUND((F317-H317*L317+K317+M317)/H317,1),IF(K317&gt;0,ROUND((F317-H317*J317+K317)/H317,1),I317))))</f>
        <v>4.9</v>
      </c>
      <c r="Q317" s="22" t="str">
        <f aca="false">IF(H317&lt;=0,"Nema prodaje",IF(AND(K317=0,M317=0,O317=0),IF(I317&lt;POSTAVKE!$B$6,"Naruči odmah","Sve u redu"),IF(F317-H317*J317&lt;0,"Rupa za ~"&amp;TEXT(I317,"0.0")&amp;" mj.",IF(AND(M317&gt;0,F317-H317*L317+K317&lt;0),"Rupa nakon 1. dolaska",IF(AND(O317&gt;0,F317-H317*N317+K317+M317&lt;0),"Rupa nakon 2. dolaska",IF(P317&lt;POSTAVKE!$B$6,"Količina nije dovoljna",IF(I317&gt;=POSTAVKE!$B$6,"Sve u redu","Stiže na vrijeme")))))))</f>
        <v>Količina nije dovoljna</v>
      </c>
      <c r="S317" s="23" t="n">
        <f aca="false">IFERROR(INDEX(PODACI_PRODAJA!B:B,MATCH($A317,PODACI_PRODAJA!$A:$A,0)),0)</f>
        <v>8</v>
      </c>
      <c r="T317" s="23" t="n">
        <f aca="false">IFERROR(INDEX(PODACI_PRODAJA!C:C,MATCH($A317,PODACI_PRODAJA!$A:$A,0)),0)</f>
        <v>7</v>
      </c>
      <c r="U317" s="23" t="n">
        <f aca="false">IFERROR(INDEX(PODACI_PRODAJA!D:D,MATCH($A317,PODACI_PRODAJA!$A:$A,0)),0)</f>
        <v>8</v>
      </c>
      <c r="V317" s="23" t="n">
        <f aca="false">IFERROR(INDEX(PODACI_PRODAJA!E:E,MATCH($A317,PODACI_PRODAJA!$A:$A,0)),0)</f>
        <v>4</v>
      </c>
      <c r="W317" s="23" t="n">
        <f aca="false">IFERROR(INDEX(PODACI_PRODAJA!F:F,MATCH($A317,PODACI_PRODAJA!$A:$A,0)),0)</f>
        <v>12</v>
      </c>
      <c r="X317" s="23" t="n">
        <f aca="false">IFERROR(INDEX(PODACI_PRODAJA!G:G,MATCH($A317,PODACI_PRODAJA!$A:$A,0)),0)</f>
        <v>10</v>
      </c>
      <c r="Y317" s="23" t="n">
        <f aca="false">IFERROR(INDEX(PODACI_PRODAJA!H:H,MATCH($A317,PODACI_PRODAJA!$A:$A,0)),0)</f>
        <v>5</v>
      </c>
      <c r="Z317" s="23" t="n">
        <f aca="false">IFERROR(INDEX(PODACI_PRODAJA!I:I,MATCH($A317,PODACI_PRODAJA!$A:$A,0)),0)</f>
        <v>3</v>
      </c>
      <c r="AA317" s="23" t="n">
        <f aca="false">IFERROR(INDEX(PODACI_PRODAJA!J:J,MATCH($A317,PODACI_PRODAJA!$A:$A,0)),0)</f>
        <v>0</v>
      </c>
      <c r="AB317" s="23" t="n">
        <f aca="false">IFERROR(INDEX(PODACI_PRODAJA!K:K,MATCH($A317,PODACI_PRODAJA!$A:$A,0)),0)</f>
        <v>0</v>
      </c>
      <c r="AC317" s="23" t="n">
        <f aca="false">IFERROR(INDEX(PODACI_PRODAJA!L:L,MATCH($A317,PODACI_PRODAJA!$A:$A,0)),0)</f>
        <v>0</v>
      </c>
      <c r="AD317" s="23" t="n">
        <f aca="false">IFERROR(INDEX(PODACI_PRODAJA!M:M,MATCH($A317,PODACI_PRODAJA!$A:$A,0)),0)</f>
        <v>0</v>
      </c>
    </row>
    <row r="318" customFormat="false" ht="15" hidden="false" customHeight="false" outlineLevel="0" collapsed="false">
      <c r="A318" s="11" t="str">
        <f aca="false">PODACI_ZALIHE!A315</f>
        <v>16027</v>
      </c>
      <c r="B318" s="8" t="str">
        <f aca="false">PODACI_ZALIHE!B315</f>
        <v>BIANCA 90 POLUKRUŽNA TUŠ KABINA 90X90X195</v>
      </c>
      <c r="C318" s="9" t="str">
        <f aca="false">PODACI_ZALIHE!C315</f>
        <v>3933</v>
      </c>
      <c r="D318" s="8" t="str">
        <f aca="false">PODACI_ZALIHE!D315</f>
        <v>PINGHU AONISI SANITARY WARE CO.,LTD</v>
      </c>
      <c r="E318" s="19" t="n">
        <f aca="false">IF(PODACI_ZALIHE!E315="","",PODACI_ZALIHE!E315)</f>
        <v>22</v>
      </c>
      <c r="F318" s="20" t="n">
        <f aca="false">PODACI_ZALIHE!F315</f>
        <v>22</v>
      </c>
      <c r="G318" s="19" t="n">
        <f aca="false">IF(E318="","",E318-F318)</f>
        <v>0</v>
      </c>
      <c r="H318" s="9" t="n">
        <f aca="false">PODACI_PRODAJA!N248</f>
        <v>1</v>
      </c>
      <c r="I318" s="21" t="n">
        <f aca="false">IF(H318&lt;=0,999,ROUND(F318/H318,1))</f>
        <v>22</v>
      </c>
      <c r="J318" s="9" t="n">
        <f aca="false">SUMIFS(ROBA_U_DOLASKU!$C$6:$C$95,ROBA_U_DOLASKU!$A$6:$A$95,A318,ROBA_U_DOLASKU!$H$6:$H$95,1)</f>
        <v>0</v>
      </c>
      <c r="K318" s="9" t="n">
        <f aca="false">SUMIFS(ROBA_U_DOLASKU!$B$6:$B$95,ROBA_U_DOLASKU!$A$6:$A$95,A318,ROBA_U_DOLASKU!$H$6:$H$95,1)</f>
        <v>0</v>
      </c>
      <c r="L318" s="9" t="n">
        <f aca="false">SUMIFS(ROBA_U_DOLASKU!$C$6:$C$95,ROBA_U_DOLASKU!$A$6:$A$95,A318,ROBA_U_DOLASKU!$H$6:$H$95,2)</f>
        <v>0</v>
      </c>
      <c r="M318" s="9" t="n">
        <f aca="false">SUMIFS(ROBA_U_DOLASKU!$B$6:$B$95,ROBA_U_DOLASKU!$A$6:$A$95,A318,ROBA_U_DOLASKU!$H$6:$H$95,2)</f>
        <v>0</v>
      </c>
      <c r="N318" s="9" t="n">
        <f aca="false">SUMIFS(ROBA_U_DOLASKU!$C$6:$C$95,ROBA_U_DOLASKU!$A$6:$A$95,A318,ROBA_U_DOLASKU!$H$6:$H$95,3)</f>
        <v>0</v>
      </c>
      <c r="O318" s="9" t="n">
        <f aca="false">SUMIFS(ROBA_U_DOLASKU!$B$6:$B$95,ROBA_U_DOLASKU!$A$6:$A$95,A318,ROBA_U_DOLASKU!$H$6:$H$95,3)</f>
        <v>0</v>
      </c>
      <c r="P318" s="9" t="n">
        <f aca="false">IF(H318&lt;=0,999,IF(O318&gt;0,ROUND((F318-H318*N318+K318+M318+O318)/H318,1),IF(M318&gt;0,ROUND((F318-H318*L318+K318+M318)/H318,1),IF(K318&gt;0,ROUND((F318-H318*J318+K318)/H318,1),I318))))</f>
        <v>22</v>
      </c>
      <c r="Q318" s="22" t="str">
        <f aca="false">IF(H318&lt;=0,"Nema prodaje",IF(AND(K318=0,M318=0,O318=0),IF(I318&lt;POSTAVKE!$B$6,"Naruči odmah","Sve u redu"),IF(F318-H318*J318&lt;0,"Rupa za ~"&amp;TEXT(I318,"0.0")&amp;" mj.",IF(AND(M318&gt;0,F318-H318*L318+K318&lt;0),"Rupa nakon 1. dolaska",IF(AND(O318&gt;0,F318-H318*N318+K318+M318&lt;0),"Rupa nakon 2. dolaska",IF(P318&lt;POSTAVKE!$B$6,"Količina nije dovoljna",IF(I318&gt;=POSTAVKE!$B$6,"Sve u redu","Stiže na vrijeme")))))))</f>
        <v>Sve u redu</v>
      </c>
      <c r="S318" s="23" t="n">
        <f aca="false">IFERROR(INDEX(PODACI_PRODAJA!B:B,MATCH($A318,PODACI_PRODAJA!$A:$A,0)),0)</f>
        <v>1</v>
      </c>
      <c r="T318" s="23" t="n">
        <f aca="false">IFERROR(INDEX(PODACI_PRODAJA!C:C,MATCH($A318,PODACI_PRODAJA!$A:$A,0)),0)</f>
        <v>1</v>
      </c>
      <c r="U318" s="23" t="n">
        <f aca="false">IFERROR(INDEX(PODACI_PRODAJA!D:D,MATCH($A318,PODACI_PRODAJA!$A:$A,0)),0)</f>
        <v>1</v>
      </c>
      <c r="V318" s="23" t="n">
        <f aca="false">IFERROR(INDEX(PODACI_PRODAJA!E:E,MATCH($A318,PODACI_PRODAJA!$A:$A,0)),0)</f>
        <v>1</v>
      </c>
      <c r="W318" s="23" t="n">
        <f aca="false">IFERROR(INDEX(PODACI_PRODAJA!F:F,MATCH($A318,PODACI_PRODAJA!$A:$A,0)),0)</f>
        <v>0</v>
      </c>
      <c r="X318" s="23" t="n">
        <f aca="false">IFERROR(INDEX(PODACI_PRODAJA!G:G,MATCH($A318,PODACI_PRODAJA!$A:$A,0)),0)</f>
        <v>1</v>
      </c>
      <c r="Y318" s="23" t="n">
        <f aca="false">IFERROR(INDEX(PODACI_PRODAJA!H:H,MATCH($A318,PODACI_PRODAJA!$A:$A,0)),0)</f>
        <v>3</v>
      </c>
      <c r="Z318" s="23" t="n">
        <f aca="false">IFERROR(INDEX(PODACI_PRODAJA!I:I,MATCH($A318,PODACI_PRODAJA!$A:$A,0)),0)</f>
        <v>0</v>
      </c>
      <c r="AA318" s="23" t="n">
        <f aca="false">IFERROR(INDEX(PODACI_PRODAJA!J:J,MATCH($A318,PODACI_PRODAJA!$A:$A,0)),0)</f>
        <v>0</v>
      </c>
      <c r="AB318" s="23" t="n">
        <f aca="false">IFERROR(INDEX(PODACI_PRODAJA!K:K,MATCH($A318,PODACI_PRODAJA!$A:$A,0)),0)</f>
        <v>0</v>
      </c>
      <c r="AC318" s="23" t="n">
        <f aca="false">IFERROR(INDEX(PODACI_PRODAJA!L:L,MATCH($A318,PODACI_PRODAJA!$A:$A,0)),0)</f>
        <v>0</v>
      </c>
      <c r="AD318" s="23" t="n">
        <f aca="false">IFERROR(INDEX(PODACI_PRODAJA!M:M,MATCH($A318,PODACI_PRODAJA!$A:$A,0)),0)</f>
        <v>0</v>
      </c>
    </row>
    <row r="319" customFormat="false" ht="15" hidden="false" customHeight="false" outlineLevel="0" collapsed="false">
      <c r="A319" s="11" t="str">
        <f aca="false">PODACI_ZALIHE!A316</f>
        <v>16790</v>
      </c>
      <c r="B319" s="8" t="str">
        <f aca="false">PODACI_ZALIHE!B316</f>
        <v>VETRO FRAME 90 TUŠ STIJENA 90X195cm</v>
      </c>
      <c r="C319" s="9" t="str">
        <f aca="false">PODACI_ZALIHE!C316</f>
        <v>6163</v>
      </c>
      <c r="D319" s="8" t="str">
        <f aca="false">PODACI_ZALIHE!D316</f>
        <v>HANGZHOU TIANMEI INDUSTRY CO.,LTD</v>
      </c>
      <c r="E319" s="19" t="n">
        <f aca="false">IF(PODACI_ZALIHE!E316="","",PODACI_ZALIHE!E316)</f>
        <v>22</v>
      </c>
      <c r="F319" s="20" t="n">
        <f aca="false">PODACI_ZALIHE!F316</f>
        <v>22</v>
      </c>
      <c r="G319" s="19" t="n">
        <f aca="false">IF(E319="","",E319-F319)</f>
        <v>0</v>
      </c>
      <c r="H319" s="9" t="n">
        <f aca="false">PODACI_PRODAJA!N254</f>
        <v>1.25</v>
      </c>
      <c r="I319" s="21" t="n">
        <f aca="false">IF(H319&lt;=0,999,ROUND(F319/H319,1))</f>
        <v>17.6</v>
      </c>
      <c r="J319" s="9" t="n">
        <f aca="false">SUMIFS(ROBA_U_DOLASKU!$C$6:$C$95,ROBA_U_DOLASKU!$A$6:$A$95,A319,ROBA_U_DOLASKU!$H$6:$H$95,1)</f>
        <v>0</v>
      </c>
      <c r="K319" s="9" t="n">
        <f aca="false">SUMIFS(ROBA_U_DOLASKU!$B$6:$B$95,ROBA_U_DOLASKU!$A$6:$A$95,A319,ROBA_U_DOLASKU!$H$6:$H$95,1)</f>
        <v>0</v>
      </c>
      <c r="L319" s="9" t="n">
        <f aca="false">SUMIFS(ROBA_U_DOLASKU!$C$6:$C$95,ROBA_U_DOLASKU!$A$6:$A$95,A319,ROBA_U_DOLASKU!$H$6:$H$95,2)</f>
        <v>0</v>
      </c>
      <c r="M319" s="9" t="n">
        <f aca="false">SUMIFS(ROBA_U_DOLASKU!$B$6:$B$95,ROBA_U_DOLASKU!$A$6:$A$95,A319,ROBA_U_DOLASKU!$H$6:$H$95,2)</f>
        <v>0</v>
      </c>
      <c r="N319" s="9" t="n">
        <f aca="false">SUMIFS(ROBA_U_DOLASKU!$C$6:$C$95,ROBA_U_DOLASKU!$A$6:$A$95,A319,ROBA_U_DOLASKU!$H$6:$H$95,3)</f>
        <v>0</v>
      </c>
      <c r="O319" s="9" t="n">
        <f aca="false">SUMIFS(ROBA_U_DOLASKU!$B$6:$B$95,ROBA_U_DOLASKU!$A$6:$A$95,A319,ROBA_U_DOLASKU!$H$6:$H$95,3)</f>
        <v>0</v>
      </c>
      <c r="P319" s="9" t="n">
        <f aca="false">IF(H319&lt;=0,999,IF(O319&gt;0,ROUND((F319-H319*N319+K319+M319+O319)/H319,1),IF(M319&gt;0,ROUND((F319-H319*L319+K319+M319)/H319,1),IF(K319&gt;0,ROUND((F319-H319*J319+K319)/H319,1),I319))))</f>
        <v>17.6</v>
      </c>
      <c r="Q319" s="22" t="str">
        <f aca="false">IF(H319&lt;=0,"Nema prodaje",IF(AND(K319=0,M319=0,O319=0),IF(I319&lt;POSTAVKE!$B$6,"Naruči odmah","Sve u redu"),IF(F319-H319*J319&lt;0,"Rupa za ~"&amp;TEXT(I319,"0.0")&amp;" mj.",IF(AND(M319&gt;0,F319-H319*L319+K319&lt;0),"Rupa nakon 1. dolaska",IF(AND(O319&gt;0,F319-H319*N319+K319+M319&lt;0),"Rupa nakon 2. dolaska",IF(P319&lt;POSTAVKE!$B$6,"Količina nije dovoljna",IF(I319&gt;=POSTAVKE!$B$6,"Sve u redu","Stiže na vrijeme")))))))</f>
        <v>Sve u redu</v>
      </c>
      <c r="S319" s="23" t="n">
        <f aca="false">IFERROR(INDEX(PODACI_PRODAJA!B:B,MATCH($A319,PODACI_PRODAJA!$A:$A,0)),0)</f>
        <v>1</v>
      </c>
      <c r="T319" s="23" t="n">
        <f aca="false">IFERROR(INDEX(PODACI_PRODAJA!C:C,MATCH($A319,PODACI_PRODAJA!$A:$A,0)),0)</f>
        <v>2</v>
      </c>
      <c r="U319" s="23" t="n">
        <f aca="false">IFERROR(INDEX(PODACI_PRODAJA!D:D,MATCH($A319,PODACI_PRODAJA!$A:$A,0)),0)</f>
        <v>2</v>
      </c>
      <c r="V319" s="23" t="n">
        <f aca="false">IFERROR(INDEX(PODACI_PRODAJA!E:E,MATCH($A319,PODACI_PRODAJA!$A:$A,0)),0)</f>
        <v>2</v>
      </c>
      <c r="W319" s="23" t="n">
        <f aca="false">IFERROR(INDEX(PODACI_PRODAJA!F:F,MATCH($A319,PODACI_PRODAJA!$A:$A,0)),0)</f>
        <v>1</v>
      </c>
      <c r="X319" s="23" t="n">
        <f aca="false">IFERROR(INDEX(PODACI_PRODAJA!G:G,MATCH($A319,PODACI_PRODAJA!$A:$A,0)),0)</f>
        <v>1</v>
      </c>
      <c r="Y319" s="23" t="n">
        <f aca="false">IFERROR(INDEX(PODACI_PRODAJA!H:H,MATCH($A319,PODACI_PRODAJA!$A:$A,0)),0)</f>
        <v>1</v>
      </c>
      <c r="Z319" s="23" t="n">
        <f aca="false">IFERROR(INDEX(PODACI_PRODAJA!I:I,MATCH($A319,PODACI_PRODAJA!$A:$A,0)),0)</f>
        <v>0</v>
      </c>
      <c r="AA319" s="23" t="n">
        <f aca="false">IFERROR(INDEX(PODACI_PRODAJA!J:J,MATCH($A319,PODACI_PRODAJA!$A:$A,0)),0)</f>
        <v>0</v>
      </c>
      <c r="AB319" s="23" t="n">
        <f aca="false">IFERROR(INDEX(PODACI_PRODAJA!K:K,MATCH($A319,PODACI_PRODAJA!$A:$A,0)),0)</f>
        <v>0</v>
      </c>
      <c r="AC319" s="23" t="n">
        <f aca="false">IFERROR(INDEX(PODACI_PRODAJA!L:L,MATCH($A319,PODACI_PRODAJA!$A:$A,0)),0)</f>
        <v>0</v>
      </c>
      <c r="AD319" s="23" t="n">
        <f aca="false">IFERROR(INDEX(PODACI_PRODAJA!M:M,MATCH($A319,PODACI_PRODAJA!$A:$A,0)),0)</f>
        <v>0</v>
      </c>
    </row>
    <row r="320" customFormat="false" ht="15" hidden="false" customHeight="false" outlineLevel="0" collapsed="false">
      <c r="A320" s="11" t="str">
        <f aca="false">PODACI_ZALIHE!A317</f>
        <v>16970</v>
      </c>
      <c r="B320" s="8" t="str">
        <f aca="false">PODACI_ZALIHE!B317</f>
        <v>CLEAR SIDE 90 CHROME STAKLENA STRANICA 900x1950 mm</v>
      </c>
      <c r="C320" s="9" t="str">
        <f aca="false">PODACI_ZALIHE!C317</f>
        <v>6163</v>
      </c>
      <c r="D320" s="8" t="str">
        <f aca="false">PODACI_ZALIHE!D317</f>
        <v>HANGZHOU TIANMEI INDUSTRY CO.,LTD</v>
      </c>
      <c r="E320" s="19" t="n">
        <f aca="false">IF(PODACI_ZALIHE!E317="","",PODACI_ZALIHE!E317)</f>
        <v>22</v>
      </c>
      <c r="F320" s="20" t="n">
        <f aca="false">PODACI_ZALIHE!F317</f>
        <v>22</v>
      </c>
      <c r="G320" s="19" t="n">
        <f aca="false">IF(E320="","",E320-F320)</f>
        <v>0</v>
      </c>
      <c r="H320" s="9" t="n">
        <f aca="false">PODACI_PRODAJA!N583</f>
        <v>1.5</v>
      </c>
      <c r="I320" s="21" t="n">
        <f aca="false">IF(H320&lt;=0,999,ROUND(F320/H320,1))</f>
        <v>14.7</v>
      </c>
      <c r="J320" s="9" t="n">
        <f aca="false">SUMIFS(ROBA_U_DOLASKU!$C$6:$C$95,ROBA_U_DOLASKU!$A$6:$A$95,A320,ROBA_U_DOLASKU!$H$6:$H$95,1)</f>
        <v>0</v>
      </c>
      <c r="K320" s="9" t="n">
        <f aca="false">SUMIFS(ROBA_U_DOLASKU!$B$6:$B$95,ROBA_U_DOLASKU!$A$6:$A$95,A320,ROBA_U_DOLASKU!$H$6:$H$95,1)</f>
        <v>0</v>
      </c>
      <c r="L320" s="9" t="n">
        <f aca="false">SUMIFS(ROBA_U_DOLASKU!$C$6:$C$95,ROBA_U_DOLASKU!$A$6:$A$95,A320,ROBA_U_DOLASKU!$H$6:$H$95,2)</f>
        <v>0</v>
      </c>
      <c r="M320" s="9" t="n">
        <f aca="false">SUMIFS(ROBA_U_DOLASKU!$B$6:$B$95,ROBA_U_DOLASKU!$A$6:$A$95,A320,ROBA_U_DOLASKU!$H$6:$H$95,2)</f>
        <v>0</v>
      </c>
      <c r="N320" s="9" t="n">
        <f aca="false">SUMIFS(ROBA_U_DOLASKU!$C$6:$C$95,ROBA_U_DOLASKU!$A$6:$A$95,A320,ROBA_U_DOLASKU!$H$6:$H$95,3)</f>
        <v>0</v>
      </c>
      <c r="O320" s="9" t="n">
        <f aca="false">SUMIFS(ROBA_U_DOLASKU!$B$6:$B$95,ROBA_U_DOLASKU!$A$6:$A$95,A320,ROBA_U_DOLASKU!$H$6:$H$95,3)</f>
        <v>0</v>
      </c>
      <c r="P320" s="9" t="n">
        <f aca="false">IF(H320&lt;=0,999,IF(O320&gt;0,ROUND((F320-H320*N320+K320+M320+O320)/H320,1),IF(M320&gt;0,ROUND((F320-H320*L320+K320+M320)/H320,1),IF(K320&gt;0,ROUND((F320-H320*J320+K320)/H320,1),I320))))</f>
        <v>14.7</v>
      </c>
      <c r="Q320" s="22" t="str">
        <f aca="false">IF(H320&lt;=0,"Nema prodaje",IF(AND(K320=0,M320=0,O320=0),IF(I320&lt;POSTAVKE!$B$6,"Naruči odmah","Sve u redu"),IF(F320-H320*J320&lt;0,"Rupa za ~"&amp;TEXT(I320,"0.0")&amp;" mj.",IF(AND(M320&gt;0,F320-H320*L320+K320&lt;0),"Rupa nakon 1. dolaska",IF(AND(O320&gt;0,F320-H320*N320+K320+M320&lt;0),"Rupa nakon 2. dolaska",IF(P320&lt;POSTAVKE!$B$6,"Količina nije dovoljna",IF(I320&gt;=POSTAVKE!$B$6,"Sve u redu","Stiže na vrijeme")))))))</f>
        <v>Sve u redu</v>
      </c>
      <c r="S320" s="23" t="n">
        <f aca="false">IFERROR(INDEX(PODACI_PRODAJA!B:B,MATCH($A320,PODACI_PRODAJA!$A:$A,0)),0)</f>
        <v>0</v>
      </c>
      <c r="T320" s="23" t="n">
        <f aca="false">IFERROR(INDEX(PODACI_PRODAJA!C:C,MATCH($A320,PODACI_PRODAJA!$A:$A,0)),0)</f>
        <v>1</v>
      </c>
      <c r="U320" s="23" t="n">
        <f aca="false">IFERROR(INDEX(PODACI_PRODAJA!D:D,MATCH($A320,PODACI_PRODAJA!$A:$A,0)),0)</f>
        <v>1</v>
      </c>
      <c r="V320" s="23" t="n">
        <f aca="false">IFERROR(INDEX(PODACI_PRODAJA!E:E,MATCH($A320,PODACI_PRODAJA!$A:$A,0)),0)</f>
        <v>0</v>
      </c>
      <c r="W320" s="23" t="n">
        <f aca="false">IFERROR(INDEX(PODACI_PRODAJA!F:F,MATCH($A320,PODACI_PRODAJA!$A:$A,0)),0)</f>
        <v>2</v>
      </c>
      <c r="X320" s="23" t="n">
        <f aca="false">IFERROR(INDEX(PODACI_PRODAJA!G:G,MATCH($A320,PODACI_PRODAJA!$A:$A,0)),0)</f>
        <v>4</v>
      </c>
      <c r="Y320" s="23" t="n">
        <f aca="false">IFERROR(INDEX(PODACI_PRODAJA!H:H,MATCH($A320,PODACI_PRODAJA!$A:$A,0)),0)</f>
        <v>2</v>
      </c>
      <c r="Z320" s="23" t="n">
        <f aca="false">IFERROR(INDEX(PODACI_PRODAJA!I:I,MATCH($A320,PODACI_PRODAJA!$A:$A,0)),0)</f>
        <v>2</v>
      </c>
      <c r="AA320" s="23" t="n">
        <f aca="false">IFERROR(INDEX(PODACI_PRODAJA!J:J,MATCH($A320,PODACI_PRODAJA!$A:$A,0)),0)</f>
        <v>0</v>
      </c>
      <c r="AB320" s="23" t="n">
        <f aca="false">IFERROR(INDEX(PODACI_PRODAJA!K:K,MATCH($A320,PODACI_PRODAJA!$A:$A,0)),0)</f>
        <v>0</v>
      </c>
      <c r="AC320" s="23" t="n">
        <f aca="false">IFERROR(INDEX(PODACI_PRODAJA!L:L,MATCH($A320,PODACI_PRODAJA!$A:$A,0)),0)</f>
        <v>0</v>
      </c>
      <c r="AD320" s="23" t="n">
        <f aca="false">IFERROR(INDEX(PODACI_PRODAJA!M:M,MATCH($A320,PODACI_PRODAJA!$A:$A,0)),0)</f>
        <v>0</v>
      </c>
    </row>
    <row r="321" customFormat="false" ht="15" hidden="false" customHeight="false" outlineLevel="0" collapsed="false">
      <c r="A321" s="11" t="str">
        <f aca="false">PODACI_ZALIHE!A318</f>
        <v>171400</v>
      </c>
      <c r="B321" s="8" t="str">
        <f aca="false">PODACI_ZALIHE!B318</f>
        <v>VETRO GOLD TRS 80 TUŠ STIJENA 80x200 cm</v>
      </c>
      <c r="C321" s="9" t="n">
        <f aca="false">PODACI_ZALIHE!C318</f>
        <v>0</v>
      </c>
      <c r="D321" s="8" t="n">
        <f aca="false">PODACI_ZALIHE!D318</f>
        <v>0</v>
      </c>
      <c r="E321" s="19" t="n">
        <f aca="false">IF(PODACI_ZALIHE!E318="","",PODACI_ZALIHE!E318)</f>
        <v>22</v>
      </c>
      <c r="F321" s="20" t="n">
        <f aca="false">PODACI_ZALIHE!F318</f>
        <v>22</v>
      </c>
      <c r="G321" s="19" t="n">
        <f aca="false">IF(E321="","",E321-F321)</f>
        <v>0</v>
      </c>
      <c r="H321" s="9" t="n">
        <f aca="false">PODACI_PRODAJA!N134</f>
        <v>2.5</v>
      </c>
      <c r="I321" s="21" t="n">
        <f aca="false">IF(H321&lt;=0,999,ROUND(F321/H321,1))</f>
        <v>8.8</v>
      </c>
      <c r="J321" s="9" t="n">
        <f aca="false">SUMIFS(ROBA_U_DOLASKU!$C$6:$C$95,ROBA_U_DOLASKU!$A$6:$A$95,A321,ROBA_U_DOLASKU!$H$6:$H$95,1)</f>
        <v>0</v>
      </c>
      <c r="K321" s="9" t="n">
        <f aca="false">SUMIFS(ROBA_U_DOLASKU!$B$6:$B$95,ROBA_U_DOLASKU!$A$6:$A$95,A321,ROBA_U_DOLASKU!$H$6:$H$95,1)</f>
        <v>0</v>
      </c>
      <c r="L321" s="9" t="n">
        <f aca="false">SUMIFS(ROBA_U_DOLASKU!$C$6:$C$95,ROBA_U_DOLASKU!$A$6:$A$95,A321,ROBA_U_DOLASKU!$H$6:$H$95,2)</f>
        <v>0</v>
      </c>
      <c r="M321" s="9" t="n">
        <f aca="false">SUMIFS(ROBA_U_DOLASKU!$B$6:$B$95,ROBA_U_DOLASKU!$A$6:$A$95,A321,ROBA_U_DOLASKU!$H$6:$H$95,2)</f>
        <v>0</v>
      </c>
      <c r="N321" s="9" t="n">
        <f aca="false">SUMIFS(ROBA_U_DOLASKU!$C$6:$C$95,ROBA_U_DOLASKU!$A$6:$A$95,A321,ROBA_U_DOLASKU!$H$6:$H$95,3)</f>
        <v>0</v>
      </c>
      <c r="O321" s="9" t="n">
        <f aca="false">SUMIFS(ROBA_U_DOLASKU!$B$6:$B$95,ROBA_U_DOLASKU!$A$6:$A$95,A321,ROBA_U_DOLASKU!$H$6:$H$95,3)</f>
        <v>0</v>
      </c>
      <c r="P321" s="9" t="n">
        <f aca="false">IF(H321&lt;=0,999,IF(O321&gt;0,ROUND((F321-H321*N321+K321+M321+O321)/H321,1),IF(M321&gt;0,ROUND((F321-H321*L321+K321+M321)/H321,1),IF(K321&gt;0,ROUND((F321-H321*J321+K321)/H321,1),I321))))</f>
        <v>8.8</v>
      </c>
      <c r="Q321" s="22" t="str">
        <f aca="false">IF(H321&lt;=0,"Nema prodaje",IF(AND(K321=0,M321=0,O321=0),IF(I321&lt;POSTAVKE!$B$6,"Naruči odmah","Sve u redu"),IF(F321-H321*J321&lt;0,"Rupa za ~"&amp;TEXT(I321,"0.0")&amp;" mj.",IF(AND(M321&gt;0,F321-H321*L321+K321&lt;0),"Rupa nakon 1. dolaska",IF(AND(O321&gt;0,F321-H321*N321+K321+M321&lt;0),"Rupa nakon 2. dolaska",IF(P321&lt;POSTAVKE!$B$6,"Količina nije dovoljna",IF(I321&gt;=POSTAVKE!$B$6,"Sve u redu","Stiže na vrijeme")))))))</f>
        <v>Sve u redu</v>
      </c>
      <c r="S321" s="23" t="n">
        <f aca="false">IFERROR(INDEX(PODACI_PRODAJA!B:B,MATCH($A321,PODACI_PRODAJA!$A:$A,0)),0)</f>
        <v>4</v>
      </c>
      <c r="T321" s="23" t="n">
        <f aca="false">IFERROR(INDEX(PODACI_PRODAJA!C:C,MATCH($A321,PODACI_PRODAJA!$A:$A,0)),0)</f>
        <v>2</v>
      </c>
      <c r="U321" s="23" t="n">
        <f aca="false">IFERROR(INDEX(PODACI_PRODAJA!D:D,MATCH($A321,PODACI_PRODAJA!$A:$A,0)),0)</f>
        <v>2</v>
      </c>
      <c r="V321" s="23" t="n">
        <f aca="false">IFERROR(INDEX(PODACI_PRODAJA!E:E,MATCH($A321,PODACI_PRODAJA!$A:$A,0)),0)</f>
        <v>4</v>
      </c>
      <c r="W321" s="23" t="n">
        <f aca="false">IFERROR(INDEX(PODACI_PRODAJA!F:F,MATCH($A321,PODACI_PRODAJA!$A:$A,0)),0)</f>
        <v>1</v>
      </c>
      <c r="X321" s="23" t="n">
        <f aca="false">IFERROR(INDEX(PODACI_PRODAJA!G:G,MATCH($A321,PODACI_PRODAJA!$A:$A,0)),0)</f>
        <v>2</v>
      </c>
      <c r="Y321" s="23" t="n">
        <f aca="false">IFERROR(INDEX(PODACI_PRODAJA!H:H,MATCH($A321,PODACI_PRODAJA!$A:$A,0)),0)</f>
        <v>4</v>
      </c>
      <c r="Z321" s="23" t="n">
        <f aca="false">IFERROR(INDEX(PODACI_PRODAJA!I:I,MATCH($A321,PODACI_PRODAJA!$A:$A,0)),0)</f>
        <v>1</v>
      </c>
      <c r="AA321" s="23" t="n">
        <f aca="false">IFERROR(INDEX(PODACI_PRODAJA!J:J,MATCH($A321,PODACI_PRODAJA!$A:$A,0)),0)</f>
        <v>0</v>
      </c>
      <c r="AB321" s="23" t="n">
        <f aca="false">IFERROR(INDEX(PODACI_PRODAJA!K:K,MATCH($A321,PODACI_PRODAJA!$A:$A,0)),0)</f>
        <v>0</v>
      </c>
      <c r="AC321" s="23" t="n">
        <f aca="false">IFERROR(INDEX(PODACI_PRODAJA!L:L,MATCH($A321,PODACI_PRODAJA!$A:$A,0)),0)</f>
        <v>0</v>
      </c>
      <c r="AD321" s="23" t="n">
        <f aca="false">IFERROR(INDEX(PODACI_PRODAJA!M:M,MATCH($A321,PODACI_PRODAJA!$A:$A,0)),0)</f>
        <v>0</v>
      </c>
    </row>
    <row r="322" customFormat="false" ht="15" hidden="false" customHeight="false" outlineLevel="0" collapsed="false">
      <c r="A322" s="11" t="str">
        <f aca="false">PODACI_ZALIHE!A319</f>
        <v>17238</v>
      </c>
      <c r="B322" s="8" t="str">
        <f aca="false">PODACI_ZALIHE!B319</f>
        <v>TK PARLA 80 CHROME POLUKRUŽNA TUŠ KABINA 80X80X195 cm</v>
      </c>
      <c r="C322" s="9" t="str">
        <f aca="false">PODACI_ZALIHE!C319</f>
        <v>6762</v>
      </c>
      <c r="D322" s="8" t="str">
        <f aca="false">PODACI_ZALIHE!D319</f>
        <v>ZHEJIANG QUICKLINE SHOWERING CO., LTD.</v>
      </c>
      <c r="E322" s="19" t="n">
        <f aca="false">IF(PODACI_ZALIHE!E319="","",PODACI_ZALIHE!E319)</f>
        <v>22</v>
      </c>
      <c r="F322" s="20" t="n">
        <f aca="false">PODACI_ZALIHE!F319</f>
        <v>22</v>
      </c>
      <c r="G322" s="19" t="n">
        <f aca="false">IF(E322="","",E322-F322)</f>
        <v>0</v>
      </c>
      <c r="H322" s="9" t="n">
        <f aca="false">PODACI_PRODAJA!N617</f>
        <v>0.25</v>
      </c>
      <c r="I322" s="21" t="n">
        <f aca="false">IF(H322&lt;=0,999,ROUND(F322/H322,1))</f>
        <v>88</v>
      </c>
      <c r="J322" s="9" t="n">
        <f aca="false">SUMIFS(ROBA_U_DOLASKU!$C$6:$C$95,ROBA_U_DOLASKU!$A$6:$A$95,A322,ROBA_U_DOLASKU!$H$6:$H$95,1)</f>
        <v>0</v>
      </c>
      <c r="K322" s="9" t="n">
        <f aca="false">SUMIFS(ROBA_U_DOLASKU!$B$6:$B$95,ROBA_U_DOLASKU!$A$6:$A$95,A322,ROBA_U_DOLASKU!$H$6:$H$95,1)</f>
        <v>0</v>
      </c>
      <c r="L322" s="9" t="n">
        <f aca="false">SUMIFS(ROBA_U_DOLASKU!$C$6:$C$95,ROBA_U_DOLASKU!$A$6:$A$95,A322,ROBA_U_DOLASKU!$H$6:$H$95,2)</f>
        <v>0</v>
      </c>
      <c r="M322" s="9" t="n">
        <f aca="false">SUMIFS(ROBA_U_DOLASKU!$B$6:$B$95,ROBA_U_DOLASKU!$A$6:$A$95,A322,ROBA_U_DOLASKU!$H$6:$H$95,2)</f>
        <v>0</v>
      </c>
      <c r="N322" s="9" t="n">
        <f aca="false">SUMIFS(ROBA_U_DOLASKU!$C$6:$C$95,ROBA_U_DOLASKU!$A$6:$A$95,A322,ROBA_U_DOLASKU!$H$6:$H$95,3)</f>
        <v>0</v>
      </c>
      <c r="O322" s="9" t="n">
        <f aca="false">SUMIFS(ROBA_U_DOLASKU!$B$6:$B$95,ROBA_U_DOLASKU!$A$6:$A$95,A322,ROBA_U_DOLASKU!$H$6:$H$95,3)</f>
        <v>0</v>
      </c>
      <c r="P322" s="9" t="n">
        <f aca="false">IF(H322&lt;=0,999,IF(O322&gt;0,ROUND((F322-H322*N322+K322+M322+O322)/H322,1),IF(M322&gt;0,ROUND((F322-H322*L322+K322+M322)/H322,1),IF(K322&gt;0,ROUND((F322-H322*J322+K322)/H322,1),I322))))</f>
        <v>88</v>
      </c>
      <c r="Q322" s="22" t="str">
        <f aca="false">IF(H322&lt;=0,"Nema prodaje",IF(AND(K322=0,M322=0,O322=0),IF(I322&lt;POSTAVKE!$B$6,"Naruči odmah","Sve u redu"),IF(F322-H322*J322&lt;0,"Rupa za ~"&amp;TEXT(I322,"0.0")&amp;" mj.",IF(AND(M322&gt;0,F322-H322*L322+K322&lt;0),"Rupa nakon 1. dolaska",IF(AND(O322&gt;0,F322-H322*N322+K322+M322&lt;0),"Rupa nakon 2. dolaska",IF(P322&lt;POSTAVKE!$B$6,"Količina nije dovoljna",IF(I322&gt;=POSTAVKE!$B$6,"Sve u redu","Stiže na vrijeme")))))))</f>
        <v>Sve u redu</v>
      </c>
      <c r="S322" s="23" t="n">
        <f aca="false">IFERROR(INDEX(PODACI_PRODAJA!B:B,MATCH($A322,PODACI_PRODAJA!$A:$A,0)),0)</f>
        <v>0</v>
      </c>
      <c r="T322" s="23" t="n">
        <f aca="false">IFERROR(INDEX(PODACI_PRODAJA!C:C,MATCH($A322,PODACI_PRODAJA!$A:$A,0)),0)</f>
        <v>0</v>
      </c>
      <c r="U322" s="23" t="n">
        <f aca="false">IFERROR(INDEX(PODACI_PRODAJA!D:D,MATCH($A322,PODACI_PRODAJA!$A:$A,0)),0)</f>
        <v>0</v>
      </c>
      <c r="V322" s="23" t="n">
        <f aca="false">IFERROR(INDEX(PODACI_PRODAJA!E:E,MATCH($A322,PODACI_PRODAJA!$A:$A,0)),0)</f>
        <v>0</v>
      </c>
      <c r="W322" s="23" t="n">
        <f aca="false">IFERROR(INDEX(PODACI_PRODAJA!F:F,MATCH($A322,PODACI_PRODAJA!$A:$A,0)),0)</f>
        <v>1</v>
      </c>
      <c r="X322" s="23" t="n">
        <f aca="false">IFERROR(INDEX(PODACI_PRODAJA!G:G,MATCH($A322,PODACI_PRODAJA!$A:$A,0)),0)</f>
        <v>1</v>
      </c>
      <c r="Y322" s="23" t="n">
        <f aca="false">IFERROR(INDEX(PODACI_PRODAJA!H:H,MATCH($A322,PODACI_PRODAJA!$A:$A,0)),0)</f>
        <v>0</v>
      </c>
      <c r="Z322" s="23" t="n">
        <f aca="false">IFERROR(INDEX(PODACI_PRODAJA!I:I,MATCH($A322,PODACI_PRODAJA!$A:$A,0)),0)</f>
        <v>0</v>
      </c>
      <c r="AA322" s="23" t="n">
        <f aca="false">IFERROR(INDEX(PODACI_PRODAJA!J:J,MATCH($A322,PODACI_PRODAJA!$A:$A,0)),0)</f>
        <v>0</v>
      </c>
      <c r="AB322" s="23" t="n">
        <f aca="false">IFERROR(INDEX(PODACI_PRODAJA!K:K,MATCH($A322,PODACI_PRODAJA!$A:$A,0)),0)</f>
        <v>0</v>
      </c>
      <c r="AC322" s="23" t="n">
        <f aca="false">IFERROR(INDEX(PODACI_PRODAJA!L:L,MATCH($A322,PODACI_PRODAJA!$A:$A,0)),0)</f>
        <v>0</v>
      </c>
      <c r="AD322" s="23" t="n">
        <f aca="false">IFERROR(INDEX(PODACI_PRODAJA!M:M,MATCH($A322,PODACI_PRODAJA!$A:$A,0)),0)</f>
        <v>0</v>
      </c>
    </row>
    <row r="323" customFormat="false" ht="15" hidden="false" customHeight="false" outlineLevel="0" collapsed="false">
      <c r="A323" s="11" t="str">
        <f aca="false">PODACI_ZALIHE!A320</f>
        <v>17252</v>
      </c>
      <c r="B323" s="8" t="str">
        <f aca="false">PODACI_ZALIHE!B320</f>
        <v>TK RAPIDO 80 BRUSHED GOLD KVADRATNA TUŠ KABINA 80X80X195 cm</v>
      </c>
      <c r="C323" s="9" t="str">
        <f aca="false">PODACI_ZALIHE!C320</f>
        <v>6762</v>
      </c>
      <c r="D323" s="8" t="str">
        <f aca="false">PODACI_ZALIHE!D320</f>
        <v>ZHEJIANG QUICKLINE SHOWERING CO., LTD.</v>
      </c>
      <c r="E323" s="19" t="n">
        <f aca="false">IF(PODACI_ZALIHE!E320="","",PODACI_ZALIHE!E320)</f>
        <v>22</v>
      </c>
      <c r="F323" s="20" t="n">
        <f aca="false">PODACI_ZALIHE!F320</f>
        <v>22</v>
      </c>
      <c r="G323" s="19" t="n">
        <f aca="false">IF(E323="","",E323-F323)</f>
        <v>0</v>
      </c>
      <c r="H323" s="9" t="n">
        <f aca="false">PODACI_PRODAJA!N215</f>
        <v>1.63</v>
      </c>
      <c r="I323" s="21" t="n">
        <f aca="false">IF(H323&lt;=0,999,ROUND(F323/H323,1))</f>
        <v>13.5</v>
      </c>
      <c r="J323" s="9" t="n">
        <f aca="false">SUMIFS(ROBA_U_DOLASKU!$C$6:$C$95,ROBA_U_DOLASKU!$A$6:$A$95,A323,ROBA_U_DOLASKU!$H$6:$H$95,1)</f>
        <v>0</v>
      </c>
      <c r="K323" s="9" t="n">
        <f aca="false">SUMIFS(ROBA_U_DOLASKU!$B$6:$B$95,ROBA_U_DOLASKU!$A$6:$A$95,A323,ROBA_U_DOLASKU!$H$6:$H$95,1)</f>
        <v>0</v>
      </c>
      <c r="L323" s="9" t="n">
        <f aca="false">SUMIFS(ROBA_U_DOLASKU!$C$6:$C$95,ROBA_U_DOLASKU!$A$6:$A$95,A323,ROBA_U_DOLASKU!$H$6:$H$95,2)</f>
        <v>0</v>
      </c>
      <c r="M323" s="9" t="n">
        <f aca="false">SUMIFS(ROBA_U_DOLASKU!$B$6:$B$95,ROBA_U_DOLASKU!$A$6:$A$95,A323,ROBA_U_DOLASKU!$H$6:$H$95,2)</f>
        <v>0</v>
      </c>
      <c r="N323" s="9" t="n">
        <f aca="false">SUMIFS(ROBA_U_DOLASKU!$C$6:$C$95,ROBA_U_DOLASKU!$A$6:$A$95,A323,ROBA_U_DOLASKU!$H$6:$H$95,3)</f>
        <v>0</v>
      </c>
      <c r="O323" s="9" t="n">
        <f aca="false">SUMIFS(ROBA_U_DOLASKU!$B$6:$B$95,ROBA_U_DOLASKU!$A$6:$A$95,A323,ROBA_U_DOLASKU!$H$6:$H$95,3)</f>
        <v>0</v>
      </c>
      <c r="P323" s="9" t="n">
        <f aca="false">IF(H323&lt;=0,999,IF(O323&gt;0,ROUND((F323-H323*N323+K323+M323+O323)/H323,1),IF(M323&gt;0,ROUND((F323-H323*L323+K323+M323)/H323,1),IF(K323&gt;0,ROUND((F323-H323*J323+K323)/H323,1),I323))))</f>
        <v>13.5</v>
      </c>
      <c r="Q323" s="22" t="str">
        <f aca="false">IF(H323&lt;=0,"Nema prodaje",IF(AND(K323=0,M323=0,O323=0),IF(I323&lt;POSTAVKE!$B$6,"Naruči odmah","Sve u redu"),IF(F323-H323*J323&lt;0,"Rupa za ~"&amp;TEXT(I323,"0.0")&amp;" mj.",IF(AND(M323&gt;0,F323-H323*L323+K323&lt;0),"Rupa nakon 1. dolaska",IF(AND(O323&gt;0,F323-H323*N323+K323+M323&lt;0),"Rupa nakon 2. dolaska",IF(P323&lt;POSTAVKE!$B$6,"Količina nije dovoljna",IF(I323&gt;=POSTAVKE!$B$6,"Sve u redu","Stiže na vrijeme")))))))</f>
        <v>Sve u redu</v>
      </c>
      <c r="S323" s="23" t="n">
        <f aca="false">IFERROR(INDEX(PODACI_PRODAJA!B:B,MATCH($A323,PODACI_PRODAJA!$A:$A,0)),0)</f>
        <v>2</v>
      </c>
      <c r="T323" s="23" t="n">
        <f aca="false">IFERROR(INDEX(PODACI_PRODAJA!C:C,MATCH($A323,PODACI_PRODAJA!$A:$A,0)),0)</f>
        <v>3</v>
      </c>
      <c r="U323" s="23" t="n">
        <f aca="false">IFERROR(INDEX(PODACI_PRODAJA!D:D,MATCH($A323,PODACI_PRODAJA!$A:$A,0)),0)</f>
        <v>2</v>
      </c>
      <c r="V323" s="23" t="n">
        <f aca="false">IFERROR(INDEX(PODACI_PRODAJA!E:E,MATCH($A323,PODACI_PRODAJA!$A:$A,0)),0)</f>
        <v>2</v>
      </c>
      <c r="W323" s="23" t="n">
        <f aca="false">IFERROR(INDEX(PODACI_PRODAJA!F:F,MATCH($A323,PODACI_PRODAJA!$A:$A,0)),0)</f>
        <v>2</v>
      </c>
      <c r="X323" s="23" t="n">
        <f aca="false">IFERROR(INDEX(PODACI_PRODAJA!G:G,MATCH($A323,PODACI_PRODAJA!$A:$A,0)),0)</f>
        <v>0</v>
      </c>
      <c r="Y323" s="23" t="n">
        <f aca="false">IFERROR(INDEX(PODACI_PRODAJA!H:H,MATCH($A323,PODACI_PRODAJA!$A:$A,0)),0)</f>
        <v>0</v>
      </c>
      <c r="Z323" s="23" t="n">
        <f aca="false">IFERROR(INDEX(PODACI_PRODAJA!I:I,MATCH($A323,PODACI_PRODAJA!$A:$A,0)),0)</f>
        <v>2</v>
      </c>
      <c r="AA323" s="23" t="n">
        <f aca="false">IFERROR(INDEX(PODACI_PRODAJA!J:J,MATCH($A323,PODACI_PRODAJA!$A:$A,0)),0)</f>
        <v>0</v>
      </c>
      <c r="AB323" s="23" t="n">
        <f aca="false">IFERROR(INDEX(PODACI_PRODAJA!K:K,MATCH($A323,PODACI_PRODAJA!$A:$A,0)),0)</f>
        <v>0</v>
      </c>
      <c r="AC323" s="23" t="n">
        <f aca="false">IFERROR(INDEX(PODACI_PRODAJA!L:L,MATCH($A323,PODACI_PRODAJA!$A:$A,0)),0)</f>
        <v>0</v>
      </c>
      <c r="AD323" s="23" t="n">
        <f aca="false">IFERROR(INDEX(PODACI_PRODAJA!M:M,MATCH($A323,PODACI_PRODAJA!$A:$A,0)),0)</f>
        <v>0</v>
      </c>
    </row>
    <row r="324" customFormat="false" ht="15" hidden="false" customHeight="false" outlineLevel="0" collapsed="false">
      <c r="A324" s="11" t="str">
        <f aca="false">PODACI_ZALIHE!A321</f>
        <v>18002</v>
      </c>
      <c r="B324" s="8" t="str">
        <f aca="false">PODACI_ZALIHE!B321</f>
        <v>VETRO CR TRS 6mm ECO TUŠ STIJENA 100x200</v>
      </c>
      <c r="C324" s="9" t="str">
        <f aca="false">PODACI_ZALIHE!C321</f>
        <v>6762</v>
      </c>
      <c r="D324" s="8" t="str">
        <f aca="false">PODACI_ZALIHE!D321</f>
        <v>ZHEJIANG QUICKLINE SHOWERING CO., LTD.</v>
      </c>
      <c r="E324" s="19" t="n">
        <f aca="false">IF(PODACI_ZALIHE!E321="","",PODACI_ZALIHE!E321)</f>
        <v>22</v>
      </c>
      <c r="F324" s="20" t="n">
        <f aca="false">PODACI_ZALIHE!F321</f>
        <v>22</v>
      </c>
      <c r="G324" s="19" t="n">
        <f aca="false">IF(E324="","",E324-F324)</f>
        <v>0</v>
      </c>
      <c r="H324" s="9" t="n">
        <f aca="false">PODACI_PRODAJA!N643</f>
        <v>11.75</v>
      </c>
      <c r="I324" s="21" t="n">
        <f aca="false">IF(H324&lt;=0,999,ROUND(F324/H324,1))</f>
        <v>1.9</v>
      </c>
      <c r="J324" s="9" t="n">
        <f aca="false">SUMIFS(ROBA_U_DOLASKU!$C$6:$C$95,ROBA_U_DOLASKU!$A$6:$A$95,A324,ROBA_U_DOLASKU!$H$6:$H$95,1)</f>
        <v>0</v>
      </c>
      <c r="K324" s="9" t="n">
        <f aca="false">SUMIFS(ROBA_U_DOLASKU!$B$6:$B$95,ROBA_U_DOLASKU!$A$6:$A$95,A324,ROBA_U_DOLASKU!$H$6:$H$95,1)</f>
        <v>0</v>
      </c>
      <c r="L324" s="9" t="n">
        <f aca="false">SUMIFS(ROBA_U_DOLASKU!$C$6:$C$95,ROBA_U_DOLASKU!$A$6:$A$95,A324,ROBA_U_DOLASKU!$H$6:$H$95,2)</f>
        <v>0</v>
      </c>
      <c r="M324" s="9" t="n">
        <f aca="false">SUMIFS(ROBA_U_DOLASKU!$B$6:$B$95,ROBA_U_DOLASKU!$A$6:$A$95,A324,ROBA_U_DOLASKU!$H$6:$H$95,2)</f>
        <v>0</v>
      </c>
      <c r="N324" s="9" t="n">
        <f aca="false">SUMIFS(ROBA_U_DOLASKU!$C$6:$C$95,ROBA_U_DOLASKU!$A$6:$A$95,A324,ROBA_U_DOLASKU!$H$6:$H$95,3)</f>
        <v>0</v>
      </c>
      <c r="O324" s="9" t="n">
        <f aca="false">SUMIFS(ROBA_U_DOLASKU!$B$6:$B$95,ROBA_U_DOLASKU!$A$6:$A$95,A324,ROBA_U_DOLASKU!$H$6:$H$95,3)</f>
        <v>0</v>
      </c>
      <c r="P324" s="9" t="n">
        <f aca="false">IF(H324&lt;=0,999,IF(O324&gt;0,ROUND((F324-H324*N324+K324+M324+O324)/H324,1),IF(M324&gt;0,ROUND((F324-H324*L324+K324+M324)/H324,1),IF(K324&gt;0,ROUND((F324-H324*J324+K324)/H324,1),I324))))</f>
        <v>1.9</v>
      </c>
      <c r="Q324" s="22" t="str">
        <f aca="false">IF(H324&lt;=0,"Nema prodaje",IF(AND(K324=0,M324=0,O324=0),IF(I324&lt;POSTAVKE!$B$6,"Naruči odmah","Sve u redu"),IF(F324-H324*J324&lt;0,"Rupa za ~"&amp;TEXT(I324,"0.0")&amp;" mj.",IF(AND(M324&gt;0,F324-H324*L324+K324&lt;0),"Rupa nakon 1. dolaska",IF(AND(O324&gt;0,F324-H324*N324+K324+M324&lt;0),"Rupa nakon 2. dolaska",IF(P324&lt;POSTAVKE!$B$6,"Količina nije dovoljna",IF(I324&gt;=POSTAVKE!$B$6,"Sve u redu","Stiže na vrijeme")))))))</f>
        <v>Naruči odmah</v>
      </c>
      <c r="S324" s="23" t="n">
        <f aca="false">IFERROR(INDEX(PODACI_PRODAJA!B:B,MATCH($A324,PODACI_PRODAJA!$A:$A,0)),0)</f>
        <v>0</v>
      </c>
      <c r="T324" s="23" t="n">
        <f aca="false">IFERROR(INDEX(PODACI_PRODAJA!C:C,MATCH($A324,PODACI_PRODAJA!$A:$A,0)),0)</f>
        <v>0</v>
      </c>
      <c r="U324" s="23" t="n">
        <f aca="false">IFERROR(INDEX(PODACI_PRODAJA!D:D,MATCH($A324,PODACI_PRODAJA!$A:$A,0)),0)</f>
        <v>50</v>
      </c>
      <c r="V324" s="23" t="n">
        <f aca="false">IFERROR(INDEX(PODACI_PRODAJA!E:E,MATCH($A324,PODACI_PRODAJA!$A:$A,0)),0)</f>
        <v>0</v>
      </c>
      <c r="W324" s="23" t="n">
        <f aca="false">IFERROR(INDEX(PODACI_PRODAJA!F:F,MATCH($A324,PODACI_PRODAJA!$A:$A,0)),0)</f>
        <v>34</v>
      </c>
      <c r="X324" s="23" t="n">
        <f aca="false">IFERROR(INDEX(PODACI_PRODAJA!G:G,MATCH($A324,PODACI_PRODAJA!$A:$A,0)),0)</f>
        <v>10</v>
      </c>
      <c r="Y324" s="23" t="n">
        <f aca="false">IFERROR(INDEX(PODACI_PRODAJA!H:H,MATCH($A324,PODACI_PRODAJA!$A:$A,0)),0)</f>
        <v>0</v>
      </c>
      <c r="Z324" s="23" t="n">
        <f aca="false">IFERROR(INDEX(PODACI_PRODAJA!I:I,MATCH($A324,PODACI_PRODAJA!$A:$A,0)),0)</f>
        <v>0</v>
      </c>
      <c r="AA324" s="23" t="n">
        <f aca="false">IFERROR(INDEX(PODACI_PRODAJA!J:J,MATCH($A324,PODACI_PRODAJA!$A:$A,0)),0)</f>
        <v>0</v>
      </c>
      <c r="AB324" s="23" t="n">
        <f aca="false">IFERROR(INDEX(PODACI_PRODAJA!K:K,MATCH($A324,PODACI_PRODAJA!$A:$A,0)),0)</f>
        <v>0</v>
      </c>
      <c r="AC324" s="23" t="n">
        <f aca="false">IFERROR(INDEX(PODACI_PRODAJA!L:L,MATCH($A324,PODACI_PRODAJA!$A:$A,0)),0)</f>
        <v>0</v>
      </c>
      <c r="AD324" s="23" t="n">
        <f aca="false">IFERROR(INDEX(PODACI_PRODAJA!M:M,MATCH($A324,PODACI_PRODAJA!$A:$A,0)),0)</f>
        <v>0</v>
      </c>
    </row>
    <row r="325" customFormat="false" ht="15" hidden="false" customHeight="false" outlineLevel="0" collapsed="false">
      <c r="A325" s="11" t="str">
        <f aca="false">PODACI_ZALIHE!A322</f>
        <v>003976</v>
      </c>
      <c r="B325" s="8" t="str">
        <f aca="false">PODACI_ZALIHE!B322</f>
        <v>RIMINI VISOKA MIJEŠALICA ZA UMIVAONIK</v>
      </c>
      <c r="C325" s="9" t="str">
        <f aca="false">PODACI_ZALIHE!C322</f>
        <v>6022</v>
      </c>
      <c r="D325" s="8" t="str">
        <f aca="false">PODACI_ZALIHE!D322</f>
        <v>RUIAN HAIBA SANITARY CO.,LTD</v>
      </c>
      <c r="E325" s="19" t="n">
        <f aca="false">IF(PODACI_ZALIHE!E322="","",PODACI_ZALIHE!E322)</f>
        <v>21</v>
      </c>
      <c r="F325" s="20" t="n">
        <f aca="false">PODACI_ZALIHE!F322</f>
        <v>21</v>
      </c>
      <c r="G325" s="19" t="n">
        <f aca="false">IF(E325="","",E325-F325)</f>
        <v>0</v>
      </c>
      <c r="H325" s="9" t="n">
        <f aca="false">PODACI_PRODAJA!N376</f>
        <v>1.13</v>
      </c>
      <c r="I325" s="21" t="n">
        <f aca="false">IF(H325&lt;=0,999,ROUND(F325/H325,1))</f>
        <v>18.6</v>
      </c>
      <c r="J325" s="9" t="n">
        <f aca="false">SUMIFS(ROBA_U_DOLASKU!$C$6:$C$95,ROBA_U_DOLASKU!$A$6:$A$95,A325,ROBA_U_DOLASKU!$H$6:$H$95,1)</f>
        <v>0</v>
      </c>
      <c r="K325" s="9" t="n">
        <f aca="false">SUMIFS(ROBA_U_DOLASKU!$B$6:$B$95,ROBA_U_DOLASKU!$A$6:$A$95,A325,ROBA_U_DOLASKU!$H$6:$H$95,1)</f>
        <v>0</v>
      </c>
      <c r="L325" s="9" t="n">
        <f aca="false">SUMIFS(ROBA_U_DOLASKU!$C$6:$C$95,ROBA_U_DOLASKU!$A$6:$A$95,A325,ROBA_U_DOLASKU!$H$6:$H$95,2)</f>
        <v>0</v>
      </c>
      <c r="M325" s="9" t="n">
        <f aca="false">SUMIFS(ROBA_U_DOLASKU!$B$6:$B$95,ROBA_U_DOLASKU!$A$6:$A$95,A325,ROBA_U_DOLASKU!$H$6:$H$95,2)</f>
        <v>0</v>
      </c>
      <c r="N325" s="9" t="n">
        <f aca="false">SUMIFS(ROBA_U_DOLASKU!$C$6:$C$95,ROBA_U_DOLASKU!$A$6:$A$95,A325,ROBA_U_DOLASKU!$H$6:$H$95,3)</f>
        <v>0</v>
      </c>
      <c r="O325" s="9" t="n">
        <f aca="false">SUMIFS(ROBA_U_DOLASKU!$B$6:$B$95,ROBA_U_DOLASKU!$A$6:$A$95,A325,ROBA_U_DOLASKU!$H$6:$H$95,3)</f>
        <v>0</v>
      </c>
      <c r="P325" s="9" t="n">
        <f aca="false">IF(H325&lt;=0,999,IF(O325&gt;0,ROUND((F325-H325*N325+K325+M325+O325)/H325,1),IF(M325&gt;0,ROUND((F325-H325*L325+K325+M325)/H325,1),IF(K325&gt;0,ROUND((F325-H325*J325+K325)/H325,1),I325))))</f>
        <v>18.6</v>
      </c>
      <c r="Q325" s="22" t="str">
        <f aca="false">IF(H325&lt;=0,"Nema prodaje",IF(AND(K325=0,M325=0,O325=0),IF(I325&lt;POSTAVKE!$B$6,"Naruči odmah","Sve u redu"),IF(F325-H325*J325&lt;0,"Rupa za ~"&amp;TEXT(I325,"0.0")&amp;" mj.",IF(AND(M325&gt;0,F325-H325*L325+K325&lt;0),"Rupa nakon 1. dolaska",IF(AND(O325&gt;0,F325-H325*N325+K325+M325&lt;0),"Rupa nakon 2. dolaska",IF(P325&lt;POSTAVKE!$B$6,"Količina nije dovoljna",IF(I325&gt;=POSTAVKE!$B$6,"Sve u redu","Stiže na vrijeme")))))))</f>
        <v>Sve u redu</v>
      </c>
      <c r="S325" s="23" t="n">
        <f aca="false">IFERROR(INDEX(PODACI_PRODAJA!B:B,MATCH($A325,PODACI_PRODAJA!$A:$A,0)),0)</f>
        <v>0</v>
      </c>
      <c r="T325" s="23" t="n">
        <f aca="false">IFERROR(INDEX(PODACI_PRODAJA!C:C,MATCH($A325,PODACI_PRODAJA!$A:$A,0)),0)</f>
        <v>0</v>
      </c>
      <c r="U325" s="23" t="n">
        <f aca="false">IFERROR(INDEX(PODACI_PRODAJA!D:D,MATCH($A325,PODACI_PRODAJA!$A:$A,0)),0)</f>
        <v>2</v>
      </c>
      <c r="V325" s="23" t="n">
        <f aca="false">IFERROR(INDEX(PODACI_PRODAJA!E:E,MATCH($A325,PODACI_PRODAJA!$A:$A,0)),0)</f>
        <v>3</v>
      </c>
      <c r="W325" s="23" t="n">
        <f aca="false">IFERROR(INDEX(PODACI_PRODAJA!F:F,MATCH($A325,PODACI_PRODAJA!$A:$A,0)),0)</f>
        <v>0</v>
      </c>
      <c r="X325" s="23" t="n">
        <f aca="false">IFERROR(INDEX(PODACI_PRODAJA!G:G,MATCH($A325,PODACI_PRODAJA!$A:$A,0)),0)</f>
        <v>4</v>
      </c>
      <c r="Y325" s="23" t="n">
        <f aca="false">IFERROR(INDEX(PODACI_PRODAJA!H:H,MATCH($A325,PODACI_PRODAJA!$A:$A,0)),0)</f>
        <v>0</v>
      </c>
      <c r="Z325" s="23" t="n">
        <f aca="false">IFERROR(INDEX(PODACI_PRODAJA!I:I,MATCH($A325,PODACI_PRODAJA!$A:$A,0)),0)</f>
        <v>0</v>
      </c>
      <c r="AA325" s="23" t="n">
        <f aca="false">IFERROR(INDEX(PODACI_PRODAJA!J:J,MATCH($A325,PODACI_PRODAJA!$A:$A,0)),0)</f>
        <v>0</v>
      </c>
      <c r="AB325" s="23" t="n">
        <f aca="false">IFERROR(INDEX(PODACI_PRODAJA!K:K,MATCH($A325,PODACI_PRODAJA!$A:$A,0)),0)</f>
        <v>0</v>
      </c>
      <c r="AC325" s="23" t="n">
        <f aca="false">IFERROR(INDEX(PODACI_PRODAJA!L:L,MATCH($A325,PODACI_PRODAJA!$A:$A,0)),0)</f>
        <v>0</v>
      </c>
      <c r="AD325" s="23" t="n">
        <f aca="false">IFERROR(INDEX(PODACI_PRODAJA!M:M,MATCH($A325,PODACI_PRODAJA!$A:$A,0)),0)</f>
        <v>0</v>
      </c>
    </row>
    <row r="326" customFormat="false" ht="15" hidden="false" customHeight="false" outlineLevel="0" collapsed="false">
      <c r="A326" s="11" t="str">
        <f aca="false">PODACI_ZALIHE!A323</f>
        <v>15225</v>
      </c>
      <c r="B326" s="8" t="str">
        <f aca="false">PODACI_ZALIHE!B323</f>
        <v>TK BLACK 7090 PRAVOKUTNA TUŠ KABINA 70x90x195 cm</v>
      </c>
      <c r="C326" s="9" t="str">
        <f aca="false">PODACI_ZALIHE!C323</f>
        <v>4981</v>
      </c>
      <c r="D326" s="8" t="str">
        <f aca="false">PODACI_ZALIHE!D323</f>
        <v>HANGZHOU SUNLIGHT TRADE CO., LTD.</v>
      </c>
      <c r="E326" s="19" t="n">
        <f aca="false">IF(PODACI_ZALIHE!E323="","",PODACI_ZALIHE!E323)</f>
        <v>21</v>
      </c>
      <c r="F326" s="20" t="n">
        <f aca="false">PODACI_ZALIHE!F323</f>
        <v>21</v>
      </c>
      <c r="G326" s="19" t="n">
        <f aca="false">IF(E326="","",E326-F326)</f>
        <v>0</v>
      </c>
      <c r="H326" s="9" t="n">
        <f aca="false">PODACI_PRODAJA!N232</f>
        <v>1.13</v>
      </c>
      <c r="I326" s="21" t="n">
        <f aca="false">IF(H326&lt;=0,999,ROUND(F326/H326,1))</f>
        <v>18.6</v>
      </c>
      <c r="J326" s="9" t="n">
        <f aca="false">SUMIFS(ROBA_U_DOLASKU!$C$6:$C$95,ROBA_U_DOLASKU!$A$6:$A$95,A326,ROBA_U_DOLASKU!$H$6:$H$95,1)</f>
        <v>0</v>
      </c>
      <c r="K326" s="9" t="n">
        <f aca="false">SUMIFS(ROBA_U_DOLASKU!$B$6:$B$95,ROBA_U_DOLASKU!$A$6:$A$95,A326,ROBA_U_DOLASKU!$H$6:$H$95,1)</f>
        <v>0</v>
      </c>
      <c r="L326" s="9" t="n">
        <f aca="false">SUMIFS(ROBA_U_DOLASKU!$C$6:$C$95,ROBA_U_DOLASKU!$A$6:$A$95,A326,ROBA_U_DOLASKU!$H$6:$H$95,2)</f>
        <v>0</v>
      </c>
      <c r="M326" s="9" t="n">
        <f aca="false">SUMIFS(ROBA_U_DOLASKU!$B$6:$B$95,ROBA_U_DOLASKU!$A$6:$A$95,A326,ROBA_U_DOLASKU!$H$6:$H$95,2)</f>
        <v>0</v>
      </c>
      <c r="N326" s="9" t="n">
        <f aca="false">SUMIFS(ROBA_U_DOLASKU!$C$6:$C$95,ROBA_U_DOLASKU!$A$6:$A$95,A326,ROBA_U_DOLASKU!$H$6:$H$95,3)</f>
        <v>0</v>
      </c>
      <c r="O326" s="9" t="n">
        <f aca="false">SUMIFS(ROBA_U_DOLASKU!$B$6:$B$95,ROBA_U_DOLASKU!$A$6:$A$95,A326,ROBA_U_DOLASKU!$H$6:$H$95,3)</f>
        <v>0</v>
      </c>
      <c r="P326" s="9" t="n">
        <f aca="false">IF(H326&lt;=0,999,IF(O326&gt;0,ROUND((F326-H326*N326+K326+M326+O326)/H326,1),IF(M326&gt;0,ROUND((F326-H326*L326+K326+M326)/H326,1),IF(K326&gt;0,ROUND((F326-H326*J326+K326)/H326,1),I326))))</f>
        <v>18.6</v>
      </c>
      <c r="Q326" s="22" t="str">
        <f aca="false">IF(H326&lt;=0,"Nema prodaje",IF(AND(K326=0,M326=0,O326=0),IF(I326&lt;POSTAVKE!$B$6,"Naruči odmah","Sve u redu"),IF(F326-H326*J326&lt;0,"Rupa za ~"&amp;TEXT(I326,"0.0")&amp;" mj.",IF(AND(M326&gt;0,F326-H326*L326+K326&lt;0),"Rupa nakon 1. dolaska",IF(AND(O326&gt;0,F326-H326*N326+K326+M326&lt;0),"Rupa nakon 2. dolaska",IF(P326&lt;POSTAVKE!$B$6,"Količina nije dovoljna",IF(I326&gt;=POSTAVKE!$B$6,"Sve u redu","Stiže na vrijeme")))))))</f>
        <v>Sve u redu</v>
      </c>
      <c r="S326" s="23" t="n">
        <f aca="false">IFERROR(INDEX(PODACI_PRODAJA!B:B,MATCH($A326,PODACI_PRODAJA!$A:$A,0)),0)</f>
        <v>1</v>
      </c>
      <c r="T326" s="23" t="n">
        <f aca="false">IFERROR(INDEX(PODACI_PRODAJA!C:C,MATCH($A326,PODACI_PRODAJA!$A:$A,0)),0)</f>
        <v>2</v>
      </c>
      <c r="U326" s="23" t="n">
        <f aca="false">IFERROR(INDEX(PODACI_PRODAJA!D:D,MATCH($A326,PODACI_PRODAJA!$A:$A,0)),0)</f>
        <v>1</v>
      </c>
      <c r="V326" s="23" t="n">
        <f aca="false">IFERROR(INDEX(PODACI_PRODAJA!E:E,MATCH($A326,PODACI_PRODAJA!$A:$A,0)),0)</f>
        <v>2</v>
      </c>
      <c r="W326" s="23" t="n">
        <f aca="false">IFERROR(INDEX(PODACI_PRODAJA!F:F,MATCH($A326,PODACI_PRODAJA!$A:$A,0)),0)</f>
        <v>1</v>
      </c>
      <c r="X326" s="23" t="n">
        <f aca="false">IFERROR(INDEX(PODACI_PRODAJA!G:G,MATCH($A326,PODACI_PRODAJA!$A:$A,0)),0)</f>
        <v>0</v>
      </c>
      <c r="Y326" s="23" t="n">
        <f aca="false">IFERROR(INDEX(PODACI_PRODAJA!H:H,MATCH($A326,PODACI_PRODAJA!$A:$A,0)),0)</f>
        <v>0</v>
      </c>
      <c r="Z326" s="23" t="n">
        <f aca="false">IFERROR(INDEX(PODACI_PRODAJA!I:I,MATCH($A326,PODACI_PRODAJA!$A:$A,0)),0)</f>
        <v>2</v>
      </c>
      <c r="AA326" s="23" t="n">
        <f aca="false">IFERROR(INDEX(PODACI_PRODAJA!J:J,MATCH($A326,PODACI_PRODAJA!$A:$A,0)),0)</f>
        <v>0</v>
      </c>
      <c r="AB326" s="23" t="n">
        <f aca="false">IFERROR(INDEX(PODACI_PRODAJA!K:K,MATCH($A326,PODACI_PRODAJA!$A:$A,0)),0)</f>
        <v>0</v>
      </c>
      <c r="AC326" s="23" t="n">
        <f aca="false">IFERROR(INDEX(PODACI_PRODAJA!L:L,MATCH($A326,PODACI_PRODAJA!$A:$A,0)),0)</f>
        <v>0</v>
      </c>
      <c r="AD326" s="23" t="n">
        <f aca="false">IFERROR(INDEX(PODACI_PRODAJA!M:M,MATCH($A326,PODACI_PRODAJA!$A:$A,0)),0)</f>
        <v>0</v>
      </c>
    </row>
    <row r="327" customFormat="false" ht="15" hidden="false" customHeight="false" outlineLevel="0" collapsed="false">
      <c r="A327" s="11" t="str">
        <f aca="false">PODACI_ZALIHE!A324</f>
        <v>16792</v>
      </c>
      <c r="B327" s="8" t="str">
        <f aca="false">PODACI_ZALIHE!B324</f>
        <v>VETRO FRAME 120 TUŠ STIJENA 120X195cm</v>
      </c>
      <c r="C327" s="9" t="str">
        <f aca="false">PODACI_ZALIHE!C324</f>
        <v>6163</v>
      </c>
      <c r="D327" s="8" t="str">
        <f aca="false">PODACI_ZALIHE!D324</f>
        <v>HANGZHOU TIANMEI INDUSTRY CO.,LTD</v>
      </c>
      <c r="E327" s="19" t="n">
        <f aca="false">IF(PODACI_ZALIHE!E324="","",PODACI_ZALIHE!E324)</f>
        <v>21</v>
      </c>
      <c r="F327" s="20" t="n">
        <f aca="false">PODACI_ZALIHE!F324</f>
        <v>21</v>
      </c>
      <c r="G327" s="19" t="n">
        <f aca="false">IF(E327="","",E327-F327)</f>
        <v>0</v>
      </c>
      <c r="H327" s="9" t="n">
        <f aca="false">PODACI_PRODAJA!N580</f>
        <v>1.38</v>
      </c>
      <c r="I327" s="21" t="n">
        <f aca="false">IF(H327&lt;=0,999,ROUND(F327/H327,1))</f>
        <v>15.2</v>
      </c>
      <c r="J327" s="9" t="n">
        <f aca="false">SUMIFS(ROBA_U_DOLASKU!$C$6:$C$95,ROBA_U_DOLASKU!$A$6:$A$95,A327,ROBA_U_DOLASKU!$H$6:$H$95,1)</f>
        <v>0</v>
      </c>
      <c r="K327" s="9" t="n">
        <f aca="false">SUMIFS(ROBA_U_DOLASKU!$B$6:$B$95,ROBA_U_DOLASKU!$A$6:$A$95,A327,ROBA_U_DOLASKU!$H$6:$H$95,1)</f>
        <v>0</v>
      </c>
      <c r="L327" s="9" t="n">
        <f aca="false">SUMIFS(ROBA_U_DOLASKU!$C$6:$C$95,ROBA_U_DOLASKU!$A$6:$A$95,A327,ROBA_U_DOLASKU!$H$6:$H$95,2)</f>
        <v>0</v>
      </c>
      <c r="M327" s="9" t="n">
        <f aca="false">SUMIFS(ROBA_U_DOLASKU!$B$6:$B$95,ROBA_U_DOLASKU!$A$6:$A$95,A327,ROBA_U_DOLASKU!$H$6:$H$95,2)</f>
        <v>0</v>
      </c>
      <c r="N327" s="9" t="n">
        <f aca="false">SUMIFS(ROBA_U_DOLASKU!$C$6:$C$95,ROBA_U_DOLASKU!$A$6:$A$95,A327,ROBA_U_DOLASKU!$H$6:$H$95,3)</f>
        <v>0</v>
      </c>
      <c r="O327" s="9" t="n">
        <f aca="false">SUMIFS(ROBA_U_DOLASKU!$B$6:$B$95,ROBA_U_DOLASKU!$A$6:$A$95,A327,ROBA_U_DOLASKU!$H$6:$H$95,3)</f>
        <v>0</v>
      </c>
      <c r="P327" s="9" t="n">
        <f aca="false">IF(H327&lt;=0,999,IF(O327&gt;0,ROUND((F327-H327*N327+K327+M327+O327)/H327,1),IF(M327&gt;0,ROUND((F327-H327*L327+K327+M327)/H327,1),IF(K327&gt;0,ROUND((F327-H327*J327+K327)/H327,1),I327))))</f>
        <v>15.2</v>
      </c>
      <c r="Q327" s="22" t="str">
        <f aca="false">IF(H327&lt;=0,"Nema prodaje",IF(AND(K327=0,M327=0,O327=0),IF(I327&lt;POSTAVKE!$B$6,"Naruči odmah","Sve u redu"),IF(F327-H327*J327&lt;0,"Rupa za ~"&amp;TEXT(I327,"0.0")&amp;" mj.",IF(AND(M327&gt;0,F327-H327*L327+K327&lt;0),"Rupa nakon 1. dolaska",IF(AND(O327&gt;0,F327-H327*N327+K327+M327&lt;0),"Rupa nakon 2. dolaska",IF(P327&lt;POSTAVKE!$B$6,"Količina nije dovoljna",IF(I327&gt;=POSTAVKE!$B$6,"Sve u redu","Stiže na vrijeme")))))))</f>
        <v>Sve u redu</v>
      </c>
      <c r="S327" s="23" t="n">
        <f aca="false">IFERROR(INDEX(PODACI_PRODAJA!B:B,MATCH($A327,PODACI_PRODAJA!$A:$A,0)),0)</f>
        <v>0</v>
      </c>
      <c r="T327" s="23" t="n">
        <f aca="false">IFERROR(INDEX(PODACI_PRODAJA!C:C,MATCH($A327,PODACI_PRODAJA!$A:$A,0)),0)</f>
        <v>2</v>
      </c>
      <c r="U327" s="23" t="n">
        <f aca="false">IFERROR(INDEX(PODACI_PRODAJA!D:D,MATCH($A327,PODACI_PRODAJA!$A:$A,0)),0)</f>
        <v>4</v>
      </c>
      <c r="V327" s="23" t="n">
        <f aca="false">IFERROR(INDEX(PODACI_PRODAJA!E:E,MATCH($A327,PODACI_PRODAJA!$A:$A,0)),0)</f>
        <v>3</v>
      </c>
      <c r="W327" s="23" t="n">
        <f aca="false">IFERROR(INDEX(PODACI_PRODAJA!F:F,MATCH($A327,PODACI_PRODAJA!$A:$A,0)),0)</f>
        <v>1</v>
      </c>
      <c r="X327" s="23" t="n">
        <f aca="false">IFERROR(INDEX(PODACI_PRODAJA!G:G,MATCH($A327,PODACI_PRODAJA!$A:$A,0)),0)</f>
        <v>0</v>
      </c>
      <c r="Y327" s="23" t="n">
        <f aca="false">IFERROR(INDEX(PODACI_PRODAJA!H:H,MATCH($A327,PODACI_PRODAJA!$A:$A,0)),0)</f>
        <v>1</v>
      </c>
      <c r="Z327" s="23" t="n">
        <f aca="false">IFERROR(INDEX(PODACI_PRODAJA!I:I,MATCH($A327,PODACI_PRODAJA!$A:$A,0)),0)</f>
        <v>0</v>
      </c>
      <c r="AA327" s="23" t="n">
        <f aca="false">IFERROR(INDEX(PODACI_PRODAJA!J:J,MATCH($A327,PODACI_PRODAJA!$A:$A,0)),0)</f>
        <v>0</v>
      </c>
      <c r="AB327" s="23" t="n">
        <f aca="false">IFERROR(INDEX(PODACI_PRODAJA!K:K,MATCH($A327,PODACI_PRODAJA!$A:$A,0)),0)</f>
        <v>0</v>
      </c>
      <c r="AC327" s="23" t="n">
        <f aca="false">IFERROR(INDEX(PODACI_PRODAJA!L:L,MATCH($A327,PODACI_PRODAJA!$A:$A,0)),0)</f>
        <v>0</v>
      </c>
      <c r="AD327" s="23" t="n">
        <f aca="false">IFERROR(INDEX(PODACI_PRODAJA!M:M,MATCH($A327,PODACI_PRODAJA!$A:$A,0)),0)</f>
        <v>0</v>
      </c>
    </row>
    <row r="328" customFormat="false" ht="15" hidden="false" customHeight="false" outlineLevel="0" collapsed="false">
      <c r="A328" s="11" t="str">
        <f aca="false">PODACI_ZALIHE!A325</f>
        <v>17250</v>
      </c>
      <c r="B328" s="8" t="str">
        <f aca="false">PODACI_ZALIHE!B325</f>
        <v>TK RAPIDO 80 CHROME KVADRATNA TUŠ KABINA 80X80X195 cm</v>
      </c>
      <c r="C328" s="9" t="str">
        <f aca="false">PODACI_ZALIHE!C325</f>
        <v>6762</v>
      </c>
      <c r="D328" s="8" t="str">
        <f aca="false">PODACI_ZALIHE!D325</f>
        <v>ZHEJIANG QUICKLINE SHOWERING CO., LTD.</v>
      </c>
      <c r="E328" s="19" t="n">
        <f aca="false">IF(PODACI_ZALIHE!E325="","",PODACI_ZALIHE!E325)</f>
        <v>21</v>
      </c>
      <c r="F328" s="20" t="n">
        <f aca="false">PODACI_ZALIHE!F325</f>
        <v>21</v>
      </c>
      <c r="G328" s="19" t="n">
        <f aca="false">IF(E328="","",E328-F328)</f>
        <v>0</v>
      </c>
      <c r="H328" s="9" t="n">
        <f aca="false">PODACI_PRODAJA!N625</f>
        <v>2</v>
      </c>
      <c r="I328" s="21" t="n">
        <f aca="false">IF(H328&lt;=0,999,ROUND(F328/H328,1))</f>
        <v>10.5</v>
      </c>
      <c r="J328" s="9" t="n">
        <f aca="false">SUMIFS(ROBA_U_DOLASKU!$C$6:$C$95,ROBA_U_DOLASKU!$A$6:$A$95,A328,ROBA_U_DOLASKU!$H$6:$H$95,1)</f>
        <v>0</v>
      </c>
      <c r="K328" s="9" t="n">
        <f aca="false">SUMIFS(ROBA_U_DOLASKU!$B$6:$B$95,ROBA_U_DOLASKU!$A$6:$A$95,A328,ROBA_U_DOLASKU!$H$6:$H$95,1)</f>
        <v>0</v>
      </c>
      <c r="L328" s="9" t="n">
        <f aca="false">SUMIFS(ROBA_U_DOLASKU!$C$6:$C$95,ROBA_U_DOLASKU!$A$6:$A$95,A328,ROBA_U_DOLASKU!$H$6:$H$95,2)</f>
        <v>0</v>
      </c>
      <c r="M328" s="9" t="n">
        <f aca="false">SUMIFS(ROBA_U_DOLASKU!$B$6:$B$95,ROBA_U_DOLASKU!$A$6:$A$95,A328,ROBA_U_DOLASKU!$H$6:$H$95,2)</f>
        <v>0</v>
      </c>
      <c r="N328" s="9" t="n">
        <f aca="false">SUMIFS(ROBA_U_DOLASKU!$C$6:$C$95,ROBA_U_DOLASKU!$A$6:$A$95,A328,ROBA_U_DOLASKU!$H$6:$H$95,3)</f>
        <v>0</v>
      </c>
      <c r="O328" s="9" t="n">
        <f aca="false">SUMIFS(ROBA_U_DOLASKU!$B$6:$B$95,ROBA_U_DOLASKU!$A$6:$A$95,A328,ROBA_U_DOLASKU!$H$6:$H$95,3)</f>
        <v>0</v>
      </c>
      <c r="P328" s="9" t="n">
        <f aca="false">IF(H328&lt;=0,999,IF(O328&gt;0,ROUND((F328-H328*N328+K328+M328+O328)/H328,1),IF(M328&gt;0,ROUND((F328-H328*L328+K328+M328)/H328,1),IF(K328&gt;0,ROUND((F328-H328*J328+K328)/H328,1),I328))))</f>
        <v>10.5</v>
      </c>
      <c r="Q328" s="22" t="str">
        <f aca="false">IF(H328&lt;=0,"Nema prodaje",IF(AND(K328=0,M328=0,O328=0),IF(I328&lt;POSTAVKE!$B$6,"Naruči odmah","Sve u redu"),IF(F328-H328*J328&lt;0,"Rupa za ~"&amp;TEXT(I328,"0.0")&amp;" mj.",IF(AND(M328&gt;0,F328-H328*L328+K328&lt;0),"Rupa nakon 1. dolaska",IF(AND(O328&gt;0,F328-H328*N328+K328+M328&lt;0),"Rupa nakon 2. dolaska",IF(P328&lt;POSTAVKE!$B$6,"Količina nije dovoljna",IF(I328&gt;=POSTAVKE!$B$6,"Sve u redu","Stiže na vrijeme")))))))</f>
        <v>Sve u redu</v>
      </c>
      <c r="S328" s="23" t="n">
        <f aca="false">IFERROR(INDEX(PODACI_PRODAJA!B:B,MATCH($A328,PODACI_PRODAJA!$A:$A,0)),0)</f>
        <v>0</v>
      </c>
      <c r="T328" s="23" t="n">
        <f aca="false">IFERROR(INDEX(PODACI_PRODAJA!C:C,MATCH($A328,PODACI_PRODAJA!$A:$A,0)),0)</f>
        <v>0</v>
      </c>
      <c r="U328" s="23" t="n">
        <f aca="false">IFERROR(INDEX(PODACI_PRODAJA!D:D,MATCH($A328,PODACI_PRODAJA!$A:$A,0)),0)</f>
        <v>0</v>
      </c>
      <c r="V328" s="23" t="n">
        <f aca="false">IFERROR(INDEX(PODACI_PRODAJA!E:E,MATCH($A328,PODACI_PRODAJA!$A:$A,0)),0)</f>
        <v>0</v>
      </c>
      <c r="W328" s="23" t="n">
        <f aca="false">IFERROR(INDEX(PODACI_PRODAJA!F:F,MATCH($A328,PODACI_PRODAJA!$A:$A,0)),0)</f>
        <v>1</v>
      </c>
      <c r="X328" s="23" t="n">
        <f aca="false">IFERROR(INDEX(PODACI_PRODAJA!G:G,MATCH($A328,PODACI_PRODAJA!$A:$A,0)),0)</f>
        <v>2</v>
      </c>
      <c r="Y328" s="23" t="n">
        <f aca="false">IFERROR(INDEX(PODACI_PRODAJA!H:H,MATCH($A328,PODACI_PRODAJA!$A:$A,0)),0)</f>
        <v>10</v>
      </c>
      <c r="Z328" s="23" t="n">
        <f aca="false">IFERROR(INDEX(PODACI_PRODAJA!I:I,MATCH($A328,PODACI_PRODAJA!$A:$A,0)),0)</f>
        <v>3</v>
      </c>
      <c r="AA328" s="23" t="n">
        <f aca="false">IFERROR(INDEX(PODACI_PRODAJA!J:J,MATCH($A328,PODACI_PRODAJA!$A:$A,0)),0)</f>
        <v>0</v>
      </c>
      <c r="AB328" s="23" t="n">
        <f aca="false">IFERROR(INDEX(PODACI_PRODAJA!K:K,MATCH($A328,PODACI_PRODAJA!$A:$A,0)),0)</f>
        <v>0</v>
      </c>
      <c r="AC328" s="23" t="n">
        <f aca="false">IFERROR(INDEX(PODACI_PRODAJA!L:L,MATCH($A328,PODACI_PRODAJA!$A:$A,0)),0)</f>
        <v>0</v>
      </c>
      <c r="AD328" s="23" t="n">
        <f aca="false">IFERROR(INDEX(PODACI_PRODAJA!M:M,MATCH($A328,PODACI_PRODAJA!$A:$A,0)),0)</f>
        <v>0</v>
      </c>
    </row>
    <row r="329" customFormat="false" ht="15" hidden="false" customHeight="false" outlineLevel="0" collapsed="false">
      <c r="A329" s="11" t="str">
        <f aca="false">PODACI_ZALIHE!A326</f>
        <v>38722001</v>
      </c>
      <c r="B329" s="8" t="str">
        <f aca="false">PODACI_ZALIHE!B326</f>
        <v>GROHE RAPID SL 3-U-1 SET PODŽBUKNI ELEMENT ZA WC ŠKOLJKU + BIJELA TIPKA</v>
      </c>
      <c r="C329" s="9" t="str">
        <f aca="false">PODACI_ZALIHE!C326</f>
        <v>4499</v>
      </c>
      <c r="D329" s="8" t="str">
        <f aca="false">PODACI_ZALIHE!D326</f>
        <v>THS D.O.O.</v>
      </c>
      <c r="E329" s="19" t="n">
        <f aca="false">IF(PODACI_ZALIHE!E326="","",PODACI_ZALIHE!E326)</f>
        <v>22</v>
      </c>
      <c r="F329" s="20" t="n">
        <f aca="false">PODACI_ZALIHE!F326</f>
        <v>21</v>
      </c>
      <c r="G329" s="19" t="n">
        <f aca="false">IF(E329="","",E329-F329)</f>
        <v>1</v>
      </c>
      <c r="H329" s="9" t="n">
        <f aca="false">PODACI_PRODAJA!N775</f>
        <v>0</v>
      </c>
      <c r="I329" s="21" t="n">
        <f aca="false">IF(H329&lt;=0,999,ROUND(F329/H329,1))</f>
        <v>999</v>
      </c>
      <c r="J329" s="9" t="n">
        <f aca="false">SUMIFS(ROBA_U_DOLASKU!$C$6:$C$95,ROBA_U_DOLASKU!$A$6:$A$95,A329,ROBA_U_DOLASKU!$H$6:$H$95,1)</f>
        <v>0</v>
      </c>
      <c r="K329" s="9" t="n">
        <f aca="false">SUMIFS(ROBA_U_DOLASKU!$B$6:$B$95,ROBA_U_DOLASKU!$A$6:$A$95,A329,ROBA_U_DOLASKU!$H$6:$H$95,1)</f>
        <v>0</v>
      </c>
      <c r="L329" s="9" t="n">
        <f aca="false">SUMIFS(ROBA_U_DOLASKU!$C$6:$C$95,ROBA_U_DOLASKU!$A$6:$A$95,A329,ROBA_U_DOLASKU!$H$6:$H$95,2)</f>
        <v>0</v>
      </c>
      <c r="M329" s="9" t="n">
        <f aca="false">SUMIFS(ROBA_U_DOLASKU!$B$6:$B$95,ROBA_U_DOLASKU!$A$6:$A$95,A329,ROBA_U_DOLASKU!$H$6:$H$95,2)</f>
        <v>0</v>
      </c>
      <c r="N329" s="9" t="n">
        <f aca="false">SUMIFS(ROBA_U_DOLASKU!$C$6:$C$95,ROBA_U_DOLASKU!$A$6:$A$95,A329,ROBA_U_DOLASKU!$H$6:$H$95,3)</f>
        <v>0</v>
      </c>
      <c r="O329" s="9" t="n">
        <f aca="false">SUMIFS(ROBA_U_DOLASKU!$B$6:$B$95,ROBA_U_DOLASKU!$A$6:$A$95,A329,ROBA_U_DOLASKU!$H$6:$H$95,3)</f>
        <v>0</v>
      </c>
      <c r="P329" s="9" t="n">
        <f aca="false">IF(H329&lt;=0,999,IF(O329&gt;0,ROUND((F329-H329*N329+K329+M329+O329)/H329,1),IF(M329&gt;0,ROUND((F329-H329*L329+K329+M329)/H329,1),IF(K329&gt;0,ROUND((F329-H329*J329+K329)/H329,1),I329))))</f>
        <v>999</v>
      </c>
      <c r="Q329" s="22" t="str">
        <f aca="false">IF(H329&lt;=0,"Nema prodaje",IF(AND(K329=0,M329=0,O329=0),IF(I329&lt;POSTAVKE!$B$6,"Naruči odmah","Sve u redu"),IF(F329-H329*J329&lt;0,"Rupa za ~"&amp;TEXT(I329,"0.0")&amp;" mj.",IF(AND(M329&gt;0,F329-H329*L329+K329&lt;0),"Rupa nakon 1. dolaska",IF(AND(O329&gt;0,F329-H329*N329+K329+M329&lt;0),"Rupa nakon 2. dolaska",IF(P329&lt;POSTAVKE!$B$6,"Količina nije dovoljna",IF(I329&gt;=POSTAVKE!$B$6,"Sve u redu","Stiže na vrijeme")))))))</f>
        <v>Nema prodaje</v>
      </c>
      <c r="S329" s="23" t="n">
        <f aca="false">IFERROR(INDEX(PODACI_PRODAJA!B:B,MATCH($A329,PODACI_PRODAJA!$A:$A,0)),0)</f>
        <v>0</v>
      </c>
      <c r="T329" s="23" t="n">
        <f aca="false">IFERROR(INDEX(PODACI_PRODAJA!C:C,MATCH($A329,PODACI_PRODAJA!$A:$A,0)),0)</f>
        <v>0</v>
      </c>
      <c r="U329" s="23" t="n">
        <f aca="false">IFERROR(INDEX(PODACI_PRODAJA!D:D,MATCH($A329,PODACI_PRODAJA!$A:$A,0)),0)</f>
        <v>0</v>
      </c>
      <c r="V329" s="23" t="n">
        <f aca="false">IFERROR(INDEX(PODACI_PRODAJA!E:E,MATCH($A329,PODACI_PRODAJA!$A:$A,0)),0)</f>
        <v>0</v>
      </c>
      <c r="W329" s="23" t="n">
        <f aca="false">IFERROR(INDEX(PODACI_PRODAJA!F:F,MATCH($A329,PODACI_PRODAJA!$A:$A,0)),0)</f>
        <v>0</v>
      </c>
      <c r="X329" s="23" t="n">
        <f aca="false">IFERROR(INDEX(PODACI_PRODAJA!G:G,MATCH($A329,PODACI_PRODAJA!$A:$A,0)),0)</f>
        <v>0</v>
      </c>
      <c r="Y329" s="23" t="n">
        <f aca="false">IFERROR(INDEX(PODACI_PRODAJA!H:H,MATCH($A329,PODACI_PRODAJA!$A:$A,0)),0)</f>
        <v>0</v>
      </c>
      <c r="Z329" s="23" t="n">
        <f aca="false">IFERROR(INDEX(PODACI_PRODAJA!I:I,MATCH($A329,PODACI_PRODAJA!$A:$A,0)),0)</f>
        <v>0</v>
      </c>
      <c r="AA329" s="23" t="n">
        <f aca="false">IFERROR(INDEX(PODACI_PRODAJA!J:J,MATCH($A329,PODACI_PRODAJA!$A:$A,0)),0)</f>
        <v>0</v>
      </c>
      <c r="AB329" s="23" t="n">
        <f aca="false">IFERROR(INDEX(PODACI_PRODAJA!K:K,MATCH($A329,PODACI_PRODAJA!$A:$A,0)),0)</f>
        <v>0</v>
      </c>
      <c r="AC329" s="23" t="n">
        <f aca="false">IFERROR(INDEX(PODACI_PRODAJA!L:L,MATCH($A329,PODACI_PRODAJA!$A:$A,0)),0)</f>
        <v>0</v>
      </c>
      <c r="AD329" s="23" t="n">
        <f aca="false">IFERROR(INDEX(PODACI_PRODAJA!M:M,MATCH($A329,PODACI_PRODAJA!$A:$A,0)),0)</f>
        <v>0</v>
      </c>
    </row>
    <row r="330" customFormat="false" ht="15" hidden="false" customHeight="false" outlineLevel="0" collapsed="false">
      <c r="A330" s="11" t="str">
        <f aca="false">PODACI_ZALIHE!A327</f>
        <v>P15815</v>
      </c>
      <c r="B330" s="8" t="str">
        <f aca="false">PODACI_ZALIHE!B327</f>
        <v>BOLD LUX 90 KV MINERALSOLID TUŠ KADA BIJELA SJAJNA 900x900x30 mm</v>
      </c>
      <c r="C330" s="9" t="str">
        <f aca="false">PODACI_ZALIHE!C327</f>
        <v>5140</v>
      </c>
      <c r="D330" s="8" t="str">
        <f aca="false">PODACI_ZALIHE!D327</f>
        <v>GUANGDONG OCEAN SANITARY WARE CO., LTD.</v>
      </c>
      <c r="E330" s="19" t="n">
        <f aca="false">IF(PODACI_ZALIHE!E327="","",PODACI_ZALIHE!E327)</f>
        <v>38</v>
      </c>
      <c r="F330" s="20" t="n">
        <f aca="false">PODACI_ZALIHE!F327</f>
        <v>20</v>
      </c>
      <c r="G330" s="19" t="n">
        <f aca="false">IF(E330="","",E330-F330)</f>
        <v>18</v>
      </c>
      <c r="H330" s="9" t="n">
        <f aca="false">PODACI_PRODAJA!N318</f>
        <v>2</v>
      </c>
      <c r="I330" s="21" t="n">
        <f aca="false">IF(H330&lt;=0,999,ROUND(F330/H330,1))</f>
        <v>10</v>
      </c>
      <c r="J330" s="9" t="n">
        <f aca="false">SUMIFS(ROBA_U_DOLASKU!$C$6:$C$95,ROBA_U_DOLASKU!$A$6:$A$95,A330,ROBA_U_DOLASKU!$H$6:$H$95,1)</f>
        <v>0</v>
      </c>
      <c r="K330" s="9" t="n">
        <f aca="false">SUMIFS(ROBA_U_DOLASKU!$B$6:$B$95,ROBA_U_DOLASKU!$A$6:$A$95,A330,ROBA_U_DOLASKU!$H$6:$H$95,1)</f>
        <v>0</v>
      </c>
      <c r="L330" s="9" t="n">
        <f aca="false">SUMIFS(ROBA_U_DOLASKU!$C$6:$C$95,ROBA_U_DOLASKU!$A$6:$A$95,A330,ROBA_U_DOLASKU!$H$6:$H$95,2)</f>
        <v>0</v>
      </c>
      <c r="M330" s="9" t="n">
        <f aca="false">SUMIFS(ROBA_U_DOLASKU!$B$6:$B$95,ROBA_U_DOLASKU!$A$6:$A$95,A330,ROBA_U_DOLASKU!$H$6:$H$95,2)</f>
        <v>0</v>
      </c>
      <c r="N330" s="9" t="n">
        <f aca="false">SUMIFS(ROBA_U_DOLASKU!$C$6:$C$95,ROBA_U_DOLASKU!$A$6:$A$95,A330,ROBA_U_DOLASKU!$H$6:$H$95,3)</f>
        <v>0</v>
      </c>
      <c r="O330" s="9" t="n">
        <f aca="false">SUMIFS(ROBA_U_DOLASKU!$B$6:$B$95,ROBA_U_DOLASKU!$A$6:$A$95,A330,ROBA_U_DOLASKU!$H$6:$H$95,3)</f>
        <v>0</v>
      </c>
      <c r="P330" s="9" t="n">
        <f aca="false">IF(H330&lt;=0,999,IF(O330&gt;0,ROUND((F330-H330*N330+K330+M330+O330)/H330,1),IF(M330&gt;0,ROUND((F330-H330*L330+K330+M330)/H330,1),IF(K330&gt;0,ROUND((F330-H330*J330+K330)/H330,1),I330))))</f>
        <v>10</v>
      </c>
      <c r="Q330" s="22" t="str">
        <f aca="false">IF(H330&lt;=0,"Nema prodaje",IF(AND(K330=0,M330=0,O330=0),IF(I330&lt;POSTAVKE!$B$6,"Naruči odmah","Sve u redu"),IF(F330-H330*J330&lt;0,"Rupa za ~"&amp;TEXT(I330,"0.0")&amp;" mj.",IF(AND(M330&gt;0,F330-H330*L330+K330&lt;0),"Rupa nakon 1. dolaska",IF(AND(O330&gt;0,F330-H330*N330+K330+M330&lt;0),"Rupa nakon 2. dolaska",IF(P330&lt;POSTAVKE!$B$6,"Količina nije dovoljna",IF(I330&gt;=POSTAVKE!$B$6,"Sve u redu","Stiže na vrijeme")))))))</f>
        <v>Sve u redu</v>
      </c>
      <c r="S330" s="23" t="n">
        <f aca="false">IFERROR(INDEX(PODACI_PRODAJA!B:B,MATCH($A330,PODACI_PRODAJA!$A:$A,0)),0)</f>
        <v>0</v>
      </c>
      <c r="T330" s="23" t="n">
        <f aca="false">IFERROR(INDEX(PODACI_PRODAJA!C:C,MATCH($A330,PODACI_PRODAJA!$A:$A,0)),0)</f>
        <v>1</v>
      </c>
      <c r="U330" s="23" t="n">
        <f aca="false">IFERROR(INDEX(PODACI_PRODAJA!D:D,MATCH($A330,PODACI_PRODAJA!$A:$A,0)),0)</f>
        <v>1</v>
      </c>
      <c r="V330" s="23" t="n">
        <f aca="false">IFERROR(INDEX(PODACI_PRODAJA!E:E,MATCH($A330,PODACI_PRODAJA!$A:$A,0)),0)</f>
        <v>0</v>
      </c>
      <c r="W330" s="23" t="n">
        <f aca="false">IFERROR(INDEX(PODACI_PRODAJA!F:F,MATCH($A330,PODACI_PRODAJA!$A:$A,0)),0)</f>
        <v>1</v>
      </c>
      <c r="X330" s="23" t="n">
        <f aca="false">IFERROR(INDEX(PODACI_PRODAJA!G:G,MATCH($A330,PODACI_PRODAJA!$A:$A,0)),0)</f>
        <v>1</v>
      </c>
      <c r="Y330" s="23" t="n">
        <f aca="false">IFERROR(INDEX(PODACI_PRODAJA!H:H,MATCH($A330,PODACI_PRODAJA!$A:$A,0)),0)</f>
        <v>8</v>
      </c>
      <c r="Z330" s="23" t="n">
        <f aca="false">IFERROR(INDEX(PODACI_PRODAJA!I:I,MATCH($A330,PODACI_PRODAJA!$A:$A,0)),0)</f>
        <v>4</v>
      </c>
      <c r="AA330" s="23" t="n">
        <f aca="false">IFERROR(INDEX(PODACI_PRODAJA!J:J,MATCH($A330,PODACI_PRODAJA!$A:$A,0)),0)</f>
        <v>13</v>
      </c>
      <c r="AB330" s="23" t="n">
        <f aca="false">IFERROR(INDEX(PODACI_PRODAJA!K:K,MATCH($A330,PODACI_PRODAJA!$A:$A,0)),0)</f>
        <v>0</v>
      </c>
      <c r="AC330" s="23" t="n">
        <f aca="false">IFERROR(INDEX(PODACI_PRODAJA!L:L,MATCH($A330,PODACI_PRODAJA!$A:$A,0)),0)</f>
        <v>0</v>
      </c>
      <c r="AD330" s="23" t="n">
        <f aca="false">IFERROR(INDEX(PODACI_PRODAJA!M:M,MATCH($A330,PODACI_PRODAJA!$A:$A,0)),0)</f>
        <v>0</v>
      </c>
    </row>
    <row r="331" customFormat="false" ht="15" hidden="false" customHeight="false" outlineLevel="0" collapsed="false">
      <c r="A331" s="11" t="str">
        <f aca="false">PODACI_ZALIHE!A328</f>
        <v>00510</v>
      </c>
      <c r="B331" s="8" t="str">
        <f aca="false">PODACI_ZALIHE!B328</f>
        <v>OGLEDALO GLN52 80x60 cm</v>
      </c>
      <c r="C331" s="9" t="str">
        <f aca="false">PODACI_ZALIHE!C328</f>
        <v>2515</v>
      </c>
      <c r="D331" s="8" t="str">
        <f aca="false">PODACI_ZALIHE!D328</f>
        <v>HANGZHOU ZHUGELAI JINGYI CO., LTD.</v>
      </c>
      <c r="E331" s="19" t="n">
        <f aca="false">IF(PODACI_ZALIHE!E328="","",PODACI_ZALIHE!E328)</f>
        <v>30</v>
      </c>
      <c r="F331" s="20" t="n">
        <f aca="false">PODACI_ZALIHE!F328</f>
        <v>20</v>
      </c>
      <c r="G331" s="19" t="n">
        <f aca="false">IF(E331="","",E331-F331)</f>
        <v>10</v>
      </c>
      <c r="H331" s="9" t="n">
        <f aca="false">PODACI_PRODAJA!N36</f>
        <v>19</v>
      </c>
      <c r="I331" s="21" t="n">
        <f aca="false">IF(H331&lt;=0,999,ROUND(F331/H331,1))</f>
        <v>1.1</v>
      </c>
      <c r="J331" s="9" t="n">
        <f aca="false">SUMIFS(ROBA_U_DOLASKU!$C$6:$C$95,ROBA_U_DOLASKU!$A$6:$A$95,A331,ROBA_U_DOLASKU!$H$6:$H$95,1)</f>
        <v>0</v>
      </c>
      <c r="K331" s="9" t="n">
        <f aca="false">SUMIFS(ROBA_U_DOLASKU!$B$6:$B$95,ROBA_U_DOLASKU!$A$6:$A$95,A331,ROBA_U_DOLASKU!$H$6:$H$95,1)</f>
        <v>0</v>
      </c>
      <c r="L331" s="9" t="n">
        <f aca="false">SUMIFS(ROBA_U_DOLASKU!$C$6:$C$95,ROBA_U_DOLASKU!$A$6:$A$95,A331,ROBA_U_DOLASKU!$H$6:$H$95,2)</f>
        <v>0</v>
      </c>
      <c r="M331" s="9" t="n">
        <f aca="false">SUMIFS(ROBA_U_DOLASKU!$B$6:$B$95,ROBA_U_DOLASKU!$A$6:$A$95,A331,ROBA_U_DOLASKU!$H$6:$H$95,2)</f>
        <v>0</v>
      </c>
      <c r="N331" s="9" t="n">
        <f aca="false">SUMIFS(ROBA_U_DOLASKU!$C$6:$C$95,ROBA_U_DOLASKU!$A$6:$A$95,A331,ROBA_U_DOLASKU!$H$6:$H$95,3)</f>
        <v>0</v>
      </c>
      <c r="O331" s="9" t="n">
        <f aca="false">SUMIFS(ROBA_U_DOLASKU!$B$6:$B$95,ROBA_U_DOLASKU!$A$6:$A$95,A331,ROBA_U_DOLASKU!$H$6:$H$95,3)</f>
        <v>0</v>
      </c>
      <c r="P331" s="9" t="n">
        <f aca="false">IF(H331&lt;=0,999,IF(O331&gt;0,ROUND((F331-H331*N331+K331+M331+O331)/H331,1),IF(M331&gt;0,ROUND((F331-H331*L331+K331+M331)/H331,1),IF(K331&gt;0,ROUND((F331-H331*J331+K331)/H331,1),I331))))</f>
        <v>1.1</v>
      </c>
      <c r="Q331" s="22" t="str">
        <f aca="false">IF(H331&lt;=0,"Nema prodaje",IF(AND(K331=0,M331=0,O331=0),IF(I331&lt;POSTAVKE!$B$6,"Naruči odmah","Sve u redu"),IF(F331-H331*J331&lt;0,"Rupa za ~"&amp;TEXT(I331,"0.0")&amp;" mj.",IF(AND(M331&gt;0,F331-H331*L331+K331&lt;0),"Rupa nakon 1. dolaska",IF(AND(O331&gt;0,F331-H331*N331+K331+M331&lt;0),"Rupa nakon 2. dolaska",IF(P331&lt;POSTAVKE!$B$6,"Količina nije dovoljna",IF(I331&gt;=POSTAVKE!$B$6,"Sve u redu","Stiže na vrijeme")))))))</f>
        <v>Naruči odmah</v>
      </c>
      <c r="S331" s="23" t="n">
        <f aca="false">IFERROR(INDEX(PODACI_PRODAJA!B:B,MATCH($A331,PODACI_PRODAJA!$A:$A,0)),0)</f>
        <v>27</v>
      </c>
      <c r="T331" s="23" t="n">
        <f aca="false">IFERROR(INDEX(PODACI_PRODAJA!C:C,MATCH($A331,PODACI_PRODAJA!$A:$A,0)),0)</f>
        <v>5</v>
      </c>
      <c r="U331" s="23" t="n">
        <f aca="false">IFERROR(INDEX(PODACI_PRODAJA!D:D,MATCH($A331,PODACI_PRODAJA!$A:$A,0)),0)</f>
        <v>20</v>
      </c>
      <c r="V331" s="23" t="n">
        <f aca="false">IFERROR(INDEX(PODACI_PRODAJA!E:E,MATCH($A331,PODACI_PRODAJA!$A:$A,0)),0)</f>
        <v>40</v>
      </c>
      <c r="W331" s="23" t="n">
        <f aca="false">IFERROR(INDEX(PODACI_PRODAJA!F:F,MATCH($A331,PODACI_PRODAJA!$A:$A,0)),0)</f>
        <v>17</v>
      </c>
      <c r="X331" s="23" t="n">
        <f aca="false">IFERROR(INDEX(PODACI_PRODAJA!G:G,MATCH($A331,PODACI_PRODAJA!$A:$A,0)),0)</f>
        <v>14</v>
      </c>
      <c r="Y331" s="23" t="n">
        <f aca="false">IFERROR(INDEX(PODACI_PRODAJA!H:H,MATCH($A331,PODACI_PRODAJA!$A:$A,0)),0)</f>
        <v>19</v>
      </c>
      <c r="Z331" s="23" t="n">
        <f aca="false">IFERROR(INDEX(PODACI_PRODAJA!I:I,MATCH($A331,PODACI_PRODAJA!$A:$A,0)),0)</f>
        <v>10</v>
      </c>
      <c r="AA331" s="23" t="n">
        <f aca="false">IFERROR(INDEX(PODACI_PRODAJA!J:J,MATCH($A331,PODACI_PRODAJA!$A:$A,0)),0)</f>
        <v>10</v>
      </c>
      <c r="AB331" s="23" t="n">
        <f aca="false">IFERROR(INDEX(PODACI_PRODAJA!K:K,MATCH($A331,PODACI_PRODAJA!$A:$A,0)),0)</f>
        <v>0</v>
      </c>
      <c r="AC331" s="23" t="n">
        <f aca="false">IFERROR(INDEX(PODACI_PRODAJA!L:L,MATCH($A331,PODACI_PRODAJA!$A:$A,0)),0)</f>
        <v>0</v>
      </c>
      <c r="AD331" s="23" t="n">
        <f aca="false">IFERROR(INDEX(PODACI_PRODAJA!M:M,MATCH($A331,PODACI_PRODAJA!$A:$A,0)),0)</f>
        <v>0</v>
      </c>
    </row>
    <row r="332" customFormat="false" ht="15" hidden="false" customHeight="false" outlineLevel="0" collapsed="false">
      <c r="A332" s="11" t="str">
        <f aca="false">PODACI_ZALIHE!A329</f>
        <v>00521</v>
      </c>
      <c r="B332" s="8" t="str">
        <f aca="false">PODACI_ZALIHE!B329</f>
        <v>OGLEDALO GLS6080 80x60 cm</v>
      </c>
      <c r="C332" s="9" t="str">
        <f aca="false">PODACI_ZALIHE!C329</f>
        <v>2515</v>
      </c>
      <c r="D332" s="8" t="str">
        <f aca="false">PODACI_ZALIHE!D329</f>
        <v>HANGZHOU ZHUGELAI JINGYI CO., LTD.</v>
      </c>
      <c r="E332" s="19" t="n">
        <f aca="false">IF(PODACI_ZALIHE!E329="","",PODACI_ZALIHE!E329)</f>
        <v>25</v>
      </c>
      <c r="F332" s="20" t="n">
        <f aca="false">PODACI_ZALIHE!F329</f>
        <v>20</v>
      </c>
      <c r="G332" s="19" t="n">
        <f aca="false">IF(E332="","",E332-F332)</f>
        <v>5</v>
      </c>
      <c r="H332" s="9" t="n">
        <f aca="false">PODACI_PRODAJA!N138</f>
        <v>40.5</v>
      </c>
      <c r="I332" s="21" t="n">
        <f aca="false">IF(H332&lt;=0,999,ROUND(F332/H332,1))</f>
        <v>0.5</v>
      </c>
      <c r="J332" s="9" t="n">
        <f aca="false">SUMIFS(ROBA_U_DOLASKU!$C$6:$C$95,ROBA_U_DOLASKU!$A$6:$A$95,A332,ROBA_U_DOLASKU!$H$6:$H$95,1)</f>
        <v>0</v>
      </c>
      <c r="K332" s="9" t="n">
        <f aca="false">SUMIFS(ROBA_U_DOLASKU!$B$6:$B$95,ROBA_U_DOLASKU!$A$6:$A$95,A332,ROBA_U_DOLASKU!$H$6:$H$95,1)</f>
        <v>0</v>
      </c>
      <c r="L332" s="9" t="n">
        <f aca="false">SUMIFS(ROBA_U_DOLASKU!$C$6:$C$95,ROBA_U_DOLASKU!$A$6:$A$95,A332,ROBA_U_DOLASKU!$H$6:$H$95,2)</f>
        <v>0</v>
      </c>
      <c r="M332" s="9" t="n">
        <f aca="false">SUMIFS(ROBA_U_DOLASKU!$B$6:$B$95,ROBA_U_DOLASKU!$A$6:$A$95,A332,ROBA_U_DOLASKU!$H$6:$H$95,2)</f>
        <v>0</v>
      </c>
      <c r="N332" s="9" t="n">
        <f aca="false">SUMIFS(ROBA_U_DOLASKU!$C$6:$C$95,ROBA_U_DOLASKU!$A$6:$A$95,A332,ROBA_U_DOLASKU!$H$6:$H$95,3)</f>
        <v>0</v>
      </c>
      <c r="O332" s="9" t="n">
        <f aca="false">SUMIFS(ROBA_U_DOLASKU!$B$6:$B$95,ROBA_U_DOLASKU!$A$6:$A$95,A332,ROBA_U_DOLASKU!$H$6:$H$95,3)</f>
        <v>0</v>
      </c>
      <c r="P332" s="9" t="n">
        <f aca="false">IF(H332&lt;=0,999,IF(O332&gt;0,ROUND((F332-H332*N332+K332+M332+O332)/H332,1),IF(M332&gt;0,ROUND((F332-H332*L332+K332+M332)/H332,1),IF(K332&gt;0,ROUND((F332-H332*J332+K332)/H332,1),I332))))</f>
        <v>0.5</v>
      </c>
      <c r="Q332" s="22" t="str">
        <f aca="false">IF(H332&lt;=0,"Nema prodaje",IF(AND(K332=0,M332=0,O332=0),IF(I332&lt;POSTAVKE!$B$6,"Naruči odmah","Sve u redu"),IF(F332-H332*J332&lt;0,"Rupa za ~"&amp;TEXT(I332,"0.0")&amp;" mj.",IF(AND(M332&gt;0,F332-H332*L332+K332&lt;0),"Rupa nakon 1. dolaska",IF(AND(O332&gt;0,F332-H332*N332+K332+M332&lt;0),"Rupa nakon 2. dolaska",IF(P332&lt;POSTAVKE!$B$6,"Količina nije dovoljna",IF(I332&gt;=POSTAVKE!$B$6,"Sve u redu","Stiže na vrijeme")))))))</f>
        <v>Naruči odmah</v>
      </c>
      <c r="S332" s="23" t="n">
        <f aca="false">IFERROR(INDEX(PODACI_PRODAJA!B:B,MATCH($A332,PODACI_PRODAJA!$A:$A,0)),0)</f>
        <v>3</v>
      </c>
      <c r="T332" s="23" t="n">
        <f aca="false">IFERROR(INDEX(PODACI_PRODAJA!C:C,MATCH($A332,PODACI_PRODAJA!$A:$A,0)),0)</f>
        <v>123</v>
      </c>
      <c r="U332" s="23" t="n">
        <f aca="false">IFERROR(INDEX(PODACI_PRODAJA!D:D,MATCH($A332,PODACI_PRODAJA!$A:$A,0)),0)</f>
        <v>66</v>
      </c>
      <c r="V332" s="23" t="n">
        <f aca="false">IFERROR(INDEX(PODACI_PRODAJA!E:E,MATCH($A332,PODACI_PRODAJA!$A:$A,0)),0)</f>
        <v>68</v>
      </c>
      <c r="W332" s="23" t="n">
        <f aca="false">IFERROR(INDEX(PODACI_PRODAJA!F:F,MATCH($A332,PODACI_PRODAJA!$A:$A,0)),0)</f>
        <v>0</v>
      </c>
      <c r="X332" s="23" t="n">
        <f aca="false">IFERROR(INDEX(PODACI_PRODAJA!G:G,MATCH($A332,PODACI_PRODAJA!$A:$A,0)),0)</f>
        <v>0</v>
      </c>
      <c r="Y332" s="23" t="n">
        <f aca="false">IFERROR(INDEX(PODACI_PRODAJA!H:H,MATCH($A332,PODACI_PRODAJA!$A:$A,0)),0)</f>
        <v>-1</v>
      </c>
      <c r="Z332" s="23" t="n">
        <f aca="false">IFERROR(INDEX(PODACI_PRODAJA!I:I,MATCH($A332,PODACI_PRODAJA!$A:$A,0)),0)</f>
        <v>65</v>
      </c>
      <c r="AA332" s="23" t="n">
        <f aca="false">IFERROR(INDEX(PODACI_PRODAJA!J:J,MATCH($A332,PODACI_PRODAJA!$A:$A,0)),0)</f>
        <v>5</v>
      </c>
      <c r="AB332" s="23" t="n">
        <f aca="false">IFERROR(INDEX(PODACI_PRODAJA!K:K,MATCH($A332,PODACI_PRODAJA!$A:$A,0)),0)</f>
        <v>0</v>
      </c>
      <c r="AC332" s="23" t="n">
        <f aca="false">IFERROR(INDEX(PODACI_PRODAJA!L:L,MATCH($A332,PODACI_PRODAJA!$A:$A,0)),0)</f>
        <v>0</v>
      </c>
      <c r="AD332" s="23" t="n">
        <f aca="false">IFERROR(INDEX(PODACI_PRODAJA!M:M,MATCH($A332,PODACI_PRODAJA!$A:$A,0)),0)</f>
        <v>0</v>
      </c>
    </row>
    <row r="333" customFormat="false" ht="15" hidden="false" customHeight="false" outlineLevel="0" collapsed="false">
      <c r="A333" s="11" t="str">
        <f aca="false">PODACI_ZALIHE!A330</f>
        <v>00845</v>
      </c>
      <c r="B333" s="8" t="str">
        <f aca="false">PODACI_ZALIHE!B330</f>
        <v>GL00010 NASTAVAK ZA SIMPLON EKSCENTRIČNI 20 mm</v>
      </c>
      <c r="C333" s="9" t="str">
        <f aca="false">PODACI_ZALIHE!C330</f>
        <v>3291</v>
      </c>
      <c r="D333" s="8" t="str">
        <f aca="false">PODACI_ZALIHE!D330</f>
        <v>TEHNOEXPORT D.O.O.</v>
      </c>
      <c r="E333" s="19" t="n">
        <f aca="false">IF(PODACI_ZALIHE!E330="","",PODACI_ZALIHE!E330)</f>
        <v>20</v>
      </c>
      <c r="F333" s="20" t="n">
        <f aca="false">PODACI_ZALIHE!F330</f>
        <v>20</v>
      </c>
      <c r="G333" s="19" t="n">
        <f aca="false">IF(E333="","",E333-F333)</f>
        <v>0</v>
      </c>
      <c r="H333" s="9" t="n">
        <f aca="false">PODACI_PRODAJA!N397</f>
        <v>1</v>
      </c>
      <c r="I333" s="21" t="n">
        <f aca="false">IF(H333&lt;=0,999,ROUND(F333/H333,1))</f>
        <v>20</v>
      </c>
      <c r="J333" s="9" t="n">
        <f aca="false">SUMIFS(ROBA_U_DOLASKU!$C$6:$C$95,ROBA_U_DOLASKU!$A$6:$A$95,A333,ROBA_U_DOLASKU!$H$6:$H$95,1)</f>
        <v>0</v>
      </c>
      <c r="K333" s="9" t="n">
        <f aca="false">SUMIFS(ROBA_U_DOLASKU!$B$6:$B$95,ROBA_U_DOLASKU!$A$6:$A$95,A333,ROBA_U_DOLASKU!$H$6:$H$95,1)</f>
        <v>0</v>
      </c>
      <c r="L333" s="9" t="n">
        <f aca="false">SUMIFS(ROBA_U_DOLASKU!$C$6:$C$95,ROBA_U_DOLASKU!$A$6:$A$95,A333,ROBA_U_DOLASKU!$H$6:$H$95,2)</f>
        <v>0</v>
      </c>
      <c r="M333" s="9" t="n">
        <f aca="false">SUMIFS(ROBA_U_DOLASKU!$B$6:$B$95,ROBA_U_DOLASKU!$A$6:$A$95,A333,ROBA_U_DOLASKU!$H$6:$H$95,2)</f>
        <v>0</v>
      </c>
      <c r="N333" s="9" t="n">
        <f aca="false">SUMIFS(ROBA_U_DOLASKU!$C$6:$C$95,ROBA_U_DOLASKU!$A$6:$A$95,A333,ROBA_U_DOLASKU!$H$6:$H$95,3)</f>
        <v>0</v>
      </c>
      <c r="O333" s="9" t="n">
        <f aca="false">SUMIFS(ROBA_U_DOLASKU!$B$6:$B$95,ROBA_U_DOLASKU!$A$6:$A$95,A333,ROBA_U_DOLASKU!$H$6:$H$95,3)</f>
        <v>0</v>
      </c>
      <c r="P333" s="9" t="n">
        <f aca="false">IF(H333&lt;=0,999,IF(O333&gt;0,ROUND((F333-H333*N333+K333+M333+O333)/H333,1),IF(M333&gt;0,ROUND((F333-H333*L333+K333+M333)/H333,1),IF(K333&gt;0,ROUND((F333-H333*J333+K333)/H333,1),I333))))</f>
        <v>20</v>
      </c>
      <c r="Q333" s="22" t="str">
        <f aca="false">IF(H333&lt;=0,"Nema prodaje",IF(AND(K333=0,M333=0,O333=0),IF(I333&lt;POSTAVKE!$B$6,"Naruči odmah","Sve u redu"),IF(F333-H333*J333&lt;0,"Rupa za ~"&amp;TEXT(I333,"0.0")&amp;" mj.",IF(AND(M333&gt;0,F333-H333*L333+K333&lt;0),"Rupa nakon 1. dolaska",IF(AND(O333&gt;0,F333-H333*N333+K333+M333&lt;0),"Rupa nakon 2. dolaska",IF(P333&lt;POSTAVKE!$B$6,"Količina nije dovoljna",IF(I333&gt;=POSTAVKE!$B$6,"Sve u redu","Stiže na vrijeme")))))))</f>
        <v>Sve u redu</v>
      </c>
      <c r="S333" s="23" t="n">
        <f aca="false">IFERROR(INDEX(PODACI_PRODAJA!B:B,MATCH($A333,PODACI_PRODAJA!$A:$A,0)),0)</f>
        <v>0</v>
      </c>
      <c r="T333" s="23" t="n">
        <f aca="false">IFERROR(INDEX(PODACI_PRODAJA!C:C,MATCH($A333,PODACI_PRODAJA!$A:$A,0)),0)</f>
        <v>0</v>
      </c>
      <c r="U333" s="23" t="n">
        <f aca="false">IFERROR(INDEX(PODACI_PRODAJA!D:D,MATCH($A333,PODACI_PRODAJA!$A:$A,0)),0)</f>
        <v>0</v>
      </c>
      <c r="V333" s="23" t="n">
        <f aca="false">IFERROR(INDEX(PODACI_PRODAJA!E:E,MATCH($A333,PODACI_PRODAJA!$A:$A,0)),0)</f>
        <v>0</v>
      </c>
      <c r="W333" s="23" t="n">
        <f aca="false">IFERROR(INDEX(PODACI_PRODAJA!F:F,MATCH($A333,PODACI_PRODAJA!$A:$A,0)),0)</f>
        <v>8</v>
      </c>
      <c r="X333" s="23" t="n">
        <f aca="false">IFERROR(INDEX(PODACI_PRODAJA!G:G,MATCH($A333,PODACI_PRODAJA!$A:$A,0)),0)</f>
        <v>0</v>
      </c>
      <c r="Y333" s="23" t="n">
        <f aca="false">IFERROR(INDEX(PODACI_PRODAJA!H:H,MATCH($A333,PODACI_PRODAJA!$A:$A,0)),0)</f>
        <v>0</v>
      </c>
      <c r="Z333" s="23" t="n">
        <f aca="false">IFERROR(INDEX(PODACI_PRODAJA!I:I,MATCH($A333,PODACI_PRODAJA!$A:$A,0)),0)</f>
        <v>0</v>
      </c>
      <c r="AA333" s="23" t="n">
        <f aca="false">IFERROR(INDEX(PODACI_PRODAJA!J:J,MATCH($A333,PODACI_PRODAJA!$A:$A,0)),0)</f>
        <v>0</v>
      </c>
      <c r="AB333" s="23" t="n">
        <f aca="false">IFERROR(INDEX(PODACI_PRODAJA!K:K,MATCH($A333,PODACI_PRODAJA!$A:$A,0)),0)</f>
        <v>0</v>
      </c>
      <c r="AC333" s="23" t="n">
        <f aca="false">IFERROR(INDEX(PODACI_PRODAJA!L:L,MATCH($A333,PODACI_PRODAJA!$A:$A,0)),0)</f>
        <v>0</v>
      </c>
      <c r="AD333" s="23" t="n">
        <f aca="false">IFERROR(INDEX(PODACI_PRODAJA!M:M,MATCH($A333,PODACI_PRODAJA!$A:$A,0)),0)</f>
        <v>0</v>
      </c>
    </row>
    <row r="334" customFormat="false" ht="15" hidden="false" customHeight="false" outlineLevel="0" collapsed="false">
      <c r="A334" s="11" t="str">
        <f aca="false">PODACI_ZALIHE!A331</f>
        <v>15267</v>
      </c>
      <c r="B334" s="8" t="str">
        <f aca="false">PODACI_ZALIHE!B331</f>
        <v>TK MEIRA 80120 TUŠ KABINA 80x120x195 cm</v>
      </c>
      <c r="C334" s="9" t="str">
        <f aca="false">PODACI_ZALIHE!C331</f>
        <v>4328</v>
      </c>
      <c r="D334" s="8" t="str">
        <f aca="false">PODACI_ZALIHE!D331</f>
        <v>HANGZHOU DUHUI IMPORT AND EXPORT CO.,LTD</v>
      </c>
      <c r="E334" s="19" t="n">
        <f aca="false">IF(PODACI_ZALIHE!E331="","",PODACI_ZALIHE!E331)</f>
        <v>20</v>
      </c>
      <c r="F334" s="20" t="n">
        <f aca="false">PODACI_ZALIHE!F331</f>
        <v>20</v>
      </c>
      <c r="G334" s="19" t="n">
        <f aca="false">IF(E334="","",E334-F334)</f>
        <v>0</v>
      </c>
      <c r="H334" s="9" t="n">
        <f aca="false">PODACI_PRODAJA!N233</f>
        <v>0.25</v>
      </c>
      <c r="I334" s="21" t="n">
        <f aca="false">IF(H334&lt;=0,999,ROUND(F334/H334,1))</f>
        <v>80</v>
      </c>
      <c r="J334" s="9" t="n">
        <f aca="false">SUMIFS(ROBA_U_DOLASKU!$C$6:$C$95,ROBA_U_DOLASKU!$A$6:$A$95,A334,ROBA_U_DOLASKU!$H$6:$H$95,1)</f>
        <v>0</v>
      </c>
      <c r="K334" s="9" t="n">
        <f aca="false">SUMIFS(ROBA_U_DOLASKU!$B$6:$B$95,ROBA_U_DOLASKU!$A$6:$A$95,A334,ROBA_U_DOLASKU!$H$6:$H$95,1)</f>
        <v>0</v>
      </c>
      <c r="L334" s="9" t="n">
        <f aca="false">SUMIFS(ROBA_U_DOLASKU!$C$6:$C$95,ROBA_U_DOLASKU!$A$6:$A$95,A334,ROBA_U_DOLASKU!$H$6:$H$95,2)</f>
        <v>0</v>
      </c>
      <c r="M334" s="9" t="n">
        <f aca="false">SUMIFS(ROBA_U_DOLASKU!$B$6:$B$95,ROBA_U_DOLASKU!$A$6:$A$95,A334,ROBA_U_DOLASKU!$H$6:$H$95,2)</f>
        <v>0</v>
      </c>
      <c r="N334" s="9" t="n">
        <f aca="false">SUMIFS(ROBA_U_DOLASKU!$C$6:$C$95,ROBA_U_DOLASKU!$A$6:$A$95,A334,ROBA_U_DOLASKU!$H$6:$H$95,3)</f>
        <v>0</v>
      </c>
      <c r="O334" s="9" t="n">
        <f aca="false">SUMIFS(ROBA_U_DOLASKU!$B$6:$B$95,ROBA_U_DOLASKU!$A$6:$A$95,A334,ROBA_U_DOLASKU!$H$6:$H$95,3)</f>
        <v>0</v>
      </c>
      <c r="P334" s="9" t="n">
        <f aca="false">IF(H334&lt;=0,999,IF(O334&gt;0,ROUND((F334-H334*N334+K334+M334+O334)/H334,1),IF(M334&gt;0,ROUND((F334-H334*L334+K334+M334)/H334,1),IF(K334&gt;0,ROUND((F334-H334*J334+K334)/H334,1),I334))))</f>
        <v>80</v>
      </c>
      <c r="Q334" s="22" t="str">
        <f aca="false">IF(H334&lt;=0,"Nema prodaje",IF(AND(K334=0,M334=0,O334=0),IF(I334&lt;POSTAVKE!$B$6,"Naruči odmah","Sve u redu"),IF(F334-H334*J334&lt;0,"Rupa za ~"&amp;TEXT(I334,"0.0")&amp;" mj.",IF(AND(M334&gt;0,F334-H334*L334+K334&lt;0),"Rupa nakon 1. dolaska",IF(AND(O334&gt;0,F334-H334*N334+K334+M334&lt;0),"Rupa nakon 2. dolaska",IF(P334&lt;POSTAVKE!$B$6,"Količina nije dovoljna",IF(I334&gt;=POSTAVKE!$B$6,"Sve u redu","Stiže na vrijeme")))))))</f>
        <v>Sve u redu</v>
      </c>
      <c r="S334" s="23" t="n">
        <f aca="false">IFERROR(INDEX(PODACI_PRODAJA!B:B,MATCH($A334,PODACI_PRODAJA!$A:$A,0)),0)</f>
        <v>1</v>
      </c>
      <c r="T334" s="23" t="n">
        <f aca="false">IFERROR(INDEX(PODACI_PRODAJA!C:C,MATCH($A334,PODACI_PRODAJA!$A:$A,0)),0)</f>
        <v>1</v>
      </c>
      <c r="U334" s="23" t="n">
        <f aca="false">IFERROR(INDEX(PODACI_PRODAJA!D:D,MATCH($A334,PODACI_PRODAJA!$A:$A,0)),0)</f>
        <v>0</v>
      </c>
      <c r="V334" s="23" t="n">
        <f aca="false">IFERROR(INDEX(PODACI_PRODAJA!E:E,MATCH($A334,PODACI_PRODAJA!$A:$A,0)),0)</f>
        <v>0</v>
      </c>
      <c r="W334" s="23" t="n">
        <f aca="false">IFERROR(INDEX(PODACI_PRODAJA!F:F,MATCH($A334,PODACI_PRODAJA!$A:$A,0)),0)</f>
        <v>0</v>
      </c>
      <c r="X334" s="23" t="n">
        <f aca="false">IFERROR(INDEX(PODACI_PRODAJA!G:G,MATCH($A334,PODACI_PRODAJA!$A:$A,0)),0)</f>
        <v>0</v>
      </c>
      <c r="Y334" s="23" t="n">
        <f aca="false">IFERROR(INDEX(PODACI_PRODAJA!H:H,MATCH($A334,PODACI_PRODAJA!$A:$A,0)),0)</f>
        <v>0</v>
      </c>
      <c r="Z334" s="23" t="n">
        <f aca="false">IFERROR(INDEX(PODACI_PRODAJA!I:I,MATCH($A334,PODACI_PRODAJA!$A:$A,0)),0)</f>
        <v>0</v>
      </c>
      <c r="AA334" s="23" t="n">
        <f aca="false">IFERROR(INDEX(PODACI_PRODAJA!J:J,MATCH($A334,PODACI_PRODAJA!$A:$A,0)),0)</f>
        <v>0</v>
      </c>
      <c r="AB334" s="23" t="n">
        <f aca="false">IFERROR(INDEX(PODACI_PRODAJA!K:K,MATCH($A334,PODACI_PRODAJA!$A:$A,0)),0)</f>
        <v>0</v>
      </c>
      <c r="AC334" s="23" t="n">
        <f aca="false">IFERROR(INDEX(PODACI_PRODAJA!L:L,MATCH($A334,PODACI_PRODAJA!$A:$A,0)),0)</f>
        <v>0</v>
      </c>
      <c r="AD334" s="23" t="n">
        <f aca="false">IFERROR(INDEX(PODACI_PRODAJA!M:M,MATCH($A334,PODACI_PRODAJA!$A:$A,0)),0)</f>
        <v>0</v>
      </c>
    </row>
    <row r="335" customFormat="false" ht="15" hidden="false" customHeight="false" outlineLevel="0" collapsed="false">
      <c r="A335" s="11" t="str">
        <f aca="false">PODACI_ZALIHE!A332</f>
        <v>1567200</v>
      </c>
      <c r="B335" s="8" t="str">
        <f aca="false">PODACI_ZALIHE!B332</f>
        <v>BOLD S BIJELA 90100 MINERALSOLID TUŠ KADA 900x1000x30 mm</v>
      </c>
      <c r="C335" s="9" t="str">
        <f aca="false">PODACI_ZALIHE!C332</f>
        <v>5140</v>
      </c>
      <c r="D335" s="8" t="str">
        <f aca="false">PODACI_ZALIHE!D332</f>
        <v>GUANGDONG OCEAN SANITARY WARE CO., LTD.</v>
      </c>
      <c r="E335" s="19" t="n">
        <f aca="false">IF(PODACI_ZALIHE!E332="","",PODACI_ZALIHE!E332)</f>
        <v>20</v>
      </c>
      <c r="F335" s="20" t="n">
        <f aca="false">PODACI_ZALIHE!F332</f>
        <v>20</v>
      </c>
      <c r="G335" s="19" t="n">
        <f aca="false">IF(E335="","",E335-F335)</f>
        <v>0</v>
      </c>
      <c r="H335" s="9" t="n">
        <f aca="false">PODACI_PRODAJA!N508</f>
        <v>2.5</v>
      </c>
      <c r="I335" s="21" t="n">
        <f aca="false">IF(H335&lt;=0,999,ROUND(F335/H335,1))</f>
        <v>8</v>
      </c>
      <c r="J335" s="9" t="n">
        <f aca="false">SUMIFS(ROBA_U_DOLASKU!$C$6:$C$95,ROBA_U_DOLASKU!$A$6:$A$95,A335,ROBA_U_DOLASKU!$H$6:$H$95,1)</f>
        <v>0</v>
      </c>
      <c r="K335" s="9" t="n">
        <f aca="false">SUMIFS(ROBA_U_DOLASKU!$B$6:$B$95,ROBA_U_DOLASKU!$A$6:$A$95,A335,ROBA_U_DOLASKU!$H$6:$H$95,1)</f>
        <v>0</v>
      </c>
      <c r="L335" s="9" t="n">
        <f aca="false">SUMIFS(ROBA_U_DOLASKU!$C$6:$C$95,ROBA_U_DOLASKU!$A$6:$A$95,A335,ROBA_U_DOLASKU!$H$6:$H$95,2)</f>
        <v>0</v>
      </c>
      <c r="M335" s="9" t="n">
        <f aca="false">SUMIFS(ROBA_U_DOLASKU!$B$6:$B$95,ROBA_U_DOLASKU!$A$6:$A$95,A335,ROBA_U_DOLASKU!$H$6:$H$95,2)</f>
        <v>0</v>
      </c>
      <c r="N335" s="9" t="n">
        <f aca="false">SUMIFS(ROBA_U_DOLASKU!$C$6:$C$95,ROBA_U_DOLASKU!$A$6:$A$95,A335,ROBA_U_DOLASKU!$H$6:$H$95,3)</f>
        <v>0</v>
      </c>
      <c r="O335" s="9" t="n">
        <f aca="false">SUMIFS(ROBA_U_DOLASKU!$B$6:$B$95,ROBA_U_DOLASKU!$A$6:$A$95,A335,ROBA_U_DOLASKU!$H$6:$H$95,3)</f>
        <v>0</v>
      </c>
      <c r="P335" s="9" t="n">
        <f aca="false">IF(H335&lt;=0,999,IF(O335&gt;0,ROUND((F335-H335*N335+K335+M335+O335)/H335,1),IF(M335&gt;0,ROUND((F335-H335*L335+K335+M335)/H335,1),IF(K335&gt;0,ROUND((F335-H335*J335+K335)/H335,1),I335))))</f>
        <v>8</v>
      </c>
      <c r="Q335" s="22" t="str">
        <f aca="false">IF(H335&lt;=0,"Nema prodaje",IF(AND(K335=0,M335=0,O335=0),IF(I335&lt;POSTAVKE!$B$6,"Naruči odmah","Sve u redu"),IF(F335-H335*J335&lt;0,"Rupa za ~"&amp;TEXT(I335,"0.0")&amp;" mj.",IF(AND(M335&gt;0,F335-H335*L335+K335&lt;0),"Rupa nakon 1. dolaska",IF(AND(O335&gt;0,F335-H335*N335+K335+M335&lt;0),"Rupa nakon 2. dolaska",IF(P335&lt;POSTAVKE!$B$6,"Količina nije dovoljna",IF(I335&gt;=POSTAVKE!$B$6,"Sve u redu","Stiže na vrijeme")))))))</f>
        <v>Sve u redu</v>
      </c>
      <c r="S335" s="23" t="n">
        <f aca="false">IFERROR(INDEX(PODACI_PRODAJA!B:B,MATCH($A335,PODACI_PRODAJA!$A:$A,0)),0)</f>
        <v>0</v>
      </c>
      <c r="T335" s="23" t="n">
        <f aca="false">IFERROR(INDEX(PODACI_PRODAJA!C:C,MATCH($A335,PODACI_PRODAJA!$A:$A,0)),0)</f>
        <v>0</v>
      </c>
      <c r="U335" s="23" t="n">
        <f aca="false">IFERROR(INDEX(PODACI_PRODAJA!D:D,MATCH($A335,PODACI_PRODAJA!$A:$A,0)),0)</f>
        <v>0</v>
      </c>
      <c r="V335" s="23" t="n">
        <f aca="false">IFERROR(INDEX(PODACI_PRODAJA!E:E,MATCH($A335,PODACI_PRODAJA!$A:$A,0)),0)</f>
        <v>0</v>
      </c>
      <c r="W335" s="23" t="n">
        <f aca="false">IFERROR(INDEX(PODACI_PRODAJA!F:F,MATCH($A335,PODACI_PRODAJA!$A:$A,0)),0)</f>
        <v>10</v>
      </c>
      <c r="X335" s="23" t="n">
        <f aca="false">IFERROR(INDEX(PODACI_PRODAJA!G:G,MATCH($A335,PODACI_PRODAJA!$A:$A,0)),0)</f>
        <v>10</v>
      </c>
      <c r="Y335" s="23" t="n">
        <f aca="false">IFERROR(INDEX(PODACI_PRODAJA!H:H,MATCH($A335,PODACI_PRODAJA!$A:$A,0)),0)</f>
        <v>0</v>
      </c>
      <c r="Z335" s="23" t="n">
        <f aca="false">IFERROR(INDEX(PODACI_PRODAJA!I:I,MATCH($A335,PODACI_PRODAJA!$A:$A,0)),0)</f>
        <v>0</v>
      </c>
      <c r="AA335" s="23" t="n">
        <f aca="false">IFERROR(INDEX(PODACI_PRODAJA!J:J,MATCH($A335,PODACI_PRODAJA!$A:$A,0)),0)</f>
        <v>0</v>
      </c>
      <c r="AB335" s="23" t="n">
        <f aca="false">IFERROR(INDEX(PODACI_PRODAJA!K:K,MATCH($A335,PODACI_PRODAJA!$A:$A,0)),0)</f>
        <v>0</v>
      </c>
      <c r="AC335" s="23" t="n">
        <f aca="false">IFERROR(INDEX(PODACI_PRODAJA!L:L,MATCH($A335,PODACI_PRODAJA!$A:$A,0)),0)</f>
        <v>0</v>
      </c>
      <c r="AD335" s="23" t="n">
        <f aca="false">IFERROR(INDEX(PODACI_PRODAJA!M:M,MATCH($A335,PODACI_PRODAJA!$A:$A,0)),0)</f>
        <v>0</v>
      </c>
    </row>
    <row r="336" customFormat="false" ht="15" hidden="false" customHeight="false" outlineLevel="0" collapsed="false">
      <c r="A336" s="11" t="str">
        <f aca="false">PODACI_ZALIHE!A333</f>
        <v>17204</v>
      </c>
      <c r="B336" s="8" t="str">
        <f aca="false">PODACI_ZALIHE!B333</f>
        <v>SIMPLE ZIDNA MIJEŠALICA ZA TUŠ S TUŠEM I DRŽAČEM</v>
      </c>
      <c r="C336" s="9" t="n">
        <f aca="false">PODACI_ZALIHE!C333</f>
        <v>0</v>
      </c>
      <c r="D336" s="8" t="n">
        <f aca="false">PODACI_ZALIHE!D333</f>
        <v>0</v>
      </c>
      <c r="E336" s="19" t="n">
        <f aca="false">IF(PODACI_ZALIHE!E333="","",PODACI_ZALIHE!E333)</f>
        <v>20</v>
      </c>
      <c r="F336" s="20" t="n">
        <f aca="false">PODACI_ZALIHE!F333</f>
        <v>20</v>
      </c>
      <c r="G336" s="19" t="n">
        <f aca="false">IF(E336="","",E336-F336)</f>
        <v>0</v>
      </c>
      <c r="H336" s="9" t="n">
        <f aca="false">PODACI_PRODAJA!N828</f>
        <v>7.13</v>
      </c>
      <c r="I336" s="21" t="n">
        <f aca="false">IF(H336&lt;=0,999,ROUND(F336/H336,1))</f>
        <v>2.8</v>
      </c>
      <c r="J336" s="9" t="n">
        <f aca="false">SUMIFS(ROBA_U_DOLASKU!$C$6:$C$95,ROBA_U_DOLASKU!$A$6:$A$95,A336,ROBA_U_DOLASKU!$H$6:$H$95,1)</f>
        <v>0</v>
      </c>
      <c r="K336" s="9" t="n">
        <f aca="false">SUMIFS(ROBA_U_DOLASKU!$B$6:$B$95,ROBA_U_DOLASKU!$A$6:$A$95,A336,ROBA_U_DOLASKU!$H$6:$H$95,1)</f>
        <v>0</v>
      </c>
      <c r="L336" s="9" t="n">
        <f aca="false">SUMIFS(ROBA_U_DOLASKU!$C$6:$C$95,ROBA_U_DOLASKU!$A$6:$A$95,A336,ROBA_U_DOLASKU!$H$6:$H$95,2)</f>
        <v>0</v>
      </c>
      <c r="M336" s="9" t="n">
        <f aca="false">SUMIFS(ROBA_U_DOLASKU!$B$6:$B$95,ROBA_U_DOLASKU!$A$6:$A$95,A336,ROBA_U_DOLASKU!$H$6:$H$95,2)</f>
        <v>0</v>
      </c>
      <c r="N336" s="9" t="n">
        <f aca="false">SUMIFS(ROBA_U_DOLASKU!$C$6:$C$95,ROBA_U_DOLASKU!$A$6:$A$95,A336,ROBA_U_DOLASKU!$H$6:$H$95,3)</f>
        <v>0</v>
      </c>
      <c r="O336" s="9" t="n">
        <f aca="false">SUMIFS(ROBA_U_DOLASKU!$B$6:$B$95,ROBA_U_DOLASKU!$A$6:$A$95,A336,ROBA_U_DOLASKU!$H$6:$H$95,3)</f>
        <v>0</v>
      </c>
      <c r="P336" s="9" t="n">
        <f aca="false">IF(H336&lt;=0,999,IF(O336&gt;0,ROUND((F336-H336*N336+K336+M336+O336)/H336,1),IF(M336&gt;0,ROUND((F336-H336*L336+K336+M336)/H336,1),IF(K336&gt;0,ROUND((F336-H336*J336+K336)/H336,1),I336))))</f>
        <v>2.8</v>
      </c>
      <c r="Q336" s="22" t="str">
        <f aca="false">IF(H336&lt;=0,"Nema prodaje",IF(AND(K336=0,M336=0,O336=0),IF(I336&lt;POSTAVKE!$B$6,"Naruči odmah","Sve u redu"),IF(F336-H336*J336&lt;0,"Rupa za ~"&amp;TEXT(I336,"0.0")&amp;" mj.",IF(AND(M336&gt;0,F336-H336*L336+K336&lt;0),"Rupa nakon 1. dolaska",IF(AND(O336&gt;0,F336-H336*N336+K336+M336&lt;0),"Rupa nakon 2. dolaska",IF(P336&lt;POSTAVKE!$B$6,"Količina nije dovoljna",IF(I336&gt;=POSTAVKE!$B$6,"Sve u redu","Stiže na vrijeme")))))))</f>
        <v>Naruči odmah</v>
      </c>
      <c r="S336" s="23" t="n">
        <f aca="false">IFERROR(INDEX(PODACI_PRODAJA!B:B,MATCH($A336,PODACI_PRODAJA!$A:$A,0)),0)</f>
        <v>-1</v>
      </c>
      <c r="T336" s="23" t="n">
        <f aca="false">IFERROR(INDEX(PODACI_PRODAJA!C:C,MATCH($A336,PODACI_PRODAJA!$A:$A,0)),0)</f>
        <v>12</v>
      </c>
      <c r="U336" s="23" t="n">
        <f aca="false">IFERROR(INDEX(PODACI_PRODAJA!D:D,MATCH($A336,PODACI_PRODAJA!$A:$A,0)),0)</f>
        <v>16</v>
      </c>
      <c r="V336" s="23" t="n">
        <f aca="false">IFERROR(INDEX(PODACI_PRODAJA!E:E,MATCH($A336,PODACI_PRODAJA!$A:$A,0)),0)</f>
        <v>20</v>
      </c>
      <c r="W336" s="23" t="n">
        <f aca="false">IFERROR(INDEX(PODACI_PRODAJA!F:F,MATCH($A336,PODACI_PRODAJA!$A:$A,0)),0)</f>
        <v>10</v>
      </c>
      <c r="X336" s="23" t="n">
        <f aca="false">IFERROR(INDEX(PODACI_PRODAJA!G:G,MATCH($A336,PODACI_PRODAJA!$A:$A,0)),0)</f>
        <v>0</v>
      </c>
      <c r="Y336" s="23" t="n">
        <f aca="false">IFERROR(INDEX(PODACI_PRODAJA!H:H,MATCH($A336,PODACI_PRODAJA!$A:$A,0)),0)</f>
        <v>0</v>
      </c>
      <c r="Z336" s="23" t="n">
        <f aca="false">IFERROR(INDEX(PODACI_PRODAJA!I:I,MATCH($A336,PODACI_PRODAJA!$A:$A,0)),0)</f>
        <v>0</v>
      </c>
      <c r="AA336" s="23" t="n">
        <f aca="false">IFERROR(INDEX(PODACI_PRODAJA!J:J,MATCH($A336,PODACI_PRODAJA!$A:$A,0)),0)</f>
        <v>0</v>
      </c>
      <c r="AB336" s="23" t="n">
        <f aca="false">IFERROR(INDEX(PODACI_PRODAJA!K:K,MATCH($A336,PODACI_PRODAJA!$A:$A,0)),0)</f>
        <v>0</v>
      </c>
      <c r="AC336" s="23" t="n">
        <f aca="false">IFERROR(INDEX(PODACI_PRODAJA!L:L,MATCH($A336,PODACI_PRODAJA!$A:$A,0)),0)</f>
        <v>0</v>
      </c>
      <c r="AD336" s="23" t="n">
        <f aca="false">IFERROR(INDEX(PODACI_PRODAJA!M:M,MATCH($A336,PODACI_PRODAJA!$A:$A,0)),0)</f>
        <v>0</v>
      </c>
    </row>
    <row r="337" customFormat="false" ht="15" hidden="false" customHeight="false" outlineLevel="0" collapsed="false">
      <c r="A337" s="11" t="str">
        <f aca="false">PODACI_ZALIHE!A334</f>
        <v>17232</v>
      </c>
      <c r="B337" s="8" t="str">
        <f aca="false">PODACI_ZALIHE!B334</f>
        <v>TK PARLA 80 BLACK KVADRATNA TUŠ KABINA 80X80X195 cm</v>
      </c>
      <c r="C337" s="9" t="str">
        <f aca="false">PODACI_ZALIHE!C334</f>
        <v>6762</v>
      </c>
      <c r="D337" s="8" t="str">
        <f aca="false">PODACI_ZALIHE!D334</f>
        <v>ZHEJIANG QUICKLINE SHOWERING CO., LTD.</v>
      </c>
      <c r="E337" s="19" t="n">
        <f aca="false">IF(PODACI_ZALIHE!E334="","",PODACI_ZALIHE!E334)</f>
        <v>20</v>
      </c>
      <c r="F337" s="20" t="n">
        <f aca="false">PODACI_ZALIHE!F334</f>
        <v>20</v>
      </c>
      <c r="G337" s="19" t="n">
        <f aca="false">IF(E337="","",E337-F337)</f>
        <v>0</v>
      </c>
      <c r="H337" s="9" t="n">
        <f aca="false">PODACI_PRODAJA!N613</f>
        <v>0.25</v>
      </c>
      <c r="I337" s="21" t="n">
        <f aca="false">IF(H337&lt;=0,999,ROUND(F337/H337,1))</f>
        <v>80</v>
      </c>
      <c r="J337" s="9" t="n">
        <f aca="false">SUMIFS(ROBA_U_DOLASKU!$C$6:$C$95,ROBA_U_DOLASKU!$A$6:$A$95,A337,ROBA_U_DOLASKU!$H$6:$H$95,1)</f>
        <v>0</v>
      </c>
      <c r="K337" s="9" t="n">
        <f aca="false">SUMIFS(ROBA_U_DOLASKU!$B$6:$B$95,ROBA_U_DOLASKU!$A$6:$A$95,A337,ROBA_U_DOLASKU!$H$6:$H$95,1)</f>
        <v>0</v>
      </c>
      <c r="L337" s="9" t="n">
        <f aca="false">SUMIFS(ROBA_U_DOLASKU!$C$6:$C$95,ROBA_U_DOLASKU!$A$6:$A$95,A337,ROBA_U_DOLASKU!$H$6:$H$95,2)</f>
        <v>0</v>
      </c>
      <c r="M337" s="9" t="n">
        <f aca="false">SUMIFS(ROBA_U_DOLASKU!$B$6:$B$95,ROBA_U_DOLASKU!$A$6:$A$95,A337,ROBA_U_DOLASKU!$H$6:$H$95,2)</f>
        <v>0</v>
      </c>
      <c r="N337" s="9" t="n">
        <f aca="false">SUMIFS(ROBA_U_DOLASKU!$C$6:$C$95,ROBA_U_DOLASKU!$A$6:$A$95,A337,ROBA_U_DOLASKU!$H$6:$H$95,3)</f>
        <v>0</v>
      </c>
      <c r="O337" s="9" t="n">
        <f aca="false">SUMIFS(ROBA_U_DOLASKU!$B$6:$B$95,ROBA_U_DOLASKU!$A$6:$A$95,A337,ROBA_U_DOLASKU!$H$6:$H$95,3)</f>
        <v>0</v>
      </c>
      <c r="P337" s="9" t="n">
        <f aca="false">IF(H337&lt;=0,999,IF(O337&gt;0,ROUND((F337-H337*N337+K337+M337+O337)/H337,1),IF(M337&gt;0,ROUND((F337-H337*L337+K337+M337)/H337,1),IF(K337&gt;0,ROUND((F337-H337*J337+K337)/H337,1),I337))))</f>
        <v>80</v>
      </c>
      <c r="Q337" s="22" t="str">
        <f aca="false">IF(H337&lt;=0,"Nema prodaje",IF(AND(K337=0,M337=0,O337=0),IF(I337&lt;POSTAVKE!$B$6,"Naruči odmah","Sve u redu"),IF(F337-H337*J337&lt;0,"Rupa za ~"&amp;TEXT(I337,"0.0")&amp;" mj.",IF(AND(M337&gt;0,F337-H337*L337+K337&lt;0),"Rupa nakon 1. dolaska",IF(AND(O337&gt;0,F337-H337*N337+K337+M337&lt;0),"Rupa nakon 2. dolaska",IF(P337&lt;POSTAVKE!$B$6,"Količina nije dovoljna",IF(I337&gt;=POSTAVKE!$B$6,"Sve u redu","Stiže na vrijeme")))))))</f>
        <v>Sve u redu</v>
      </c>
      <c r="S337" s="23" t="n">
        <f aca="false">IFERROR(INDEX(PODACI_PRODAJA!B:B,MATCH($A337,PODACI_PRODAJA!$A:$A,0)),0)</f>
        <v>0</v>
      </c>
      <c r="T337" s="23" t="n">
        <f aca="false">IFERROR(INDEX(PODACI_PRODAJA!C:C,MATCH($A337,PODACI_PRODAJA!$A:$A,0)),0)</f>
        <v>0</v>
      </c>
      <c r="U337" s="23" t="n">
        <f aca="false">IFERROR(INDEX(PODACI_PRODAJA!D:D,MATCH($A337,PODACI_PRODAJA!$A:$A,0)),0)</f>
        <v>1</v>
      </c>
      <c r="V337" s="23" t="n">
        <f aca="false">IFERROR(INDEX(PODACI_PRODAJA!E:E,MATCH($A337,PODACI_PRODAJA!$A:$A,0)),0)</f>
        <v>0</v>
      </c>
      <c r="W337" s="23" t="n">
        <f aca="false">IFERROR(INDEX(PODACI_PRODAJA!F:F,MATCH($A337,PODACI_PRODAJA!$A:$A,0)),0)</f>
        <v>0</v>
      </c>
      <c r="X337" s="23" t="n">
        <f aca="false">IFERROR(INDEX(PODACI_PRODAJA!G:G,MATCH($A337,PODACI_PRODAJA!$A:$A,0)),0)</f>
        <v>0</v>
      </c>
      <c r="Y337" s="23" t="n">
        <f aca="false">IFERROR(INDEX(PODACI_PRODAJA!H:H,MATCH($A337,PODACI_PRODAJA!$A:$A,0)),0)</f>
        <v>0</v>
      </c>
      <c r="Z337" s="23" t="n">
        <f aca="false">IFERROR(INDEX(PODACI_PRODAJA!I:I,MATCH($A337,PODACI_PRODAJA!$A:$A,0)),0)</f>
        <v>1</v>
      </c>
      <c r="AA337" s="23" t="n">
        <f aca="false">IFERROR(INDEX(PODACI_PRODAJA!J:J,MATCH($A337,PODACI_PRODAJA!$A:$A,0)),0)</f>
        <v>0</v>
      </c>
      <c r="AB337" s="23" t="n">
        <f aca="false">IFERROR(INDEX(PODACI_PRODAJA!K:K,MATCH($A337,PODACI_PRODAJA!$A:$A,0)),0)</f>
        <v>0</v>
      </c>
      <c r="AC337" s="23" t="n">
        <f aca="false">IFERROR(INDEX(PODACI_PRODAJA!L:L,MATCH($A337,PODACI_PRODAJA!$A:$A,0)),0)</f>
        <v>0</v>
      </c>
      <c r="AD337" s="23" t="n">
        <f aca="false">IFERROR(INDEX(PODACI_PRODAJA!M:M,MATCH($A337,PODACI_PRODAJA!$A:$A,0)),0)</f>
        <v>0</v>
      </c>
    </row>
    <row r="338" customFormat="false" ht="15" hidden="false" customHeight="false" outlineLevel="0" collapsed="false">
      <c r="A338" s="11" t="str">
        <f aca="false">PODACI_ZALIHE!A335</f>
        <v>17244</v>
      </c>
      <c r="B338" s="8" t="str">
        <f aca="false">PODACI_ZALIHE!B335</f>
        <v>TUŠ STAKLO ZA VETRO SLIDE TRS 120 120X195 cm</v>
      </c>
      <c r="C338" s="9" t="str">
        <f aca="false">PODACI_ZALIHE!C335</f>
        <v>6762</v>
      </c>
      <c r="D338" s="8" t="str">
        <f aca="false">PODACI_ZALIHE!D335</f>
        <v>ZHEJIANG QUICKLINE SHOWERING CO., LTD.</v>
      </c>
      <c r="E338" s="19" t="n">
        <f aca="false">IF(PODACI_ZALIHE!E335="","",PODACI_ZALIHE!E335)</f>
        <v>20</v>
      </c>
      <c r="F338" s="20" t="n">
        <f aca="false">PODACI_ZALIHE!F335</f>
        <v>20</v>
      </c>
      <c r="G338" s="19" t="n">
        <f aca="false">IF(E338="","",E338-F338)</f>
        <v>0</v>
      </c>
      <c r="H338" s="9" t="n">
        <f aca="false">PODACI_PRODAJA!N621</f>
        <v>1.75</v>
      </c>
      <c r="I338" s="21" t="n">
        <f aca="false">IF(H338&lt;=0,999,ROUND(F338/H338,1))</f>
        <v>11.4</v>
      </c>
      <c r="J338" s="9" t="n">
        <f aca="false">SUMIFS(ROBA_U_DOLASKU!$C$6:$C$95,ROBA_U_DOLASKU!$A$6:$A$95,A338,ROBA_U_DOLASKU!$H$6:$H$95,1)</f>
        <v>0</v>
      </c>
      <c r="K338" s="9" t="n">
        <f aca="false">SUMIFS(ROBA_U_DOLASKU!$B$6:$B$95,ROBA_U_DOLASKU!$A$6:$A$95,A338,ROBA_U_DOLASKU!$H$6:$H$95,1)</f>
        <v>0</v>
      </c>
      <c r="L338" s="9" t="n">
        <f aca="false">SUMIFS(ROBA_U_DOLASKU!$C$6:$C$95,ROBA_U_DOLASKU!$A$6:$A$95,A338,ROBA_U_DOLASKU!$H$6:$H$95,2)</f>
        <v>0</v>
      </c>
      <c r="M338" s="9" t="n">
        <f aca="false">SUMIFS(ROBA_U_DOLASKU!$B$6:$B$95,ROBA_U_DOLASKU!$A$6:$A$95,A338,ROBA_U_DOLASKU!$H$6:$H$95,2)</f>
        <v>0</v>
      </c>
      <c r="N338" s="9" t="n">
        <f aca="false">SUMIFS(ROBA_U_DOLASKU!$C$6:$C$95,ROBA_U_DOLASKU!$A$6:$A$95,A338,ROBA_U_DOLASKU!$H$6:$H$95,3)</f>
        <v>0</v>
      </c>
      <c r="O338" s="9" t="n">
        <f aca="false">SUMIFS(ROBA_U_DOLASKU!$B$6:$B$95,ROBA_U_DOLASKU!$A$6:$A$95,A338,ROBA_U_DOLASKU!$H$6:$H$95,3)</f>
        <v>0</v>
      </c>
      <c r="P338" s="9" t="n">
        <f aca="false">IF(H338&lt;=0,999,IF(O338&gt;0,ROUND((F338-H338*N338+K338+M338+O338)/H338,1),IF(M338&gt;0,ROUND((F338-H338*L338+K338+M338)/H338,1),IF(K338&gt;0,ROUND((F338-H338*J338+K338)/H338,1),I338))))</f>
        <v>11.4</v>
      </c>
      <c r="Q338" s="22" t="str">
        <f aca="false">IF(H338&lt;=0,"Nema prodaje",IF(AND(K338=0,M338=0,O338=0),IF(I338&lt;POSTAVKE!$B$6,"Naruči odmah","Sve u redu"),IF(F338-H338*J338&lt;0,"Rupa za ~"&amp;TEXT(I338,"0.0")&amp;" mj.",IF(AND(M338&gt;0,F338-H338*L338+K338&lt;0),"Rupa nakon 1. dolaska",IF(AND(O338&gt;0,F338-H338*N338+K338+M338&lt;0),"Rupa nakon 2. dolaska",IF(P338&lt;POSTAVKE!$B$6,"Količina nije dovoljna",IF(I338&gt;=POSTAVKE!$B$6,"Sve u redu","Stiže na vrijeme")))))))</f>
        <v>Sve u redu</v>
      </c>
      <c r="S338" s="23" t="n">
        <f aca="false">IFERROR(INDEX(PODACI_PRODAJA!B:B,MATCH($A338,PODACI_PRODAJA!$A:$A,0)),0)</f>
        <v>0</v>
      </c>
      <c r="T338" s="23" t="n">
        <f aca="false">IFERROR(INDEX(PODACI_PRODAJA!C:C,MATCH($A338,PODACI_PRODAJA!$A:$A,0)),0)</f>
        <v>6</v>
      </c>
      <c r="U338" s="23" t="n">
        <f aca="false">IFERROR(INDEX(PODACI_PRODAJA!D:D,MATCH($A338,PODACI_PRODAJA!$A:$A,0)),0)</f>
        <v>2</v>
      </c>
      <c r="V338" s="23" t="n">
        <f aca="false">IFERROR(INDEX(PODACI_PRODAJA!E:E,MATCH($A338,PODACI_PRODAJA!$A:$A,0)),0)</f>
        <v>4</v>
      </c>
      <c r="W338" s="23" t="n">
        <f aca="false">IFERROR(INDEX(PODACI_PRODAJA!F:F,MATCH($A338,PODACI_PRODAJA!$A:$A,0)),0)</f>
        <v>2</v>
      </c>
      <c r="X338" s="23" t="n">
        <f aca="false">IFERROR(INDEX(PODACI_PRODAJA!G:G,MATCH($A338,PODACI_PRODAJA!$A:$A,0)),0)</f>
        <v>0</v>
      </c>
      <c r="Y338" s="23" t="n">
        <f aca="false">IFERROR(INDEX(PODACI_PRODAJA!H:H,MATCH($A338,PODACI_PRODAJA!$A:$A,0)),0)</f>
        <v>-1</v>
      </c>
      <c r="Z338" s="23" t="n">
        <f aca="false">IFERROR(INDEX(PODACI_PRODAJA!I:I,MATCH($A338,PODACI_PRODAJA!$A:$A,0)),0)</f>
        <v>1</v>
      </c>
      <c r="AA338" s="23" t="n">
        <f aca="false">IFERROR(INDEX(PODACI_PRODAJA!J:J,MATCH($A338,PODACI_PRODAJA!$A:$A,0)),0)</f>
        <v>0</v>
      </c>
      <c r="AB338" s="23" t="n">
        <f aca="false">IFERROR(INDEX(PODACI_PRODAJA!K:K,MATCH($A338,PODACI_PRODAJA!$A:$A,0)),0)</f>
        <v>0</v>
      </c>
      <c r="AC338" s="23" t="n">
        <f aca="false">IFERROR(INDEX(PODACI_PRODAJA!L:L,MATCH($A338,PODACI_PRODAJA!$A:$A,0)),0)</f>
        <v>0</v>
      </c>
      <c r="AD338" s="23" t="n">
        <f aca="false">IFERROR(INDEX(PODACI_PRODAJA!M:M,MATCH($A338,PODACI_PRODAJA!$A:$A,0)),0)</f>
        <v>0</v>
      </c>
    </row>
    <row r="339" customFormat="false" ht="15" hidden="false" customHeight="false" outlineLevel="0" collapsed="false">
      <c r="A339" s="11" t="str">
        <f aca="false">PODACI_ZALIHE!A336</f>
        <v>17245</v>
      </c>
      <c r="B339" s="8" t="str">
        <f aca="false">PODACI_ZALIHE!B336</f>
        <v>TUŠ STAKLO ZA VETRO SLIDE BLACK 100 100X195 cm</v>
      </c>
      <c r="C339" s="9" t="str">
        <f aca="false">PODACI_ZALIHE!C336</f>
        <v>6762</v>
      </c>
      <c r="D339" s="8" t="str">
        <f aca="false">PODACI_ZALIHE!D336</f>
        <v>ZHEJIANG QUICKLINE SHOWERING CO., LTD.</v>
      </c>
      <c r="E339" s="19" t="n">
        <f aca="false">IF(PODACI_ZALIHE!E336="","",PODACI_ZALIHE!E336)</f>
        <v>20</v>
      </c>
      <c r="F339" s="20" t="n">
        <f aca="false">PODACI_ZALIHE!F336</f>
        <v>20</v>
      </c>
      <c r="G339" s="19" t="n">
        <f aca="false">IF(E339="","",E339-F339)</f>
        <v>0</v>
      </c>
      <c r="H339" s="9" t="n">
        <f aca="false">PODACI_PRODAJA!N273</f>
        <v>0.88</v>
      </c>
      <c r="I339" s="21" t="n">
        <f aca="false">IF(H339&lt;=0,999,ROUND(F339/H339,1))</f>
        <v>22.7</v>
      </c>
      <c r="J339" s="9" t="n">
        <f aca="false">SUMIFS(ROBA_U_DOLASKU!$C$6:$C$95,ROBA_U_DOLASKU!$A$6:$A$95,A339,ROBA_U_DOLASKU!$H$6:$H$95,1)</f>
        <v>0</v>
      </c>
      <c r="K339" s="9" t="n">
        <f aca="false">SUMIFS(ROBA_U_DOLASKU!$B$6:$B$95,ROBA_U_DOLASKU!$A$6:$A$95,A339,ROBA_U_DOLASKU!$H$6:$H$95,1)</f>
        <v>0</v>
      </c>
      <c r="L339" s="9" t="n">
        <f aca="false">SUMIFS(ROBA_U_DOLASKU!$C$6:$C$95,ROBA_U_DOLASKU!$A$6:$A$95,A339,ROBA_U_DOLASKU!$H$6:$H$95,2)</f>
        <v>0</v>
      </c>
      <c r="M339" s="9" t="n">
        <f aca="false">SUMIFS(ROBA_U_DOLASKU!$B$6:$B$95,ROBA_U_DOLASKU!$A$6:$A$95,A339,ROBA_U_DOLASKU!$H$6:$H$95,2)</f>
        <v>0</v>
      </c>
      <c r="N339" s="9" t="n">
        <f aca="false">SUMIFS(ROBA_U_DOLASKU!$C$6:$C$95,ROBA_U_DOLASKU!$A$6:$A$95,A339,ROBA_U_DOLASKU!$H$6:$H$95,3)</f>
        <v>0</v>
      </c>
      <c r="O339" s="9" t="n">
        <f aca="false">SUMIFS(ROBA_U_DOLASKU!$B$6:$B$95,ROBA_U_DOLASKU!$A$6:$A$95,A339,ROBA_U_DOLASKU!$H$6:$H$95,3)</f>
        <v>0</v>
      </c>
      <c r="P339" s="9" t="n">
        <f aca="false">IF(H339&lt;=0,999,IF(O339&gt;0,ROUND((F339-H339*N339+K339+M339+O339)/H339,1),IF(M339&gt;0,ROUND((F339-H339*L339+K339+M339)/H339,1),IF(K339&gt;0,ROUND((F339-H339*J339+K339)/H339,1),I339))))</f>
        <v>22.7</v>
      </c>
      <c r="Q339" s="22" t="str">
        <f aca="false">IF(H339&lt;=0,"Nema prodaje",IF(AND(K339=0,M339=0,O339=0),IF(I339&lt;POSTAVKE!$B$6,"Naruči odmah","Sve u redu"),IF(F339-H339*J339&lt;0,"Rupa za ~"&amp;TEXT(I339,"0.0")&amp;" mj.",IF(AND(M339&gt;0,F339-H339*L339+K339&lt;0),"Rupa nakon 1. dolaska",IF(AND(O339&gt;0,F339-H339*N339+K339+M339&lt;0),"Rupa nakon 2. dolaska",IF(P339&lt;POSTAVKE!$B$6,"Količina nije dovoljna",IF(I339&gt;=POSTAVKE!$B$6,"Sve u redu","Stiže na vrijeme")))))))</f>
        <v>Sve u redu</v>
      </c>
      <c r="S339" s="23" t="n">
        <f aca="false">IFERROR(INDEX(PODACI_PRODAJA!B:B,MATCH($A339,PODACI_PRODAJA!$A:$A,0)),0)</f>
        <v>1</v>
      </c>
      <c r="T339" s="23" t="n">
        <f aca="false">IFERROR(INDEX(PODACI_PRODAJA!C:C,MATCH($A339,PODACI_PRODAJA!$A:$A,0)),0)</f>
        <v>1</v>
      </c>
      <c r="U339" s="23" t="n">
        <f aca="false">IFERROR(INDEX(PODACI_PRODAJA!D:D,MATCH($A339,PODACI_PRODAJA!$A:$A,0)),0)</f>
        <v>1</v>
      </c>
      <c r="V339" s="23" t="n">
        <f aca="false">IFERROR(INDEX(PODACI_PRODAJA!E:E,MATCH($A339,PODACI_PRODAJA!$A:$A,0)),0)</f>
        <v>1</v>
      </c>
      <c r="W339" s="23" t="n">
        <f aca="false">IFERROR(INDEX(PODACI_PRODAJA!F:F,MATCH($A339,PODACI_PRODAJA!$A:$A,0)),0)</f>
        <v>0</v>
      </c>
      <c r="X339" s="23" t="n">
        <f aca="false">IFERROR(INDEX(PODACI_PRODAJA!G:G,MATCH($A339,PODACI_PRODAJA!$A:$A,0)),0)</f>
        <v>2</v>
      </c>
      <c r="Y339" s="23" t="n">
        <f aca="false">IFERROR(INDEX(PODACI_PRODAJA!H:H,MATCH($A339,PODACI_PRODAJA!$A:$A,0)),0)</f>
        <v>1</v>
      </c>
      <c r="Z339" s="23" t="n">
        <f aca="false">IFERROR(INDEX(PODACI_PRODAJA!I:I,MATCH($A339,PODACI_PRODAJA!$A:$A,0)),0)</f>
        <v>0</v>
      </c>
      <c r="AA339" s="23" t="n">
        <f aca="false">IFERROR(INDEX(PODACI_PRODAJA!J:J,MATCH($A339,PODACI_PRODAJA!$A:$A,0)),0)</f>
        <v>0</v>
      </c>
      <c r="AB339" s="23" t="n">
        <f aca="false">IFERROR(INDEX(PODACI_PRODAJA!K:K,MATCH($A339,PODACI_PRODAJA!$A:$A,0)),0)</f>
        <v>0</v>
      </c>
      <c r="AC339" s="23" t="n">
        <f aca="false">IFERROR(INDEX(PODACI_PRODAJA!L:L,MATCH($A339,PODACI_PRODAJA!$A:$A,0)),0)</f>
        <v>0</v>
      </c>
      <c r="AD339" s="23" t="n">
        <f aca="false">IFERROR(INDEX(PODACI_PRODAJA!M:M,MATCH($A339,PODACI_PRODAJA!$A:$A,0)),0)</f>
        <v>0</v>
      </c>
    </row>
    <row r="340" customFormat="false" ht="15" hidden="false" customHeight="false" outlineLevel="0" collapsed="false">
      <c r="A340" s="11" t="str">
        <f aca="false">PODACI_ZALIHE!A337</f>
        <v>042126C</v>
      </c>
      <c r="B340" s="8" t="str">
        <f aca="false">PODACI_ZALIHE!B337</f>
        <v>SHINE C DIA100 cm LED OGLEDALO SA SENZOROM POKRETA</v>
      </c>
      <c r="C340" s="9" t="str">
        <f aca="false">PODACI_ZALIHE!C337</f>
        <v>6032</v>
      </c>
      <c r="D340" s="8" t="str">
        <f aca="false">PODACI_ZALIHE!D337</f>
        <v>HANGZHOU ZIHAN MIRROR INDUSTRY CO., LTD.</v>
      </c>
      <c r="E340" s="19" t="n">
        <f aca="false">IF(PODACI_ZALIHE!E337="","",PODACI_ZALIHE!E337)</f>
        <v>19</v>
      </c>
      <c r="F340" s="20" t="n">
        <f aca="false">PODACI_ZALIHE!F337</f>
        <v>19</v>
      </c>
      <c r="G340" s="19" t="n">
        <f aca="false">IF(E340="","",E340-F340)</f>
        <v>0</v>
      </c>
      <c r="H340" s="9" t="n">
        <f aca="false">PODACI_PRODAJA!N225</f>
        <v>2.25</v>
      </c>
      <c r="I340" s="21" t="n">
        <f aca="false">IF(H340&lt;=0,999,ROUND(F340/H340,1))</f>
        <v>8.4</v>
      </c>
      <c r="J340" s="9" t="n">
        <f aca="false">SUMIFS(ROBA_U_DOLASKU!$C$6:$C$95,ROBA_U_DOLASKU!$A$6:$A$95,A340,ROBA_U_DOLASKU!$H$6:$H$95,1)</f>
        <v>0</v>
      </c>
      <c r="K340" s="9" t="n">
        <f aca="false">SUMIFS(ROBA_U_DOLASKU!$B$6:$B$95,ROBA_U_DOLASKU!$A$6:$A$95,A340,ROBA_U_DOLASKU!$H$6:$H$95,1)</f>
        <v>0</v>
      </c>
      <c r="L340" s="9" t="n">
        <f aca="false">SUMIFS(ROBA_U_DOLASKU!$C$6:$C$95,ROBA_U_DOLASKU!$A$6:$A$95,A340,ROBA_U_DOLASKU!$H$6:$H$95,2)</f>
        <v>0</v>
      </c>
      <c r="M340" s="9" t="n">
        <f aca="false">SUMIFS(ROBA_U_DOLASKU!$B$6:$B$95,ROBA_U_DOLASKU!$A$6:$A$95,A340,ROBA_U_DOLASKU!$H$6:$H$95,2)</f>
        <v>0</v>
      </c>
      <c r="N340" s="9" t="n">
        <f aca="false">SUMIFS(ROBA_U_DOLASKU!$C$6:$C$95,ROBA_U_DOLASKU!$A$6:$A$95,A340,ROBA_U_DOLASKU!$H$6:$H$95,3)</f>
        <v>0</v>
      </c>
      <c r="O340" s="9" t="n">
        <f aca="false">SUMIFS(ROBA_U_DOLASKU!$B$6:$B$95,ROBA_U_DOLASKU!$A$6:$A$95,A340,ROBA_U_DOLASKU!$H$6:$H$95,3)</f>
        <v>0</v>
      </c>
      <c r="P340" s="9" t="n">
        <f aca="false">IF(H340&lt;=0,999,IF(O340&gt;0,ROUND((F340-H340*N340+K340+M340+O340)/H340,1),IF(M340&gt;0,ROUND((F340-H340*L340+K340+M340)/H340,1),IF(K340&gt;0,ROUND((F340-H340*J340+K340)/H340,1),I340))))</f>
        <v>8.4</v>
      </c>
      <c r="Q340" s="22" t="str">
        <f aca="false">IF(H340&lt;=0,"Nema prodaje",IF(AND(K340=0,M340=0,O340=0),IF(I340&lt;POSTAVKE!$B$6,"Naruči odmah","Sve u redu"),IF(F340-H340*J340&lt;0,"Rupa za ~"&amp;TEXT(I340,"0.0")&amp;" mj.",IF(AND(M340&gt;0,F340-H340*L340+K340&lt;0),"Rupa nakon 1. dolaska",IF(AND(O340&gt;0,F340-H340*N340+K340+M340&lt;0),"Rupa nakon 2. dolaska",IF(P340&lt;POSTAVKE!$B$6,"Količina nije dovoljna",IF(I340&gt;=POSTAVKE!$B$6,"Sve u redu","Stiže na vrijeme")))))))</f>
        <v>Sve u redu</v>
      </c>
      <c r="S340" s="23" t="n">
        <f aca="false">IFERROR(INDEX(PODACI_PRODAJA!B:B,MATCH($A340,PODACI_PRODAJA!$A:$A,0)),0)</f>
        <v>1</v>
      </c>
      <c r="T340" s="23" t="n">
        <f aca="false">IFERROR(INDEX(PODACI_PRODAJA!C:C,MATCH($A340,PODACI_PRODAJA!$A:$A,0)),0)</f>
        <v>2</v>
      </c>
      <c r="U340" s="23" t="n">
        <f aca="false">IFERROR(INDEX(PODACI_PRODAJA!D:D,MATCH($A340,PODACI_PRODAJA!$A:$A,0)),0)</f>
        <v>6</v>
      </c>
      <c r="V340" s="23" t="n">
        <f aca="false">IFERROR(INDEX(PODACI_PRODAJA!E:E,MATCH($A340,PODACI_PRODAJA!$A:$A,0)),0)</f>
        <v>1</v>
      </c>
      <c r="W340" s="23" t="n">
        <f aca="false">IFERROR(INDEX(PODACI_PRODAJA!F:F,MATCH($A340,PODACI_PRODAJA!$A:$A,0)),0)</f>
        <v>7</v>
      </c>
      <c r="X340" s="23" t="n">
        <f aca="false">IFERROR(INDEX(PODACI_PRODAJA!G:G,MATCH($A340,PODACI_PRODAJA!$A:$A,0)),0)</f>
        <v>0</v>
      </c>
      <c r="Y340" s="23" t="n">
        <f aca="false">IFERROR(INDEX(PODACI_PRODAJA!H:H,MATCH($A340,PODACI_PRODAJA!$A:$A,0)),0)</f>
        <v>0</v>
      </c>
      <c r="Z340" s="23" t="n">
        <f aca="false">IFERROR(INDEX(PODACI_PRODAJA!I:I,MATCH($A340,PODACI_PRODAJA!$A:$A,0)),0)</f>
        <v>1</v>
      </c>
      <c r="AA340" s="23" t="n">
        <f aca="false">IFERROR(INDEX(PODACI_PRODAJA!J:J,MATCH($A340,PODACI_PRODAJA!$A:$A,0)),0)</f>
        <v>0</v>
      </c>
      <c r="AB340" s="23" t="n">
        <f aca="false">IFERROR(INDEX(PODACI_PRODAJA!K:K,MATCH($A340,PODACI_PRODAJA!$A:$A,0)),0)</f>
        <v>0</v>
      </c>
      <c r="AC340" s="23" t="n">
        <f aca="false">IFERROR(INDEX(PODACI_PRODAJA!L:L,MATCH($A340,PODACI_PRODAJA!$A:$A,0)),0)</f>
        <v>0</v>
      </c>
      <c r="AD340" s="23" t="n">
        <f aca="false">IFERROR(INDEX(PODACI_PRODAJA!M:M,MATCH($A340,PODACI_PRODAJA!$A:$A,0)),0)</f>
        <v>0</v>
      </c>
    </row>
    <row r="341" customFormat="false" ht="15" hidden="false" customHeight="false" outlineLevel="0" collapsed="false">
      <c r="A341" s="11" t="str">
        <f aca="false">PODACI_ZALIHE!A338</f>
        <v>042330</v>
      </c>
      <c r="B341" s="8" t="str">
        <f aca="false">PODACI_ZALIHE!B338</f>
        <v>VETRO TRS 130 TUŠ STIJENA 130x200 cm</v>
      </c>
      <c r="C341" s="9" t="str">
        <f aca="false">PODACI_ZALIHE!C338</f>
        <v>4328</v>
      </c>
      <c r="D341" s="8" t="str">
        <f aca="false">PODACI_ZALIHE!D338</f>
        <v>HANGZHOU DUHUI IMPORT AND EXPORT CO.,LTD</v>
      </c>
      <c r="E341" s="19" t="n">
        <f aca="false">IF(PODACI_ZALIHE!E338="","",PODACI_ZALIHE!E338)</f>
        <v>19</v>
      </c>
      <c r="F341" s="20" t="n">
        <f aca="false">PODACI_ZALIHE!F338</f>
        <v>19</v>
      </c>
      <c r="G341" s="19" t="n">
        <f aca="false">IF(E341="","",E341-F341)</f>
        <v>0</v>
      </c>
      <c r="H341" s="9" t="n">
        <f aca="false">PODACI_PRODAJA!N424</f>
        <v>1</v>
      </c>
      <c r="I341" s="21" t="n">
        <f aca="false">IF(H341&lt;=0,999,ROUND(F341/H341,1))</f>
        <v>19</v>
      </c>
      <c r="J341" s="9" t="n">
        <f aca="false">SUMIFS(ROBA_U_DOLASKU!$C$6:$C$95,ROBA_U_DOLASKU!$A$6:$A$95,A341,ROBA_U_DOLASKU!$H$6:$H$95,1)</f>
        <v>0</v>
      </c>
      <c r="K341" s="9" t="n">
        <f aca="false">SUMIFS(ROBA_U_DOLASKU!$B$6:$B$95,ROBA_U_DOLASKU!$A$6:$A$95,A341,ROBA_U_DOLASKU!$H$6:$H$95,1)</f>
        <v>0</v>
      </c>
      <c r="L341" s="9" t="n">
        <f aca="false">SUMIFS(ROBA_U_DOLASKU!$C$6:$C$95,ROBA_U_DOLASKU!$A$6:$A$95,A341,ROBA_U_DOLASKU!$H$6:$H$95,2)</f>
        <v>0</v>
      </c>
      <c r="M341" s="9" t="n">
        <f aca="false">SUMIFS(ROBA_U_DOLASKU!$B$6:$B$95,ROBA_U_DOLASKU!$A$6:$A$95,A341,ROBA_U_DOLASKU!$H$6:$H$95,2)</f>
        <v>0</v>
      </c>
      <c r="N341" s="9" t="n">
        <f aca="false">SUMIFS(ROBA_U_DOLASKU!$C$6:$C$95,ROBA_U_DOLASKU!$A$6:$A$95,A341,ROBA_U_DOLASKU!$H$6:$H$95,3)</f>
        <v>0</v>
      </c>
      <c r="O341" s="9" t="n">
        <f aca="false">SUMIFS(ROBA_U_DOLASKU!$B$6:$B$95,ROBA_U_DOLASKU!$A$6:$A$95,A341,ROBA_U_DOLASKU!$H$6:$H$95,3)</f>
        <v>0</v>
      </c>
      <c r="P341" s="9" t="n">
        <f aca="false">IF(H341&lt;=0,999,IF(O341&gt;0,ROUND((F341-H341*N341+K341+M341+O341)/H341,1),IF(M341&gt;0,ROUND((F341-H341*L341+K341+M341)/H341,1),IF(K341&gt;0,ROUND((F341-H341*J341+K341)/H341,1),I341))))</f>
        <v>19</v>
      </c>
      <c r="Q341" s="22" t="str">
        <f aca="false">IF(H341&lt;=0,"Nema prodaje",IF(AND(K341=0,M341=0,O341=0),IF(I341&lt;POSTAVKE!$B$6,"Naruči odmah","Sve u redu"),IF(F341-H341*J341&lt;0,"Rupa za ~"&amp;TEXT(I341,"0.0")&amp;" mj.",IF(AND(M341&gt;0,F341-H341*L341+K341&lt;0),"Rupa nakon 1. dolaska",IF(AND(O341&gt;0,F341-H341*N341+K341+M341&lt;0),"Rupa nakon 2. dolaska",IF(P341&lt;POSTAVKE!$B$6,"Količina nije dovoljna",IF(I341&gt;=POSTAVKE!$B$6,"Sve u redu","Stiže na vrijeme")))))))</f>
        <v>Sve u redu</v>
      </c>
      <c r="S341" s="23" t="n">
        <f aca="false">IFERROR(INDEX(PODACI_PRODAJA!B:B,MATCH($A341,PODACI_PRODAJA!$A:$A,0)),0)</f>
        <v>0</v>
      </c>
      <c r="T341" s="23" t="n">
        <f aca="false">IFERROR(INDEX(PODACI_PRODAJA!C:C,MATCH($A341,PODACI_PRODAJA!$A:$A,0)),0)</f>
        <v>0</v>
      </c>
      <c r="U341" s="23" t="n">
        <f aca="false">IFERROR(INDEX(PODACI_PRODAJA!D:D,MATCH($A341,PODACI_PRODAJA!$A:$A,0)),0)</f>
        <v>2</v>
      </c>
      <c r="V341" s="23" t="n">
        <f aca="false">IFERROR(INDEX(PODACI_PRODAJA!E:E,MATCH($A341,PODACI_PRODAJA!$A:$A,0)),0)</f>
        <v>4</v>
      </c>
      <c r="W341" s="23" t="n">
        <f aca="false">IFERROR(INDEX(PODACI_PRODAJA!F:F,MATCH($A341,PODACI_PRODAJA!$A:$A,0)),0)</f>
        <v>0</v>
      </c>
      <c r="X341" s="23" t="n">
        <f aca="false">IFERROR(INDEX(PODACI_PRODAJA!G:G,MATCH($A341,PODACI_PRODAJA!$A:$A,0)),0)</f>
        <v>1</v>
      </c>
      <c r="Y341" s="23" t="n">
        <f aca="false">IFERROR(INDEX(PODACI_PRODAJA!H:H,MATCH($A341,PODACI_PRODAJA!$A:$A,0)),0)</f>
        <v>0</v>
      </c>
      <c r="Z341" s="23" t="n">
        <f aca="false">IFERROR(INDEX(PODACI_PRODAJA!I:I,MATCH($A341,PODACI_PRODAJA!$A:$A,0)),0)</f>
        <v>1</v>
      </c>
      <c r="AA341" s="23" t="n">
        <f aca="false">IFERROR(INDEX(PODACI_PRODAJA!J:J,MATCH($A341,PODACI_PRODAJA!$A:$A,0)),0)</f>
        <v>0</v>
      </c>
      <c r="AB341" s="23" t="n">
        <f aca="false">IFERROR(INDEX(PODACI_PRODAJA!K:K,MATCH($A341,PODACI_PRODAJA!$A:$A,0)),0)</f>
        <v>0</v>
      </c>
      <c r="AC341" s="23" t="n">
        <f aca="false">IFERROR(INDEX(PODACI_PRODAJA!L:L,MATCH($A341,PODACI_PRODAJA!$A:$A,0)),0)</f>
        <v>0</v>
      </c>
      <c r="AD341" s="23" t="n">
        <f aca="false">IFERROR(INDEX(PODACI_PRODAJA!M:M,MATCH($A341,PODACI_PRODAJA!$A:$A,0)),0)</f>
        <v>0</v>
      </c>
    </row>
    <row r="342" customFormat="false" ht="15" hidden="false" customHeight="false" outlineLevel="0" collapsed="false">
      <c r="A342" s="11" t="str">
        <f aca="false">PODACI_ZALIHE!A339</f>
        <v>042430</v>
      </c>
      <c r="B342" s="8" t="str">
        <f aca="false">PODACI_ZALIHE!B339</f>
        <v>VETRO TRS 160 TUŠ STIJENA 160x200 cm</v>
      </c>
      <c r="C342" s="9" t="str">
        <f aca="false">PODACI_ZALIHE!C339</f>
        <v>4328</v>
      </c>
      <c r="D342" s="8" t="str">
        <f aca="false">PODACI_ZALIHE!D339</f>
        <v>HANGZHOU DUHUI IMPORT AND EXPORT CO.,LTD</v>
      </c>
      <c r="E342" s="19" t="n">
        <f aca="false">IF(PODACI_ZALIHE!E339="","",PODACI_ZALIHE!E339)</f>
        <v>19</v>
      </c>
      <c r="F342" s="20" t="n">
        <f aca="false">PODACI_ZALIHE!F339</f>
        <v>19</v>
      </c>
      <c r="G342" s="19" t="n">
        <f aca="false">IF(E342="","",E342-F342)</f>
        <v>0</v>
      </c>
      <c r="H342" s="9" t="n">
        <f aca="false">PODACI_PRODAJA!N179</f>
        <v>0.75</v>
      </c>
      <c r="I342" s="21" t="n">
        <f aca="false">IF(H342&lt;=0,999,ROUND(F342/H342,1))</f>
        <v>25.3</v>
      </c>
      <c r="J342" s="9" t="n">
        <f aca="false">SUMIFS(ROBA_U_DOLASKU!$C$6:$C$95,ROBA_U_DOLASKU!$A$6:$A$95,A342,ROBA_U_DOLASKU!$H$6:$H$95,1)</f>
        <v>0</v>
      </c>
      <c r="K342" s="9" t="n">
        <f aca="false">SUMIFS(ROBA_U_DOLASKU!$B$6:$B$95,ROBA_U_DOLASKU!$A$6:$A$95,A342,ROBA_U_DOLASKU!$H$6:$H$95,1)</f>
        <v>0</v>
      </c>
      <c r="L342" s="9" t="n">
        <f aca="false">SUMIFS(ROBA_U_DOLASKU!$C$6:$C$95,ROBA_U_DOLASKU!$A$6:$A$95,A342,ROBA_U_DOLASKU!$H$6:$H$95,2)</f>
        <v>0</v>
      </c>
      <c r="M342" s="9" t="n">
        <f aca="false">SUMIFS(ROBA_U_DOLASKU!$B$6:$B$95,ROBA_U_DOLASKU!$A$6:$A$95,A342,ROBA_U_DOLASKU!$H$6:$H$95,2)</f>
        <v>0</v>
      </c>
      <c r="N342" s="9" t="n">
        <f aca="false">SUMIFS(ROBA_U_DOLASKU!$C$6:$C$95,ROBA_U_DOLASKU!$A$6:$A$95,A342,ROBA_U_DOLASKU!$H$6:$H$95,3)</f>
        <v>0</v>
      </c>
      <c r="O342" s="9" t="n">
        <f aca="false">SUMIFS(ROBA_U_DOLASKU!$B$6:$B$95,ROBA_U_DOLASKU!$A$6:$A$95,A342,ROBA_U_DOLASKU!$H$6:$H$95,3)</f>
        <v>0</v>
      </c>
      <c r="P342" s="9" t="n">
        <f aca="false">IF(H342&lt;=0,999,IF(O342&gt;0,ROUND((F342-H342*N342+K342+M342+O342)/H342,1),IF(M342&gt;0,ROUND((F342-H342*L342+K342+M342)/H342,1),IF(K342&gt;0,ROUND((F342-H342*J342+K342)/H342,1),I342))))</f>
        <v>25.3</v>
      </c>
      <c r="Q342" s="22" t="str">
        <f aca="false">IF(H342&lt;=0,"Nema prodaje",IF(AND(K342=0,M342=0,O342=0),IF(I342&lt;POSTAVKE!$B$6,"Naruči odmah","Sve u redu"),IF(F342-H342*J342&lt;0,"Rupa za ~"&amp;TEXT(I342,"0.0")&amp;" mj.",IF(AND(M342&gt;0,F342-H342*L342+K342&lt;0),"Rupa nakon 1. dolaska",IF(AND(O342&gt;0,F342-H342*N342+K342+M342&lt;0),"Rupa nakon 2. dolaska",IF(P342&lt;POSTAVKE!$B$6,"Količina nije dovoljna",IF(I342&gt;=POSTAVKE!$B$6,"Sve u redu","Stiže na vrijeme")))))))</f>
        <v>Sve u redu</v>
      </c>
      <c r="S342" s="23" t="n">
        <f aca="false">IFERROR(INDEX(PODACI_PRODAJA!B:B,MATCH($A342,PODACI_PRODAJA!$A:$A,0)),0)</f>
        <v>2</v>
      </c>
      <c r="T342" s="23" t="n">
        <f aca="false">IFERROR(INDEX(PODACI_PRODAJA!C:C,MATCH($A342,PODACI_PRODAJA!$A:$A,0)),0)</f>
        <v>0</v>
      </c>
      <c r="U342" s="23" t="n">
        <f aca="false">IFERROR(INDEX(PODACI_PRODAJA!D:D,MATCH($A342,PODACI_PRODAJA!$A:$A,0)),0)</f>
        <v>2</v>
      </c>
      <c r="V342" s="23" t="n">
        <f aca="false">IFERROR(INDEX(PODACI_PRODAJA!E:E,MATCH($A342,PODACI_PRODAJA!$A:$A,0)),0)</f>
        <v>0</v>
      </c>
      <c r="W342" s="23" t="n">
        <f aca="false">IFERROR(INDEX(PODACI_PRODAJA!F:F,MATCH($A342,PODACI_PRODAJA!$A:$A,0)),0)</f>
        <v>1</v>
      </c>
      <c r="X342" s="23" t="n">
        <f aca="false">IFERROR(INDEX(PODACI_PRODAJA!G:G,MATCH($A342,PODACI_PRODAJA!$A:$A,0)),0)</f>
        <v>0</v>
      </c>
      <c r="Y342" s="23" t="n">
        <f aca="false">IFERROR(INDEX(PODACI_PRODAJA!H:H,MATCH($A342,PODACI_PRODAJA!$A:$A,0)),0)</f>
        <v>1</v>
      </c>
      <c r="Z342" s="23" t="n">
        <f aca="false">IFERROR(INDEX(PODACI_PRODAJA!I:I,MATCH($A342,PODACI_PRODAJA!$A:$A,0)),0)</f>
        <v>0</v>
      </c>
      <c r="AA342" s="23" t="n">
        <f aca="false">IFERROR(INDEX(PODACI_PRODAJA!J:J,MATCH($A342,PODACI_PRODAJA!$A:$A,0)),0)</f>
        <v>0</v>
      </c>
      <c r="AB342" s="23" t="n">
        <f aca="false">IFERROR(INDEX(PODACI_PRODAJA!K:K,MATCH($A342,PODACI_PRODAJA!$A:$A,0)),0)</f>
        <v>0</v>
      </c>
      <c r="AC342" s="23" t="n">
        <f aca="false">IFERROR(INDEX(PODACI_PRODAJA!L:L,MATCH($A342,PODACI_PRODAJA!$A:$A,0)),0)</f>
        <v>0</v>
      </c>
      <c r="AD342" s="23" t="n">
        <f aca="false">IFERROR(INDEX(PODACI_PRODAJA!M:M,MATCH($A342,PODACI_PRODAJA!$A:$A,0)),0)</f>
        <v>0</v>
      </c>
    </row>
    <row r="343" customFormat="false" ht="15" hidden="false" customHeight="false" outlineLevel="0" collapsed="false">
      <c r="A343" s="11" t="str">
        <f aca="false">PODACI_ZALIHE!A340</f>
        <v>15221</v>
      </c>
      <c r="B343" s="8" t="str">
        <f aca="false">PODACI_ZALIHE!B340</f>
        <v>TK BLACK 80 POLUKRUŽNA TUŠ KABINA 80x80x195 cm</v>
      </c>
      <c r="C343" s="9" t="str">
        <f aca="false">PODACI_ZALIHE!C340</f>
        <v>5645</v>
      </c>
      <c r="D343" s="8" t="str">
        <f aca="false">PODACI_ZALIHE!D340</f>
        <v>MAVAW (ZHEJIANG) SMART HOME CO.,LTD</v>
      </c>
      <c r="E343" s="19" t="n">
        <f aca="false">IF(PODACI_ZALIHE!E340="","",PODACI_ZALIHE!E340)</f>
        <v>19</v>
      </c>
      <c r="F343" s="20" t="n">
        <f aca="false">PODACI_ZALIHE!F340</f>
        <v>19</v>
      </c>
      <c r="G343" s="19" t="n">
        <f aca="false">IF(E343="","",E343-F343)</f>
        <v>0</v>
      </c>
      <c r="H343" s="9" t="n">
        <f aca="false">PODACI_PRODAJA!N230</f>
        <v>1</v>
      </c>
      <c r="I343" s="21" t="n">
        <f aca="false">IF(H343&lt;=0,999,ROUND(F343/H343,1))</f>
        <v>19</v>
      </c>
      <c r="J343" s="9" t="n">
        <f aca="false">SUMIFS(ROBA_U_DOLASKU!$C$6:$C$95,ROBA_U_DOLASKU!$A$6:$A$95,A343,ROBA_U_DOLASKU!$H$6:$H$95,1)</f>
        <v>0</v>
      </c>
      <c r="K343" s="9" t="n">
        <f aca="false">SUMIFS(ROBA_U_DOLASKU!$B$6:$B$95,ROBA_U_DOLASKU!$A$6:$A$95,A343,ROBA_U_DOLASKU!$H$6:$H$95,1)</f>
        <v>0</v>
      </c>
      <c r="L343" s="9" t="n">
        <f aca="false">SUMIFS(ROBA_U_DOLASKU!$C$6:$C$95,ROBA_U_DOLASKU!$A$6:$A$95,A343,ROBA_U_DOLASKU!$H$6:$H$95,2)</f>
        <v>0</v>
      </c>
      <c r="M343" s="9" t="n">
        <f aca="false">SUMIFS(ROBA_U_DOLASKU!$B$6:$B$95,ROBA_U_DOLASKU!$A$6:$A$95,A343,ROBA_U_DOLASKU!$H$6:$H$95,2)</f>
        <v>0</v>
      </c>
      <c r="N343" s="9" t="n">
        <f aca="false">SUMIFS(ROBA_U_DOLASKU!$C$6:$C$95,ROBA_U_DOLASKU!$A$6:$A$95,A343,ROBA_U_DOLASKU!$H$6:$H$95,3)</f>
        <v>0</v>
      </c>
      <c r="O343" s="9" t="n">
        <f aca="false">SUMIFS(ROBA_U_DOLASKU!$B$6:$B$95,ROBA_U_DOLASKU!$A$6:$A$95,A343,ROBA_U_DOLASKU!$H$6:$H$95,3)</f>
        <v>0</v>
      </c>
      <c r="P343" s="9" t="n">
        <f aca="false">IF(H343&lt;=0,999,IF(O343&gt;0,ROUND((F343-H343*N343+K343+M343+O343)/H343,1),IF(M343&gt;0,ROUND((F343-H343*L343+K343+M343)/H343,1),IF(K343&gt;0,ROUND((F343-H343*J343+K343)/H343,1),I343))))</f>
        <v>19</v>
      </c>
      <c r="Q343" s="22" t="str">
        <f aca="false">IF(H343&lt;=0,"Nema prodaje",IF(AND(K343=0,M343=0,O343=0),IF(I343&lt;POSTAVKE!$B$6,"Naruči odmah","Sve u redu"),IF(F343-H343*J343&lt;0,"Rupa za ~"&amp;TEXT(I343,"0.0")&amp;" mj.",IF(AND(M343&gt;0,F343-H343*L343+K343&lt;0),"Rupa nakon 1. dolaska",IF(AND(O343&gt;0,F343-H343*N343+K343+M343&lt;0),"Rupa nakon 2. dolaska",IF(P343&lt;POSTAVKE!$B$6,"Količina nije dovoljna",IF(I343&gt;=POSTAVKE!$B$6,"Sve u redu","Stiže na vrijeme")))))))</f>
        <v>Sve u redu</v>
      </c>
      <c r="S343" s="23" t="n">
        <f aca="false">IFERROR(INDEX(PODACI_PRODAJA!B:B,MATCH($A343,PODACI_PRODAJA!$A:$A,0)),0)</f>
        <v>1</v>
      </c>
      <c r="T343" s="23" t="n">
        <f aca="false">IFERROR(INDEX(PODACI_PRODAJA!C:C,MATCH($A343,PODACI_PRODAJA!$A:$A,0)),0)</f>
        <v>0</v>
      </c>
      <c r="U343" s="23" t="n">
        <f aca="false">IFERROR(INDEX(PODACI_PRODAJA!D:D,MATCH($A343,PODACI_PRODAJA!$A:$A,0)),0)</f>
        <v>0</v>
      </c>
      <c r="V343" s="23" t="n">
        <f aca="false">IFERROR(INDEX(PODACI_PRODAJA!E:E,MATCH($A343,PODACI_PRODAJA!$A:$A,0)),0)</f>
        <v>2</v>
      </c>
      <c r="W343" s="23" t="n">
        <f aca="false">IFERROR(INDEX(PODACI_PRODAJA!F:F,MATCH($A343,PODACI_PRODAJA!$A:$A,0)),0)</f>
        <v>0</v>
      </c>
      <c r="X343" s="23" t="n">
        <f aca="false">IFERROR(INDEX(PODACI_PRODAJA!G:G,MATCH($A343,PODACI_PRODAJA!$A:$A,0)),0)</f>
        <v>1</v>
      </c>
      <c r="Y343" s="23" t="n">
        <f aca="false">IFERROR(INDEX(PODACI_PRODAJA!H:H,MATCH($A343,PODACI_PRODAJA!$A:$A,0)),0)</f>
        <v>3</v>
      </c>
      <c r="Z343" s="23" t="n">
        <f aca="false">IFERROR(INDEX(PODACI_PRODAJA!I:I,MATCH($A343,PODACI_PRODAJA!$A:$A,0)),0)</f>
        <v>1</v>
      </c>
      <c r="AA343" s="23" t="n">
        <f aca="false">IFERROR(INDEX(PODACI_PRODAJA!J:J,MATCH($A343,PODACI_PRODAJA!$A:$A,0)),0)</f>
        <v>0</v>
      </c>
      <c r="AB343" s="23" t="n">
        <f aca="false">IFERROR(INDEX(PODACI_PRODAJA!K:K,MATCH($A343,PODACI_PRODAJA!$A:$A,0)),0)</f>
        <v>0</v>
      </c>
      <c r="AC343" s="23" t="n">
        <f aca="false">IFERROR(INDEX(PODACI_PRODAJA!L:L,MATCH($A343,PODACI_PRODAJA!$A:$A,0)),0)</f>
        <v>0</v>
      </c>
      <c r="AD343" s="23" t="n">
        <f aca="false">IFERROR(INDEX(PODACI_PRODAJA!M:M,MATCH($A343,PODACI_PRODAJA!$A:$A,0)),0)</f>
        <v>0</v>
      </c>
    </row>
    <row r="344" customFormat="false" ht="15" hidden="false" customHeight="false" outlineLevel="0" collapsed="false">
      <c r="A344" s="11" t="str">
        <f aca="false">PODACI_ZALIHE!A341</f>
        <v>16093</v>
      </c>
      <c r="B344" s="8" t="str">
        <f aca="false">PODACI_ZALIHE!B341</f>
        <v>TK SILVER LINE 7090 PRAVOKUTNA TUŠ KABINA 70x90x195 cm</v>
      </c>
      <c r="C344" s="9" t="str">
        <f aca="false">PODACI_ZALIHE!C341</f>
        <v>4328</v>
      </c>
      <c r="D344" s="8" t="str">
        <f aca="false">PODACI_ZALIHE!D341</f>
        <v>HANGZHOU DUHUI IMPORT AND EXPORT CO.,LTD</v>
      </c>
      <c r="E344" s="19" t="n">
        <f aca="false">IF(PODACI_ZALIHE!E341="","",PODACI_ZALIHE!E341)</f>
        <v>19</v>
      </c>
      <c r="F344" s="20" t="n">
        <f aca="false">PODACI_ZALIHE!F341</f>
        <v>19</v>
      </c>
      <c r="G344" s="19" t="n">
        <f aca="false">IF(E344="","",E344-F344)</f>
        <v>0</v>
      </c>
      <c r="H344" s="9" t="n">
        <f aca="false">PODACI_PRODAJA!N560</f>
        <v>1.38</v>
      </c>
      <c r="I344" s="21" t="n">
        <f aca="false">IF(H344&lt;=0,999,ROUND(F344/H344,1))</f>
        <v>13.8</v>
      </c>
      <c r="J344" s="9" t="n">
        <f aca="false">SUMIFS(ROBA_U_DOLASKU!$C$6:$C$95,ROBA_U_DOLASKU!$A$6:$A$95,A344,ROBA_U_DOLASKU!$H$6:$H$95,1)</f>
        <v>0</v>
      </c>
      <c r="K344" s="9" t="n">
        <f aca="false">SUMIFS(ROBA_U_DOLASKU!$B$6:$B$95,ROBA_U_DOLASKU!$A$6:$A$95,A344,ROBA_U_DOLASKU!$H$6:$H$95,1)</f>
        <v>0</v>
      </c>
      <c r="L344" s="9" t="n">
        <f aca="false">SUMIFS(ROBA_U_DOLASKU!$C$6:$C$95,ROBA_U_DOLASKU!$A$6:$A$95,A344,ROBA_U_DOLASKU!$H$6:$H$95,2)</f>
        <v>0</v>
      </c>
      <c r="M344" s="9" t="n">
        <f aca="false">SUMIFS(ROBA_U_DOLASKU!$B$6:$B$95,ROBA_U_DOLASKU!$A$6:$A$95,A344,ROBA_U_DOLASKU!$H$6:$H$95,2)</f>
        <v>0</v>
      </c>
      <c r="N344" s="9" t="n">
        <f aca="false">SUMIFS(ROBA_U_DOLASKU!$C$6:$C$95,ROBA_U_DOLASKU!$A$6:$A$95,A344,ROBA_U_DOLASKU!$H$6:$H$95,3)</f>
        <v>0</v>
      </c>
      <c r="O344" s="9" t="n">
        <f aca="false">SUMIFS(ROBA_U_DOLASKU!$B$6:$B$95,ROBA_U_DOLASKU!$A$6:$A$95,A344,ROBA_U_DOLASKU!$H$6:$H$95,3)</f>
        <v>0</v>
      </c>
      <c r="P344" s="9" t="n">
        <f aca="false">IF(H344&lt;=0,999,IF(O344&gt;0,ROUND((F344-H344*N344+K344+M344+O344)/H344,1),IF(M344&gt;0,ROUND((F344-H344*L344+K344+M344)/H344,1),IF(K344&gt;0,ROUND((F344-H344*J344+K344)/H344,1),I344))))</f>
        <v>13.8</v>
      </c>
      <c r="Q344" s="22" t="str">
        <f aca="false">IF(H344&lt;=0,"Nema prodaje",IF(AND(K344=0,M344=0,O344=0),IF(I344&lt;POSTAVKE!$B$6,"Naruči odmah","Sve u redu"),IF(F344-H344*J344&lt;0,"Rupa za ~"&amp;TEXT(I344,"0.0")&amp;" mj.",IF(AND(M344&gt;0,F344-H344*L344+K344&lt;0),"Rupa nakon 1. dolaska",IF(AND(O344&gt;0,F344-H344*N344+K344+M344&lt;0),"Rupa nakon 2. dolaska",IF(P344&lt;POSTAVKE!$B$6,"Količina nije dovoljna",IF(I344&gt;=POSTAVKE!$B$6,"Sve u redu","Stiže na vrijeme")))))))</f>
        <v>Sve u redu</v>
      </c>
      <c r="S344" s="23" t="n">
        <f aca="false">IFERROR(INDEX(PODACI_PRODAJA!B:B,MATCH($A344,PODACI_PRODAJA!$A:$A,0)),0)</f>
        <v>0</v>
      </c>
      <c r="T344" s="23" t="n">
        <f aca="false">IFERROR(INDEX(PODACI_PRODAJA!C:C,MATCH($A344,PODACI_PRODAJA!$A:$A,0)),0)</f>
        <v>4</v>
      </c>
      <c r="U344" s="23" t="n">
        <f aca="false">IFERROR(INDEX(PODACI_PRODAJA!D:D,MATCH($A344,PODACI_PRODAJA!$A:$A,0)),0)</f>
        <v>1</v>
      </c>
      <c r="V344" s="23" t="n">
        <f aca="false">IFERROR(INDEX(PODACI_PRODAJA!E:E,MATCH($A344,PODACI_PRODAJA!$A:$A,0)),0)</f>
        <v>4</v>
      </c>
      <c r="W344" s="23" t="n">
        <f aca="false">IFERROR(INDEX(PODACI_PRODAJA!F:F,MATCH($A344,PODACI_PRODAJA!$A:$A,0)),0)</f>
        <v>0</v>
      </c>
      <c r="X344" s="23" t="n">
        <f aca="false">IFERROR(INDEX(PODACI_PRODAJA!G:G,MATCH($A344,PODACI_PRODAJA!$A:$A,0)),0)</f>
        <v>1</v>
      </c>
      <c r="Y344" s="23" t="n">
        <f aca="false">IFERROR(INDEX(PODACI_PRODAJA!H:H,MATCH($A344,PODACI_PRODAJA!$A:$A,0)),0)</f>
        <v>1</v>
      </c>
      <c r="Z344" s="23" t="n">
        <f aca="false">IFERROR(INDEX(PODACI_PRODAJA!I:I,MATCH($A344,PODACI_PRODAJA!$A:$A,0)),0)</f>
        <v>0</v>
      </c>
      <c r="AA344" s="23" t="n">
        <f aca="false">IFERROR(INDEX(PODACI_PRODAJA!J:J,MATCH($A344,PODACI_PRODAJA!$A:$A,0)),0)</f>
        <v>0</v>
      </c>
      <c r="AB344" s="23" t="n">
        <f aca="false">IFERROR(INDEX(PODACI_PRODAJA!K:K,MATCH($A344,PODACI_PRODAJA!$A:$A,0)),0)</f>
        <v>0</v>
      </c>
      <c r="AC344" s="23" t="n">
        <f aca="false">IFERROR(INDEX(PODACI_PRODAJA!L:L,MATCH($A344,PODACI_PRODAJA!$A:$A,0)),0)</f>
        <v>0</v>
      </c>
      <c r="AD344" s="23" t="n">
        <f aca="false">IFERROR(INDEX(PODACI_PRODAJA!M:M,MATCH($A344,PODACI_PRODAJA!$A:$A,0)),0)</f>
        <v>0</v>
      </c>
    </row>
    <row r="345" customFormat="false" ht="15" hidden="false" customHeight="false" outlineLevel="0" collapsed="false">
      <c r="A345" s="11" t="str">
        <f aca="false">PODACI_ZALIHE!A342</f>
        <v>16961</v>
      </c>
      <c r="B345" s="8" t="str">
        <f aca="false">PODACI_ZALIHE!B342</f>
        <v>CLEAR WALL 110 BLACK TUŠ VRATA 1100x1950 mm</v>
      </c>
      <c r="C345" s="9" t="str">
        <f aca="false">PODACI_ZALIHE!C342</f>
        <v>6163</v>
      </c>
      <c r="D345" s="8" t="str">
        <f aca="false">PODACI_ZALIHE!D342</f>
        <v>HANGZHOU TIANMEI INDUSTRY CO.,LTD</v>
      </c>
      <c r="E345" s="19" t="n">
        <f aca="false">IF(PODACI_ZALIHE!E342="","",PODACI_ZALIHE!E342)</f>
        <v>19</v>
      </c>
      <c r="F345" s="20" t="n">
        <f aca="false">PODACI_ZALIHE!F342</f>
        <v>19</v>
      </c>
      <c r="G345" s="19" t="n">
        <f aca="false">IF(E345="","",E345-F345)</f>
        <v>0</v>
      </c>
      <c r="H345" s="9" t="n">
        <f aca="false">PODACI_PRODAJA!N204</f>
        <v>1.88</v>
      </c>
      <c r="I345" s="21" t="n">
        <f aca="false">IF(H345&lt;=0,999,ROUND(F345/H345,1))</f>
        <v>10.1</v>
      </c>
      <c r="J345" s="9" t="n">
        <f aca="false">SUMIFS(ROBA_U_DOLASKU!$C$6:$C$95,ROBA_U_DOLASKU!$A$6:$A$95,A345,ROBA_U_DOLASKU!$H$6:$H$95,1)</f>
        <v>2.4</v>
      </c>
      <c r="K345" s="9" t="n">
        <f aca="false">SUMIFS(ROBA_U_DOLASKU!$B$6:$B$95,ROBA_U_DOLASKU!$A$6:$A$95,A345,ROBA_U_DOLASKU!$H$6:$H$95,1)</f>
        <v>20</v>
      </c>
      <c r="L345" s="9" t="n">
        <f aca="false">SUMIFS(ROBA_U_DOLASKU!$C$6:$C$95,ROBA_U_DOLASKU!$A$6:$A$95,A345,ROBA_U_DOLASKU!$H$6:$H$95,2)</f>
        <v>0</v>
      </c>
      <c r="M345" s="9" t="n">
        <f aca="false">SUMIFS(ROBA_U_DOLASKU!$B$6:$B$95,ROBA_U_DOLASKU!$A$6:$A$95,A345,ROBA_U_DOLASKU!$H$6:$H$95,2)</f>
        <v>0</v>
      </c>
      <c r="N345" s="9" t="n">
        <f aca="false">SUMIFS(ROBA_U_DOLASKU!$C$6:$C$95,ROBA_U_DOLASKU!$A$6:$A$95,A345,ROBA_U_DOLASKU!$H$6:$H$95,3)</f>
        <v>0</v>
      </c>
      <c r="O345" s="9" t="n">
        <f aca="false">SUMIFS(ROBA_U_DOLASKU!$B$6:$B$95,ROBA_U_DOLASKU!$A$6:$A$95,A345,ROBA_U_DOLASKU!$H$6:$H$95,3)</f>
        <v>0</v>
      </c>
      <c r="P345" s="9" t="n">
        <f aca="false">IF(H345&lt;=0,999,IF(O345&gt;0,ROUND((F345-H345*N345+K345+M345+O345)/H345,1),IF(M345&gt;0,ROUND((F345-H345*L345+K345+M345)/H345,1),IF(K345&gt;0,ROUND((F345-H345*J345+K345)/H345,1),I345))))</f>
        <v>18.3</v>
      </c>
      <c r="Q345" s="22" t="str">
        <f aca="false">IF(H345&lt;=0,"Nema prodaje",IF(AND(K345=0,M345=0,O345=0),IF(I345&lt;POSTAVKE!$B$6,"Naruči odmah","Sve u redu"),IF(F345-H345*J345&lt;0,"Rupa za ~"&amp;TEXT(I345,"0.0")&amp;" mj.",IF(AND(M345&gt;0,F345-H345*L345+K345&lt;0),"Rupa nakon 1. dolaska",IF(AND(O345&gt;0,F345-H345*N345+K345+M345&lt;0),"Rupa nakon 2. dolaska",IF(P345&lt;POSTAVKE!$B$6,"Količina nije dovoljna",IF(I345&gt;=POSTAVKE!$B$6,"Sve u redu","Stiže na vrijeme")))))))</f>
        <v>Sve u redu</v>
      </c>
      <c r="S345" s="23" t="n">
        <f aca="false">IFERROR(INDEX(PODACI_PRODAJA!B:B,MATCH($A345,PODACI_PRODAJA!$A:$A,0)),0)</f>
        <v>2</v>
      </c>
      <c r="T345" s="23" t="n">
        <f aca="false">IFERROR(INDEX(PODACI_PRODAJA!C:C,MATCH($A345,PODACI_PRODAJA!$A:$A,0)),0)</f>
        <v>4</v>
      </c>
      <c r="U345" s="23" t="n">
        <f aca="false">IFERROR(INDEX(PODACI_PRODAJA!D:D,MATCH($A345,PODACI_PRODAJA!$A:$A,0)),0)</f>
        <v>4</v>
      </c>
      <c r="V345" s="23" t="n">
        <f aca="false">IFERROR(INDEX(PODACI_PRODAJA!E:E,MATCH($A345,PODACI_PRODAJA!$A:$A,0)),0)</f>
        <v>0</v>
      </c>
      <c r="W345" s="23" t="n">
        <f aca="false">IFERROR(INDEX(PODACI_PRODAJA!F:F,MATCH($A345,PODACI_PRODAJA!$A:$A,0)),0)</f>
        <v>1</v>
      </c>
      <c r="X345" s="23" t="n">
        <f aca="false">IFERROR(INDEX(PODACI_PRODAJA!G:G,MATCH($A345,PODACI_PRODAJA!$A:$A,0)),0)</f>
        <v>2</v>
      </c>
      <c r="Y345" s="23" t="n">
        <f aca="false">IFERROR(INDEX(PODACI_PRODAJA!H:H,MATCH($A345,PODACI_PRODAJA!$A:$A,0)),0)</f>
        <v>2</v>
      </c>
      <c r="Z345" s="23" t="n">
        <f aca="false">IFERROR(INDEX(PODACI_PRODAJA!I:I,MATCH($A345,PODACI_PRODAJA!$A:$A,0)),0)</f>
        <v>0</v>
      </c>
      <c r="AA345" s="23" t="n">
        <f aca="false">IFERROR(INDEX(PODACI_PRODAJA!J:J,MATCH($A345,PODACI_PRODAJA!$A:$A,0)),0)</f>
        <v>0</v>
      </c>
      <c r="AB345" s="23" t="n">
        <f aca="false">IFERROR(INDEX(PODACI_PRODAJA!K:K,MATCH($A345,PODACI_PRODAJA!$A:$A,0)),0)</f>
        <v>0</v>
      </c>
      <c r="AC345" s="23" t="n">
        <f aca="false">IFERROR(INDEX(PODACI_PRODAJA!L:L,MATCH($A345,PODACI_PRODAJA!$A:$A,0)),0)</f>
        <v>0</v>
      </c>
      <c r="AD345" s="23" t="n">
        <f aca="false">IFERROR(INDEX(PODACI_PRODAJA!M:M,MATCH($A345,PODACI_PRODAJA!$A:$A,0)),0)</f>
        <v>0</v>
      </c>
    </row>
    <row r="346" customFormat="false" ht="15" hidden="false" customHeight="false" outlineLevel="0" collapsed="false">
      <c r="A346" s="11" t="str">
        <f aca="false">PODACI_ZALIHE!A343</f>
        <v>17256</v>
      </c>
      <c r="B346" s="8" t="str">
        <f aca="false">PODACI_ZALIHE!B343</f>
        <v>TK RAPIDO 80 BRUSHED GOLD POLUKRUŽNA TUŠ KABINA 80X80X195 cm</v>
      </c>
      <c r="C346" s="9" t="str">
        <f aca="false">PODACI_ZALIHE!C343</f>
        <v>6762</v>
      </c>
      <c r="D346" s="8" t="str">
        <f aca="false">PODACI_ZALIHE!D343</f>
        <v>ZHEJIANG QUICKLINE SHOWERING CO., LTD.</v>
      </c>
      <c r="E346" s="19" t="n">
        <f aca="false">IF(PODACI_ZALIHE!E343="","",PODACI_ZALIHE!E343)</f>
        <v>19</v>
      </c>
      <c r="F346" s="20" t="n">
        <f aca="false">PODACI_ZALIHE!F343</f>
        <v>19</v>
      </c>
      <c r="G346" s="19" t="n">
        <f aca="false">IF(E346="","",E346-F346)</f>
        <v>0</v>
      </c>
      <c r="H346" s="9" t="n">
        <f aca="false">PODACI_PRODAJA!N629</f>
        <v>0.25</v>
      </c>
      <c r="I346" s="21" t="n">
        <f aca="false">IF(H346&lt;=0,999,ROUND(F346/H346,1))</f>
        <v>76</v>
      </c>
      <c r="J346" s="9" t="n">
        <f aca="false">SUMIFS(ROBA_U_DOLASKU!$C$6:$C$95,ROBA_U_DOLASKU!$A$6:$A$95,A346,ROBA_U_DOLASKU!$H$6:$H$95,1)</f>
        <v>0</v>
      </c>
      <c r="K346" s="9" t="n">
        <f aca="false">SUMIFS(ROBA_U_DOLASKU!$B$6:$B$95,ROBA_U_DOLASKU!$A$6:$A$95,A346,ROBA_U_DOLASKU!$H$6:$H$95,1)</f>
        <v>0</v>
      </c>
      <c r="L346" s="9" t="n">
        <f aca="false">SUMIFS(ROBA_U_DOLASKU!$C$6:$C$95,ROBA_U_DOLASKU!$A$6:$A$95,A346,ROBA_U_DOLASKU!$H$6:$H$95,2)</f>
        <v>0</v>
      </c>
      <c r="M346" s="9" t="n">
        <f aca="false">SUMIFS(ROBA_U_DOLASKU!$B$6:$B$95,ROBA_U_DOLASKU!$A$6:$A$95,A346,ROBA_U_DOLASKU!$H$6:$H$95,2)</f>
        <v>0</v>
      </c>
      <c r="N346" s="9" t="n">
        <f aca="false">SUMIFS(ROBA_U_DOLASKU!$C$6:$C$95,ROBA_U_DOLASKU!$A$6:$A$95,A346,ROBA_U_DOLASKU!$H$6:$H$95,3)</f>
        <v>0</v>
      </c>
      <c r="O346" s="9" t="n">
        <f aca="false">SUMIFS(ROBA_U_DOLASKU!$B$6:$B$95,ROBA_U_DOLASKU!$A$6:$A$95,A346,ROBA_U_DOLASKU!$H$6:$H$95,3)</f>
        <v>0</v>
      </c>
      <c r="P346" s="9" t="n">
        <f aca="false">IF(H346&lt;=0,999,IF(O346&gt;0,ROUND((F346-H346*N346+K346+M346+O346)/H346,1),IF(M346&gt;0,ROUND((F346-H346*L346+K346+M346)/H346,1),IF(K346&gt;0,ROUND((F346-H346*J346+K346)/H346,1),I346))))</f>
        <v>76</v>
      </c>
      <c r="Q346" s="22" t="str">
        <f aca="false">IF(H346&lt;=0,"Nema prodaje",IF(AND(K346=0,M346=0,O346=0),IF(I346&lt;POSTAVKE!$B$6,"Naruči odmah","Sve u redu"),IF(F346-H346*J346&lt;0,"Rupa za ~"&amp;TEXT(I346,"0.0")&amp;" mj.",IF(AND(M346&gt;0,F346-H346*L346+K346&lt;0),"Rupa nakon 1. dolaska",IF(AND(O346&gt;0,F346-H346*N346+K346+M346&lt;0),"Rupa nakon 2. dolaska",IF(P346&lt;POSTAVKE!$B$6,"Količina nije dovoljna",IF(I346&gt;=POSTAVKE!$B$6,"Sve u redu","Stiže na vrijeme")))))))</f>
        <v>Sve u redu</v>
      </c>
      <c r="S346" s="23" t="n">
        <f aca="false">IFERROR(INDEX(PODACI_PRODAJA!B:B,MATCH($A346,PODACI_PRODAJA!$A:$A,0)),0)</f>
        <v>0</v>
      </c>
      <c r="T346" s="23" t="n">
        <f aca="false">IFERROR(INDEX(PODACI_PRODAJA!C:C,MATCH($A346,PODACI_PRODAJA!$A:$A,0)),0)</f>
        <v>1</v>
      </c>
      <c r="U346" s="23" t="n">
        <f aca="false">IFERROR(INDEX(PODACI_PRODAJA!D:D,MATCH($A346,PODACI_PRODAJA!$A:$A,0)),0)</f>
        <v>0</v>
      </c>
      <c r="V346" s="23" t="n">
        <f aca="false">IFERROR(INDEX(PODACI_PRODAJA!E:E,MATCH($A346,PODACI_PRODAJA!$A:$A,0)),0)</f>
        <v>0</v>
      </c>
      <c r="W346" s="23" t="n">
        <f aca="false">IFERROR(INDEX(PODACI_PRODAJA!F:F,MATCH($A346,PODACI_PRODAJA!$A:$A,0)),0)</f>
        <v>0</v>
      </c>
      <c r="X346" s="23" t="n">
        <f aca="false">IFERROR(INDEX(PODACI_PRODAJA!G:G,MATCH($A346,PODACI_PRODAJA!$A:$A,0)),0)</f>
        <v>0</v>
      </c>
      <c r="Y346" s="23" t="n">
        <f aca="false">IFERROR(INDEX(PODACI_PRODAJA!H:H,MATCH($A346,PODACI_PRODAJA!$A:$A,0)),0)</f>
        <v>1</v>
      </c>
      <c r="Z346" s="23" t="n">
        <f aca="false">IFERROR(INDEX(PODACI_PRODAJA!I:I,MATCH($A346,PODACI_PRODAJA!$A:$A,0)),0)</f>
        <v>0</v>
      </c>
      <c r="AA346" s="23" t="n">
        <f aca="false">IFERROR(INDEX(PODACI_PRODAJA!J:J,MATCH($A346,PODACI_PRODAJA!$A:$A,0)),0)</f>
        <v>0</v>
      </c>
      <c r="AB346" s="23" t="n">
        <f aca="false">IFERROR(INDEX(PODACI_PRODAJA!K:K,MATCH($A346,PODACI_PRODAJA!$A:$A,0)),0)</f>
        <v>0</v>
      </c>
      <c r="AC346" s="23" t="n">
        <f aca="false">IFERROR(INDEX(PODACI_PRODAJA!L:L,MATCH($A346,PODACI_PRODAJA!$A:$A,0)),0)</f>
        <v>0</v>
      </c>
      <c r="AD346" s="23" t="n">
        <f aca="false">IFERROR(INDEX(PODACI_PRODAJA!M:M,MATCH($A346,PODACI_PRODAJA!$A:$A,0)),0)</f>
        <v>0</v>
      </c>
    </row>
    <row r="347" customFormat="false" ht="15" hidden="false" customHeight="false" outlineLevel="0" collapsed="false">
      <c r="A347" s="11" t="str">
        <f aca="false">PODACI_ZALIHE!A344</f>
        <v>18011</v>
      </c>
      <c r="B347" s="8" t="str">
        <f aca="false">PODACI_ZALIHE!B344</f>
        <v>VETRO BL TRS 6mm ECO TUŠ STIJENA 100x200</v>
      </c>
      <c r="C347" s="9" t="str">
        <f aca="false">PODACI_ZALIHE!C344</f>
        <v>6762</v>
      </c>
      <c r="D347" s="8" t="str">
        <f aca="false">PODACI_ZALIHE!D344</f>
        <v>ZHEJIANG QUICKLINE SHOWERING CO., LTD.</v>
      </c>
      <c r="E347" s="19" t="n">
        <f aca="false">IF(PODACI_ZALIHE!E344="","",PODACI_ZALIHE!E344)</f>
        <v>19</v>
      </c>
      <c r="F347" s="20" t="n">
        <f aca="false">PODACI_ZALIHE!F344</f>
        <v>19</v>
      </c>
      <c r="G347" s="19" t="n">
        <f aca="false">IF(E347="","",E347-F347)</f>
        <v>0</v>
      </c>
      <c r="H347" s="9" t="n">
        <f aca="false">PODACI_PRODAJA!N652</f>
        <v>5.13</v>
      </c>
      <c r="I347" s="21" t="n">
        <f aca="false">IF(H347&lt;=0,999,ROUND(F347/H347,1))</f>
        <v>3.7</v>
      </c>
      <c r="J347" s="9" t="n">
        <f aca="false">SUMIFS(ROBA_U_DOLASKU!$C$6:$C$95,ROBA_U_DOLASKU!$A$6:$A$95,A347,ROBA_U_DOLASKU!$H$6:$H$95,1)</f>
        <v>0</v>
      </c>
      <c r="K347" s="9" t="n">
        <f aca="false">SUMIFS(ROBA_U_DOLASKU!$B$6:$B$95,ROBA_U_DOLASKU!$A$6:$A$95,A347,ROBA_U_DOLASKU!$H$6:$H$95,1)</f>
        <v>0</v>
      </c>
      <c r="L347" s="9" t="n">
        <f aca="false">SUMIFS(ROBA_U_DOLASKU!$C$6:$C$95,ROBA_U_DOLASKU!$A$6:$A$95,A347,ROBA_U_DOLASKU!$H$6:$H$95,2)</f>
        <v>0</v>
      </c>
      <c r="M347" s="9" t="n">
        <f aca="false">SUMIFS(ROBA_U_DOLASKU!$B$6:$B$95,ROBA_U_DOLASKU!$A$6:$A$95,A347,ROBA_U_DOLASKU!$H$6:$H$95,2)</f>
        <v>0</v>
      </c>
      <c r="N347" s="9" t="n">
        <f aca="false">SUMIFS(ROBA_U_DOLASKU!$C$6:$C$95,ROBA_U_DOLASKU!$A$6:$A$95,A347,ROBA_U_DOLASKU!$H$6:$H$95,3)</f>
        <v>0</v>
      </c>
      <c r="O347" s="9" t="n">
        <f aca="false">SUMIFS(ROBA_U_DOLASKU!$B$6:$B$95,ROBA_U_DOLASKU!$A$6:$A$95,A347,ROBA_U_DOLASKU!$H$6:$H$95,3)</f>
        <v>0</v>
      </c>
      <c r="P347" s="9" t="n">
        <f aca="false">IF(H347&lt;=0,999,IF(O347&gt;0,ROUND((F347-H347*N347+K347+M347+O347)/H347,1),IF(M347&gt;0,ROUND((F347-H347*L347+K347+M347)/H347,1),IF(K347&gt;0,ROUND((F347-H347*J347+K347)/H347,1),I347))))</f>
        <v>3.7</v>
      </c>
      <c r="Q347" s="22" t="str">
        <f aca="false">IF(H347&lt;=0,"Nema prodaje",IF(AND(K347=0,M347=0,O347=0),IF(I347&lt;POSTAVKE!$B$6,"Naruči odmah","Sve u redu"),IF(F347-H347*J347&lt;0,"Rupa za ~"&amp;TEXT(I347,"0.0")&amp;" mj.",IF(AND(M347&gt;0,F347-H347*L347+K347&lt;0),"Rupa nakon 1. dolaska",IF(AND(O347&gt;0,F347-H347*N347+K347+M347&lt;0),"Rupa nakon 2. dolaska",IF(P347&lt;POSTAVKE!$B$6,"Količina nije dovoljna",IF(I347&gt;=POSTAVKE!$B$6,"Sve u redu","Stiže na vrijeme")))))))</f>
        <v>Naruči odmah</v>
      </c>
      <c r="S347" s="23" t="n">
        <f aca="false">IFERROR(INDEX(PODACI_PRODAJA!B:B,MATCH($A347,PODACI_PRODAJA!$A:$A,0)),0)</f>
        <v>0</v>
      </c>
      <c r="T347" s="23" t="n">
        <f aca="false">IFERROR(INDEX(PODACI_PRODAJA!C:C,MATCH($A347,PODACI_PRODAJA!$A:$A,0)),0)</f>
        <v>0</v>
      </c>
      <c r="U347" s="23" t="n">
        <f aca="false">IFERROR(INDEX(PODACI_PRODAJA!D:D,MATCH($A347,PODACI_PRODAJA!$A:$A,0)),0)</f>
        <v>29</v>
      </c>
      <c r="V347" s="23" t="n">
        <f aca="false">IFERROR(INDEX(PODACI_PRODAJA!E:E,MATCH($A347,PODACI_PRODAJA!$A:$A,0)),0)</f>
        <v>0</v>
      </c>
      <c r="W347" s="23" t="n">
        <f aca="false">IFERROR(INDEX(PODACI_PRODAJA!F:F,MATCH($A347,PODACI_PRODAJA!$A:$A,0)),0)</f>
        <v>8</v>
      </c>
      <c r="X347" s="23" t="n">
        <f aca="false">IFERROR(INDEX(PODACI_PRODAJA!G:G,MATCH($A347,PODACI_PRODAJA!$A:$A,0)),0)</f>
        <v>4</v>
      </c>
      <c r="Y347" s="23" t="n">
        <f aca="false">IFERROR(INDEX(PODACI_PRODAJA!H:H,MATCH($A347,PODACI_PRODAJA!$A:$A,0)),0)</f>
        <v>0</v>
      </c>
      <c r="Z347" s="23" t="n">
        <f aca="false">IFERROR(INDEX(PODACI_PRODAJA!I:I,MATCH($A347,PODACI_PRODAJA!$A:$A,0)),0)</f>
        <v>0</v>
      </c>
      <c r="AA347" s="23" t="n">
        <f aca="false">IFERROR(INDEX(PODACI_PRODAJA!J:J,MATCH($A347,PODACI_PRODAJA!$A:$A,0)),0)</f>
        <v>0</v>
      </c>
      <c r="AB347" s="23" t="n">
        <f aca="false">IFERROR(INDEX(PODACI_PRODAJA!K:K,MATCH($A347,PODACI_PRODAJA!$A:$A,0)),0)</f>
        <v>0</v>
      </c>
      <c r="AC347" s="23" t="n">
        <f aca="false">IFERROR(INDEX(PODACI_PRODAJA!L:L,MATCH($A347,PODACI_PRODAJA!$A:$A,0)),0)</f>
        <v>0</v>
      </c>
      <c r="AD347" s="23" t="n">
        <f aca="false">IFERROR(INDEX(PODACI_PRODAJA!M:M,MATCH($A347,PODACI_PRODAJA!$A:$A,0)),0)</f>
        <v>0</v>
      </c>
    </row>
    <row r="348" customFormat="false" ht="15" hidden="false" customHeight="false" outlineLevel="0" collapsed="false">
      <c r="A348" s="11" t="str">
        <f aca="false">PODACI_ZALIHE!A345</f>
        <v>18033</v>
      </c>
      <c r="B348" s="8" t="str">
        <f aca="false">PODACI_ZALIHE!B345</f>
        <v>TK ROTA 80120 BLACK TUŠ KABINA 80x120x200cm</v>
      </c>
      <c r="C348" s="9" t="str">
        <f aca="false">PODACI_ZALIHE!C345</f>
        <v>6762</v>
      </c>
      <c r="D348" s="8" t="str">
        <f aca="false">PODACI_ZALIHE!D345</f>
        <v>ZHEJIANG QUICKLINE SHOWERING CO., LTD.</v>
      </c>
      <c r="E348" s="19" t="n">
        <f aca="false">IF(PODACI_ZALIHE!E345="","",PODACI_ZALIHE!E345)</f>
        <v>19</v>
      </c>
      <c r="F348" s="20" t="n">
        <f aca="false">PODACI_ZALIHE!F345</f>
        <v>19</v>
      </c>
      <c r="G348" s="19" t="n">
        <f aca="false">IF(E348="","",E348-F348)</f>
        <v>0</v>
      </c>
      <c r="H348" s="9" t="n">
        <f aca="false">PODACI_PRODAJA!N667</f>
        <v>0.13</v>
      </c>
      <c r="I348" s="21" t="n">
        <f aca="false">IF(H348&lt;=0,999,ROUND(F348/H348,1))</f>
        <v>146.2</v>
      </c>
      <c r="J348" s="9" t="n">
        <f aca="false">SUMIFS(ROBA_U_DOLASKU!$C$6:$C$95,ROBA_U_DOLASKU!$A$6:$A$95,A348,ROBA_U_DOLASKU!$H$6:$H$95,1)</f>
        <v>0</v>
      </c>
      <c r="K348" s="9" t="n">
        <f aca="false">SUMIFS(ROBA_U_DOLASKU!$B$6:$B$95,ROBA_U_DOLASKU!$A$6:$A$95,A348,ROBA_U_DOLASKU!$H$6:$H$95,1)</f>
        <v>0</v>
      </c>
      <c r="L348" s="9" t="n">
        <f aca="false">SUMIFS(ROBA_U_DOLASKU!$C$6:$C$95,ROBA_U_DOLASKU!$A$6:$A$95,A348,ROBA_U_DOLASKU!$H$6:$H$95,2)</f>
        <v>0</v>
      </c>
      <c r="M348" s="9" t="n">
        <f aca="false">SUMIFS(ROBA_U_DOLASKU!$B$6:$B$95,ROBA_U_DOLASKU!$A$6:$A$95,A348,ROBA_U_DOLASKU!$H$6:$H$95,2)</f>
        <v>0</v>
      </c>
      <c r="N348" s="9" t="n">
        <f aca="false">SUMIFS(ROBA_U_DOLASKU!$C$6:$C$95,ROBA_U_DOLASKU!$A$6:$A$95,A348,ROBA_U_DOLASKU!$H$6:$H$95,3)</f>
        <v>0</v>
      </c>
      <c r="O348" s="9" t="n">
        <f aca="false">SUMIFS(ROBA_U_DOLASKU!$B$6:$B$95,ROBA_U_DOLASKU!$A$6:$A$95,A348,ROBA_U_DOLASKU!$H$6:$H$95,3)</f>
        <v>0</v>
      </c>
      <c r="P348" s="9" t="n">
        <f aca="false">IF(H348&lt;=0,999,IF(O348&gt;0,ROUND((F348-H348*N348+K348+M348+O348)/H348,1),IF(M348&gt;0,ROUND((F348-H348*L348+K348+M348)/H348,1),IF(K348&gt;0,ROUND((F348-H348*J348+K348)/H348,1),I348))))</f>
        <v>146.2</v>
      </c>
      <c r="Q348" s="22" t="str">
        <f aca="false">IF(H348&lt;=0,"Nema prodaje",IF(AND(K348=0,M348=0,O348=0),IF(I348&lt;POSTAVKE!$B$6,"Naruči odmah","Sve u redu"),IF(F348-H348*J348&lt;0,"Rupa za ~"&amp;TEXT(I348,"0.0")&amp;" mj.",IF(AND(M348&gt;0,F348-H348*L348+K348&lt;0),"Rupa nakon 1. dolaska",IF(AND(O348&gt;0,F348-H348*N348+K348+M348&lt;0),"Rupa nakon 2. dolaska",IF(P348&lt;POSTAVKE!$B$6,"Količina nije dovoljna",IF(I348&gt;=POSTAVKE!$B$6,"Sve u redu","Stiže na vrijeme")))))))</f>
        <v>Sve u redu</v>
      </c>
      <c r="S348" s="23" t="n">
        <f aca="false">IFERROR(INDEX(PODACI_PRODAJA!B:B,MATCH($A348,PODACI_PRODAJA!$A:$A,0)),0)</f>
        <v>0</v>
      </c>
      <c r="T348" s="23" t="n">
        <f aca="false">IFERROR(INDEX(PODACI_PRODAJA!C:C,MATCH($A348,PODACI_PRODAJA!$A:$A,0)),0)</f>
        <v>0</v>
      </c>
      <c r="U348" s="23" t="n">
        <f aca="false">IFERROR(INDEX(PODACI_PRODAJA!D:D,MATCH($A348,PODACI_PRODAJA!$A:$A,0)),0)</f>
        <v>0</v>
      </c>
      <c r="V348" s="23" t="n">
        <f aca="false">IFERROR(INDEX(PODACI_PRODAJA!E:E,MATCH($A348,PODACI_PRODAJA!$A:$A,0)),0)</f>
        <v>0</v>
      </c>
      <c r="W348" s="23" t="n">
        <f aca="false">IFERROR(INDEX(PODACI_PRODAJA!F:F,MATCH($A348,PODACI_PRODAJA!$A:$A,0)),0)</f>
        <v>0</v>
      </c>
      <c r="X348" s="23" t="n">
        <f aca="false">IFERROR(INDEX(PODACI_PRODAJA!G:G,MATCH($A348,PODACI_PRODAJA!$A:$A,0)),0)</f>
        <v>0</v>
      </c>
      <c r="Y348" s="23" t="n">
        <f aca="false">IFERROR(INDEX(PODACI_PRODAJA!H:H,MATCH($A348,PODACI_PRODAJA!$A:$A,0)),0)</f>
        <v>0</v>
      </c>
      <c r="Z348" s="23" t="n">
        <f aca="false">IFERROR(INDEX(PODACI_PRODAJA!I:I,MATCH($A348,PODACI_PRODAJA!$A:$A,0)),0)</f>
        <v>1</v>
      </c>
      <c r="AA348" s="23" t="n">
        <f aca="false">IFERROR(INDEX(PODACI_PRODAJA!J:J,MATCH($A348,PODACI_PRODAJA!$A:$A,0)),0)</f>
        <v>0</v>
      </c>
      <c r="AB348" s="23" t="n">
        <f aca="false">IFERROR(INDEX(PODACI_PRODAJA!K:K,MATCH($A348,PODACI_PRODAJA!$A:$A,0)),0)</f>
        <v>0</v>
      </c>
      <c r="AC348" s="23" t="n">
        <f aca="false">IFERROR(INDEX(PODACI_PRODAJA!L:L,MATCH($A348,PODACI_PRODAJA!$A:$A,0)),0)</f>
        <v>0</v>
      </c>
      <c r="AD348" s="23" t="n">
        <f aca="false">IFERROR(INDEX(PODACI_PRODAJA!M:M,MATCH($A348,PODACI_PRODAJA!$A:$A,0)),0)</f>
        <v>0</v>
      </c>
    </row>
    <row r="349" customFormat="false" ht="15" hidden="false" customHeight="false" outlineLevel="0" collapsed="false">
      <c r="A349" s="11" t="str">
        <f aca="false">PODACI_ZALIHE!A346</f>
        <v>18568</v>
      </c>
      <c r="B349" s="8" t="str">
        <f aca="false">PODACI_ZALIHE!B346</f>
        <v>VETRO BRILLIANCE CRYSTAL BLACK 90 TUŠ STIJENA 90x200cm</v>
      </c>
      <c r="C349" s="9" t="str">
        <f aca="false">PODACI_ZALIHE!C346</f>
        <v>6762</v>
      </c>
      <c r="D349" s="8" t="str">
        <f aca="false">PODACI_ZALIHE!D346</f>
        <v>ZHEJIANG QUICKLINE SHOWERING CO., LTD.</v>
      </c>
      <c r="E349" s="19" t="n">
        <f aca="false">IF(PODACI_ZALIHE!E346="","",PODACI_ZALIHE!E346)</f>
        <v>19</v>
      </c>
      <c r="F349" s="20" t="n">
        <f aca="false">PODACI_ZALIHE!F346</f>
        <v>19</v>
      </c>
      <c r="G349" s="19" t="n">
        <f aca="false">IF(E349="","",E349-F349)</f>
        <v>0</v>
      </c>
      <c r="H349" s="9" t="n">
        <f aca="false">PODACI_PRODAJA!N678</f>
        <v>2.63</v>
      </c>
      <c r="I349" s="21" t="n">
        <f aca="false">IF(H349&lt;=0,999,ROUND(F349/H349,1))</f>
        <v>7.2</v>
      </c>
      <c r="J349" s="9" t="n">
        <f aca="false">SUMIFS(ROBA_U_DOLASKU!$C$6:$C$95,ROBA_U_DOLASKU!$A$6:$A$95,A349,ROBA_U_DOLASKU!$H$6:$H$95,1)</f>
        <v>0</v>
      </c>
      <c r="K349" s="9" t="n">
        <f aca="false">SUMIFS(ROBA_U_DOLASKU!$B$6:$B$95,ROBA_U_DOLASKU!$A$6:$A$95,A349,ROBA_U_DOLASKU!$H$6:$H$95,1)</f>
        <v>0</v>
      </c>
      <c r="L349" s="9" t="n">
        <f aca="false">SUMIFS(ROBA_U_DOLASKU!$C$6:$C$95,ROBA_U_DOLASKU!$A$6:$A$95,A349,ROBA_U_DOLASKU!$H$6:$H$95,2)</f>
        <v>0</v>
      </c>
      <c r="M349" s="9" t="n">
        <f aca="false">SUMIFS(ROBA_U_DOLASKU!$B$6:$B$95,ROBA_U_DOLASKU!$A$6:$A$95,A349,ROBA_U_DOLASKU!$H$6:$H$95,2)</f>
        <v>0</v>
      </c>
      <c r="N349" s="9" t="n">
        <f aca="false">SUMIFS(ROBA_U_DOLASKU!$C$6:$C$95,ROBA_U_DOLASKU!$A$6:$A$95,A349,ROBA_U_DOLASKU!$H$6:$H$95,3)</f>
        <v>0</v>
      </c>
      <c r="O349" s="9" t="n">
        <f aca="false">SUMIFS(ROBA_U_DOLASKU!$B$6:$B$95,ROBA_U_DOLASKU!$A$6:$A$95,A349,ROBA_U_DOLASKU!$H$6:$H$95,3)</f>
        <v>0</v>
      </c>
      <c r="P349" s="9" t="n">
        <f aca="false">IF(H349&lt;=0,999,IF(O349&gt;0,ROUND((F349-H349*N349+K349+M349+O349)/H349,1),IF(M349&gt;0,ROUND((F349-H349*L349+K349+M349)/H349,1),IF(K349&gt;0,ROUND((F349-H349*J349+K349)/H349,1),I349))))</f>
        <v>7.2</v>
      </c>
      <c r="Q349" s="22" t="str">
        <f aca="false">IF(H349&lt;=0,"Nema prodaje",IF(AND(K349=0,M349=0,O349=0),IF(I349&lt;POSTAVKE!$B$6,"Naruči odmah","Sve u redu"),IF(F349-H349*J349&lt;0,"Rupa za ~"&amp;TEXT(I349,"0.0")&amp;" mj.",IF(AND(M349&gt;0,F349-H349*L349+K349&lt;0),"Rupa nakon 1. dolaska",IF(AND(O349&gt;0,F349-H349*N349+K349+M349&lt;0),"Rupa nakon 2. dolaska",IF(P349&lt;POSTAVKE!$B$6,"Količina nije dovoljna",IF(I349&gt;=POSTAVKE!$B$6,"Sve u redu","Stiže na vrijeme")))))))</f>
        <v>Sve u redu</v>
      </c>
      <c r="S349" s="23" t="n">
        <f aca="false">IFERROR(INDEX(PODACI_PRODAJA!B:B,MATCH($A349,PODACI_PRODAJA!$A:$A,0)),0)</f>
        <v>0</v>
      </c>
      <c r="T349" s="23" t="n">
        <f aca="false">IFERROR(INDEX(PODACI_PRODAJA!C:C,MATCH($A349,PODACI_PRODAJA!$A:$A,0)),0)</f>
        <v>2</v>
      </c>
      <c r="U349" s="23" t="n">
        <f aca="false">IFERROR(INDEX(PODACI_PRODAJA!D:D,MATCH($A349,PODACI_PRODAJA!$A:$A,0)),0)</f>
        <v>10</v>
      </c>
      <c r="V349" s="23" t="n">
        <f aca="false">IFERROR(INDEX(PODACI_PRODAJA!E:E,MATCH($A349,PODACI_PRODAJA!$A:$A,0)),0)</f>
        <v>2</v>
      </c>
      <c r="W349" s="23" t="n">
        <f aca="false">IFERROR(INDEX(PODACI_PRODAJA!F:F,MATCH($A349,PODACI_PRODAJA!$A:$A,0)),0)</f>
        <v>1</v>
      </c>
      <c r="X349" s="23" t="n">
        <f aca="false">IFERROR(INDEX(PODACI_PRODAJA!G:G,MATCH($A349,PODACI_PRODAJA!$A:$A,0)),0)</f>
        <v>0</v>
      </c>
      <c r="Y349" s="23" t="n">
        <f aca="false">IFERROR(INDEX(PODACI_PRODAJA!H:H,MATCH($A349,PODACI_PRODAJA!$A:$A,0)),0)</f>
        <v>2</v>
      </c>
      <c r="Z349" s="23" t="n">
        <f aca="false">IFERROR(INDEX(PODACI_PRODAJA!I:I,MATCH($A349,PODACI_PRODAJA!$A:$A,0)),0)</f>
        <v>4</v>
      </c>
      <c r="AA349" s="23" t="n">
        <f aca="false">IFERROR(INDEX(PODACI_PRODAJA!J:J,MATCH($A349,PODACI_PRODAJA!$A:$A,0)),0)</f>
        <v>0</v>
      </c>
      <c r="AB349" s="23" t="n">
        <f aca="false">IFERROR(INDEX(PODACI_PRODAJA!K:K,MATCH($A349,PODACI_PRODAJA!$A:$A,0)),0)</f>
        <v>0</v>
      </c>
      <c r="AC349" s="23" t="n">
        <f aca="false">IFERROR(INDEX(PODACI_PRODAJA!L:L,MATCH($A349,PODACI_PRODAJA!$A:$A,0)),0)</f>
        <v>0</v>
      </c>
      <c r="AD349" s="23" t="n">
        <f aca="false">IFERROR(INDEX(PODACI_PRODAJA!M:M,MATCH($A349,PODACI_PRODAJA!$A:$A,0)),0)</f>
        <v>0</v>
      </c>
    </row>
    <row r="350" customFormat="false" ht="15" hidden="false" customHeight="false" outlineLevel="0" collapsed="false">
      <c r="A350" s="11" t="str">
        <f aca="false">PODACI_ZALIHE!A347</f>
        <v>AA02239</v>
      </c>
      <c r="B350" s="8" t="str">
        <f aca="false">PODACI_ZALIHE!B347</f>
        <v>EASY IN 90 TUŠ VRATA 90x195 cm</v>
      </c>
      <c r="C350" s="9" t="str">
        <f aca="false">PODACI_ZALIHE!C347</f>
        <v>3933</v>
      </c>
      <c r="D350" s="8" t="str">
        <f aca="false">PODACI_ZALIHE!D347</f>
        <v>PINGHU AONISI SANITARY WARE CO.,LTD</v>
      </c>
      <c r="E350" s="19" t="n">
        <f aca="false">IF(PODACI_ZALIHE!E347="","",PODACI_ZALIHE!E347)</f>
        <v>18</v>
      </c>
      <c r="F350" s="20" t="n">
        <f aca="false">PODACI_ZALIHE!F347</f>
        <v>18</v>
      </c>
      <c r="G350" s="19" t="n">
        <f aca="false">IF(E350="","",E350-F350)</f>
        <v>0</v>
      </c>
      <c r="H350" s="9" t="n">
        <f aca="false">PODACI_PRODAJA!N167</f>
        <v>2.63</v>
      </c>
      <c r="I350" s="21" t="n">
        <f aca="false">IF(H350&lt;=0,999,ROUND(F350/H350,1))</f>
        <v>6.8</v>
      </c>
      <c r="J350" s="9" t="n">
        <f aca="false">SUMIFS(ROBA_U_DOLASKU!$C$6:$C$95,ROBA_U_DOLASKU!$A$6:$A$95,A350,ROBA_U_DOLASKU!$H$6:$H$95,1)</f>
        <v>0</v>
      </c>
      <c r="K350" s="9" t="n">
        <f aca="false">SUMIFS(ROBA_U_DOLASKU!$B$6:$B$95,ROBA_U_DOLASKU!$A$6:$A$95,A350,ROBA_U_DOLASKU!$H$6:$H$95,1)</f>
        <v>0</v>
      </c>
      <c r="L350" s="9" t="n">
        <f aca="false">SUMIFS(ROBA_U_DOLASKU!$C$6:$C$95,ROBA_U_DOLASKU!$A$6:$A$95,A350,ROBA_U_DOLASKU!$H$6:$H$95,2)</f>
        <v>0</v>
      </c>
      <c r="M350" s="9" t="n">
        <f aca="false">SUMIFS(ROBA_U_DOLASKU!$B$6:$B$95,ROBA_U_DOLASKU!$A$6:$A$95,A350,ROBA_U_DOLASKU!$H$6:$H$95,2)</f>
        <v>0</v>
      </c>
      <c r="N350" s="9" t="n">
        <f aca="false">SUMIFS(ROBA_U_DOLASKU!$C$6:$C$95,ROBA_U_DOLASKU!$A$6:$A$95,A350,ROBA_U_DOLASKU!$H$6:$H$95,3)</f>
        <v>0</v>
      </c>
      <c r="O350" s="9" t="n">
        <f aca="false">SUMIFS(ROBA_U_DOLASKU!$B$6:$B$95,ROBA_U_DOLASKU!$A$6:$A$95,A350,ROBA_U_DOLASKU!$H$6:$H$95,3)</f>
        <v>0</v>
      </c>
      <c r="P350" s="9" t="n">
        <f aca="false">IF(H350&lt;=0,999,IF(O350&gt;0,ROUND((F350-H350*N350+K350+M350+O350)/H350,1),IF(M350&gt;0,ROUND((F350-H350*L350+K350+M350)/H350,1),IF(K350&gt;0,ROUND((F350-H350*J350+K350)/H350,1),I350))))</f>
        <v>6.8</v>
      </c>
      <c r="Q350" s="22" t="str">
        <f aca="false">IF(H350&lt;=0,"Nema prodaje",IF(AND(K350=0,M350=0,O350=0),IF(I350&lt;POSTAVKE!$B$6,"Naruči odmah","Sve u redu"),IF(F350-H350*J350&lt;0,"Rupa za ~"&amp;TEXT(I350,"0.0")&amp;" mj.",IF(AND(M350&gt;0,F350-H350*L350+K350&lt;0),"Rupa nakon 1. dolaska",IF(AND(O350&gt;0,F350-H350*N350+K350+M350&lt;0),"Rupa nakon 2. dolaska",IF(P350&lt;POSTAVKE!$B$6,"Količina nije dovoljna",IF(I350&gt;=POSTAVKE!$B$6,"Sve u redu","Stiže na vrijeme")))))))</f>
        <v>Sve u redu</v>
      </c>
      <c r="S350" s="23" t="n">
        <f aca="false">IFERROR(INDEX(PODACI_PRODAJA!B:B,MATCH($A350,PODACI_PRODAJA!$A:$A,0)),0)</f>
        <v>2</v>
      </c>
      <c r="T350" s="23" t="n">
        <f aca="false">IFERROR(INDEX(PODACI_PRODAJA!C:C,MATCH($A350,PODACI_PRODAJA!$A:$A,0)),0)</f>
        <v>6</v>
      </c>
      <c r="U350" s="23" t="n">
        <f aca="false">IFERROR(INDEX(PODACI_PRODAJA!D:D,MATCH($A350,PODACI_PRODAJA!$A:$A,0)),0)</f>
        <v>1</v>
      </c>
      <c r="V350" s="23" t="n">
        <f aca="false">IFERROR(INDEX(PODACI_PRODAJA!E:E,MATCH($A350,PODACI_PRODAJA!$A:$A,0)),0)</f>
        <v>2</v>
      </c>
      <c r="W350" s="23" t="n">
        <f aca="false">IFERROR(INDEX(PODACI_PRODAJA!F:F,MATCH($A350,PODACI_PRODAJA!$A:$A,0)),0)</f>
        <v>3</v>
      </c>
      <c r="X350" s="23" t="n">
        <f aca="false">IFERROR(INDEX(PODACI_PRODAJA!G:G,MATCH($A350,PODACI_PRODAJA!$A:$A,0)),0)</f>
        <v>2</v>
      </c>
      <c r="Y350" s="23" t="n">
        <f aca="false">IFERROR(INDEX(PODACI_PRODAJA!H:H,MATCH($A350,PODACI_PRODAJA!$A:$A,0)),0)</f>
        <v>4</v>
      </c>
      <c r="Z350" s="23" t="n">
        <f aca="false">IFERROR(INDEX(PODACI_PRODAJA!I:I,MATCH($A350,PODACI_PRODAJA!$A:$A,0)),0)</f>
        <v>1</v>
      </c>
      <c r="AA350" s="23" t="n">
        <f aca="false">IFERROR(INDEX(PODACI_PRODAJA!J:J,MATCH($A350,PODACI_PRODAJA!$A:$A,0)),0)</f>
        <v>0</v>
      </c>
      <c r="AB350" s="23" t="n">
        <f aca="false">IFERROR(INDEX(PODACI_PRODAJA!K:K,MATCH($A350,PODACI_PRODAJA!$A:$A,0)),0)</f>
        <v>0</v>
      </c>
      <c r="AC350" s="23" t="n">
        <f aca="false">IFERROR(INDEX(PODACI_PRODAJA!L:L,MATCH($A350,PODACI_PRODAJA!$A:$A,0)),0)</f>
        <v>0</v>
      </c>
      <c r="AD350" s="23" t="n">
        <f aca="false">IFERROR(INDEX(PODACI_PRODAJA!M:M,MATCH($A350,PODACI_PRODAJA!$A:$A,0)),0)</f>
        <v>0</v>
      </c>
    </row>
    <row r="351" customFormat="false" ht="15" hidden="false" customHeight="false" outlineLevel="0" collapsed="false">
      <c r="A351" s="11" t="str">
        <f aca="false">PODACI_ZALIHE!A348</f>
        <v>15273</v>
      </c>
      <c r="B351" s="8" t="str">
        <f aca="false">PODACI_ZALIHE!B348</f>
        <v>ALINA 80120 HIDROMASAŽNA TUŠ KABINA 80x120x225 cm</v>
      </c>
      <c r="C351" s="9" t="str">
        <f aca="false">PODACI_ZALIHE!C348</f>
        <v>3933</v>
      </c>
      <c r="D351" s="8" t="str">
        <f aca="false">PODACI_ZALIHE!D348</f>
        <v>PINGHU AONISI SANITARY WARE CO.,LTD</v>
      </c>
      <c r="E351" s="19" t="n">
        <f aca="false">IF(PODACI_ZALIHE!E348="","",PODACI_ZALIHE!E348)</f>
        <v>18</v>
      </c>
      <c r="F351" s="20" t="n">
        <f aca="false">PODACI_ZALIHE!F348</f>
        <v>18</v>
      </c>
      <c r="G351" s="19" t="n">
        <f aca="false">IF(E351="","",E351-F351)</f>
        <v>0</v>
      </c>
      <c r="H351" s="9" t="n">
        <f aca="false">PODACI_PRODAJA!N150</f>
        <v>3</v>
      </c>
      <c r="I351" s="21" t="n">
        <f aca="false">IF(H351&lt;=0,999,ROUND(F351/H351,1))</f>
        <v>6</v>
      </c>
      <c r="J351" s="9" t="n">
        <f aca="false">SUMIFS(ROBA_U_DOLASKU!$C$6:$C$95,ROBA_U_DOLASKU!$A$6:$A$95,A351,ROBA_U_DOLASKU!$H$6:$H$95,1)</f>
        <v>0</v>
      </c>
      <c r="K351" s="9" t="n">
        <f aca="false">SUMIFS(ROBA_U_DOLASKU!$B$6:$B$95,ROBA_U_DOLASKU!$A$6:$A$95,A351,ROBA_U_DOLASKU!$H$6:$H$95,1)</f>
        <v>0</v>
      </c>
      <c r="L351" s="9" t="n">
        <f aca="false">SUMIFS(ROBA_U_DOLASKU!$C$6:$C$95,ROBA_U_DOLASKU!$A$6:$A$95,A351,ROBA_U_DOLASKU!$H$6:$H$95,2)</f>
        <v>0</v>
      </c>
      <c r="M351" s="9" t="n">
        <f aca="false">SUMIFS(ROBA_U_DOLASKU!$B$6:$B$95,ROBA_U_DOLASKU!$A$6:$A$95,A351,ROBA_U_DOLASKU!$H$6:$H$95,2)</f>
        <v>0</v>
      </c>
      <c r="N351" s="9" t="n">
        <f aca="false">SUMIFS(ROBA_U_DOLASKU!$C$6:$C$95,ROBA_U_DOLASKU!$A$6:$A$95,A351,ROBA_U_DOLASKU!$H$6:$H$95,3)</f>
        <v>0</v>
      </c>
      <c r="O351" s="9" t="n">
        <f aca="false">SUMIFS(ROBA_U_DOLASKU!$B$6:$B$95,ROBA_U_DOLASKU!$A$6:$A$95,A351,ROBA_U_DOLASKU!$H$6:$H$95,3)</f>
        <v>0</v>
      </c>
      <c r="P351" s="9" t="n">
        <f aca="false">IF(H351&lt;=0,999,IF(O351&gt;0,ROUND((F351-H351*N351+K351+M351+O351)/H351,1),IF(M351&gt;0,ROUND((F351-H351*L351+K351+M351)/H351,1),IF(K351&gt;0,ROUND((F351-H351*J351+K351)/H351,1),I351))))</f>
        <v>6</v>
      </c>
      <c r="Q351" s="22" t="str">
        <f aca="false">IF(H351&lt;=0,"Nema prodaje",IF(AND(K351=0,M351=0,O351=0),IF(I351&lt;POSTAVKE!$B$6,"Naruči odmah","Sve u redu"),IF(F351-H351*J351&lt;0,"Rupa za ~"&amp;TEXT(I351,"0.0")&amp;" mj.",IF(AND(M351&gt;0,F351-H351*L351+K351&lt;0),"Rupa nakon 1. dolaska",IF(AND(O351&gt;0,F351-H351*N351+K351+M351&lt;0),"Rupa nakon 2. dolaska",IF(P351&lt;POSTAVKE!$B$6,"Količina nije dovoljna",IF(I351&gt;=POSTAVKE!$B$6,"Sve u redu","Stiže na vrijeme")))))))</f>
        <v>Sve u redu</v>
      </c>
      <c r="S351" s="23" t="n">
        <f aca="false">IFERROR(INDEX(PODACI_PRODAJA!B:B,MATCH($A351,PODACI_PRODAJA!$A:$A,0)),0)</f>
        <v>3</v>
      </c>
      <c r="T351" s="23" t="n">
        <f aca="false">IFERROR(INDEX(PODACI_PRODAJA!C:C,MATCH($A351,PODACI_PRODAJA!$A:$A,0)),0)</f>
        <v>1</v>
      </c>
      <c r="U351" s="23" t="n">
        <f aca="false">IFERROR(INDEX(PODACI_PRODAJA!D:D,MATCH($A351,PODACI_PRODAJA!$A:$A,0)),0)</f>
        <v>6</v>
      </c>
      <c r="V351" s="23" t="n">
        <f aca="false">IFERROR(INDEX(PODACI_PRODAJA!E:E,MATCH($A351,PODACI_PRODAJA!$A:$A,0)),0)</f>
        <v>2</v>
      </c>
      <c r="W351" s="23" t="n">
        <f aca="false">IFERROR(INDEX(PODACI_PRODAJA!F:F,MATCH($A351,PODACI_PRODAJA!$A:$A,0)),0)</f>
        <v>5</v>
      </c>
      <c r="X351" s="23" t="n">
        <f aca="false">IFERROR(INDEX(PODACI_PRODAJA!G:G,MATCH($A351,PODACI_PRODAJA!$A:$A,0)),0)</f>
        <v>2</v>
      </c>
      <c r="Y351" s="23" t="n">
        <f aca="false">IFERROR(INDEX(PODACI_PRODAJA!H:H,MATCH($A351,PODACI_PRODAJA!$A:$A,0)),0)</f>
        <v>3</v>
      </c>
      <c r="Z351" s="23" t="n">
        <f aca="false">IFERROR(INDEX(PODACI_PRODAJA!I:I,MATCH($A351,PODACI_PRODAJA!$A:$A,0)),0)</f>
        <v>2</v>
      </c>
      <c r="AA351" s="23" t="n">
        <f aca="false">IFERROR(INDEX(PODACI_PRODAJA!J:J,MATCH($A351,PODACI_PRODAJA!$A:$A,0)),0)</f>
        <v>0</v>
      </c>
      <c r="AB351" s="23" t="n">
        <f aca="false">IFERROR(INDEX(PODACI_PRODAJA!K:K,MATCH($A351,PODACI_PRODAJA!$A:$A,0)),0)</f>
        <v>0</v>
      </c>
      <c r="AC351" s="23" t="n">
        <f aca="false">IFERROR(INDEX(PODACI_PRODAJA!L:L,MATCH($A351,PODACI_PRODAJA!$A:$A,0)),0)</f>
        <v>0</v>
      </c>
      <c r="AD351" s="23" t="n">
        <f aca="false">IFERROR(INDEX(PODACI_PRODAJA!M:M,MATCH($A351,PODACI_PRODAJA!$A:$A,0)),0)</f>
        <v>0</v>
      </c>
    </row>
    <row r="352" customFormat="false" ht="15" hidden="false" customHeight="false" outlineLevel="0" collapsed="false">
      <c r="A352" s="11" t="str">
        <f aca="false">PODACI_ZALIHE!A349</f>
        <v>15935</v>
      </c>
      <c r="B352" s="8" t="str">
        <f aca="false">PODACI_ZALIHE!B349</f>
        <v>TK SILVER LINE 80 POLUKRUŽNA TUŠ KABINA 80x80x195 cm</v>
      </c>
      <c r="C352" s="9" t="str">
        <f aca="false">PODACI_ZALIHE!C349</f>
        <v>4328</v>
      </c>
      <c r="D352" s="8" t="str">
        <f aca="false">PODACI_ZALIHE!D349</f>
        <v>HANGZHOU DUHUI IMPORT AND EXPORT CO.,LTD</v>
      </c>
      <c r="E352" s="19" t="n">
        <f aca="false">IF(PODACI_ZALIHE!E349="","",PODACI_ZALIHE!E349)</f>
        <v>18</v>
      </c>
      <c r="F352" s="20" t="n">
        <f aca="false">PODACI_ZALIHE!F349</f>
        <v>18</v>
      </c>
      <c r="G352" s="19" t="n">
        <f aca="false">IF(E352="","",E352-F352)</f>
        <v>0</v>
      </c>
      <c r="H352" s="9" t="n">
        <f aca="false">PODACI_PRODAJA!N188</f>
        <v>1.5</v>
      </c>
      <c r="I352" s="21" t="n">
        <f aca="false">IF(H352&lt;=0,999,ROUND(F352/H352,1))</f>
        <v>12</v>
      </c>
      <c r="J352" s="9" t="n">
        <f aca="false">SUMIFS(ROBA_U_DOLASKU!$C$6:$C$95,ROBA_U_DOLASKU!$A$6:$A$95,A352,ROBA_U_DOLASKU!$H$6:$H$95,1)</f>
        <v>0</v>
      </c>
      <c r="K352" s="9" t="n">
        <f aca="false">SUMIFS(ROBA_U_DOLASKU!$B$6:$B$95,ROBA_U_DOLASKU!$A$6:$A$95,A352,ROBA_U_DOLASKU!$H$6:$H$95,1)</f>
        <v>0</v>
      </c>
      <c r="L352" s="9" t="n">
        <f aca="false">SUMIFS(ROBA_U_DOLASKU!$C$6:$C$95,ROBA_U_DOLASKU!$A$6:$A$95,A352,ROBA_U_DOLASKU!$H$6:$H$95,2)</f>
        <v>0</v>
      </c>
      <c r="M352" s="9" t="n">
        <f aca="false">SUMIFS(ROBA_U_DOLASKU!$B$6:$B$95,ROBA_U_DOLASKU!$A$6:$A$95,A352,ROBA_U_DOLASKU!$H$6:$H$95,2)</f>
        <v>0</v>
      </c>
      <c r="N352" s="9" t="n">
        <f aca="false">SUMIFS(ROBA_U_DOLASKU!$C$6:$C$95,ROBA_U_DOLASKU!$A$6:$A$95,A352,ROBA_U_DOLASKU!$H$6:$H$95,3)</f>
        <v>0</v>
      </c>
      <c r="O352" s="9" t="n">
        <f aca="false">SUMIFS(ROBA_U_DOLASKU!$B$6:$B$95,ROBA_U_DOLASKU!$A$6:$A$95,A352,ROBA_U_DOLASKU!$H$6:$H$95,3)</f>
        <v>0</v>
      </c>
      <c r="P352" s="9" t="n">
        <f aca="false">IF(H352&lt;=0,999,IF(O352&gt;0,ROUND((F352-H352*N352+K352+M352+O352)/H352,1),IF(M352&gt;0,ROUND((F352-H352*L352+K352+M352)/H352,1),IF(K352&gt;0,ROUND((F352-H352*J352+K352)/H352,1),I352))))</f>
        <v>12</v>
      </c>
      <c r="Q352" s="22" t="str">
        <f aca="false">IF(H352&lt;=0,"Nema prodaje",IF(AND(K352=0,M352=0,O352=0),IF(I352&lt;POSTAVKE!$B$6,"Naruči odmah","Sve u redu"),IF(F352-H352*J352&lt;0,"Rupa za ~"&amp;TEXT(I352,"0.0")&amp;" mj.",IF(AND(M352&gt;0,F352-H352*L352+K352&lt;0),"Rupa nakon 1. dolaska",IF(AND(O352&gt;0,F352-H352*N352+K352+M352&lt;0),"Rupa nakon 2. dolaska",IF(P352&lt;POSTAVKE!$B$6,"Količina nije dovoljna",IF(I352&gt;=POSTAVKE!$B$6,"Sve u redu","Stiže na vrijeme")))))))</f>
        <v>Sve u redu</v>
      </c>
      <c r="S352" s="23" t="n">
        <f aca="false">IFERROR(INDEX(PODACI_PRODAJA!B:B,MATCH($A352,PODACI_PRODAJA!$A:$A,0)),0)</f>
        <v>2</v>
      </c>
      <c r="T352" s="23" t="n">
        <f aca="false">IFERROR(INDEX(PODACI_PRODAJA!C:C,MATCH($A352,PODACI_PRODAJA!$A:$A,0)),0)</f>
        <v>2</v>
      </c>
      <c r="U352" s="23" t="n">
        <f aca="false">IFERROR(INDEX(PODACI_PRODAJA!D:D,MATCH($A352,PODACI_PRODAJA!$A:$A,0)),0)</f>
        <v>1</v>
      </c>
      <c r="V352" s="23" t="n">
        <f aca="false">IFERROR(INDEX(PODACI_PRODAJA!E:E,MATCH($A352,PODACI_PRODAJA!$A:$A,0)),0)</f>
        <v>1</v>
      </c>
      <c r="W352" s="23" t="n">
        <f aca="false">IFERROR(INDEX(PODACI_PRODAJA!F:F,MATCH($A352,PODACI_PRODAJA!$A:$A,0)),0)</f>
        <v>4</v>
      </c>
      <c r="X352" s="23" t="n">
        <f aca="false">IFERROR(INDEX(PODACI_PRODAJA!G:G,MATCH($A352,PODACI_PRODAJA!$A:$A,0)),0)</f>
        <v>0</v>
      </c>
      <c r="Y352" s="23" t="n">
        <f aca="false">IFERROR(INDEX(PODACI_PRODAJA!H:H,MATCH($A352,PODACI_PRODAJA!$A:$A,0)),0)</f>
        <v>0</v>
      </c>
      <c r="Z352" s="23" t="n">
        <f aca="false">IFERROR(INDEX(PODACI_PRODAJA!I:I,MATCH($A352,PODACI_PRODAJA!$A:$A,0)),0)</f>
        <v>2</v>
      </c>
      <c r="AA352" s="23" t="n">
        <f aca="false">IFERROR(INDEX(PODACI_PRODAJA!J:J,MATCH($A352,PODACI_PRODAJA!$A:$A,0)),0)</f>
        <v>0</v>
      </c>
      <c r="AB352" s="23" t="n">
        <f aca="false">IFERROR(INDEX(PODACI_PRODAJA!K:K,MATCH($A352,PODACI_PRODAJA!$A:$A,0)),0)</f>
        <v>0</v>
      </c>
      <c r="AC352" s="23" t="n">
        <f aca="false">IFERROR(INDEX(PODACI_PRODAJA!L:L,MATCH($A352,PODACI_PRODAJA!$A:$A,0)),0)</f>
        <v>0</v>
      </c>
      <c r="AD352" s="23" t="n">
        <f aca="false">IFERROR(INDEX(PODACI_PRODAJA!M:M,MATCH($A352,PODACI_PRODAJA!$A:$A,0)),0)</f>
        <v>0</v>
      </c>
    </row>
    <row r="353" customFormat="false" ht="15" hidden="false" customHeight="false" outlineLevel="0" collapsed="false">
      <c r="A353" s="11" t="str">
        <f aca="false">PODACI_ZALIHE!A350</f>
        <v>15940</v>
      </c>
      <c r="B353" s="8" t="str">
        <f aca="false">PODACI_ZALIHE!B350</f>
        <v>TK SILVER LINE 80120 PRAVOKUTNA TUŠ KABINA 80x120x195 cm</v>
      </c>
      <c r="C353" s="9" t="str">
        <f aca="false">PODACI_ZALIHE!C350</f>
        <v>4328</v>
      </c>
      <c r="D353" s="8" t="str">
        <f aca="false">PODACI_ZALIHE!D350</f>
        <v>HANGZHOU DUHUI IMPORT AND EXPORT CO.,LTD</v>
      </c>
      <c r="E353" s="19" t="n">
        <f aca="false">IF(PODACI_ZALIHE!E350="","",PODACI_ZALIHE!E350)</f>
        <v>18</v>
      </c>
      <c r="F353" s="20" t="n">
        <f aca="false">PODACI_ZALIHE!F350</f>
        <v>18</v>
      </c>
      <c r="G353" s="19" t="n">
        <f aca="false">IF(E353="","",E353-F353)</f>
        <v>0</v>
      </c>
      <c r="H353" s="9" t="n">
        <f aca="false">PODACI_PRODAJA!N544</f>
        <v>0.75</v>
      </c>
      <c r="I353" s="21" t="n">
        <f aca="false">IF(H353&lt;=0,999,ROUND(F353/H353,1))</f>
        <v>24</v>
      </c>
      <c r="J353" s="9" t="n">
        <f aca="false">SUMIFS(ROBA_U_DOLASKU!$C$6:$C$95,ROBA_U_DOLASKU!$A$6:$A$95,A353,ROBA_U_DOLASKU!$H$6:$H$95,1)</f>
        <v>0</v>
      </c>
      <c r="K353" s="9" t="n">
        <f aca="false">SUMIFS(ROBA_U_DOLASKU!$B$6:$B$95,ROBA_U_DOLASKU!$A$6:$A$95,A353,ROBA_U_DOLASKU!$H$6:$H$95,1)</f>
        <v>0</v>
      </c>
      <c r="L353" s="9" t="n">
        <f aca="false">SUMIFS(ROBA_U_DOLASKU!$C$6:$C$95,ROBA_U_DOLASKU!$A$6:$A$95,A353,ROBA_U_DOLASKU!$H$6:$H$95,2)</f>
        <v>0</v>
      </c>
      <c r="M353" s="9" t="n">
        <f aca="false">SUMIFS(ROBA_U_DOLASKU!$B$6:$B$95,ROBA_U_DOLASKU!$A$6:$A$95,A353,ROBA_U_DOLASKU!$H$6:$H$95,2)</f>
        <v>0</v>
      </c>
      <c r="N353" s="9" t="n">
        <f aca="false">SUMIFS(ROBA_U_DOLASKU!$C$6:$C$95,ROBA_U_DOLASKU!$A$6:$A$95,A353,ROBA_U_DOLASKU!$H$6:$H$95,3)</f>
        <v>0</v>
      </c>
      <c r="O353" s="9" t="n">
        <f aca="false">SUMIFS(ROBA_U_DOLASKU!$B$6:$B$95,ROBA_U_DOLASKU!$A$6:$A$95,A353,ROBA_U_DOLASKU!$H$6:$H$95,3)</f>
        <v>0</v>
      </c>
      <c r="P353" s="9" t="n">
        <f aca="false">IF(H353&lt;=0,999,IF(O353&gt;0,ROUND((F353-H353*N353+K353+M353+O353)/H353,1),IF(M353&gt;0,ROUND((F353-H353*L353+K353+M353)/H353,1),IF(K353&gt;0,ROUND((F353-H353*J353+K353)/H353,1),I353))))</f>
        <v>24</v>
      </c>
      <c r="Q353" s="22" t="str">
        <f aca="false">IF(H353&lt;=0,"Nema prodaje",IF(AND(K353=0,M353=0,O353=0),IF(I353&lt;POSTAVKE!$B$6,"Naruči odmah","Sve u redu"),IF(F353-H353*J353&lt;0,"Rupa za ~"&amp;TEXT(I353,"0.0")&amp;" mj.",IF(AND(M353&gt;0,F353-H353*L353+K353&lt;0),"Rupa nakon 1. dolaska",IF(AND(O353&gt;0,F353-H353*N353+K353+M353&lt;0),"Rupa nakon 2. dolaska",IF(P353&lt;POSTAVKE!$B$6,"Količina nije dovoljna",IF(I353&gt;=POSTAVKE!$B$6,"Sve u redu","Stiže na vrijeme")))))))</f>
        <v>Sve u redu</v>
      </c>
      <c r="S353" s="23" t="n">
        <f aca="false">IFERROR(INDEX(PODACI_PRODAJA!B:B,MATCH($A353,PODACI_PRODAJA!$A:$A,0)),0)</f>
        <v>0</v>
      </c>
      <c r="T353" s="23" t="n">
        <f aca="false">IFERROR(INDEX(PODACI_PRODAJA!C:C,MATCH($A353,PODACI_PRODAJA!$A:$A,0)),0)</f>
        <v>0</v>
      </c>
      <c r="U353" s="23" t="n">
        <f aca="false">IFERROR(INDEX(PODACI_PRODAJA!D:D,MATCH($A353,PODACI_PRODAJA!$A:$A,0)),0)</f>
        <v>1</v>
      </c>
      <c r="V353" s="23" t="n">
        <f aca="false">IFERROR(INDEX(PODACI_PRODAJA!E:E,MATCH($A353,PODACI_PRODAJA!$A:$A,0)),0)</f>
        <v>0</v>
      </c>
      <c r="W353" s="23" t="n">
        <f aca="false">IFERROR(INDEX(PODACI_PRODAJA!F:F,MATCH($A353,PODACI_PRODAJA!$A:$A,0)),0)</f>
        <v>0</v>
      </c>
      <c r="X353" s="23" t="n">
        <f aca="false">IFERROR(INDEX(PODACI_PRODAJA!G:G,MATCH($A353,PODACI_PRODAJA!$A:$A,0)),0)</f>
        <v>4</v>
      </c>
      <c r="Y353" s="23" t="n">
        <f aca="false">IFERROR(INDEX(PODACI_PRODAJA!H:H,MATCH($A353,PODACI_PRODAJA!$A:$A,0)),0)</f>
        <v>1</v>
      </c>
      <c r="Z353" s="23" t="n">
        <f aca="false">IFERROR(INDEX(PODACI_PRODAJA!I:I,MATCH($A353,PODACI_PRODAJA!$A:$A,0)),0)</f>
        <v>0</v>
      </c>
      <c r="AA353" s="23" t="n">
        <f aca="false">IFERROR(INDEX(PODACI_PRODAJA!J:J,MATCH($A353,PODACI_PRODAJA!$A:$A,0)),0)</f>
        <v>0</v>
      </c>
      <c r="AB353" s="23" t="n">
        <f aca="false">IFERROR(INDEX(PODACI_PRODAJA!K:K,MATCH($A353,PODACI_PRODAJA!$A:$A,0)),0)</f>
        <v>0</v>
      </c>
      <c r="AC353" s="23" t="n">
        <f aca="false">IFERROR(INDEX(PODACI_PRODAJA!L:L,MATCH($A353,PODACI_PRODAJA!$A:$A,0)),0)</f>
        <v>0</v>
      </c>
      <c r="AD353" s="23" t="n">
        <f aca="false">IFERROR(INDEX(PODACI_PRODAJA!M:M,MATCH($A353,PODACI_PRODAJA!$A:$A,0)),0)</f>
        <v>0</v>
      </c>
    </row>
    <row r="354" customFormat="false" ht="15" hidden="false" customHeight="false" outlineLevel="0" collapsed="false">
      <c r="A354" s="11" t="str">
        <f aca="false">PODACI_ZALIHE!A351</f>
        <v>16163</v>
      </c>
      <c r="B354" s="8" t="str">
        <f aca="false">PODACI_ZALIHE!B351</f>
        <v>TK GRACE 90 KVADRATNA TUŠ KABINA 90X90X190cm</v>
      </c>
      <c r="C354" s="9" t="str">
        <f aca="false">PODACI_ZALIHE!C351</f>
        <v>4328</v>
      </c>
      <c r="D354" s="8" t="str">
        <f aca="false">PODACI_ZALIHE!D351</f>
        <v>HANGZHOU DUHUI IMPORT AND EXPORT CO.,LTD</v>
      </c>
      <c r="E354" s="19" t="n">
        <f aca="false">IF(PODACI_ZALIHE!E351="","",PODACI_ZALIHE!E351)</f>
        <v>18</v>
      </c>
      <c r="F354" s="20" t="n">
        <f aca="false">PODACI_ZALIHE!F351</f>
        <v>18</v>
      </c>
      <c r="G354" s="19" t="n">
        <f aca="false">IF(E354="","",E354-F354)</f>
        <v>0</v>
      </c>
      <c r="H354" s="9" t="n">
        <f aca="false">PODACI_PRODAJA!N572</f>
        <v>1.75</v>
      </c>
      <c r="I354" s="21" t="n">
        <f aca="false">IF(H354&lt;=0,999,ROUND(F354/H354,1))</f>
        <v>10.3</v>
      </c>
      <c r="J354" s="9" t="n">
        <f aca="false">SUMIFS(ROBA_U_DOLASKU!$C$6:$C$95,ROBA_U_DOLASKU!$A$6:$A$95,A354,ROBA_U_DOLASKU!$H$6:$H$95,1)</f>
        <v>0</v>
      </c>
      <c r="K354" s="9" t="n">
        <f aca="false">SUMIFS(ROBA_U_DOLASKU!$B$6:$B$95,ROBA_U_DOLASKU!$A$6:$A$95,A354,ROBA_U_DOLASKU!$H$6:$H$95,1)</f>
        <v>0</v>
      </c>
      <c r="L354" s="9" t="n">
        <f aca="false">SUMIFS(ROBA_U_DOLASKU!$C$6:$C$95,ROBA_U_DOLASKU!$A$6:$A$95,A354,ROBA_U_DOLASKU!$H$6:$H$95,2)</f>
        <v>0</v>
      </c>
      <c r="M354" s="9" t="n">
        <f aca="false">SUMIFS(ROBA_U_DOLASKU!$B$6:$B$95,ROBA_U_DOLASKU!$A$6:$A$95,A354,ROBA_U_DOLASKU!$H$6:$H$95,2)</f>
        <v>0</v>
      </c>
      <c r="N354" s="9" t="n">
        <f aca="false">SUMIFS(ROBA_U_DOLASKU!$C$6:$C$95,ROBA_U_DOLASKU!$A$6:$A$95,A354,ROBA_U_DOLASKU!$H$6:$H$95,3)</f>
        <v>0</v>
      </c>
      <c r="O354" s="9" t="n">
        <f aca="false">SUMIFS(ROBA_U_DOLASKU!$B$6:$B$95,ROBA_U_DOLASKU!$A$6:$A$95,A354,ROBA_U_DOLASKU!$H$6:$H$95,3)</f>
        <v>0</v>
      </c>
      <c r="P354" s="9" t="n">
        <f aca="false">IF(H354&lt;=0,999,IF(O354&gt;0,ROUND((F354-H354*N354+K354+M354+O354)/H354,1),IF(M354&gt;0,ROUND((F354-H354*L354+K354+M354)/H354,1),IF(K354&gt;0,ROUND((F354-H354*J354+K354)/H354,1),I354))))</f>
        <v>10.3</v>
      </c>
      <c r="Q354" s="22" t="str">
        <f aca="false">IF(H354&lt;=0,"Nema prodaje",IF(AND(K354=0,M354=0,O354=0),IF(I354&lt;POSTAVKE!$B$6,"Naruči odmah","Sve u redu"),IF(F354-H354*J354&lt;0,"Rupa za ~"&amp;TEXT(I354,"0.0")&amp;" mj.",IF(AND(M354&gt;0,F354-H354*L354+K354&lt;0),"Rupa nakon 1. dolaska",IF(AND(O354&gt;0,F354-H354*N354+K354+M354&lt;0),"Rupa nakon 2. dolaska",IF(P354&lt;POSTAVKE!$B$6,"Količina nije dovoljna",IF(I354&gt;=POSTAVKE!$B$6,"Sve u redu","Stiže na vrijeme")))))))</f>
        <v>Sve u redu</v>
      </c>
      <c r="S354" s="23" t="n">
        <f aca="false">IFERROR(INDEX(PODACI_PRODAJA!B:B,MATCH($A354,PODACI_PRODAJA!$A:$A,0)),0)</f>
        <v>0</v>
      </c>
      <c r="T354" s="23" t="n">
        <f aca="false">IFERROR(INDEX(PODACI_PRODAJA!C:C,MATCH($A354,PODACI_PRODAJA!$A:$A,0)),0)</f>
        <v>1</v>
      </c>
      <c r="U354" s="23" t="n">
        <f aca="false">IFERROR(INDEX(PODACI_PRODAJA!D:D,MATCH($A354,PODACI_PRODAJA!$A:$A,0)),0)</f>
        <v>4</v>
      </c>
      <c r="V354" s="23" t="n">
        <f aca="false">IFERROR(INDEX(PODACI_PRODAJA!E:E,MATCH($A354,PODACI_PRODAJA!$A:$A,0)),0)</f>
        <v>1</v>
      </c>
      <c r="W354" s="23" t="n">
        <f aca="false">IFERROR(INDEX(PODACI_PRODAJA!F:F,MATCH($A354,PODACI_PRODAJA!$A:$A,0)),0)</f>
        <v>0</v>
      </c>
      <c r="X354" s="23" t="n">
        <f aca="false">IFERROR(INDEX(PODACI_PRODAJA!G:G,MATCH($A354,PODACI_PRODAJA!$A:$A,0)),0)</f>
        <v>3</v>
      </c>
      <c r="Y354" s="23" t="n">
        <f aca="false">IFERROR(INDEX(PODACI_PRODAJA!H:H,MATCH($A354,PODACI_PRODAJA!$A:$A,0)),0)</f>
        <v>3</v>
      </c>
      <c r="Z354" s="23" t="n">
        <f aca="false">IFERROR(INDEX(PODACI_PRODAJA!I:I,MATCH($A354,PODACI_PRODAJA!$A:$A,0)),0)</f>
        <v>2</v>
      </c>
      <c r="AA354" s="23" t="n">
        <f aca="false">IFERROR(INDEX(PODACI_PRODAJA!J:J,MATCH($A354,PODACI_PRODAJA!$A:$A,0)),0)</f>
        <v>0</v>
      </c>
      <c r="AB354" s="23" t="n">
        <f aca="false">IFERROR(INDEX(PODACI_PRODAJA!K:K,MATCH($A354,PODACI_PRODAJA!$A:$A,0)),0)</f>
        <v>0</v>
      </c>
      <c r="AC354" s="23" t="n">
        <f aca="false">IFERROR(INDEX(PODACI_PRODAJA!L:L,MATCH($A354,PODACI_PRODAJA!$A:$A,0)),0)</f>
        <v>0</v>
      </c>
      <c r="AD354" s="23" t="n">
        <f aca="false">IFERROR(INDEX(PODACI_PRODAJA!M:M,MATCH($A354,PODACI_PRODAJA!$A:$A,0)),0)</f>
        <v>0</v>
      </c>
    </row>
    <row r="355" customFormat="false" ht="15" hidden="false" customHeight="false" outlineLevel="0" collapsed="false">
      <c r="A355" s="11" t="str">
        <f aca="false">PODACI_ZALIHE!A352</f>
        <v>16789</v>
      </c>
      <c r="B355" s="8" t="str">
        <f aca="false">PODACI_ZALIHE!B352</f>
        <v>VETRO FRAME 80 TUŠ STIJENA 80X195cm</v>
      </c>
      <c r="C355" s="9" t="str">
        <f aca="false">PODACI_ZALIHE!C352</f>
        <v>6163</v>
      </c>
      <c r="D355" s="8" t="str">
        <f aca="false">PODACI_ZALIHE!D352</f>
        <v>HANGZHOU TIANMEI INDUSTRY CO.,LTD</v>
      </c>
      <c r="E355" s="19" t="n">
        <f aca="false">IF(PODACI_ZALIHE!E352="","",PODACI_ZALIHE!E352)</f>
        <v>18</v>
      </c>
      <c r="F355" s="20" t="n">
        <f aca="false">PODACI_ZALIHE!F352</f>
        <v>18</v>
      </c>
      <c r="G355" s="19" t="n">
        <f aca="false">IF(E355="","",E355-F355)</f>
        <v>0</v>
      </c>
      <c r="H355" s="9" t="n">
        <f aca="false">PODACI_PRODAJA!N579</f>
        <v>1.25</v>
      </c>
      <c r="I355" s="21" t="n">
        <f aca="false">IF(H355&lt;=0,999,ROUND(F355/H355,1))</f>
        <v>14.4</v>
      </c>
      <c r="J355" s="9" t="n">
        <f aca="false">SUMIFS(ROBA_U_DOLASKU!$C$6:$C$95,ROBA_U_DOLASKU!$A$6:$A$95,A355,ROBA_U_DOLASKU!$H$6:$H$95,1)</f>
        <v>0</v>
      </c>
      <c r="K355" s="9" t="n">
        <f aca="false">SUMIFS(ROBA_U_DOLASKU!$B$6:$B$95,ROBA_U_DOLASKU!$A$6:$A$95,A355,ROBA_U_DOLASKU!$H$6:$H$95,1)</f>
        <v>0</v>
      </c>
      <c r="L355" s="9" t="n">
        <f aca="false">SUMIFS(ROBA_U_DOLASKU!$C$6:$C$95,ROBA_U_DOLASKU!$A$6:$A$95,A355,ROBA_U_DOLASKU!$H$6:$H$95,2)</f>
        <v>0</v>
      </c>
      <c r="M355" s="9" t="n">
        <f aca="false">SUMIFS(ROBA_U_DOLASKU!$B$6:$B$95,ROBA_U_DOLASKU!$A$6:$A$95,A355,ROBA_U_DOLASKU!$H$6:$H$95,2)</f>
        <v>0</v>
      </c>
      <c r="N355" s="9" t="n">
        <f aca="false">SUMIFS(ROBA_U_DOLASKU!$C$6:$C$95,ROBA_U_DOLASKU!$A$6:$A$95,A355,ROBA_U_DOLASKU!$H$6:$H$95,3)</f>
        <v>0</v>
      </c>
      <c r="O355" s="9" t="n">
        <f aca="false">SUMIFS(ROBA_U_DOLASKU!$B$6:$B$95,ROBA_U_DOLASKU!$A$6:$A$95,A355,ROBA_U_DOLASKU!$H$6:$H$95,3)</f>
        <v>0</v>
      </c>
      <c r="P355" s="9" t="n">
        <f aca="false">IF(H355&lt;=0,999,IF(O355&gt;0,ROUND((F355-H355*N355+K355+M355+O355)/H355,1),IF(M355&gt;0,ROUND((F355-H355*L355+K355+M355)/H355,1),IF(K355&gt;0,ROUND((F355-H355*J355+K355)/H355,1),I355))))</f>
        <v>14.4</v>
      </c>
      <c r="Q355" s="22" t="str">
        <f aca="false">IF(H355&lt;=0,"Nema prodaje",IF(AND(K355=0,M355=0,O355=0),IF(I355&lt;POSTAVKE!$B$6,"Naruči odmah","Sve u redu"),IF(F355-H355*J355&lt;0,"Rupa za ~"&amp;TEXT(I355,"0.0")&amp;" mj.",IF(AND(M355&gt;0,F355-H355*L355+K355&lt;0),"Rupa nakon 1. dolaska",IF(AND(O355&gt;0,F355-H355*N355+K355+M355&lt;0),"Rupa nakon 2. dolaska",IF(P355&lt;POSTAVKE!$B$6,"Količina nije dovoljna",IF(I355&gt;=POSTAVKE!$B$6,"Sve u redu","Stiže na vrijeme")))))))</f>
        <v>Sve u redu</v>
      </c>
      <c r="S355" s="23" t="n">
        <f aca="false">IFERROR(INDEX(PODACI_PRODAJA!B:B,MATCH($A355,PODACI_PRODAJA!$A:$A,0)),0)</f>
        <v>0</v>
      </c>
      <c r="T355" s="23" t="n">
        <f aca="false">IFERROR(INDEX(PODACI_PRODAJA!C:C,MATCH($A355,PODACI_PRODAJA!$A:$A,0)),0)</f>
        <v>1</v>
      </c>
      <c r="U355" s="23" t="n">
        <f aca="false">IFERROR(INDEX(PODACI_PRODAJA!D:D,MATCH($A355,PODACI_PRODAJA!$A:$A,0)),0)</f>
        <v>3</v>
      </c>
      <c r="V355" s="23" t="n">
        <f aca="false">IFERROR(INDEX(PODACI_PRODAJA!E:E,MATCH($A355,PODACI_PRODAJA!$A:$A,0)),0)</f>
        <v>3</v>
      </c>
      <c r="W355" s="23" t="n">
        <f aca="false">IFERROR(INDEX(PODACI_PRODAJA!F:F,MATCH($A355,PODACI_PRODAJA!$A:$A,0)),0)</f>
        <v>0</v>
      </c>
      <c r="X355" s="23" t="n">
        <f aca="false">IFERROR(INDEX(PODACI_PRODAJA!G:G,MATCH($A355,PODACI_PRODAJA!$A:$A,0)),0)</f>
        <v>1</v>
      </c>
      <c r="Y355" s="23" t="n">
        <f aca="false">IFERROR(INDEX(PODACI_PRODAJA!H:H,MATCH($A355,PODACI_PRODAJA!$A:$A,0)),0)</f>
        <v>1</v>
      </c>
      <c r="Z355" s="23" t="n">
        <f aca="false">IFERROR(INDEX(PODACI_PRODAJA!I:I,MATCH($A355,PODACI_PRODAJA!$A:$A,0)),0)</f>
        <v>1</v>
      </c>
      <c r="AA355" s="23" t="n">
        <f aca="false">IFERROR(INDEX(PODACI_PRODAJA!J:J,MATCH($A355,PODACI_PRODAJA!$A:$A,0)),0)</f>
        <v>0</v>
      </c>
      <c r="AB355" s="23" t="n">
        <f aca="false">IFERROR(INDEX(PODACI_PRODAJA!K:K,MATCH($A355,PODACI_PRODAJA!$A:$A,0)),0)</f>
        <v>0</v>
      </c>
      <c r="AC355" s="23" t="n">
        <f aca="false">IFERROR(INDEX(PODACI_PRODAJA!L:L,MATCH($A355,PODACI_PRODAJA!$A:$A,0)),0)</f>
        <v>0</v>
      </c>
      <c r="AD355" s="23" t="n">
        <f aca="false">IFERROR(INDEX(PODACI_PRODAJA!M:M,MATCH($A355,PODACI_PRODAJA!$A:$A,0)),0)</f>
        <v>0</v>
      </c>
    </row>
    <row r="356" customFormat="false" ht="15" hidden="false" customHeight="false" outlineLevel="0" collapsed="false">
      <c r="A356" s="11" t="str">
        <f aca="false">PODACI_ZALIHE!A353</f>
        <v>16965</v>
      </c>
      <c r="B356" s="8" t="str">
        <f aca="false">PODACI_ZALIHE!B353</f>
        <v>CLEAR SIDE 100 BLACK STAKLENA STRANICA 1000x1950 mm</v>
      </c>
      <c r="C356" s="9" t="str">
        <f aca="false">PODACI_ZALIHE!C353</f>
        <v>6163</v>
      </c>
      <c r="D356" s="8" t="str">
        <f aca="false">PODACI_ZALIHE!D353</f>
        <v>HANGZHOU TIANMEI INDUSTRY CO.,LTD</v>
      </c>
      <c r="E356" s="19" t="n">
        <f aca="false">IF(PODACI_ZALIHE!E353="","",PODACI_ZALIHE!E353)</f>
        <v>18</v>
      </c>
      <c r="F356" s="20" t="n">
        <f aca="false">PODACI_ZALIHE!F353</f>
        <v>18</v>
      </c>
      <c r="G356" s="19" t="n">
        <f aca="false">IF(E356="","",E356-F356)</f>
        <v>0</v>
      </c>
      <c r="H356" s="9" t="n">
        <f aca="false">PODACI_PRODAJA!N160</f>
        <v>0.38</v>
      </c>
      <c r="I356" s="21" t="n">
        <f aca="false">IF(H356&lt;=0,999,ROUND(F356/H356,1))</f>
        <v>47.4</v>
      </c>
      <c r="J356" s="9" t="n">
        <f aca="false">SUMIFS(ROBA_U_DOLASKU!$C$6:$C$95,ROBA_U_DOLASKU!$A$6:$A$95,A356,ROBA_U_DOLASKU!$H$6:$H$95,1)</f>
        <v>0</v>
      </c>
      <c r="K356" s="9" t="n">
        <f aca="false">SUMIFS(ROBA_U_DOLASKU!$B$6:$B$95,ROBA_U_DOLASKU!$A$6:$A$95,A356,ROBA_U_DOLASKU!$H$6:$H$95,1)</f>
        <v>0</v>
      </c>
      <c r="L356" s="9" t="n">
        <f aca="false">SUMIFS(ROBA_U_DOLASKU!$C$6:$C$95,ROBA_U_DOLASKU!$A$6:$A$95,A356,ROBA_U_DOLASKU!$H$6:$H$95,2)</f>
        <v>0</v>
      </c>
      <c r="M356" s="9" t="n">
        <f aca="false">SUMIFS(ROBA_U_DOLASKU!$B$6:$B$95,ROBA_U_DOLASKU!$A$6:$A$95,A356,ROBA_U_DOLASKU!$H$6:$H$95,2)</f>
        <v>0</v>
      </c>
      <c r="N356" s="9" t="n">
        <f aca="false">SUMIFS(ROBA_U_DOLASKU!$C$6:$C$95,ROBA_U_DOLASKU!$A$6:$A$95,A356,ROBA_U_DOLASKU!$H$6:$H$95,3)</f>
        <v>0</v>
      </c>
      <c r="O356" s="9" t="n">
        <f aca="false">SUMIFS(ROBA_U_DOLASKU!$B$6:$B$95,ROBA_U_DOLASKU!$A$6:$A$95,A356,ROBA_U_DOLASKU!$H$6:$H$95,3)</f>
        <v>0</v>
      </c>
      <c r="P356" s="9" t="n">
        <f aca="false">IF(H356&lt;=0,999,IF(O356&gt;0,ROUND((F356-H356*N356+K356+M356+O356)/H356,1),IF(M356&gt;0,ROUND((F356-H356*L356+K356+M356)/H356,1),IF(K356&gt;0,ROUND((F356-H356*J356+K356)/H356,1),I356))))</f>
        <v>47.4</v>
      </c>
      <c r="Q356" s="22" t="str">
        <f aca="false">IF(H356&lt;=0,"Nema prodaje",IF(AND(K356=0,M356=0,O356=0),IF(I356&lt;POSTAVKE!$B$6,"Naruči odmah","Sve u redu"),IF(F356-H356*J356&lt;0,"Rupa za ~"&amp;TEXT(I356,"0.0")&amp;" mj.",IF(AND(M356&gt;0,F356-H356*L356+K356&lt;0),"Rupa nakon 1. dolaska",IF(AND(O356&gt;0,F356-H356*N356+K356+M356&lt;0),"Rupa nakon 2. dolaska",IF(P356&lt;POSTAVKE!$B$6,"Količina nije dovoljna",IF(I356&gt;=POSTAVKE!$B$6,"Sve u redu","Stiže na vrijeme")))))))</f>
        <v>Sve u redu</v>
      </c>
      <c r="S356" s="23" t="n">
        <f aca="false">IFERROR(INDEX(PODACI_PRODAJA!B:B,MATCH($A356,PODACI_PRODAJA!$A:$A,0)),0)</f>
        <v>3</v>
      </c>
      <c r="T356" s="23" t="n">
        <f aca="false">IFERROR(INDEX(PODACI_PRODAJA!C:C,MATCH($A356,PODACI_PRODAJA!$A:$A,0)),0)</f>
        <v>-1</v>
      </c>
      <c r="U356" s="23" t="n">
        <f aca="false">IFERROR(INDEX(PODACI_PRODAJA!D:D,MATCH($A356,PODACI_PRODAJA!$A:$A,0)),0)</f>
        <v>0</v>
      </c>
      <c r="V356" s="23" t="n">
        <f aca="false">IFERROR(INDEX(PODACI_PRODAJA!E:E,MATCH($A356,PODACI_PRODAJA!$A:$A,0)),0)</f>
        <v>1</v>
      </c>
      <c r="W356" s="23" t="n">
        <f aca="false">IFERROR(INDEX(PODACI_PRODAJA!F:F,MATCH($A356,PODACI_PRODAJA!$A:$A,0)),0)</f>
        <v>0</v>
      </c>
      <c r="X356" s="23" t="n">
        <f aca="false">IFERROR(INDEX(PODACI_PRODAJA!G:G,MATCH($A356,PODACI_PRODAJA!$A:$A,0)),0)</f>
        <v>0</v>
      </c>
      <c r="Y356" s="23" t="n">
        <f aca="false">IFERROR(INDEX(PODACI_PRODAJA!H:H,MATCH($A356,PODACI_PRODAJA!$A:$A,0)),0)</f>
        <v>0</v>
      </c>
      <c r="Z356" s="23" t="n">
        <f aca="false">IFERROR(INDEX(PODACI_PRODAJA!I:I,MATCH($A356,PODACI_PRODAJA!$A:$A,0)),0)</f>
        <v>0</v>
      </c>
      <c r="AA356" s="23" t="n">
        <f aca="false">IFERROR(INDEX(PODACI_PRODAJA!J:J,MATCH($A356,PODACI_PRODAJA!$A:$A,0)),0)</f>
        <v>0</v>
      </c>
      <c r="AB356" s="23" t="n">
        <f aca="false">IFERROR(INDEX(PODACI_PRODAJA!K:K,MATCH($A356,PODACI_PRODAJA!$A:$A,0)),0)</f>
        <v>0</v>
      </c>
      <c r="AC356" s="23" t="n">
        <f aca="false">IFERROR(INDEX(PODACI_PRODAJA!L:L,MATCH($A356,PODACI_PRODAJA!$A:$A,0)),0)</f>
        <v>0</v>
      </c>
      <c r="AD356" s="23" t="n">
        <f aca="false">IFERROR(INDEX(PODACI_PRODAJA!M:M,MATCH($A356,PODACI_PRODAJA!$A:$A,0)),0)</f>
        <v>0</v>
      </c>
    </row>
    <row r="357" customFormat="false" ht="15" hidden="false" customHeight="false" outlineLevel="0" collapsed="false">
      <c r="A357" s="11" t="str">
        <f aca="false">PODACI_ZALIHE!A354</f>
        <v>17224</v>
      </c>
      <c r="B357" s="8" t="str">
        <f aca="false">PODACI_ZALIHE!B354</f>
        <v>TK MALAGA 80120 CHROME PRAVOKUTNA TUŠ KABINA 80X120X195 cm</v>
      </c>
      <c r="C357" s="9" t="str">
        <f aca="false">PODACI_ZALIHE!C354</f>
        <v>6762</v>
      </c>
      <c r="D357" s="8" t="str">
        <f aca="false">PODACI_ZALIHE!D354</f>
        <v>ZHEJIANG QUICKLINE SHOWERING CO., LTD.</v>
      </c>
      <c r="E357" s="19" t="n">
        <f aca="false">IF(PODACI_ZALIHE!E354="","",PODACI_ZALIHE!E354)</f>
        <v>18</v>
      </c>
      <c r="F357" s="20" t="n">
        <f aca="false">PODACI_ZALIHE!F354</f>
        <v>18</v>
      </c>
      <c r="G357" s="19" t="n">
        <f aca="false">IF(E357="","",E357-F357)</f>
        <v>0</v>
      </c>
      <c r="H357" s="9" t="n">
        <f aca="false">PODACI_PRODAJA!N608</f>
        <v>0.75</v>
      </c>
      <c r="I357" s="21" t="n">
        <f aca="false">IF(H357&lt;=0,999,ROUND(F357/H357,1))</f>
        <v>24</v>
      </c>
      <c r="J357" s="9" t="n">
        <f aca="false">SUMIFS(ROBA_U_DOLASKU!$C$6:$C$95,ROBA_U_DOLASKU!$A$6:$A$95,A357,ROBA_U_DOLASKU!$H$6:$H$95,1)</f>
        <v>0</v>
      </c>
      <c r="K357" s="9" t="n">
        <f aca="false">SUMIFS(ROBA_U_DOLASKU!$B$6:$B$95,ROBA_U_DOLASKU!$A$6:$A$95,A357,ROBA_U_DOLASKU!$H$6:$H$95,1)</f>
        <v>0</v>
      </c>
      <c r="L357" s="9" t="n">
        <f aca="false">SUMIFS(ROBA_U_DOLASKU!$C$6:$C$95,ROBA_U_DOLASKU!$A$6:$A$95,A357,ROBA_U_DOLASKU!$H$6:$H$95,2)</f>
        <v>0</v>
      </c>
      <c r="M357" s="9" t="n">
        <f aca="false">SUMIFS(ROBA_U_DOLASKU!$B$6:$B$95,ROBA_U_DOLASKU!$A$6:$A$95,A357,ROBA_U_DOLASKU!$H$6:$H$95,2)</f>
        <v>0</v>
      </c>
      <c r="N357" s="9" t="n">
        <f aca="false">SUMIFS(ROBA_U_DOLASKU!$C$6:$C$95,ROBA_U_DOLASKU!$A$6:$A$95,A357,ROBA_U_DOLASKU!$H$6:$H$95,3)</f>
        <v>0</v>
      </c>
      <c r="O357" s="9" t="n">
        <f aca="false">SUMIFS(ROBA_U_DOLASKU!$B$6:$B$95,ROBA_U_DOLASKU!$A$6:$A$95,A357,ROBA_U_DOLASKU!$H$6:$H$95,3)</f>
        <v>0</v>
      </c>
      <c r="P357" s="9" t="n">
        <f aca="false">IF(H357&lt;=0,999,IF(O357&gt;0,ROUND((F357-H357*N357+K357+M357+O357)/H357,1),IF(M357&gt;0,ROUND((F357-H357*L357+K357+M357)/H357,1),IF(K357&gt;0,ROUND((F357-H357*J357+K357)/H357,1),I357))))</f>
        <v>24</v>
      </c>
      <c r="Q357" s="22" t="str">
        <f aca="false">IF(H357&lt;=0,"Nema prodaje",IF(AND(K357=0,M357=0,O357=0),IF(I357&lt;POSTAVKE!$B$6,"Naruči odmah","Sve u redu"),IF(F357-H357*J357&lt;0,"Rupa za ~"&amp;TEXT(I357,"0.0")&amp;" mj.",IF(AND(M357&gt;0,F357-H357*L357+K357&lt;0),"Rupa nakon 1. dolaska",IF(AND(O357&gt;0,F357-H357*N357+K357+M357&lt;0),"Rupa nakon 2. dolaska",IF(P357&lt;POSTAVKE!$B$6,"Količina nije dovoljna",IF(I357&gt;=POSTAVKE!$B$6,"Sve u redu","Stiže na vrijeme")))))))</f>
        <v>Sve u redu</v>
      </c>
      <c r="S357" s="23" t="n">
        <f aca="false">IFERROR(INDEX(PODACI_PRODAJA!B:B,MATCH($A357,PODACI_PRODAJA!$A:$A,0)),0)</f>
        <v>0</v>
      </c>
      <c r="T357" s="23" t="n">
        <f aca="false">IFERROR(INDEX(PODACI_PRODAJA!C:C,MATCH($A357,PODACI_PRODAJA!$A:$A,0)),0)</f>
        <v>0</v>
      </c>
      <c r="U357" s="23" t="n">
        <f aca="false">IFERROR(INDEX(PODACI_PRODAJA!D:D,MATCH($A357,PODACI_PRODAJA!$A:$A,0)),0)</f>
        <v>1</v>
      </c>
      <c r="V357" s="23" t="n">
        <f aca="false">IFERROR(INDEX(PODACI_PRODAJA!E:E,MATCH($A357,PODACI_PRODAJA!$A:$A,0)),0)</f>
        <v>2</v>
      </c>
      <c r="W357" s="23" t="n">
        <f aca="false">IFERROR(INDEX(PODACI_PRODAJA!F:F,MATCH($A357,PODACI_PRODAJA!$A:$A,0)),0)</f>
        <v>2</v>
      </c>
      <c r="X357" s="23" t="n">
        <f aca="false">IFERROR(INDEX(PODACI_PRODAJA!G:G,MATCH($A357,PODACI_PRODAJA!$A:$A,0)),0)</f>
        <v>1</v>
      </c>
      <c r="Y357" s="23" t="n">
        <f aca="false">IFERROR(INDEX(PODACI_PRODAJA!H:H,MATCH($A357,PODACI_PRODAJA!$A:$A,0)),0)</f>
        <v>0</v>
      </c>
      <c r="Z357" s="23" t="n">
        <f aca="false">IFERROR(INDEX(PODACI_PRODAJA!I:I,MATCH($A357,PODACI_PRODAJA!$A:$A,0)),0)</f>
        <v>0</v>
      </c>
      <c r="AA357" s="23" t="n">
        <f aca="false">IFERROR(INDEX(PODACI_PRODAJA!J:J,MATCH($A357,PODACI_PRODAJA!$A:$A,0)),0)</f>
        <v>0</v>
      </c>
      <c r="AB357" s="23" t="n">
        <f aca="false">IFERROR(INDEX(PODACI_PRODAJA!K:K,MATCH($A357,PODACI_PRODAJA!$A:$A,0)),0)</f>
        <v>0</v>
      </c>
      <c r="AC357" s="23" t="n">
        <f aca="false">IFERROR(INDEX(PODACI_PRODAJA!L:L,MATCH($A357,PODACI_PRODAJA!$A:$A,0)),0)</f>
        <v>0</v>
      </c>
      <c r="AD357" s="23" t="n">
        <f aca="false">IFERROR(INDEX(PODACI_PRODAJA!M:M,MATCH($A357,PODACI_PRODAJA!$A:$A,0)),0)</f>
        <v>0</v>
      </c>
    </row>
    <row r="358" customFormat="false" ht="15" hidden="false" customHeight="false" outlineLevel="0" collapsed="false">
      <c r="A358" s="11" t="str">
        <f aca="false">PODACI_ZALIHE!A355</f>
        <v>17233</v>
      </c>
      <c r="B358" s="8" t="str">
        <f aca="false">PODACI_ZALIHE!B355</f>
        <v>TK PARLA 90 BLACK KVADRATNA TUŠ KABINA 90X90X195 cm</v>
      </c>
      <c r="C358" s="9" t="str">
        <f aca="false">PODACI_ZALIHE!C355</f>
        <v>6762</v>
      </c>
      <c r="D358" s="8" t="str">
        <f aca="false">PODACI_ZALIHE!D355</f>
        <v>ZHEJIANG QUICKLINE SHOWERING CO., LTD.</v>
      </c>
      <c r="E358" s="19" t="n">
        <f aca="false">IF(PODACI_ZALIHE!E355="","",PODACI_ZALIHE!E355)</f>
        <v>18</v>
      </c>
      <c r="F358" s="20" t="n">
        <f aca="false">PODACI_ZALIHE!F355</f>
        <v>18</v>
      </c>
      <c r="G358" s="19" t="n">
        <f aca="false">IF(E358="","",E358-F358)</f>
        <v>0</v>
      </c>
      <c r="H358" s="9" t="n">
        <f aca="false">PODACI_PRODAJA!N614</f>
        <v>0.75</v>
      </c>
      <c r="I358" s="21" t="n">
        <f aca="false">IF(H358&lt;=0,999,ROUND(F358/H358,1))</f>
        <v>24</v>
      </c>
      <c r="J358" s="9" t="n">
        <f aca="false">SUMIFS(ROBA_U_DOLASKU!$C$6:$C$95,ROBA_U_DOLASKU!$A$6:$A$95,A358,ROBA_U_DOLASKU!$H$6:$H$95,1)</f>
        <v>0</v>
      </c>
      <c r="K358" s="9" t="n">
        <f aca="false">SUMIFS(ROBA_U_DOLASKU!$B$6:$B$95,ROBA_U_DOLASKU!$A$6:$A$95,A358,ROBA_U_DOLASKU!$H$6:$H$95,1)</f>
        <v>0</v>
      </c>
      <c r="L358" s="9" t="n">
        <f aca="false">SUMIFS(ROBA_U_DOLASKU!$C$6:$C$95,ROBA_U_DOLASKU!$A$6:$A$95,A358,ROBA_U_DOLASKU!$H$6:$H$95,2)</f>
        <v>0</v>
      </c>
      <c r="M358" s="9" t="n">
        <f aca="false">SUMIFS(ROBA_U_DOLASKU!$B$6:$B$95,ROBA_U_DOLASKU!$A$6:$A$95,A358,ROBA_U_DOLASKU!$H$6:$H$95,2)</f>
        <v>0</v>
      </c>
      <c r="N358" s="9" t="n">
        <f aca="false">SUMIFS(ROBA_U_DOLASKU!$C$6:$C$95,ROBA_U_DOLASKU!$A$6:$A$95,A358,ROBA_U_DOLASKU!$H$6:$H$95,3)</f>
        <v>0</v>
      </c>
      <c r="O358" s="9" t="n">
        <f aca="false">SUMIFS(ROBA_U_DOLASKU!$B$6:$B$95,ROBA_U_DOLASKU!$A$6:$A$95,A358,ROBA_U_DOLASKU!$H$6:$H$95,3)</f>
        <v>0</v>
      </c>
      <c r="P358" s="9" t="n">
        <f aca="false">IF(H358&lt;=0,999,IF(O358&gt;0,ROUND((F358-H358*N358+K358+M358+O358)/H358,1),IF(M358&gt;0,ROUND((F358-H358*L358+K358+M358)/H358,1),IF(K358&gt;0,ROUND((F358-H358*J358+K358)/H358,1),I358))))</f>
        <v>24</v>
      </c>
      <c r="Q358" s="22" t="str">
        <f aca="false">IF(H358&lt;=0,"Nema prodaje",IF(AND(K358=0,M358=0,O358=0),IF(I358&lt;POSTAVKE!$B$6,"Naruči odmah","Sve u redu"),IF(F358-H358*J358&lt;0,"Rupa za ~"&amp;TEXT(I358,"0.0")&amp;" mj.",IF(AND(M358&gt;0,F358-H358*L358+K358&lt;0),"Rupa nakon 1. dolaska",IF(AND(O358&gt;0,F358-H358*N358+K358+M358&lt;0),"Rupa nakon 2. dolaska",IF(P358&lt;POSTAVKE!$B$6,"Količina nije dovoljna",IF(I358&gt;=POSTAVKE!$B$6,"Sve u redu","Stiže na vrijeme")))))))</f>
        <v>Sve u redu</v>
      </c>
      <c r="S358" s="23" t="n">
        <f aca="false">IFERROR(INDEX(PODACI_PRODAJA!B:B,MATCH($A358,PODACI_PRODAJA!$A:$A,0)),0)</f>
        <v>0</v>
      </c>
      <c r="T358" s="23" t="n">
        <f aca="false">IFERROR(INDEX(PODACI_PRODAJA!C:C,MATCH($A358,PODACI_PRODAJA!$A:$A,0)),0)</f>
        <v>1</v>
      </c>
      <c r="U358" s="23" t="n">
        <f aca="false">IFERROR(INDEX(PODACI_PRODAJA!D:D,MATCH($A358,PODACI_PRODAJA!$A:$A,0)),0)</f>
        <v>1</v>
      </c>
      <c r="V358" s="23" t="n">
        <f aca="false">IFERROR(INDEX(PODACI_PRODAJA!E:E,MATCH($A358,PODACI_PRODAJA!$A:$A,0)),0)</f>
        <v>2</v>
      </c>
      <c r="W358" s="23" t="n">
        <f aca="false">IFERROR(INDEX(PODACI_PRODAJA!F:F,MATCH($A358,PODACI_PRODAJA!$A:$A,0)),0)</f>
        <v>0</v>
      </c>
      <c r="X358" s="23" t="n">
        <f aca="false">IFERROR(INDEX(PODACI_PRODAJA!G:G,MATCH($A358,PODACI_PRODAJA!$A:$A,0)),0)</f>
        <v>0</v>
      </c>
      <c r="Y358" s="23" t="n">
        <f aca="false">IFERROR(INDEX(PODACI_PRODAJA!H:H,MATCH($A358,PODACI_PRODAJA!$A:$A,0)),0)</f>
        <v>1</v>
      </c>
      <c r="Z358" s="23" t="n">
        <f aca="false">IFERROR(INDEX(PODACI_PRODAJA!I:I,MATCH($A358,PODACI_PRODAJA!$A:$A,0)),0)</f>
        <v>1</v>
      </c>
      <c r="AA358" s="23" t="n">
        <f aca="false">IFERROR(INDEX(PODACI_PRODAJA!J:J,MATCH($A358,PODACI_PRODAJA!$A:$A,0)),0)</f>
        <v>0</v>
      </c>
      <c r="AB358" s="23" t="n">
        <f aca="false">IFERROR(INDEX(PODACI_PRODAJA!K:K,MATCH($A358,PODACI_PRODAJA!$A:$A,0)),0)</f>
        <v>0</v>
      </c>
      <c r="AC358" s="23" t="n">
        <f aca="false">IFERROR(INDEX(PODACI_PRODAJA!L:L,MATCH($A358,PODACI_PRODAJA!$A:$A,0)),0)</f>
        <v>0</v>
      </c>
      <c r="AD358" s="23" t="n">
        <f aca="false">IFERROR(INDEX(PODACI_PRODAJA!M:M,MATCH($A358,PODACI_PRODAJA!$A:$A,0)),0)</f>
        <v>0</v>
      </c>
    </row>
    <row r="359" customFormat="false" ht="15" hidden="false" customHeight="false" outlineLevel="0" collapsed="false">
      <c r="A359" s="11" t="str">
        <f aca="false">PODACI_ZALIHE!A356</f>
        <v>17257</v>
      </c>
      <c r="B359" s="8" t="str">
        <f aca="false">PODACI_ZALIHE!B356</f>
        <v>TK RAPIDO 90 BRUSHED GOLD POLUKRUŽNA TUŠ KABINA 90X90X195 cm</v>
      </c>
      <c r="C359" s="9" t="str">
        <f aca="false">PODACI_ZALIHE!C356</f>
        <v>6762</v>
      </c>
      <c r="D359" s="8" t="str">
        <f aca="false">PODACI_ZALIHE!D356</f>
        <v>ZHEJIANG QUICKLINE SHOWERING CO., LTD.</v>
      </c>
      <c r="E359" s="19" t="n">
        <f aca="false">IF(PODACI_ZALIHE!E356="","",PODACI_ZALIHE!E356)</f>
        <v>18</v>
      </c>
      <c r="F359" s="20" t="n">
        <f aca="false">PODACI_ZALIHE!F356</f>
        <v>18</v>
      </c>
      <c r="G359" s="19" t="n">
        <f aca="false">IF(E359="","",E359-F359)</f>
        <v>0</v>
      </c>
      <c r="H359" s="9" t="n">
        <f aca="false">PODACI_PRODAJA!N276</f>
        <v>0.88</v>
      </c>
      <c r="I359" s="21" t="n">
        <f aca="false">IF(H359&lt;=0,999,ROUND(F359/H359,1))</f>
        <v>20.5</v>
      </c>
      <c r="J359" s="9" t="n">
        <f aca="false">SUMIFS(ROBA_U_DOLASKU!$C$6:$C$95,ROBA_U_DOLASKU!$A$6:$A$95,A359,ROBA_U_DOLASKU!$H$6:$H$95,1)</f>
        <v>0</v>
      </c>
      <c r="K359" s="9" t="n">
        <f aca="false">SUMIFS(ROBA_U_DOLASKU!$B$6:$B$95,ROBA_U_DOLASKU!$A$6:$A$95,A359,ROBA_U_DOLASKU!$H$6:$H$95,1)</f>
        <v>0</v>
      </c>
      <c r="L359" s="9" t="n">
        <f aca="false">SUMIFS(ROBA_U_DOLASKU!$C$6:$C$95,ROBA_U_DOLASKU!$A$6:$A$95,A359,ROBA_U_DOLASKU!$H$6:$H$95,2)</f>
        <v>0</v>
      </c>
      <c r="M359" s="9" t="n">
        <f aca="false">SUMIFS(ROBA_U_DOLASKU!$B$6:$B$95,ROBA_U_DOLASKU!$A$6:$A$95,A359,ROBA_U_DOLASKU!$H$6:$H$95,2)</f>
        <v>0</v>
      </c>
      <c r="N359" s="9" t="n">
        <f aca="false">SUMIFS(ROBA_U_DOLASKU!$C$6:$C$95,ROBA_U_DOLASKU!$A$6:$A$95,A359,ROBA_U_DOLASKU!$H$6:$H$95,3)</f>
        <v>0</v>
      </c>
      <c r="O359" s="9" t="n">
        <f aca="false">SUMIFS(ROBA_U_DOLASKU!$B$6:$B$95,ROBA_U_DOLASKU!$A$6:$A$95,A359,ROBA_U_DOLASKU!$H$6:$H$95,3)</f>
        <v>0</v>
      </c>
      <c r="P359" s="9" t="n">
        <f aca="false">IF(H359&lt;=0,999,IF(O359&gt;0,ROUND((F359-H359*N359+K359+M359+O359)/H359,1),IF(M359&gt;0,ROUND((F359-H359*L359+K359+M359)/H359,1),IF(K359&gt;0,ROUND((F359-H359*J359+K359)/H359,1),I359))))</f>
        <v>20.5</v>
      </c>
      <c r="Q359" s="22" t="str">
        <f aca="false">IF(H359&lt;=0,"Nema prodaje",IF(AND(K359=0,M359=0,O359=0),IF(I359&lt;POSTAVKE!$B$6,"Naruči odmah","Sve u redu"),IF(F359-H359*J359&lt;0,"Rupa za ~"&amp;TEXT(I359,"0.0")&amp;" mj.",IF(AND(M359&gt;0,F359-H359*L359+K359&lt;0),"Rupa nakon 1. dolaska",IF(AND(O359&gt;0,F359-H359*N359+K359+M359&lt;0),"Rupa nakon 2. dolaska",IF(P359&lt;POSTAVKE!$B$6,"Količina nije dovoljna",IF(I359&gt;=POSTAVKE!$B$6,"Sve u redu","Stiže na vrijeme")))))))</f>
        <v>Sve u redu</v>
      </c>
      <c r="S359" s="23" t="n">
        <f aca="false">IFERROR(INDEX(PODACI_PRODAJA!B:B,MATCH($A359,PODACI_PRODAJA!$A:$A,0)),0)</f>
        <v>1</v>
      </c>
      <c r="T359" s="23" t="n">
        <f aca="false">IFERROR(INDEX(PODACI_PRODAJA!C:C,MATCH($A359,PODACI_PRODAJA!$A:$A,0)),0)</f>
        <v>3</v>
      </c>
      <c r="U359" s="23" t="n">
        <f aca="false">IFERROR(INDEX(PODACI_PRODAJA!D:D,MATCH($A359,PODACI_PRODAJA!$A:$A,0)),0)</f>
        <v>1</v>
      </c>
      <c r="V359" s="23" t="n">
        <f aca="false">IFERROR(INDEX(PODACI_PRODAJA!E:E,MATCH($A359,PODACI_PRODAJA!$A:$A,0)),0)</f>
        <v>1</v>
      </c>
      <c r="W359" s="23" t="n">
        <f aca="false">IFERROR(INDEX(PODACI_PRODAJA!F:F,MATCH($A359,PODACI_PRODAJA!$A:$A,0)),0)</f>
        <v>0</v>
      </c>
      <c r="X359" s="23" t="n">
        <f aca="false">IFERROR(INDEX(PODACI_PRODAJA!G:G,MATCH($A359,PODACI_PRODAJA!$A:$A,0)),0)</f>
        <v>0</v>
      </c>
      <c r="Y359" s="23" t="n">
        <f aca="false">IFERROR(INDEX(PODACI_PRODAJA!H:H,MATCH($A359,PODACI_PRODAJA!$A:$A,0)),0)</f>
        <v>0</v>
      </c>
      <c r="Z359" s="23" t="n">
        <f aca="false">IFERROR(INDEX(PODACI_PRODAJA!I:I,MATCH($A359,PODACI_PRODAJA!$A:$A,0)),0)</f>
        <v>1</v>
      </c>
      <c r="AA359" s="23" t="n">
        <f aca="false">IFERROR(INDEX(PODACI_PRODAJA!J:J,MATCH($A359,PODACI_PRODAJA!$A:$A,0)),0)</f>
        <v>0</v>
      </c>
      <c r="AB359" s="23" t="n">
        <f aca="false">IFERROR(INDEX(PODACI_PRODAJA!K:K,MATCH($A359,PODACI_PRODAJA!$A:$A,0)),0)</f>
        <v>0</v>
      </c>
      <c r="AC359" s="23" t="n">
        <f aca="false">IFERROR(INDEX(PODACI_PRODAJA!L:L,MATCH($A359,PODACI_PRODAJA!$A:$A,0)),0)</f>
        <v>0</v>
      </c>
      <c r="AD359" s="23" t="n">
        <f aca="false">IFERROR(INDEX(PODACI_PRODAJA!M:M,MATCH($A359,PODACI_PRODAJA!$A:$A,0)),0)</f>
        <v>0</v>
      </c>
    </row>
    <row r="360" customFormat="false" ht="15" hidden="false" customHeight="false" outlineLevel="0" collapsed="false">
      <c r="A360" s="11" t="str">
        <f aca="false">PODACI_ZALIHE!A357</f>
        <v>18007</v>
      </c>
      <c r="B360" s="8" t="str">
        <f aca="false">PODACI_ZALIHE!B357</f>
        <v>VETRO CR TRS 6mm ECO TUŠ STIJENA 150x200</v>
      </c>
      <c r="C360" s="9" t="str">
        <f aca="false">PODACI_ZALIHE!C357</f>
        <v>6762</v>
      </c>
      <c r="D360" s="8" t="str">
        <f aca="false">PODACI_ZALIHE!D357</f>
        <v>ZHEJIANG QUICKLINE SHOWERING CO., LTD.</v>
      </c>
      <c r="E360" s="19" t="n">
        <f aca="false">IF(PODACI_ZALIHE!E357="","",PODACI_ZALIHE!E357)</f>
        <v>18</v>
      </c>
      <c r="F360" s="20" t="n">
        <f aca="false">PODACI_ZALIHE!F357</f>
        <v>18</v>
      </c>
      <c r="G360" s="19" t="n">
        <f aca="false">IF(E360="","",E360-F360)</f>
        <v>0</v>
      </c>
      <c r="H360" s="9" t="n">
        <f aca="false">PODACI_PRODAJA!N648</f>
        <v>2.75</v>
      </c>
      <c r="I360" s="21" t="n">
        <f aca="false">IF(H360&lt;=0,999,ROUND(F360/H360,1))</f>
        <v>6.5</v>
      </c>
      <c r="J360" s="9" t="n">
        <f aca="false">SUMIFS(ROBA_U_DOLASKU!$C$6:$C$95,ROBA_U_DOLASKU!$A$6:$A$95,A360,ROBA_U_DOLASKU!$H$6:$H$95,1)</f>
        <v>0</v>
      </c>
      <c r="K360" s="9" t="n">
        <f aca="false">SUMIFS(ROBA_U_DOLASKU!$B$6:$B$95,ROBA_U_DOLASKU!$A$6:$A$95,A360,ROBA_U_DOLASKU!$H$6:$H$95,1)</f>
        <v>0</v>
      </c>
      <c r="L360" s="9" t="n">
        <f aca="false">SUMIFS(ROBA_U_DOLASKU!$C$6:$C$95,ROBA_U_DOLASKU!$A$6:$A$95,A360,ROBA_U_DOLASKU!$H$6:$H$95,2)</f>
        <v>0</v>
      </c>
      <c r="M360" s="9" t="n">
        <f aca="false">SUMIFS(ROBA_U_DOLASKU!$B$6:$B$95,ROBA_U_DOLASKU!$A$6:$A$95,A360,ROBA_U_DOLASKU!$H$6:$H$95,2)</f>
        <v>0</v>
      </c>
      <c r="N360" s="9" t="n">
        <f aca="false">SUMIFS(ROBA_U_DOLASKU!$C$6:$C$95,ROBA_U_DOLASKU!$A$6:$A$95,A360,ROBA_U_DOLASKU!$H$6:$H$95,3)</f>
        <v>0</v>
      </c>
      <c r="O360" s="9" t="n">
        <f aca="false">SUMIFS(ROBA_U_DOLASKU!$B$6:$B$95,ROBA_U_DOLASKU!$A$6:$A$95,A360,ROBA_U_DOLASKU!$H$6:$H$95,3)</f>
        <v>0</v>
      </c>
      <c r="P360" s="9" t="n">
        <f aca="false">IF(H360&lt;=0,999,IF(O360&gt;0,ROUND((F360-H360*N360+K360+M360+O360)/H360,1),IF(M360&gt;0,ROUND((F360-H360*L360+K360+M360)/H360,1),IF(K360&gt;0,ROUND((F360-H360*J360+K360)/H360,1),I360))))</f>
        <v>6.5</v>
      </c>
      <c r="Q360" s="22" t="str">
        <f aca="false">IF(H360&lt;=0,"Nema prodaje",IF(AND(K360=0,M360=0,O360=0),IF(I360&lt;POSTAVKE!$B$6,"Naruči odmah","Sve u redu"),IF(F360-H360*J360&lt;0,"Rupa za ~"&amp;TEXT(I360,"0.0")&amp;" mj.",IF(AND(M360&gt;0,F360-H360*L360+K360&lt;0),"Rupa nakon 1. dolaska",IF(AND(O360&gt;0,F360-H360*N360+K360+M360&lt;0),"Rupa nakon 2. dolaska",IF(P360&lt;POSTAVKE!$B$6,"Količina nije dovoljna",IF(I360&gt;=POSTAVKE!$B$6,"Sve u redu","Stiže na vrijeme")))))))</f>
        <v>Sve u redu</v>
      </c>
      <c r="S360" s="23" t="n">
        <f aca="false">IFERROR(INDEX(PODACI_PRODAJA!B:B,MATCH($A360,PODACI_PRODAJA!$A:$A,0)),0)</f>
        <v>0</v>
      </c>
      <c r="T360" s="23" t="n">
        <f aca="false">IFERROR(INDEX(PODACI_PRODAJA!C:C,MATCH($A360,PODACI_PRODAJA!$A:$A,0)),0)</f>
        <v>0</v>
      </c>
      <c r="U360" s="23" t="n">
        <f aca="false">IFERROR(INDEX(PODACI_PRODAJA!D:D,MATCH($A360,PODACI_PRODAJA!$A:$A,0)),0)</f>
        <v>7</v>
      </c>
      <c r="V360" s="23" t="n">
        <f aca="false">IFERROR(INDEX(PODACI_PRODAJA!E:E,MATCH($A360,PODACI_PRODAJA!$A:$A,0)),0)</f>
        <v>0</v>
      </c>
      <c r="W360" s="23" t="n">
        <f aca="false">IFERROR(INDEX(PODACI_PRODAJA!F:F,MATCH($A360,PODACI_PRODAJA!$A:$A,0)),0)</f>
        <v>4</v>
      </c>
      <c r="X360" s="23" t="n">
        <f aca="false">IFERROR(INDEX(PODACI_PRODAJA!G:G,MATCH($A360,PODACI_PRODAJA!$A:$A,0)),0)</f>
        <v>-3</v>
      </c>
      <c r="Y360" s="23" t="n">
        <f aca="false">IFERROR(INDEX(PODACI_PRODAJA!H:H,MATCH($A360,PODACI_PRODAJA!$A:$A,0)),0)</f>
        <v>0</v>
      </c>
      <c r="Z360" s="23" t="n">
        <f aca="false">IFERROR(INDEX(PODACI_PRODAJA!I:I,MATCH($A360,PODACI_PRODAJA!$A:$A,0)),0)</f>
        <v>14</v>
      </c>
      <c r="AA360" s="23" t="n">
        <f aca="false">IFERROR(INDEX(PODACI_PRODAJA!J:J,MATCH($A360,PODACI_PRODAJA!$A:$A,0)),0)</f>
        <v>0</v>
      </c>
      <c r="AB360" s="23" t="n">
        <f aca="false">IFERROR(INDEX(PODACI_PRODAJA!K:K,MATCH($A360,PODACI_PRODAJA!$A:$A,0)),0)</f>
        <v>0</v>
      </c>
      <c r="AC360" s="23" t="n">
        <f aca="false">IFERROR(INDEX(PODACI_PRODAJA!L:L,MATCH($A360,PODACI_PRODAJA!$A:$A,0)),0)</f>
        <v>0</v>
      </c>
      <c r="AD360" s="23" t="n">
        <f aca="false">IFERROR(INDEX(PODACI_PRODAJA!M:M,MATCH($A360,PODACI_PRODAJA!$A:$A,0)),0)</f>
        <v>0</v>
      </c>
    </row>
    <row r="361" customFormat="false" ht="15" hidden="false" customHeight="false" outlineLevel="0" collapsed="false">
      <c r="A361" s="11" t="str">
        <f aca="false">PODACI_ZALIHE!A358</f>
        <v>18032</v>
      </c>
      <c r="B361" s="8" t="str">
        <f aca="false">PODACI_ZALIHE!B358</f>
        <v>TK ROTA 80100 BLACK TUŠ KABINA 80x100x200cm</v>
      </c>
      <c r="C361" s="9" t="str">
        <f aca="false">PODACI_ZALIHE!C358</f>
        <v>6762</v>
      </c>
      <c r="D361" s="8" t="str">
        <f aca="false">PODACI_ZALIHE!D358</f>
        <v>ZHEJIANG QUICKLINE SHOWERING CO., LTD.</v>
      </c>
      <c r="E361" s="19" t="n">
        <f aca="false">IF(PODACI_ZALIHE!E358="","",PODACI_ZALIHE!E358)</f>
        <v>18</v>
      </c>
      <c r="F361" s="20" t="n">
        <f aca="false">PODACI_ZALIHE!F358</f>
        <v>18</v>
      </c>
      <c r="G361" s="19" t="n">
        <f aca="false">IF(E361="","",E361-F361)</f>
        <v>0</v>
      </c>
      <c r="H361" s="9" t="n">
        <f aca="false">PODACI_PRODAJA!N666</f>
        <v>0.25</v>
      </c>
      <c r="I361" s="21" t="n">
        <f aca="false">IF(H361&lt;=0,999,ROUND(F361/H361,1))</f>
        <v>72</v>
      </c>
      <c r="J361" s="9" t="n">
        <f aca="false">SUMIFS(ROBA_U_DOLASKU!$C$6:$C$95,ROBA_U_DOLASKU!$A$6:$A$95,A361,ROBA_U_DOLASKU!$H$6:$H$95,1)</f>
        <v>0</v>
      </c>
      <c r="K361" s="9" t="n">
        <f aca="false">SUMIFS(ROBA_U_DOLASKU!$B$6:$B$95,ROBA_U_DOLASKU!$A$6:$A$95,A361,ROBA_U_DOLASKU!$H$6:$H$95,1)</f>
        <v>0</v>
      </c>
      <c r="L361" s="9" t="n">
        <f aca="false">SUMIFS(ROBA_U_DOLASKU!$C$6:$C$95,ROBA_U_DOLASKU!$A$6:$A$95,A361,ROBA_U_DOLASKU!$H$6:$H$95,2)</f>
        <v>0</v>
      </c>
      <c r="M361" s="9" t="n">
        <f aca="false">SUMIFS(ROBA_U_DOLASKU!$B$6:$B$95,ROBA_U_DOLASKU!$A$6:$A$95,A361,ROBA_U_DOLASKU!$H$6:$H$95,2)</f>
        <v>0</v>
      </c>
      <c r="N361" s="9" t="n">
        <f aca="false">SUMIFS(ROBA_U_DOLASKU!$C$6:$C$95,ROBA_U_DOLASKU!$A$6:$A$95,A361,ROBA_U_DOLASKU!$H$6:$H$95,3)</f>
        <v>0</v>
      </c>
      <c r="O361" s="9" t="n">
        <f aca="false">SUMIFS(ROBA_U_DOLASKU!$B$6:$B$95,ROBA_U_DOLASKU!$A$6:$A$95,A361,ROBA_U_DOLASKU!$H$6:$H$95,3)</f>
        <v>0</v>
      </c>
      <c r="P361" s="9" t="n">
        <f aca="false">IF(H361&lt;=0,999,IF(O361&gt;0,ROUND((F361-H361*N361+K361+M361+O361)/H361,1),IF(M361&gt;0,ROUND((F361-H361*L361+K361+M361)/H361,1),IF(K361&gt;0,ROUND((F361-H361*J361+K361)/H361,1),I361))))</f>
        <v>72</v>
      </c>
      <c r="Q361" s="22" t="str">
        <f aca="false">IF(H361&lt;=0,"Nema prodaje",IF(AND(K361=0,M361=0,O361=0),IF(I361&lt;POSTAVKE!$B$6,"Naruči odmah","Sve u redu"),IF(F361-H361*J361&lt;0,"Rupa za ~"&amp;TEXT(I361,"0.0")&amp;" mj.",IF(AND(M361&gt;0,F361-H361*L361+K361&lt;0),"Rupa nakon 1. dolaska",IF(AND(O361&gt;0,F361-H361*N361+K361+M361&lt;0),"Rupa nakon 2. dolaska",IF(P361&lt;POSTAVKE!$B$6,"Količina nije dovoljna",IF(I361&gt;=POSTAVKE!$B$6,"Sve u redu","Stiže na vrijeme")))))))</f>
        <v>Sve u redu</v>
      </c>
      <c r="S361" s="23" t="n">
        <f aca="false">IFERROR(INDEX(PODACI_PRODAJA!B:B,MATCH($A361,PODACI_PRODAJA!$A:$A,0)),0)</f>
        <v>0</v>
      </c>
      <c r="T361" s="23" t="n">
        <f aca="false">IFERROR(INDEX(PODACI_PRODAJA!C:C,MATCH($A361,PODACI_PRODAJA!$A:$A,0)),0)</f>
        <v>0</v>
      </c>
      <c r="U361" s="23" t="n">
        <f aca="false">IFERROR(INDEX(PODACI_PRODAJA!D:D,MATCH($A361,PODACI_PRODAJA!$A:$A,0)),0)</f>
        <v>0</v>
      </c>
      <c r="V361" s="23" t="n">
        <f aca="false">IFERROR(INDEX(PODACI_PRODAJA!E:E,MATCH($A361,PODACI_PRODAJA!$A:$A,0)),0)</f>
        <v>0</v>
      </c>
      <c r="W361" s="23" t="n">
        <f aca="false">IFERROR(INDEX(PODACI_PRODAJA!F:F,MATCH($A361,PODACI_PRODAJA!$A:$A,0)),0)</f>
        <v>0</v>
      </c>
      <c r="X361" s="23" t="n">
        <f aca="false">IFERROR(INDEX(PODACI_PRODAJA!G:G,MATCH($A361,PODACI_PRODAJA!$A:$A,0)),0)</f>
        <v>2</v>
      </c>
      <c r="Y361" s="23" t="n">
        <f aca="false">IFERROR(INDEX(PODACI_PRODAJA!H:H,MATCH($A361,PODACI_PRODAJA!$A:$A,0)),0)</f>
        <v>0</v>
      </c>
      <c r="Z361" s="23" t="n">
        <f aca="false">IFERROR(INDEX(PODACI_PRODAJA!I:I,MATCH($A361,PODACI_PRODAJA!$A:$A,0)),0)</f>
        <v>0</v>
      </c>
      <c r="AA361" s="23" t="n">
        <f aca="false">IFERROR(INDEX(PODACI_PRODAJA!J:J,MATCH($A361,PODACI_PRODAJA!$A:$A,0)),0)</f>
        <v>0</v>
      </c>
      <c r="AB361" s="23" t="n">
        <f aca="false">IFERROR(INDEX(PODACI_PRODAJA!K:K,MATCH($A361,PODACI_PRODAJA!$A:$A,0)),0)</f>
        <v>0</v>
      </c>
      <c r="AC361" s="23" t="n">
        <f aca="false">IFERROR(INDEX(PODACI_PRODAJA!L:L,MATCH($A361,PODACI_PRODAJA!$A:$A,0)),0)</f>
        <v>0</v>
      </c>
      <c r="AD361" s="23" t="n">
        <f aca="false">IFERROR(INDEX(PODACI_PRODAJA!M:M,MATCH($A361,PODACI_PRODAJA!$A:$A,0)),0)</f>
        <v>0</v>
      </c>
    </row>
    <row r="362" customFormat="false" ht="15" hidden="false" customHeight="false" outlineLevel="0" collapsed="false">
      <c r="A362" s="11" t="str">
        <f aca="false">PODACI_ZALIHE!A359</f>
        <v>18570</v>
      </c>
      <c r="B362" s="8" t="str">
        <f aca="false">PODACI_ZALIHE!B359</f>
        <v>VETRO BRILLIANCE CRYSTAL BLACK 120 TUŠ STIJENA 120x200cm</v>
      </c>
      <c r="C362" s="9" t="str">
        <f aca="false">PODACI_ZALIHE!C359</f>
        <v>6762</v>
      </c>
      <c r="D362" s="8" t="str">
        <f aca="false">PODACI_ZALIHE!D359</f>
        <v>ZHEJIANG QUICKLINE SHOWERING CO., LTD.</v>
      </c>
      <c r="E362" s="19" t="n">
        <f aca="false">IF(PODACI_ZALIHE!E359="","",PODACI_ZALIHE!E359)</f>
        <v>19</v>
      </c>
      <c r="F362" s="20" t="n">
        <f aca="false">PODACI_ZALIHE!F359</f>
        <v>18</v>
      </c>
      <c r="G362" s="19" t="n">
        <f aca="false">IF(E362="","",E362-F362)</f>
        <v>1</v>
      </c>
      <c r="H362" s="9" t="n">
        <f aca="false">PODACI_PRODAJA!N287</f>
        <v>1.25</v>
      </c>
      <c r="I362" s="21" t="n">
        <f aca="false">IF(H362&lt;=0,999,ROUND(F362/H362,1))</f>
        <v>14.4</v>
      </c>
      <c r="J362" s="9" t="n">
        <f aca="false">SUMIFS(ROBA_U_DOLASKU!$C$6:$C$95,ROBA_U_DOLASKU!$A$6:$A$95,A362,ROBA_U_DOLASKU!$H$6:$H$95,1)</f>
        <v>0</v>
      </c>
      <c r="K362" s="9" t="n">
        <f aca="false">SUMIFS(ROBA_U_DOLASKU!$B$6:$B$95,ROBA_U_DOLASKU!$A$6:$A$95,A362,ROBA_U_DOLASKU!$H$6:$H$95,1)</f>
        <v>0</v>
      </c>
      <c r="L362" s="9" t="n">
        <f aca="false">SUMIFS(ROBA_U_DOLASKU!$C$6:$C$95,ROBA_U_DOLASKU!$A$6:$A$95,A362,ROBA_U_DOLASKU!$H$6:$H$95,2)</f>
        <v>0</v>
      </c>
      <c r="M362" s="9" t="n">
        <f aca="false">SUMIFS(ROBA_U_DOLASKU!$B$6:$B$95,ROBA_U_DOLASKU!$A$6:$A$95,A362,ROBA_U_DOLASKU!$H$6:$H$95,2)</f>
        <v>0</v>
      </c>
      <c r="N362" s="9" t="n">
        <f aca="false">SUMIFS(ROBA_U_DOLASKU!$C$6:$C$95,ROBA_U_DOLASKU!$A$6:$A$95,A362,ROBA_U_DOLASKU!$H$6:$H$95,3)</f>
        <v>0</v>
      </c>
      <c r="O362" s="9" t="n">
        <f aca="false">SUMIFS(ROBA_U_DOLASKU!$B$6:$B$95,ROBA_U_DOLASKU!$A$6:$A$95,A362,ROBA_U_DOLASKU!$H$6:$H$95,3)</f>
        <v>0</v>
      </c>
      <c r="P362" s="9" t="n">
        <f aca="false">IF(H362&lt;=0,999,IF(O362&gt;0,ROUND((F362-H362*N362+K362+M362+O362)/H362,1),IF(M362&gt;0,ROUND((F362-H362*L362+K362+M362)/H362,1),IF(K362&gt;0,ROUND((F362-H362*J362+K362)/H362,1),I362))))</f>
        <v>14.4</v>
      </c>
      <c r="Q362" s="22" t="str">
        <f aca="false">IF(H362&lt;=0,"Nema prodaje",IF(AND(K362=0,M362=0,O362=0),IF(I362&lt;POSTAVKE!$B$6,"Naruči odmah","Sve u redu"),IF(F362-H362*J362&lt;0,"Rupa za ~"&amp;TEXT(I362,"0.0")&amp;" mj.",IF(AND(M362&gt;0,F362-H362*L362+K362&lt;0),"Rupa nakon 1. dolaska",IF(AND(O362&gt;0,F362-H362*N362+K362+M362&lt;0),"Rupa nakon 2. dolaska",IF(P362&lt;POSTAVKE!$B$6,"Količina nije dovoljna",IF(I362&gt;=POSTAVKE!$B$6,"Sve u redu","Stiže na vrijeme")))))))</f>
        <v>Sve u redu</v>
      </c>
      <c r="S362" s="23" t="n">
        <f aca="false">IFERROR(INDEX(PODACI_PRODAJA!B:B,MATCH($A362,PODACI_PRODAJA!$A:$A,0)),0)</f>
        <v>1</v>
      </c>
      <c r="T362" s="23" t="n">
        <f aca="false">IFERROR(INDEX(PODACI_PRODAJA!C:C,MATCH($A362,PODACI_PRODAJA!$A:$A,0)),0)</f>
        <v>1</v>
      </c>
      <c r="U362" s="23" t="n">
        <f aca="false">IFERROR(INDEX(PODACI_PRODAJA!D:D,MATCH($A362,PODACI_PRODAJA!$A:$A,0)),0)</f>
        <v>1</v>
      </c>
      <c r="V362" s="23" t="n">
        <f aca="false">IFERROR(INDEX(PODACI_PRODAJA!E:E,MATCH($A362,PODACI_PRODAJA!$A:$A,0)),0)</f>
        <v>2</v>
      </c>
      <c r="W362" s="23" t="n">
        <f aca="false">IFERROR(INDEX(PODACI_PRODAJA!F:F,MATCH($A362,PODACI_PRODAJA!$A:$A,0)),0)</f>
        <v>0</v>
      </c>
      <c r="X362" s="23" t="n">
        <f aca="false">IFERROR(INDEX(PODACI_PRODAJA!G:G,MATCH($A362,PODACI_PRODAJA!$A:$A,0)),0)</f>
        <v>3</v>
      </c>
      <c r="Y362" s="23" t="n">
        <f aca="false">IFERROR(INDEX(PODACI_PRODAJA!H:H,MATCH($A362,PODACI_PRODAJA!$A:$A,0)),0)</f>
        <v>1</v>
      </c>
      <c r="Z362" s="23" t="n">
        <f aca="false">IFERROR(INDEX(PODACI_PRODAJA!I:I,MATCH($A362,PODACI_PRODAJA!$A:$A,0)),0)</f>
        <v>1</v>
      </c>
      <c r="AA362" s="23" t="n">
        <f aca="false">IFERROR(INDEX(PODACI_PRODAJA!J:J,MATCH($A362,PODACI_PRODAJA!$A:$A,0)),0)</f>
        <v>1</v>
      </c>
      <c r="AB362" s="23" t="n">
        <f aca="false">IFERROR(INDEX(PODACI_PRODAJA!K:K,MATCH($A362,PODACI_PRODAJA!$A:$A,0)),0)</f>
        <v>0</v>
      </c>
      <c r="AC362" s="23" t="n">
        <f aca="false">IFERROR(INDEX(PODACI_PRODAJA!L:L,MATCH($A362,PODACI_PRODAJA!$A:$A,0)),0)</f>
        <v>0</v>
      </c>
      <c r="AD362" s="23" t="n">
        <f aca="false">IFERROR(INDEX(PODACI_PRODAJA!M:M,MATCH($A362,PODACI_PRODAJA!$A:$A,0)),0)</f>
        <v>0</v>
      </c>
    </row>
    <row r="363" customFormat="false" ht="15" hidden="false" customHeight="false" outlineLevel="0" collapsed="false">
      <c r="A363" s="11" t="str">
        <f aca="false">PODACI_ZALIHE!A360</f>
        <v>18571</v>
      </c>
      <c r="B363" s="8" t="str">
        <f aca="false">PODACI_ZALIHE!B360</f>
        <v>NIFTY TUŠ SET S MIJEŠALICOM</v>
      </c>
      <c r="C363" s="9" t="str">
        <f aca="false">PODACI_ZALIHE!C360</f>
        <v>5814</v>
      </c>
      <c r="D363" s="8" t="str">
        <f aca="false">PODACI_ZALIHE!D360</f>
        <v>TAIZHOU FEIGEER IMPORT&amp;EXPORT CO.,LTD</v>
      </c>
      <c r="E363" s="19" t="n">
        <f aca="false">IF(PODACI_ZALIHE!E360="","",PODACI_ZALIHE!E360)</f>
        <v>19</v>
      </c>
      <c r="F363" s="20" t="n">
        <f aca="false">PODACI_ZALIHE!F360</f>
        <v>18</v>
      </c>
      <c r="G363" s="19" t="n">
        <f aca="false">IF(E363="","",E363-F363)</f>
        <v>1</v>
      </c>
      <c r="H363" s="9" t="n">
        <f aca="false">PODACI_PRODAJA!N288</f>
        <v>9.38</v>
      </c>
      <c r="I363" s="21" t="n">
        <f aca="false">IF(H363&lt;=0,999,ROUND(F363/H363,1))</f>
        <v>1.9</v>
      </c>
      <c r="J363" s="9" t="n">
        <f aca="false">SUMIFS(ROBA_U_DOLASKU!$C$6:$C$95,ROBA_U_DOLASKU!$A$6:$A$95,A363,ROBA_U_DOLASKU!$H$6:$H$95,1)</f>
        <v>0</v>
      </c>
      <c r="K363" s="9" t="n">
        <f aca="false">SUMIFS(ROBA_U_DOLASKU!$B$6:$B$95,ROBA_U_DOLASKU!$A$6:$A$95,A363,ROBA_U_DOLASKU!$H$6:$H$95,1)</f>
        <v>0</v>
      </c>
      <c r="L363" s="9" t="n">
        <f aca="false">SUMIFS(ROBA_U_DOLASKU!$C$6:$C$95,ROBA_U_DOLASKU!$A$6:$A$95,A363,ROBA_U_DOLASKU!$H$6:$H$95,2)</f>
        <v>0</v>
      </c>
      <c r="M363" s="9" t="n">
        <f aca="false">SUMIFS(ROBA_U_DOLASKU!$B$6:$B$95,ROBA_U_DOLASKU!$A$6:$A$95,A363,ROBA_U_DOLASKU!$H$6:$H$95,2)</f>
        <v>0</v>
      </c>
      <c r="N363" s="9" t="n">
        <f aca="false">SUMIFS(ROBA_U_DOLASKU!$C$6:$C$95,ROBA_U_DOLASKU!$A$6:$A$95,A363,ROBA_U_DOLASKU!$H$6:$H$95,3)</f>
        <v>0</v>
      </c>
      <c r="O363" s="9" t="n">
        <f aca="false">SUMIFS(ROBA_U_DOLASKU!$B$6:$B$95,ROBA_U_DOLASKU!$A$6:$A$95,A363,ROBA_U_DOLASKU!$H$6:$H$95,3)</f>
        <v>0</v>
      </c>
      <c r="P363" s="9" t="n">
        <f aca="false">IF(H363&lt;=0,999,IF(O363&gt;0,ROUND((F363-H363*N363+K363+M363+O363)/H363,1),IF(M363&gt;0,ROUND((F363-H363*L363+K363+M363)/H363,1),IF(K363&gt;0,ROUND((F363-H363*J363+K363)/H363,1),I363))))</f>
        <v>1.9</v>
      </c>
      <c r="Q363" s="22" t="str">
        <f aca="false">IF(H363&lt;=0,"Nema prodaje",IF(AND(K363=0,M363=0,O363=0),IF(I363&lt;POSTAVKE!$B$6,"Naruči odmah","Sve u redu"),IF(F363-H363*J363&lt;0,"Rupa za ~"&amp;TEXT(I363,"0.0")&amp;" mj.",IF(AND(M363&gt;0,F363-H363*L363+K363&lt;0),"Rupa nakon 1. dolaska",IF(AND(O363&gt;0,F363-H363*N363+K363+M363&lt;0),"Rupa nakon 2. dolaska",IF(P363&lt;POSTAVKE!$B$6,"Količina nije dovoljna",IF(I363&gt;=POSTAVKE!$B$6,"Sve u redu","Stiže na vrijeme")))))))</f>
        <v>Naruči odmah</v>
      </c>
      <c r="S363" s="23" t="n">
        <f aca="false">IFERROR(INDEX(PODACI_PRODAJA!B:B,MATCH($A363,PODACI_PRODAJA!$A:$A,0)),0)</f>
        <v>1</v>
      </c>
      <c r="T363" s="23" t="n">
        <f aca="false">IFERROR(INDEX(PODACI_PRODAJA!C:C,MATCH($A363,PODACI_PRODAJA!$A:$A,0)),0)</f>
        <v>1</v>
      </c>
      <c r="U363" s="23" t="n">
        <f aca="false">IFERROR(INDEX(PODACI_PRODAJA!D:D,MATCH($A363,PODACI_PRODAJA!$A:$A,0)),0)</f>
        <v>4</v>
      </c>
      <c r="V363" s="23" t="n">
        <f aca="false">IFERROR(INDEX(PODACI_PRODAJA!E:E,MATCH($A363,PODACI_PRODAJA!$A:$A,0)),0)</f>
        <v>12</v>
      </c>
      <c r="W363" s="23" t="n">
        <f aca="false">IFERROR(INDEX(PODACI_PRODAJA!F:F,MATCH($A363,PODACI_PRODAJA!$A:$A,0)),0)</f>
        <v>18</v>
      </c>
      <c r="X363" s="23" t="n">
        <f aca="false">IFERROR(INDEX(PODACI_PRODAJA!G:G,MATCH($A363,PODACI_PRODAJA!$A:$A,0)),0)</f>
        <v>13</v>
      </c>
      <c r="Y363" s="23" t="n">
        <f aca="false">IFERROR(INDEX(PODACI_PRODAJA!H:H,MATCH($A363,PODACI_PRODAJA!$A:$A,0)),0)</f>
        <v>16</v>
      </c>
      <c r="Z363" s="23" t="n">
        <f aca="false">IFERROR(INDEX(PODACI_PRODAJA!I:I,MATCH($A363,PODACI_PRODAJA!$A:$A,0)),0)</f>
        <v>10</v>
      </c>
      <c r="AA363" s="23" t="n">
        <f aca="false">IFERROR(INDEX(PODACI_PRODAJA!J:J,MATCH($A363,PODACI_PRODAJA!$A:$A,0)),0)</f>
        <v>1</v>
      </c>
      <c r="AB363" s="23" t="n">
        <f aca="false">IFERROR(INDEX(PODACI_PRODAJA!K:K,MATCH($A363,PODACI_PRODAJA!$A:$A,0)),0)</f>
        <v>0</v>
      </c>
      <c r="AC363" s="23" t="n">
        <f aca="false">IFERROR(INDEX(PODACI_PRODAJA!L:L,MATCH($A363,PODACI_PRODAJA!$A:$A,0)),0)</f>
        <v>0</v>
      </c>
      <c r="AD363" s="23" t="n">
        <f aca="false">IFERROR(INDEX(PODACI_PRODAJA!M:M,MATCH($A363,PODACI_PRODAJA!$A:$A,0)),0)</f>
        <v>0</v>
      </c>
    </row>
    <row r="364" customFormat="false" ht="15" hidden="false" customHeight="false" outlineLevel="0" collapsed="false">
      <c r="A364" s="11" t="str">
        <f aca="false">PODACI_ZALIHE!A361</f>
        <v>003384</v>
      </c>
      <c r="B364" s="8" t="str">
        <f aca="false">PODACI_ZALIHE!B361</f>
        <v>ESPERA OGLEDALO S LED RASVJETOM 90x60 cm</v>
      </c>
      <c r="C364" s="9" t="str">
        <f aca="false">PODACI_ZALIHE!C361</f>
        <v>5720</v>
      </c>
      <c r="D364" s="8" t="str">
        <f aca="false">PODACI_ZALIHE!D361</f>
        <v>ZHEJIANG SUMMERSIDE SANITARY WARE TECHNOLOGY CO., LTD</v>
      </c>
      <c r="E364" s="19" t="n">
        <f aca="false">IF(PODACI_ZALIHE!E361="","",PODACI_ZALIHE!E361)</f>
        <v>17</v>
      </c>
      <c r="F364" s="20" t="n">
        <f aca="false">PODACI_ZALIHE!F361</f>
        <v>17</v>
      </c>
      <c r="G364" s="19" t="n">
        <f aca="false">IF(E364="","",E364-F364)</f>
        <v>0</v>
      </c>
      <c r="H364" s="9" t="n">
        <f aca="false">PODACI_PRODAJA!N372</f>
        <v>1</v>
      </c>
      <c r="I364" s="21" t="n">
        <f aca="false">IF(H364&lt;=0,999,ROUND(F364/H364,1))</f>
        <v>17</v>
      </c>
      <c r="J364" s="9" t="n">
        <f aca="false">SUMIFS(ROBA_U_DOLASKU!$C$6:$C$95,ROBA_U_DOLASKU!$A$6:$A$95,A364,ROBA_U_DOLASKU!$H$6:$H$95,1)</f>
        <v>0</v>
      </c>
      <c r="K364" s="9" t="n">
        <f aca="false">SUMIFS(ROBA_U_DOLASKU!$B$6:$B$95,ROBA_U_DOLASKU!$A$6:$A$95,A364,ROBA_U_DOLASKU!$H$6:$H$95,1)</f>
        <v>0</v>
      </c>
      <c r="L364" s="9" t="n">
        <f aca="false">SUMIFS(ROBA_U_DOLASKU!$C$6:$C$95,ROBA_U_DOLASKU!$A$6:$A$95,A364,ROBA_U_DOLASKU!$H$6:$H$95,2)</f>
        <v>0</v>
      </c>
      <c r="M364" s="9" t="n">
        <f aca="false">SUMIFS(ROBA_U_DOLASKU!$B$6:$B$95,ROBA_U_DOLASKU!$A$6:$A$95,A364,ROBA_U_DOLASKU!$H$6:$H$95,2)</f>
        <v>0</v>
      </c>
      <c r="N364" s="9" t="n">
        <f aca="false">SUMIFS(ROBA_U_DOLASKU!$C$6:$C$95,ROBA_U_DOLASKU!$A$6:$A$95,A364,ROBA_U_DOLASKU!$H$6:$H$95,3)</f>
        <v>0</v>
      </c>
      <c r="O364" s="9" t="n">
        <f aca="false">SUMIFS(ROBA_U_DOLASKU!$B$6:$B$95,ROBA_U_DOLASKU!$A$6:$A$95,A364,ROBA_U_DOLASKU!$H$6:$H$95,3)</f>
        <v>0</v>
      </c>
      <c r="P364" s="9" t="n">
        <f aca="false">IF(H364&lt;=0,999,IF(O364&gt;0,ROUND((F364-H364*N364+K364+M364+O364)/H364,1),IF(M364&gt;0,ROUND((F364-H364*L364+K364+M364)/H364,1),IF(K364&gt;0,ROUND((F364-H364*J364+K364)/H364,1),I364))))</f>
        <v>17</v>
      </c>
      <c r="Q364" s="22" t="str">
        <f aca="false">IF(H364&lt;=0,"Nema prodaje",IF(AND(K364=0,M364=0,O364=0),IF(I364&lt;POSTAVKE!$B$6,"Naruči odmah","Sve u redu"),IF(F364-H364*J364&lt;0,"Rupa za ~"&amp;TEXT(I364,"0.0")&amp;" mj.",IF(AND(M364&gt;0,F364-H364*L364+K364&lt;0),"Rupa nakon 1. dolaska",IF(AND(O364&gt;0,F364-H364*N364+K364+M364&lt;0),"Rupa nakon 2. dolaska",IF(P364&lt;POSTAVKE!$B$6,"Količina nije dovoljna",IF(I364&gt;=POSTAVKE!$B$6,"Sve u redu","Stiže na vrijeme")))))))</f>
        <v>Sve u redu</v>
      </c>
      <c r="S364" s="23" t="n">
        <f aca="false">IFERROR(INDEX(PODACI_PRODAJA!B:B,MATCH($A364,PODACI_PRODAJA!$A:$A,0)),0)</f>
        <v>0</v>
      </c>
      <c r="T364" s="23" t="n">
        <f aca="false">IFERROR(INDEX(PODACI_PRODAJA!C:C,MATCH($A364,PODACI_PRODAJA!$A:$A,0)),0)</f>
        <v>1</v>
      </c>
      <c r="U364" s="23" t="n">
        <f aca="false">IFERROR(INDEX(PODACI_PRODAJA!D:D,MATCH($A364,PODACI_PRODAJA!$A:$A,0)),0)</f>
        <v>3</v>
      </c>
      <c r="V364" s="23" t="n">
        <f aca="false">IFERROR(INDEX(PODACI_PRODAJA!E:E,MATCH($A364,PODACI_PRODAJA!$A:$A,0)),0)</f>
        <v>1</v>
      </c>
      <c r="W364" s="23" t="n">
        <f aca="false">IFERROR(INDEX(PODACI_PRODAJA!F:F,MATCH($A364,PODACI_PRODAJA!$A:$A,0)),0)</f>
        <v>0</v>
      </c>
      <c r="X364" s="23" t="n">
        <f aca="false">IFERROR(INDEX(PODACI_PRODAJA!G:G,MATCH($A364,PODACI_PRODAJA!$A:$A,0)),0)</f>
        <v>2</v>
      </c>
      <c r="Y364" s="23" t="n">
        <f aca="false">IFERROR(INDEX(PODACI_PRODAJA!H:H,MATCH($A364,PODACI_PRODAJA!$A:$A,0)),0)</f>
        <v>1</v>
      </c>
      <c r="Z364" s="23" t="n">
        <f aca="false">IFERROR(INDEX(PODACI_PRODAJA!I:I,MATCH($A364,PODACI_PRODAJA!$A:$A,0)),0)</f>
        <v>0</v>
      </c>
      <c r="AA364" s="23" t="n">
        <f aca="false">IFERROR(INDEX(PODACI_PRODAJA!J:J,MATCH($A364,PODACI_PRODAJA!$A:$A,0)),0)</f>
        <v>0</v>
      </c>
      <c r="AB364" s="23" t="n">
        <f aca="false">IFERROR(INDEX(PODACI_PRODAJA!K:K,MATCH($A364,PODACI_PRODAJA!$A:$A,0)),0)</f>
        <v>0</v>
      </c>
      <c r="AC364" s="23" t="n">
        <f aca="false">IFERROR(INDEX(PODACI_PRODAJA!L:L,MATCH($A364,PODACI_PRODAJA!$A:$A,0)),0)</f>
        <v>0</v>
      </c>
      <c r="AD364" s="23" t="n">
        <f aca="false">IFERROR(INDEX(PODACI_PRODAJA!M:M,MATCH($A364,PODACI_PRODAJA!$A:$A,0)),0)</f>
        <v>0</v>
      </c>
    </row>
    <row r="365" customFormat="false" ht="15" hidden="false" customHeight="false" outlineLevel="0" collapsed="false">
      <c r="A365" s="11" t="str">
        <f aca="false">PODACI_ZALIHE!A362</f>
        <v>042072</v>
      </c>
      <c r="B365" s="8" t="str">
        <f aca="false">PODACI_ZALIHE!B362</f>
        <v>DRŽAČ ZA VETRO MAT CRNI 70120 cm</v>
      </c>
      <c r="C365" s="9" t="str">
        <f aca="false">PODACI_ZALIHE!C362</f>
        <v>5992</v>
      </c>
      <c r="D365" s="8" t="str">
        <f aca="false">PODACI_ZALIHE!D362</f>
        <v>HANGZHOU WOPOO IMPORT AND EXPORT CO.,LTD</v>
      </c>
      <c r="E365" s="19" t="n">
        <f aca="false">IF(PODACI_ZALIHE!E362="","",PODACI_ZALIHE!E362)</f>
        <v>17</v>
      </c>
      <c r="F365" s="20" t="n">
        <f aca="false">PODACI_ZALIHE!F362</f>
        <v>17</v>
      </c>
      <c r="G365" s="19" t="n">
        <f aca="false">IF(E365="","",E365-F365)</f>
        <v>0</v>
      </c>
      <c r="H365" s="9" t="n">
        <f aca="false">PODACI_PRODAJA!N127</f>
        <v>3.38</v>
      </c>
      <c r="I365" s="21" t="n">
        <f aca="false">IF(H365&lt;=0,999,ROUND(F365/H365,1))</f>
        <v>5</v>
      </c>
      <c r="J365" s="9" t="n">
        <f aca="false">SUMIFS(ROBA_U_DOLASKU!$C$6:$C$95,ROBA_U_DOLASKU!$A$6:$A$95,A365,ROBA_U_DOLASKU!$H$6:$H$95,1)</f>
        <v>0</v>
      </c>
      <c r="K365" s="9" t="n">
        <f aca="false">SUMIFS(ROBA_U_DOLASKU!$B$6:$B$95,ROBA_U_DOLASKU!$A$6:$A$95,A365,ROBA_U_DOLASKU!$H$6:$H$95,1)</f>
        <v>0</v>
      </c>
      <c r="L365" s="9" t="n">
        <f aca="false">SUMIFS(ROBA_U_DOLASKU!$C$6:$C$95,ROBA_U_DOLASKU!$A$6:$A$95,A365,ROBA_U_DOLASKU!$H$6:$H$95,2)</f>
        <v>0</v>
      </c>
      <c r="M365" s="9" t="n">
        <f aca="false">SUMIFS(ROBA_U_DOLASKU!$B$6:$B$95,ROBA_U_DOLASKU!$A$6:$A$95,A365,ROBA_U_DOLASKU!$H$6:$H$95,2)</f>
        <v>0</v>
      </c>
      <c r="N365" s="9" t="n">
        <f aca="false">SUMIFS(ROBA_U_DOLASKU!$C$6:$C$95,ROBA_U_DOLASKU!$A$6:$A$95,A365,ROBA_U_DOLASKU!$H$6:$H$95,3)</f>
        <v>0</v>
      </c>
      <c r="O365" s="9" t="n">
        <f aca="false">SUMIFS(ROBA_U_DOLASKU!$B$6:$B$95,ROBA_U_DOLASKU!$A$6:$A$95,A365,ROBA_U_DOLASKU!$H$6:$H$95,3)</f>
        <v>0</v>
      </c>
      <c r="P365" s="9" t="n">
        <f aca="false">IF(H365&lt;=0,999,IF(O365&gt;0,ROUND((F365-H365*N365+K365+M365+O365)/H365,1),IF(M365&gt;0,ROUND((F365-H365*L365+K365+M365)/H365,1),IF(K365&gt;0,ROUND((F365-H365*J365+K365)/H365,1),I365))))</f>
        <v>5</v>
      </c>
      <c r="Q365" s="22" t="str">
        <f aca="false">IF(H365&lt;=0,"Nema prodaje",IF(AND(K365=0,M365=0,O365=0),IF(I365&lt;POSTAVKE!$B$6,"Naruči odmah","Sve u redu"),IF(F365-H365*J365&lt;0,"Rupa za ~"&amp;TEXT(I365,"0.0")&amp;" mj.",IF(AND(M365&gt;0,F365-H365*L365+K365&lt;0),"Rupa nakon 1. dolaska",IF(AND(O365&gt;0,F365-H365*N365+K365+M365&lt;0),"Rupa nakon 2. dolaska",IF(P365&lt;POSTAVKE!$B$6,"Količina nije dovoljna",IF(I365&gt;=POSTAVKE!$B$6,"Sve u redu","Stiže na vrijeme")))))))</f>
        <v>Sve u redu</v>
      </c>
      <c r="S365" s="23" t="n">
        <f aca="false">IFERROR(INDEX(PODACI_PRODAJA!B:B,MATCH($A365,PODACI_PRODAJA!$A:$A,0)),0)</f>
        <v>4</v>
      </c>
      <c r="T365" s="23" t="n">
        <f aca="false">IFERROR(INDEX(PODACI_PRODAJA!C:C,MATCH($A365,PODACI_PRODAJA!$A:$A,0)),0)</f>
        <v>2</v>
      </c>
      <c r="U365" s="23" t="n">
        <f aca="false">IFERROR(INDEX(PODACI_PRODAJA!D:D,MATCH($A365,PODACI_PRODAJA!$A:$A,0)),0)</f>
        <v>0</v>
      </c>
      <c r="V365" s="23" t="n">
        <f aca="false">IFERROR(INDEX(PODACI_PRODAJA!E:E,MATCH($A365,PODACI_PRODAJA!$A:$A,0)),0)</f>
        <v>6</v>
      </c>
      <c r="W365" s="23" t="n">
        <f aca="false">IFERROR(INDEX(PODACI_PRODAJA!F:F,MATCH($A365,PODACI_PRODAJA!$A:$A,0)),0)</f>
        <v>8</v>
      </c>
      <c r="X365" s="23" t="n">
        <f aca="false">IFERROR(INDEX(PODACI_PRODAJA!G:G,MATCH($A365,PODACI_PRODAJA!$A:$A,0)),0)</f>
        <v>2</v>
      </c>
      <c r="Y365" s="23" t="n">
        <f aca="false">IFERROR(INDEX(PODACI_PRODAJA!H:H,MATCH($A365,PODACI_PRODAJA!$A:$A,0)),0)</f>
        <v>1</v>
      </c>
      <c r="Z365" s="23" t="n">
        <f aca="false">IFERROR(INDEX(PODACI_PRODAJA!I:I,MATCH($A365,PODACI_PRODAJA!$A:$A,0)),0)</f>
        <v>4</v>
      </c>
      <c r="AA365" s="23" t="n">
        <f aca="false">IFERROR(INDEX(PODACI_PRODAJA!J:J,MATCH($A365,PODACI_PRODAJA!$A:$A,0)),0)</f>
        <v>0</v>
      </c>
      <c r="AB365" s="23" t="n">
        <f aca="false">IFERROR(INDEX(PODACI_PRODAJA!K:K,MATCH($A365,PODACI_PRODAJA!$A:$A,0)),0)</f>
        <v>0</v>
      </c>
      <c r="AC365" s="23" t="n">
        <f aca="false">IFERROR(INDEX(PODACI_PRODAJA!L:L,MATCH($A365,PODACI_PRODAJA!$A:$A,0)),0)</f>
        <v>0</v>
      </c>
      <c r="AD365" s="23" t="n">
        <f aca="false">IFERROR(INDEX(PODACI_PRODAJA!M:M,MATCH($A365,PODACI_PRODAJA!$A:$A,0)),0)</f>
        <v>0</v>
      </c>
    </row>
    <row r="366" customFormat="false" ht="15" hidden="false" customHeight="false" outlineLevel="0" collapsed="false">
      <c r="A366" s="11" t="str">
        <f aca="false">PODACI_ZALIHE!A363</f>
        <v>043790</v>
      </c>
      <c r="B366" s="8" t="str">
        <f aca="false">PODACI_ZALIHE!B363</f>
        <v>INTENSO BLACK MIJEŠALICA ZA KADU</v>
      </c>
      <c r="C366" s="9" t="str">
        <f aca="false">PODACI_ZALIHE!C363</f>
        <v>5150</v>
      </c>
      <c r="D366" s="8" t="str">
        <f aca="false">PODACI_ZALIHE!D363</f>
        <v>ZHEJIANG VOLONG SANITARY WARES CO.,LTD.</v>
      </c>
      <c r="E366" s="19" t="n">
        <f aca="false">IF(PODACI_ZALIHE!E363="","",PODACI_ZALIHE!E363)</f>
        <v>17</v>
      </c>
      <c r="F366" s="20" t="n">
        <f aca="false">PODACI_ZALIHE!F363</f>
        <v>17</v>
      </c>
      <c r="G366" s="19" t="n">
        <f aca="false">IF(E366="","",E366-F366)</f>
        <v>0</v>
      </c>
      <c r="H366" s="9" t="n">
        <f aca="false">PODACI_PRODAJA!N433</f>
        <v>0.88</v>
      </c>
      <c r="I366" s="21" t="n">
        <f aca="false">IF(H366&lt;=0,999,ROUND(F366/H366,1))</f>
        <v>19.3</v>
      </c>
      <c r="J366" s="9" t="n">
        <f aca="false">SUMIFS(ROBA_U_DOLASKU!$C$6:$C$95,ROBA_U_DOLASKU!$A$6:$A$95,A366,ROBA_U_DOLASKU!$H$6:$H$95,1)</f>
        <v>0</v>
      </c>
      <c r="K366" s="9" t="n">
        <f aca="false">SUMIFS(ROBA_U_DOLASKU!$B$6:$B$95,ROBA_U_DOLASKU!$A$6:$A$95,A366,ROBA_U_DOLASKU!$H$6:$H$95,1)</f>
        <v>0</v>
      </c>
      <c r="L366" s="9" t="n">
        <f aca="false">SUMIFS(ROBA_U_DOLASKU!$C$6:$C$95,ROBA_U_DOLASKU!$A$6:$A$95,A366,ROBA_U_DOLASKU!$H$6:$H$95,2)</f>
        <v>0</v>
      </c>
      <c r="M366" s="9" t="n">
        <f aca="false">SUMIFS(ROBA_U_DOLASKU!$B$6:$B$95,ROBA_U_DOLASKU!$A$6:$A$95,A366,ROBA_U_DOLASKU!$H$6:$H$95,2)</f>
        <v>0</v>
      </c>
      <c r="N366" s="9" t="n">
        <f aca="false">SUMIFS(ROBA_U_DOLASKU!$C$6:$C$95,ROBA_U_DOLASKU!$A$6:$A$95,A366,ROBA_U_DOLASKU!$H$6:$H$95,3)</f>
        <v>0</v>
      </c>
      <c r="O366" s="9" t="n">
        <f aca="false">SUMIFS(ROBA_U_DOLASKU!$B$6:$B$95,ROBA_U_DOLASKU!$A$6:$A$95,A366,ROBA_U_DOLASKU!$H$6:$H$95,3)</f>
        <v>0</v>
      </c>
      <c r="P366" s="9" t="n">
        <f aca="false">IF(H366&lt;=0,999,IF(O366&gt;0,ROUND((F366-H366*N366+K366+M366+O366)/H366,1),IF(M366&gt;0,ROUND((F366-H366*L366+K366+M366)/H366,1),IF(K366&gt;0,ROUND((F366-H366*J366+K366)/H366,1),I366))))</f>
        <v>19.3</v>
      </c>
      <c r="Q366" s="22" t="str">
        <f aca="false">IF(H366&lt;=0,"Nema prodaje",IF(AND(K366=0,M366=0,O366=0),IF(I366&lt;POSTAVKE!$B$6,"Naruči odmah","Sve u redu"),IF(F366-H366*J366&lt;0,"Rupa za ~"&amp;TEXT(I366,"0.0")&amp;" mj.",IF(AND(M366&gt;0,F366-H366*L366+K366&lt;0),"Rupa nakon 1. dolaska",IF(AND(O366&gt;0,F366-H366*N366+K366+M366&lt;0),"Rupa nakon 2. dolaska",IF(P366&lt;POSTAVKE!$B$6,"Količina nije dovoljna",IF(I366&gt;=POSTAVKE!$B$6,"Sve u redu","Stiže na vrijeme")))))))</f>
        <v>Sve u redu</v>
      </c>
      <c r="S366" s="23" t="n">
        <f aca="false">IFERROR(INDEX(PODACI_PRODAJA!B:B,MATCH($A366,PODACI_PRODAJA!$A:$A,0)),0)</f>
        <v>0</v>
      </c>
      <c r="T366" s="23" t="n">
        <f aca="false">IFERROR(INDEX(PODACI_PRODAJA!C:C,MATCH($A366,PODACI_PRODAJA!$A:$A,0)),0)</f>
        <v>3</v>
      </c>
      <c r="U366" s="23" t="n">
        <f aca="false">IFERROR(INDEX(PODACI_PRODAJA!D:D,MATCH($A366,PODACI_PRODAJA!$A:$A,0)),0)</f>
        <v>0</v>
      </c>
      <c r="V366" s="23" t="n">
        <f aca="false">IFERROR(INDEX(PODACI_PRODAJA!E:E,MATCH($A366,PODACI_PRODAJA!$A:$A,0)),0)</f>
        <v>0</v>
      </c>
      <c r="W366" s="23" t="n">
        <f aca="false">IFERROR(INDEX(PODACI_PRODAJA!F:F,MATCH($A366,PODACI_PRODAJA!$A:$A,0)),0)</f>
        <v>0</v>
      </c>
      <c r="X366" s="23" t="n">
        <f aca="false">IFERROR(INDEX(PODACI_PRODAJA!G:G,MATCH($A366,PODACI_PRODAJA!$A:$A,0)),0)</f>
        <v>2</v>
      </c>
      <c r="Y366" s="23" t="n">
        <f aca="false">IFERROR(INDEX(PODACI_PRODAJA!H:H,MATCH($A366,PODACI_PRODAJA!$A:$A,0)),0)</f>
        <v>1</v>
      </c>
      <c r="Z366" s="23" t="n">
        <f aca="false">IFERROR(INDEX(PODACI_PRODAJA!I:I,MATCH($A366,PODACI_PRODAJA!$A:$A,0)),0)</f>
        <v>1</v>
      </c>
      <c r="AA366" s="23" t="n">
        <f aca="false">IFERROR(INDEX(PODACI_PRODAJA!J:J,MATCH($A366,PODACI_PRODAJA!$A:$A,0)),0)</f>
        <v>0</v>
      </c>
      <c r="AB366" s="23" t="n">
        <f aca="false">IFERROR(INDEX(PODACI_PRODAJA!K:K,MATCH($A366,PODACI_PRODAJA!$A:$A,0)),0)</f>
        <v>0</v>
      </c>
      <c r="AC366" s="23" t="n">
        <f aca="false">IFERROR(INDEX(PODACI_PRODAJA!L:L,MATCH($A366,PODACI_PRODAJA!$A:$A,0)),0)</f>
        <v>0</v>
      </c>
      <c r="AD366" s="23" t="n">
        <f aca="false">IFERROR(INDEX(PODACI_PRODAJA!M:M,MATCH($A366,PODACI_PRODAJA!$A:$A,0)),0)</f>
        <v>0</v>
      </c>
    </row>
    <row r="367" customFormat="false" ht="15" hidden="false" customHeight="false" outlineLevel="0" collapsed="false">
      <c r="A367" s="11" t="str">
        <f aca="false">PODACI_ZALIHE!A364</f>
        <v>15226</v>
      </c>
      <c r="B367" s="8" t="str">
        <f aca="false">PODACI_ZALIHE!B364</f>
        <v>TK BLACK 80100 PRAVOKUTNA TUŠ KABINA 80x100x195 cm</v>
      </c>
      <c r="C367" s="9" t="str">
        <f aca="false">PODACI_ZALIHE!C364</f>
        <v>4981</v>
      </c>
      <c r="D367" s="8" t="str">
        <f aca="false">PODACI_ZALIHE!D364</f>
        <v>HANGZHOU SUNLIGHT TRADE CO., LTD.</v>
      </c>
      <c r="E367" s="19" t="n">
        <f aca="false">IF(PODACI_ZALIHE!E364="","",PODACI_ZALIHE!E364)</f>
        <v>17</v>
      </c>
      <c r="F367" s="20" t="n">
        <f aca="false">PODACI_ZALIHE!F364</f>
        <v>17</v>
      </c>
      <c r="G367" s="19" t="n">
        <f aca="false">IF(E367="","",E367-F367)</f>
        <v>0</v>
      </c>
      <c r="H367" s="9" t="n">
        <f aca="false">PODACI_PRODAJA!N467</f>
        <v>6.25</v>
      </c>
      <c r="I367" s="21" t="n">
        <f aca="false">IF(H367&lt;=0,999,ROUND(F367/H367,1))</f>
        <v>2.7</v>
      </c>
      <c r="J367" s="9" t="n">
        <f aca="false">SUMIFS(ROBA_U_DOLASKU!$C$6:$C$95,ROBA_U_DOLASKU!$A$6:$A$95,A367,ROBA_U_DOLASKU!$H$6:$H$95,1)</f>
        <v>0</v>
      </c>
      <c r="K367" s="9" t="n">
        <f aca="false">SUMIFS(ROBA_U_DOLASKU!$B$6:$B$95,ROBA_U_DOLASKU!$A$6:$A$95,A367,ROBA_U_DOLASKU!$H$6:$H$95,1)</f>
        <v>0</v>
      </c>
      <c r="L367" s="9" t="n">
        <f aca="false">SUMIFS(ROBA_U_DOLASKU!$C$6:$C$95,ROBA_U_DOLASKU!$A$6:$A$95,A367,ROBA_U_DOLASKU!$H$6:$H$95,2)</f>
        <v>0</v>
      </c>
      <c r="M367" s="9" t="n">
        <f aca="false">SUMIFS(ROBA_U_DOLASKU!$B$6:$B$95,ROBA_U_DOLASKU!$A$6:$A$95,A367,ROBA_U_DOLASKU!$H$6:$H$95,2)</f>
        <v>0</v>
      </c>
      <c r="N367" s="9" t="n">
        <f aca="false">SUMIFS(ROBA_U_DOLASKU!$C$6:$C$95,ROBA_U_DOLASKU!$A$6:$A$95,A367,ROBA_U_DOLASKU!$H$6:$H$95,3)</f>
        <v>0</v>
      </c>
      <c r="O367" s="9" t="n">
        <f aca="false">SUMIFS(ROBA_U_DOLASKU!$B$6:$B$95,ROBA_U_DOLASKU!$A$6:$A$95,A367,ROBA_U_DOLASKU!$H$6:$H$95,3)</f>
        <v>0</v>
      </c>
      <c r="P367" s="9" t="n">
        <f aca="false">IF(H367&lt;=0,999,IF(O367&gt;0,ROUND((F367-H367*N367+K367+M367+O367)/H367,1),IF(M367&gt;0,ROUND((F367-H367*L367+K367+M367)/H367,1),IF(K367&gt;0,ROUND((F367-H367*J367+K367)/H367,1),I367))))</f>
        <v>2.7</v>
      </c>
      <c r="Q367" s="22" t="str">
        <f aca="false">IF(H367&lt;=0,"Nema prodaje",IF(AND(K367=0,M367=0,O367=0),IF(I367&lt;POSTAVKE!$B$6,"Naruči odmah","Sve u redu"),IF(F367-H367*J367&lt;0,"Rupa za ~"&amp;TEXT(I367,"0.0")&amp;" mj.",IF(AND(M367&gt;0,F367-H367*L367+K367&lt;0),"Rupa nakon 1. dolaska",IF(AND(O367&gt;0,F367-H367*N367+K367+M367&lt;0),"Rupa nakon 2. dolaska",IF(P367&lt;POSTAVKE!$B$6,"Količina nije dovoljna",IF(I367&gt;=POSTAVKE!$B$6,"Sve u redu","Stiže na vrijeme")))))))</f>
        <v>Naruči odmah</v>
      </c>
      <c r="S367" s="23" t="n">
        <f aca="false">IFERROR(INDEX(PODACI_PRODAJA!B:B,MATCH($A367,PODACI_PRODAJA!$A:$A,0)),0)</f>
        <v>0</v>
      </c>
      <c r="T367" s="23" t="n">
        <f aca="false">IFERROR(INDEX(PODACI_PRODAJA!C:C,MATCH($A367,PODACI_PRODAJA!$A:$A,0)),0)</f>
        <v>8</v>
      </c>
      <c r="U367" s="23" t="n">
        <f aca="false">IFERROR(INDEX(PODACI_PRODAJA!D:D,MATCH($A367,PODACI_PRODAJA!$A:$A,0)),0)</f>
        <v>9</v>
      </c>
      <c r="V367" s="23" t="n">
        <f aca="false">IFERROR(INDEX(PODACI_PRODAJA!E:E,MATCH($A367,PODACI_PRODAJA!$A:$A,0)),0)</f>
        <v>6</v>
      </c>
      <c r="W367" s="23" t="n">
        <f aca="false">IFERROR(INDEX(PODACI_PRODAJA!F:F,MATCH($A367,PODACI_PRODAJA!$A:$A,0)),0)</f>
        <v>11</v>
      </c>
      <c r="X367" s="23" t="n">
        <f aca="false">IFERROR(INDEX(PODACI_PRODAJA!G:G,MATCH($A367,PODACI_PRODAJA!$A:$A,0)),0)</f>
        <v>4</v>
      </c>
      <c r="Y367" s="23" t="n">
        <f aca="false">IFERROR(INDEX(PODACI_PRODAJA!H:H,MATCH($A367,PODACI_PRODAJA!$A:$A,0)),0)</f>
        <v>9</v>
      </c>
      <c r="Z367" s="23" t="n">
        <f aca="false">IFERROR(INDEX(PODACI_PRODAJA!I:I,MATCH($A367,PODACI_PRODAJA!$A:$A,0)),0)</f>
        <v>3</v>
      </c>
      <c r="AA367" s="23" t="n">
        <f aca="false">IFERROR(INDEX(PODACI_PRODAJA!J:J,MATCH($A367,PODACI_PRODAJA!$A:$A,0)),0)</f>
        <v>0</v>
      </c>
      <c r="AB367" s="23" t="n">
        <f aca="false">IFERROR(INDEX(PODACI_PRODAJA!K:K,MATCH($A367,PODACI_PRODAJA!$A:$A,0)),0)</f>
        <v>0</v>
      </c>
      <c r="AC367" s="23" t="n">
        <f aca="false">IFERROR(INDEX(PODACI_PRODAJA!L:L,MATCH($A367,PODACI_PRODAJA!$A:$A,0)),0)</f>
        <v>0</v>
      </c>
      <c r="AD367" s="23" t="n">
        <f aca="false">IFERROR(INDEX(PODACI_PRODAJA!M:M,MATCH($A367,PODACI_PRODAJA!$A:$A,0)),0)</f>
        <v>0</v>
      </c>
    </row>
    <row r="368" customFormat="false" ht="15" hidden="false" customHeight="false" outlineLevel="0" collapsed="false">
      <c r="A368" s="11" t="str">
        <f aca="false">PODACI_ZALIHE!A365</f>
        <v>15263</v>
      </c>
      <c r="B368" s="8" t="str">
        <f aca="false">PODACI_ZALIHE!B365</f>
        <v>TK MEIRA 80 KVADRATNA TUŠ KABINA 80x80x195 cm</v>
      </c>
      <c r="C368" s="9" t="str">
        <f aca="false">PODACI_ZALIHE!C365</f>
        <v>4328</v>
      </c>
      <c r="D368" s="8" t="str">
        <f aca="false">PODACI_ZALIHE!D365</f>
        <v>HANGZHOU DUHUI IMPORT AND EXPORT CO.,LTD</v>
      </c>
      <c r="E368" s="19" t="n">
        <f aca="false">IF(PODACI_ZALIHE!E365="","",PODACI_ZALIHE!E365)</f>
        <v>17</v>
      </c>
      <c r="F368" s="20" t="n">
        <f aca="false">PODACI_ZALIHE!F365</f>
        <v>17</v>
      </c>
      <c r="G368" s="19" t="n">
        <f aca="false">IF(E368="","",E368-F368)</f>
        <v>0</v>
      </c>
      <c r="H368" s="9" t="n">
        <f aca="false">PODACI_PRODAJA!N146</f>
        <v>3.5</v>
      </c>
      <c r="I368" s="21" t="n">
        <f aca="false">IF(H368&lt;=0,999,ROUND(F368/H368,1))</f>
        <v>4.9</v>
      </c>
      <c r="J368" s="9" t="n">
        <f aca="false">SUMIFS(ROBA_U_DOLASKU!$C$6:$C$95,ROBA_U_DOLASKU!$A$6:$A$95,A368,ROBA_U_DOLASKU!$H$6:$H$95,1)</f>
        <v>0</v>
      </c>
      <c r="K368" s="9" t="n">
        <f aca="false">SUMIFS(ROBA_U_DOLASKU!$B$6:$B$95,ROBA_U_DOLASKU!$A$6:$A$95,A368,ROBA_U_DOLASKU!$H$6:$H$95,1)</f>
        <v>0</v>
      </c>
      <c r="L368" s="9" t="n">
        <f aca="false">SUMIFS(ROBA_U_DOLASKU!$C$6:$C$95,ROBA_U_DOLASKU!$A$6:$A$95,A368,ROBA_U_DOLASKU!$H$6:$H$95,2)</f>
        <v>0</v>
      </c>
      <c r="M368" s="9" t="n">
        <f aca="false">SUMIFS(ROBA_U_DOLASKU!$B$6:$B$95,ROBA_U_DOLASKU!$A$6:$A$95,A368,ROBA_U_DOLASKU!$H$6:$H$95,2)</f>
        <v>0</v>
      </c>
      <c r="N368" s="9" t="n">
        <f aca="false">SUMIFS(ROBA_U_DOLASKU!$C$6:$C$95,ROBA_U_DOLASKU!$A$6:$A$95,A368,ROBA_U_DOLASKU!$H$6:$H$95,3)</f>
        <v>0</v>
      </c>
      <c r="O368" s="9" t="n">
        <f aca="false">SUMIFS(ROBA_U_DOLASKU!$B$6:$B$95,ROBA_U_DOLASKU!$A$6:$A$95,A368,ROBA_U_DOLASKU!$H$6:$H$95,3)</f>
        <v>0</v>
      </c>
      <c r="P368" s="9" t="n">
        <f aca="false">IF(H368&lt;=0,999,IF(O368&gt;0,ROUND((F368-H368*N368+K368+M368+O368)/H368,1),IF(M368&gt;0,ROUND((F368-H368*L368+K368+M368)/H368,1),IF(K368&gt;0,ROUND((F368-H368*J368+K368)/H368,1),I368))))</f>
        <v>4.9</v>
      </c>
      <c r="Q368" s="22" t="str">
        <f aca="false">IF(H368&lt;=0,"Nema prodaje",IF(AND(K368=0,M368=0,O368=0),IF(I368&lt;POSTAVKE!$B$6,"Naruči odmah","Sve u redu"),IF(F368-H368*J368&lt;0,"Rupa za ~"&amp;TEXT(I368,"0.0")&amp;" mj.",IF(AND(M368&gt;0,F368-H368*L368+K368&lt;0),"Rupa nakon 1. dolaska",IF(AND(O368&gt;0,F368-H368*N368+K368+M368&lt;0),"Rupa nakon 2. dolaska",IF(P368&lt;POSTAVKE!$B$6,"Količina nije dovoljna",IF(I368&gt;=POSTAVKE!$B$6,"Sve u redu","Stiže na vrijeme")))))))</f>
        <v>Naruči odmah</v>
      </c>
      <c r="S368" s="23" t="n">
        <f aca="false">IFERROR(INDEX(PODACI_PRODAJA!B:B,MATCH($A368,PODACI_PRODAJA!$A:$A,0)),0)</f>
        <v>3</v>
      </c>
      <c r="T368" s="23" t="n">
        <f aca="false">IFERROR(INDEX(PODACI_PRODAJA!C:C,MATCH($A368,PODACI_PRODAJA!$A:$A,0)),0)</f>
        <v>2</v>
      </c>
      <c r="U368" s="23" t="n">
        <f aca="false">IFERROR(INDEX(PODACI_PRODAJA!D:D,MATCH($A368,PODACI_PRODAJA!$A:$A,0)),0)</f>
        <v>2</v>
      </c>
      <c r="V368" s="23" t="n">
        <f aca="false">IFERROR(INDEX(PODACI_PRODAJA!E:E,MATCH($A368,PODACI_PRODAJA!$A:$A,0)),0)</f>
        <v>5</v>
      </c>
      <c r="W368" s="23" t="n">
        <f aca="false">IFERROR(INDEX(PODACI_PRODAJA!F:F,MATCH($A368,PODACI_PRODAJA!$A:$A,0)),0)</f>
        <v>1</v>
      </c>
      <c r="X368" s="23" t="n">
        <f aca="false">IFERROR(INDEX(PODACI_PRODAJA!G:G,MATCH($A368,PODACI_PRODAJA!$A:$A,0)),0)</f>
        <v>6</v>
      </c>
      <c r="Y368" s="23" t="n">
        <f aca="false">IFERROR(INDEX(PODACI_PRODAJA!H:H,MATCH($A368,PODACI_PRODAJA!$A:$A,0)),0)</f>
        <v>7</v>
      </c>
      <c r="Z368" s="23" t="n">
        <f aca="false">IFERROR(INDEX(PODACI_PRODAJA!I:I,MATCH($A368,PODACI_PRODAJA!$A:$A,0)),0)</f>
        <v>2</v>
      </c>
      <c r="AA368" s="23" t="n">
        <f aca="false">IFERROR(INDEX(PODACI_PRODAJA!J:J,MATCH($A368,PODACI_PRODAJA!$A:$A,0)),0)</f>
        <v>0</v>
      </c>
      <c r="AB368" s="23" t="n">
        <f aca="false">IFERROR(INDEX(PODACI_PRODAJA!K:K,MATCH($A368,PODACI_PRODAJA!$A:$A,0)),0)</f>
        <v>0</v>
      </c>
      <c r="AC368" s="23" t="n">
        <f aca="false">IFERROR(INDEX(PODACI_PRODAJA!L:L,MATCH($A368,PODACI_PRODAJA!$A:$A,0)),0)</f>
        <v>0</v>
      </c>
      <c r="AD368" s="23" t="n">
        <f aca="false">IFERROR(INDEX(PODACI_PRODAJA!M:M,MATCH($A368,PODACI_PRODAJA!$A:$A,0)),0)</f>
        <v>0</v>
      </c>
    </row>
    <row r="369" customFormat="false" ht="15" hidden="false" customHeight="false" outlineLevel="0" collapsed="false">
      <c r="A369" s="11" t="str">
        <f aca="false">PODACI_ZALIHE!A366</f>
        <v>17209</v>
      </c>
      <c r="B369" s="8" t="str">
        <f aca="false">PODACI_ZALIHE!B366</f>
        <v>IMOLA KROM MIJEŠALICA ZA TUŠ</v>
      </c>
      <c r="C369" s="9" t="n">
        <f aca="false">PODACI_ZALIHE!C366</f>
        <v>0</v>
      </c>
      <c r="D369" s="8" t="n">
        <f aca="false">PODACI_ZALIHE!D366</f>
        <v>0</v>
      </c>
      <c r="E369" s="19" t="n">
        <f aca="false">IF(PODACI_ZALIHE!E366="","",PODACI_ZALIHE!E366)</f>
        <v>17</v>
      </c>
      <c r="F369" s="20" t="n">
        <f aca="false">PODACI_ZALIHE!F366</f>
        <v>17</v>
      </c>
      <c r="G369" s="19" t="n">
        <f aca="false">IF(E369="","",E369-F369)</f>
        <v>0</v>
      </c>
      <c r="H369" s="9" t="n">
        <f aca="false">PODACI_PRODAJA!N110</f>
        <v>5</v>
      </c>
      <c r="I369" s="21" t="n">
        <f aca="false">IF(H369&lt;=0,999,ROUND(F369/H369,1))</f>
        <v>3.4</v>
      </c>
      <c r="J369" s="9" t="n">
        <f aca="false">SUMIFS(ROBA_U_DOLASKU!$C$6:$C$95,ROBA_U_DOLASKU!$A$6:$A$95,A369,ROBA_U_DOLASKU!$H$6:$H$95,1)</f>
        <v>0</v>
      </c>
      <c r="K369" s="9" t="n">
        <f aca="false">SUMIFS(ROBA_U_DOLASKU!$B$6:$B$95,ROBA_U_DOLASKU!$A$6:$A$95,A369,ROBA_U_DOLASKU!$H$6:$H$95,1)</f>
        <v>0</v>
      </c>
      <c r="L369" s="9" t="n">
        <f aca="false">SUMIFS(ROBA_U_DOLASKU!$C$6:$C$95,ROBA_U_DOLASKU!$A$6:$A$95,A369,ROBA_U_DOLASKU!$H$6:$H$95,2)</f>
        <v>0</v>
      </c>
      <c r="M369" s="9" t="n">
        <f aca="false">SUMIFS(ROBA_U_DOLASKU!$B$6:$B$95,ROBA_U_DOLASKU!$A$6:$A$95,A369,ROBA_U_DOLASKU!$H$6:$H$95,2)</f>
        <v>0</v>
      </c>
      <c r="N369" s="9" t="n">
        <f aca="false">SUMIFS(ROBA_U_DOLASKU!$C$6:$C$95,ROBA_U_DOLASKU!$A$6:$A$95,A369,ROBA_U_DOLASKU!$H$6:$H$95,3)</f>
        <v>0</v>
      </c>
      <c r="O369" s="9" t="n">
        <f aca="false">SUMIFS(ROBA_U_DOLASKU!$B$6:$B$95,ROBA_U_DOLASKU!$A$6:$A$95,A369,ROBA_U_DOLASKU!$H$6:$H$95,3)</f>
        <v>0</v>
      </c>
      <c r="P369" s="9" t="n">
        <f aca="false">IF(H369&lt;=0,999,IF(O369&gt;0,ROUND((F369-H369*N369+K369+M369+O369)/H369,1),IF(M369&gt;0,ROUND((F369-H369*L369+K369+M369)/H369,1),IF(K369&gt;0,ROUND((F369-H369*J369+K369)/H369,1),I369))))</f>
        <v>3.4</v>
      </c>
      <c r="Q369" s="22" t="str">
        <f aca="false">IF(H369&lt;=0,"Nema prodaje",IF(AND(K369=0,M369=0,O369=0),IF(I369&lt;POSTAVKE!$B$6,"Naruči odmah","Sve u redu"),IF(F369-H369*J369&lt;0,"Rupa za ~"&amp;TEXT(I369,"0.0")&amp;" mj.",IF(AND(M369&gt;0,F369-H369*L369+K369&lt;0),"Rupa nakon 1. dolaska",IF(AND(O369&gt;0,F369-H369*N369+K369+M369&lt;0),"Rupa nakon 2. dolaska",IF(P369&lt;POSTAVKE!$B$6,"Količina nije dovoljna",IF(I369&gt;=POSTAVKE!$B$6,"Sve u redu","Stiže na vrijeme")))))))</f>
        <v>Naruči odmah</v>
      </c>
      <c r="S369" s="23" t="n">
        <f aca="false">IFERROR(INDEX(PODACI_PRODAJA!B:B,MATCH($A369,PODACI_PRODAJA!$A:$A,0)),0)</f>
        <v>6</v>
      </c>
      <c r="T369" s="23" t="n">
        <f aca="false">IFERROR(INDEX(PODACI_PRODAJA!C:C,MATCH($A369,PODACI_PRODAJA!$A:$A,0)),0)</f>
        <v>10</v>
      </c>
      <c r="U369" s="23" t="n">
        <f aca="false">IFERROR(INDEX(PODACI_PRODAJA!D:D,MATCH($A369,PODACI_PRODAJA!$A:$A,0)),0)</f>
        <v>0</v>
      </c>
      <c r="V369" s="23" t="n">
        <f aca="false">IFERROR(INDEX(PODACI_PRODAJA!E:E,MATCH($A369,PODACI_PRODAJA!$A:$A,0)),0)</f>
        <v>3</v>
      </c>
      <c r="W369" s="23" t="n">
        <f aca="false">IFERROR(INDEX(PODACI_PRODAJA!F:F,MATCH($A369,PODACI_PRODAJA!$A:$A,0)),0)</f>
        <v>1</v>
      </c>
      <c r="X369" s="23" t="n">
        <f aca="false">IFERROR(INDEX(PODACI_PRODAJA!G:G,MATCH($A369,PODACI_PRODAJA!$A:$A,0)),0)</f>
        <v>6</v>
      </c>
      <c r="Y369" s="23" t="n">
        <f aca="false">IFERROR(INDEX(PODACI_PRODAJA!H:H,MATCH($A369,PODACI_PRODAJA!$A:$A,0)),0)</f>
        <v>1</v>
      </c>
      <c r="Z369" s="23" t="n">
        <f aca="false">IFERROR(INDEX(PODACI_PRODAJA!I:I,MATCH($A369,PODACI_PRODAJA!$A:$A,0)),0)</f>
        <v>13</v>
      </c>
      <c r="AA369" s="23" t="n">
        <f aca="false">IFERROR(INDEX(PODACI_PRODAJA!J:J,MATCH($A369,PODACI_PRODAJA!$A:$A,0)),0)</f>
        <v>0</v>
      </c>
      <c r="AB369" s="23" t="n">
        <f aca="false">IFERROR(INDEX(PODACI_PRODAJA!K:K,MATCH($A369,PODACI_PRODAJA!$A:$A,0)),0)</f>
        <v>0</v>
      </c>
      <c r="AC369" s="23" t="n">
        <f aca="false">IFERROR(INDEX(PODACI_PRODAJA!L:L,MATCH($A369,PODACI_PRODAJA!$A:$A,0)),0)</f>
        <v>0</v>
      </c>
      <c r="AD369" s="23" t="n">
        <f aca="false">IFERROR(INDEX(PODACI_PRODAJA!M:M,MATCH($A369,PODACI_PRODAJA!$A:$A,0)),0)</f>
        <v>0</v>
      </c>
    </row>
    <row r="370" customFormat="false" ht="15" hidden="false" customHeight="false" outlineLevel="0" collapsed="false">
      <c r="A370" s="11" t="str">
        <f aca="false">PODACI_ZALIHE!A367</f>
        <v>P15822</v>
      </c>
      <c r="B370" s="8" t="str">
        <f aca="false">PODACI_ZALIHE!B367</f>
        <v>BOLD LUX 100120 MINERALSOLID TUŠ KADA BIJELA SJAJNA 1000x1200x30 mm</v>
      </c>
      <c r="C370" s="9" t="str">
        <f aca="false">PODACI_ZALIHE!C367</f>
        <v>5140</v>
      </c>
      <c r="D370" s="8" t="str">
        <f aca="false">PODACI_ZALIHE!D367</f>
        <v>GUANGDONG OCEAN SANITARY WARE CO., LTD.</v>
      </c>
      <c r="E370" s="19" t="n">
        <f aca="false">IF(PODACI_ZALIHE!E367="","",PODACI_ZALIHE!E367)</f>
        <v>16</v>
      </c>
      <c r="F370" s="20" t="n">
        <f aca="false">PODACI_ZALIHE!F367</f>
        <v>16</v>
      </c>
      <c r="G370" s="19" t="n">
        <f aca="false">IF(E370="","",E370-F370)</f>
        <v>0</v>
      </c>
      <c r="H370" s="9" t="n">
        <f aca="false">PODACI_PRODAJA!N137</f>
        <v>0.88</v>
      </c>
      <c r="I370" s="21" t="n">
        <f aca="false">IF(H370&lt;=0,999,ROUND(F370/H370,1))</f>
        <v>18.2</v>
      </c>
      <c r="J370" s="9" t="n">
        <f aca="false">SUMIFS(ROBA_U_DOLASKU!$C$6:$C$95,ROBA_U_DOLASKU!$A$6:$A$95,A370,ROBA_U_DOLASKU!$H$6:$H$95,1)</f>
        <v>0</v>
      </c>
      <c r="K370" s="9" t="n">
        <f aca="false">SUMIFS(ROBA_U_DOLASKU!$B$6:$B$95,ROBA_U_DOLASKU!$A$6:$A$95,A370,ROBA_U_DOLASKU!$H$6:$H$95,1)</f>
        <v>0</v>
      </c>
      <c r="L370" s="9" t="n">
        <f aca="false">SUMIFS(ROBA_U_DOLASKU!$C$6:$C$95,ROBA_U_DOLASKU!$A$6:$A$95,A370,ROBA_U_DOLASKU!$H$6:$H$95,2)</f>
        <v>0</v>
      </c>
      <c r="M370" s="9" t="n">
        <f aca="false">SUMIFS(ROBA_U_DOLASKU!$B$6:$B$95,ROBA_U_DOLASKU!$A$6:$A$95,A370,ROBA_U_DOLASKU!$H$6:$H$95,2)</f>
        <v>0</v>
      </c>
      <c r="N370" s="9" t="n">
        <f aca="false">SUMIFS(ROBA_U_DOLASKU!$C$6:$C$95,ROBA_U_DOLASKU!$A$6:$A$95,A370,ROBA_U_DOLASKU!$H$6:$H$95,3)</f>
        <v>0</v>
      </c>
      <c r="O370" s="9" t="n">
        <f aca="false">SUMIFS(ROBA_U_DOLASKU!$B$6:$B$95,ROBA_U_DOLASKU!$A$6:$A$95,A370,ROBA_U_DOLASKU!$H$6:$H$95,3)</f>
        <v>0</v>
      </c>
      <c r="P370" s="9" t="n">
        <f aca="false">IF(H370&lt;=0,999,IF(O370&gt;0,ROUND((F370-H370*N370+K370+M370+O370)/H370,1),IF(M370&gt;0,ROUND((F370-H370*L370+K370+M370)/H370,1),IF(K370&gt;0,ROUND((F370-H370*J370+K370)/H370,1),I370))))</f>
        <v>18.2</v>
      </c>
      <c r="Q370" s="22" t="str">
        <f aca="false">IF(H370&lt;=0,"Nema prodaje",IF(AND(K370=0,M370=0,O370=0),IF(I370&lt;POSTAVKE!$B$6,"Naruči odmah","Sve u redu"),IF(F370-H370*J370&lt;0,"Rupa za ~"&amp;TEXT(I370,"0.0")&amp;" mj.",IF(AND(M370&gt;0,F370-H370*L370+K370&lt;0),"Rupa nakon 1. dolaska",IF(AND(O370&gt;0,F370-H370*N370+K370+M370&lt;0),"Rupa nakon 2. dolaska",IF(P370&lt;POSTAVKE!$B$6,"Količina nije dovoljna",IF(I370&gt;=POSTAVKE!$B$6,"Sve u redu","Stiže na vrijeme")))))))</f>
        <v>Sve u redu</v>
      </c>
      <c r="S370" s="23" t="n">
        <f aca="false">IFERROR(INDEX(PODACI_PRODAJA!B:B,MATCH($A370,PODACI_PRODAJA!$A:$A,0)),0)</f>
        <v>3</v>
      </c>
      <c r="T370" s="23" t="n">
        <f aca="false">IFERROR(INDEX(PODACI_PRODAJA!C:C,MATCH($A370,PODACI_PRODAJA!$A:$A,0)),0)</f>
        <v>2</v>
      </c>
      <c r="U370" s="23" t="n">
        <f aca="false">IFERROR(INDEX(PODACI_PRODAJA!D:D,MATCH($A370,PODACI_PRODAJA!$A:$A,0)),0)</f>
        <v>-1</v>
      </c>
      <c r="V370" s="23" t="n">
        <f aca="false">IFERROR(INDEX(PODACI_PRODAJA!E:E,MATCH($A370,PODACI_PRODAJA!$A:$A,0)),0)</f>
        <v>0</v>
      </c>
      <c r="W370" s="23" t="n">
        <f aca="false">IFERROR(INDEX(PODACI_PRODAJA!F:F,MATCH($A370,PODACI_PRODAJA!$A:$A,0)),0)</f>
        <v>0</v>
      </c>
      <c r="X370" s="23" t="n">
        <f aca="false">IFERROR(INDEX(PODACI_PRODAJA!G:G,MATCH($A370,PODACI_PRODAJA!$A:$A,0)),0)</f>
        <v>3</v>
      </c>
      <c r="Y370" s="23" t="n">
        <f aca="false">IFERROR(INDEX(PODACI_PRODAJA!H:H,MATCH($A370,PODACI_PRODAJA!$A:$A,0)),0)</f>
        <v>0</v>
      </c>
      <c r="Z370" s="23" t="n">
        <f aca="false">IFERROR(INDEX(PODACI_PRODAJA!I:I,MATCH($A370,PODACI_PRODAJA!$A:$A,0)),0)</f>
        <v>0</v>
      </c>
      <c r="AA370" s="23" t="n">
        <f aca="false">IFERROR(INDEX(PODACI_PRODAJA!J:J,MATCH($A370,PODACI_PRODAJA!$A:$A,0)),0)</f>
        <v>0</v>
      </c>
      <c r="AB370" s="23" t="n">
        <f aca="false">IFERROR(INDEX(PODACI_PRODAJA!K:K,MATCH($A370,PODACI_PRODAJA!$A:$A,0)),0)</f>
        <v>0</v>
      </c>
      <c r="AC370" s="23" t="n">
        <f aca="false">IFERROR(INDEX(PODACI_PRODAJA!L:L,MATCH($A370,PODACI_PRODAJA!$A:$A,0)),0)</f>
        <v>0</v>
      </c>
      <c r="AD370" s="23" t="n">
        <f aca="false">IFERROR(INDEX(PODACI_PRODAJA!M:M,MATCH($A370,PODACI_PRODAJA!$A:$A,0)),0)</f>
        <v>0</v>
      </c>
    </row>
    <row r="371" customFormat="false" ht="15" hidden="false" customHeight="false" outlineLevel="0" collapsed="false">
      <c r="A371" s="11" t="str">
        <f aca="false">PODACI_ZALIHE!A368</f>
        <v>036160</v>
      </c>
      <c r="B371" s="8" t="str">
        <f aca="false">PODACI_ZALIHE!B368</f>
        <v>PORTO 160 TUŠ VRATA 160x195 cm</v>
      </c>
      <c r="C371" s="9" t="str">
        <f aca="false">PODACI_ZALIHE!C368</f>
        <v>4328</v>
      </c>
      <c r="D371" s="8" t="str">
        <f aca="false">PODACI_ZALIHE!D368</f>
        <v>HANGZHOU DUHUI IMPORT AND EXPORT CO.,LTD</v>
      </c>
      <c r="E371" s="19" t="n">
        <f aca="false">IF(PODACI_ZALIHE!E368="","",PODACI_ZALIHE!E368)</f>
        <v>16</v>
      </c>
      <c r="F371" s="20" t="n">
        <f aca="false">PODACI_ZALIHE!F368</f>
        <v>16</v>
      </c>
      <c r="G371" s="19" t="n">
        <f aca="false">IF(E371="","",E371-F371)</f>
        <v>0</v>
      </c>
      <c r="H371" s="9" t="n">
        <f aca="false">PODACI_PRODAJA!N406</f>
        <v>0.38</v>
      </c>
      <c r="I371" s="21" t="n">
        <f aca="false">IF(H371&lt;=0,999,ROUND(F371/H371,1))</f>
        <v>42.1</v>
      </c>
      <c r="J371" s="9" t="n">
        <f aca="false">SUMIFS(ROBA_U_DOLASKU!$C$6:$C$95,ROBA_U_DOLASKU!$A$6:$A$95,A371,ROBA_U_DOLASKU!$H$6:$H$95,1)</f>
        <v>0</v>
      </c>
      <c r="K371" s="9" t="n">
        <f aca="false">SUMIFS(ROBA_U_DOLASKU!$B$6:$B$95,ROBA_U_DOLASKU!$A$6:$A$95,A371,ROBA_U_DOLASKU!$H$6:$H$95,1)</f>
        <v>0</v>
      </c>
      <c r="L371" s="9" t="n">
        <f aca="false">SUMIFS(ROBA_U_DOLASKU!$C$6:$C$95,ROBA_U_DOLASKU!$A$6:$A$95,A371,ROBA_U_DOLASKU!$H$6:$H$95,2)</f>
        <v>0</v>
      </c>
      <c r="M371" s="9" t="n">
        <f aca="false">SUMIFS(ROBA_U_DOLASKU!$B$6:$B$95,ROBA_U_DOLASKU!$A$6:$A$95,A371,ROBA_U_DOLASKU!$H$6:$H$95,2)</f>
        <v>0</v>
      </c>
      <c r="N371" s="9" t="n">
        <f aca="false">SUMIFS(ROBA_U_DOLASKU!$C$6:$C$95,ROBA_U_DOLASKU!$A$6:$A$95,A371,ROBA_U_DOLASKU!$H$6:$H$95,3)</f>
        <v>0</v>
      </c>
      <c r="O371" s="9" t="n">
        <f aca="false">SUMIFS(ROBA_U_DOLASKU!$B$6:$B$95,ROBA_U_DOLASKU!$A$6:$A$95,A371,ROBA_U_DOLASKU!$H$6:$H$95,3)</f>
        <v>0</v>
      </c>
      <c r="P371" s="9" t="n">
        <f aca="false">IF(H371&lt;=0,999,IF(O371&gt;0,ROUND((F371-H371*N371+K371+M371+O371)/H371,1),IF(M371&gt;0,ROUND((F371-H371*L371+K371+M371)/H371,1),IF(K371&gt;0,ROUND((F371-H371*J371+K371)/H371,1),I371))))</f>
        <v>42.1</v>
      </c>
      <c r="Q371" s="22" t="str">
        <f aca="false">IF(H371&lt;=0,"Nema prodaje",IF(AND(K371=0,M371=0,O371=0),IF(I371&lt;POSTAVKE!$B$6,"Naruči odmah","Sve u redu"),IF(F371-H371*J371&lt;0,"Rupa za ~"&amp;TEXT(I371,"0.0")&amp;" mj.",IF(AND(M371&gt;0,F371-H371*L371+K371&lt;0),"Rupa nakon 1. dolaska",IF(AND(O371&gt;0,F371-H371*N371+K371+M371&lt;0),"Rupa nakon 2. dolaska",IF(P371&lt;POSTAVKE!$B$6,"Količina nije dovoljna",IF(I371&gt;=POSTAVKE!$B$6,"Sve u redu","Stiže na vrijeme")))))))</f>
        <v>Sve u redu</v>
      </c>
      <c r="S371" s="23" t="n">
        <f aca="false">IFERROR(INDEX(PODACI_PRODAJA!B:B,MATCH($A371,PODACI_PRODAJA!$A:$A,0)),0)</f>
        <v>0</v>
      </c>
      <c r="T371" s="23" t="n">
        <f aca="false">IFERROR(INDEX(PODACI_PRODAJA!C:C,MATCH($A371,PODACI_PRODAJA!$A:$A,0)),0)</f>
        <v>1</v>
      </c>
      <c r="U371" s="23" t="n">
        <f aca="false">IFERROR(INDEX(PODACI_PRODAJA!D:D,MATCH($A371,PODACI_PRODAJA!$A:$A,0)),0)</f>
        <v>0</v>
      </c>
      <c r="V371" s="23" t="n">
        <f aca="false">IFERROR(INDEX(PODACI_PRODAJA!E:E,MATCH($A371,PODACI_PRODAJA!$A:$A,0)),0)</f>
        <v>1</v>
      </c>
      <c r="W371" s="23" t="n">
        <f aca="false">IFERROR(INDEX(PODACI_PRODAJA!F:F,MATCH($A371,PODACI_PRODAJA!$A:$A,0)),0)</f>
        <v>0</v>
      </c>
      <c r="X371" s="23" t="n">
        <f aca="false">IFERROR(INDEX(PODACI_PRODAJA!G:G,MATCH($A371,PODACI_PRODAJA!$A:$A,0)),0)</f>
        <v>1</v>
      </c>
      <c r="Y371" s="23" t="n">
        <f aca="false">IFERROR(INDEX(PODACI_PRODAJA!H:H,MATCH($A371,PODACI_PRODAJA!$A:$A,0)),0)</f>
        <v>0</v>
      </c>
      <c r="Z371" s="23" t="n">
        <f aca="false">IFERROR(INDEX(PODACI_PRODAJA!I:I,MATCH($A371,PODACI_PRODAJA!$A:$A,0)),0)</f>
        <v>0</v>
      </c>
      <c r="AA371" s="23" t="n">
        <f aca="false">IFERROR(INDEX(PODACI_PRODAJA!J:J,MATCH($A371,PODACI_PRODAJA!$A:$A,0)),0)</f>
        <v>0</v>
      </c>
      <c r="AB371" s="23" t="n">
        <f aca="false">IFERROR(INDEX(PODACI_PRODAJA!K:K,MATCH($A371,PODACI_PRODAJA!$A:$A,0)),0)</f>
        <v>0</v>
      </c>
      <c r="AC371" s="23" t="n">
        <f aca="false">IFERROR(INDEX(PODACI_PRODAJA!L:L,MATCH($A371,PODACI_PRODAJA!$A:$A,0)),0)</f>
        <v>0</v>
      </c>
      <c r="AD371" s="23" t="n">
        <f aca="false">IFERROR(INDEX(PODACI_PRODAJA!M:M,MATCH($A371,PODACI_PRODAJA!$A:$A,0)),0)</f>
        <v>0</v>
      </c>
    </row>
    <row r="372" customFormat="false" ht="15" hidden="false" customHeight="false" outlineLevel="0" collapsed="false">
      <c r="A372" s="11" t="str">
        <f aca="false">PODACI_ZALIHE!A369</f>
        <v>15271</v>
      </c>
      <c r="B372" s="8" t="str">
        <f aca="false">PODACI_ZALIHE!B369</f>
        <v>ALINA 90 HIDROMASAŽNA TUŠ KABINA 90x90x225 cm</v>
      </c>
      <c r="C372" s="9" t="str">
        <f aca="false">PODACI_ZALIHE!C369</f>
        <v>3933</v>
      </c>
      <c r="D372" s="8" t="str">
        <f aca="false">PODACI_ZALIHE!D369</f>
        <v>PINGHU AONISI SANITARY WARE CO.,LTD</v>
      </c>
      <c r="E372" s="19" t="n">
        <f aca="false">IF(PODACI_ZALIHE!E369="","",PODACI_ZALIHE!E369)</f>
        <v>16</v>
      </c>
      <c r="F372" s="20" t="n">
        <f aca="false">PODACI_ZALIHE!F369</f>
        <v>16</v>
      </c>
      <c r="G372" s="19" t="n">
        <f aca="false">IF(E372="","",E372-F372)</f>
        <v>0</v>
      </c>
      <c r="H372" s="9" t="n">
        <f aca="false">PODACI_PRODAJA!N67</f>
        <v>4.13</v>
      </c>
      <c r="I372" s="21" t="n">
        <f aca="false">IF(H372&lt;=0,999,ROUND(F372/H372,1))</f>
        <v>3.9</v>
      </c>
      <c r="J372" s="9" t="n">
        <f aca="false">SUMIFS(ROBA_U_DOLASKU!$C$6:$C$95,ROBA_U_DOLASKU!$A$6:$A$95,A372,ROBA_U_DOLASKU!$H$6:$H$95,1)</f>
        <v>0</v>
      </c>
      <c r="K372" s="9" t="n">
        <f aca="false">SUMIFS(ROBA_U_DOLASKU!$B$6:$B$95,ROBA_U_DOLASKU!$A$6:$A$95,A372,ROBA_U_DOLASKU!$H$6:$H$95,1)</f>
        <v>0</v>
      </c>
      <c r="L372" s="9" t="n">
        <f aca="false">SUMIFS(ROBA_U_DOLASKU!$C$6:$C$95,ROBA_U_DOLASKU!$A$6:$A$95,A372,ROBA_U_DOLASKU!$H$6:$H$95,2)</f>
        <v>0</v>
      </c>
      <c r="M372" s="9" t="n">
        <f aca="false">SUMIFS(ROBA_U_DOLASKU!$B$6:$B$95,ROBA_U_DOLASKU!$A$6:$A$95,A372,ROBA_U_DOLASKU!$H$6:$H$95,2)</f>
        <v>0</v>
      </c>
      <c r="N372" s="9" t="n">
        <f aca="false">SUMIFS(ROBA_U_DOLASKU!$C$6:$C$95,ROBA_U_DOLASKU!$A$6:$A$95,A372,ROBA_U_DOLASKU!$H$6:$H$95,3)</f>
        <v>0</v>
      </c>
      <c r="O372" s="9" t="n">
        <f aca="false">SUMIFS(ROBA_U_DOLASKU!$B$6:$B$95,ROBA_U_DOLASKU!$A$6:$A$95,A372,ROBA_U_DOLASKU!$H$6:$H$95,3)</f>
        <v>0</v>
      </c>
      <c r="P372" s="9" t="n">
        <f aca="false">IF(H372&lt;=0,999,IF(O372&gt;0,ROUND((F372-H372*N372+K372+M372+O372)/H372,1),IF(M372&gt;0,ROUND((F372-H372*L372+K372+M372)/H372,1),IF(K372&gt;0,ROUND((F372-H372*J372+K372)/H372,1),I372))))</f>
        <v>3.9</v>
      </c>
      <c r="Q372" s="22" t="str">
        <f aca="false">IF(H372&lt;=0,"Nema prodaje",IF(AND(K372=0,M372=0,O372=0),IF(I372&lt;POSTAVKE!$B$6,"Naruči odmah","Sve u redu"),IF(F372-H372*J372&lt;0,"Rupa za ~"&amp;TEXT(I372,"0.0")&amp;" mj.",IF(AND(M372&gt;0,F372-H372*L372+K372&lt;0),"Rupa nakon 1. dolaska",IF(AND(O372&gt;0,F372-H372*N372+K372+M372&lt;0),"Rupa nakon 2. dolaska",IF(P372&lt;POSTAVKE!$B$6,"Količina nije dovoljna",IF(I372&gt;=POSTAVKE!$B$6,"Sve u redu","Stiže na vrijeme")))))))</f>
        <v>Naruči odmah</v>
      </c>
      <c r="S372" s="23" t="n">
        <f aca="false">IFERROR(INDEX(PODACI_PRODAJA!B:B,MATCH($A372,PODACI_PRODAJA!$A:$A,0)),0)</f>
        <v>11</v>
      </c>
      <c r="T372" s="23" t="n">
        <f aca="false">IFERROR(INDEX(PODACI_PRODAJA!C:C,MATCH($A372,PODACI_PRODAJA!$A:$A,0)),0)</f>
        <v>2</v>
      </c>
      <c r="U372" s="23" t="n">
        <f aca="false">IFERROR(INDEX(PODACI_PRODAJA!D:D,MATCH($A372,PODACI_PRODAJA!$A:$A,0)),0)</f>
        <v>2</v>
      </c>
      <c r="V372" s="23" t="n">
        <f aca="false">IFERROR(INDEX(PODACI_PRODAJA!E:E,MATCH($A372,PODACI_PRODAJA!$A:$A,0)),0)</f>
        <v>3</v>
      </c>
      <c r="W372" s="23" t="n">
        <f aca="false">IFERROR(INDEX(PODACI_PRODAJA!F:F,MATCH($A372,PODACI_PRODAJA!$A:$A,0)),0)</f>
        <v>4</v>
      </c>
      <c r="X372" s="23" t="n">
        <f aca="false">IFERROR(INDEX(PODACI_PRODAJA!G:G,MATCH($A372,PODACI_PRODAJA!$A:$A,0)),0)</f>
        <v>4</v>
      </c>
      <c r="Y372" s="23" t="n">
        <f aca="false">IFERROR(INDEX(PODACI_PRODAJA!H:H,MATCH($A372,PODACI_PRODAJA!$A:$A,0)),0)</f>
        <v>4</v>
      </c>
      <c r="Z372" s="23" t="n">
        <f aca="false">IFERROR(INDEX(PODACI_PRODAJA!I:I,MATCH($A372,PODACI_PRODAJA!$A:$A,0)),0)</f>
        <v>3</v>
      </c>
      <c r="AA372" s="23" t="n">
        <f aca="false">IFERROR(INDEX(PODACI_PRODAJA!J:J,MATCH($A372,PODACI_PRODAJA!$A:$A,0)),0)</f>
        <v>0</v>
      </c>
      <c r="AB372" s="23" t="n">
        <f aca="false">IFERROR(INDEX(PODACI_PRODAJA!K:K,MATCH($A372,PODACI_PRODAJA!$A:$A,0)),0)</f>
        <v>0</v>
      </c>
      <c r="AC372" s="23" t="n">
        <f aca="false">IFERROR(INDEX(PODACI_PRODAJA!L:L,MATCH($A372,PODACI_PRODAJA!$A:$A,0)),0)</f>
        <v>0</v>
      </c>
      <c r="AD372" s="23" t="n">
        <f aca="false">IFERROR(INDEX(PODACI_PRODAJA!M:M,MATCH($A372,PODACI_PRODAJA!$A:$A,0)),0)</f>
        <v>0</v>
      </c>
    </row>
    <row r="373" customFormat="false" ht="15" hidden="false" customHeight="false" outlineLevel="0" collapsed="false">
      <c r="A373" s="11" t="str">
        <f aca="false">PODACI_ZALIHE!A370</f>
        <v>15272</v>
      </c>
      <c r="B373" s="8" t="str">
        <f aca="false">PODACI_ZALIHE!B370</f>
        <v>ALINA 80100 HIDROMASAŽNA TUŠ KABINA 80x100x225 cm</v>
      </c>
      <c r="C373" s="9" t="str">
        <f aca="false">PODACI_ZALIHE!C370</f>
        <v>3933</v>
      </c>
      <c r="D373" s="8" t="str">
        <f aca="false">PODACI_ZALIHE!D370</f>
        <v>PINGHU AONISI SANITARY WARE CO.,LTD</v>
      </c>
      <c r="E373" s="19" t="n">
        <f aca="false">IF(PODACI_ZALIHE!E370="","",PODACI_ZALIHE!E370)</f>
        <v>16</v>
      </c>
      <c r="F373" s="20" t="n">
        <f aca="false">PODACI_ZALIHE!F370</f>
        <v>16</v>
      </c>
      <c r="G373" s="19" t="n">
        <f aca="false">IF(E373="","",E373-F373)</f>
        <v>0</v>
      </c>
      <c r="H373" s="9" t="n">
        <f aca="false">PODACI_PRODAJA!N100</f>
        <v>2.88</v>
      </c>
      <c r="I373" s="21" t="n">
        <f aca="false">IF(H373&lt;=0,999,ROUND(F373/H373,1))</f>
        <v>5.6</v>
      </c>
      <c r="J373" s="9" t="n">
        <f aca="false">SUMIFS(ROBA_U_DOLASKU!$C$6:$C$95,ROBA_U_DOLASKU!$A$6:$A$95,A373,ROBA_U_DOLASKU!$H$6:$H$95,1)</f>
        <v>0</v>
      </c>
      <c r="K373" s="9" t="n">
        <f aca="false">SUMIFS(ROBA_U_DOLASKU!$B$6:$B$95,ROBA_U_DOLASKU!$A$6:$A$95,A373,ROBA_U_DOLASKU!$H$6:$H$95,1)</f>
        <v>0</v>
      </c>
      <c r="L373" s="9" t="n">
        <f aca="false">SUMIFS(ROBA_U_DOLASKU!$C$6:$C$95,ROBA_U_DOLASKU!$A$6:$A$95,A373,ROBA_U_DOLASKU!$H$6:$H$95,2)</f>
        <v>0</v>
      </c>
      <c r="M373" s="9" t="n">
        <f aca="false">SUMIFS(ROBA_U_DOLASKU!$B$6:$B$95,ROBA_U_DOLASKU!$A$6:$A$95,A373,ROBA_U_DOLASKU!$H$6:$H$95,2)</f>
        <v>0</v>
      </c>
      <c r="N373" s="9" t="n">
        <f aca="false">SUMIFS(ROBA_U_DOLASKU!$C$6:$C$95,ROBA_U_DOLASKU!$A$6:$A$95,A373,ROBA_U_DOLASKU!$H$6:$H$95,3)</f>
        <v>0</v>
      </c>
      <c r="O373" s="9" t="n">
        <f aca="false">SUMIFS(ROBA_U_DOLASKU!$B$6:$B$95,ROBA_U_DOLASKU!$A$6:$A$95,A373,ROBA_U_DOLASKU!$H$6:$H$95,3)</f>
        <v>0</v>
      </c>
      <c r="P373" s="9" t="n">
        <f aca="false">IF(H373&lt;=0,999,IF(O373&gt;0,ROUND((F373-H373*N373+K373+M373+O373)/H373,1),IF(M373&gt;0,ROUND((F373-H373*L373+K373+M373)/H373,1),IF(K373&gt;0,ROUND((F373-H373*J373+K373)/H373,1),I373))))</f>
        <v>5.6</v>
      </c>
      <c r="Q373" s="22" t="str">
        <f aca="false">IF(H373&lt;=0,"Nema prodaje",IF(AND(K373=0,M373=0,O373=0),IF(I373&lt;POSTAVKE!$B$6,"Naruči odmah","Sve u redu"),IF(F373-H373*J373&lt;0,"Rupa za ~"&amp;TEXT(I373,"0.0")&amp;" mj.",IF(AND(M373&gt;0,F373-H373*L373+K373&lt;0),"Rupa nakon 1. dolaska",IF(AND(O373&gt;0,F373-H373*N373+K373+M373&lt;0),"Rupa nakon 2. dolaska",IF(P373&lt;POSTAVKE!$B$6,"Količina nije dovoljna",IF(I373&gt;=POSTAVKE!$B$6,"Sve u redu","Stiže na vrijeme")))))))</f>
        <v>Sve u redu</v>
      </c>
      <c r="S373" s="23" t="n">
        <f aca="false">IFERROR(INDEX(PODACI_PRODAJA!B:B,MATCH($A373,PODACI_PRODAJA!$A:$A,0)),0)</f>
        <v>6</v>
      </c>
      <c r="T373" s="23" t="n">
        <f aca="false">IFERROR(INDEX(PODACI_PRODAJA!C:C,MATCH($A373,PODACI_PRODAJA!$A:$A,0)),0)</f>
        <v>2</v>
      </c>
      <c r="U373" s="23" t="n">
        <f aca="false">IFERROR(INDEX(PODACI_PRODAJA!D:D,MATCH($A373,PODACI_PRODAJA!$A:$A,0)),0)</f>
        <v>4</v>
      </c>
      <c r="V373" s="23" t="n">
        <f aca="false">IFERROR(INDEX(PODACI_PRODAJA!E:E,MATCH($A373,PODACI_PRODAJA!$A:$A,0)),0)</f>
        <v>0</v>
      </c>
      <c r="W373" s="23" t="n">
        <f aca="false">IFERROR(INDEX(PODACI_PRODAJA!F:F,MATCH($A373,PODACI_PRODAJA!$A:$A,0)),0)</f>
        <v>2</v>
      </c>
      <c r="X373" s="23" t="n">
        <f aca="false">IFERROR(INDEX(PODACI_PRODAJA!G:G,MATCH($A373,PODACI_PRODAJA!$A:$A,0)),0)</f>
        <v>1</v>
      </c>
      <c r="Y373" s="23" t="n">
        <f aca="false">IFERROR(INDEX(PODACI_PRODAJA!H:H,MATCH($A373,PODACI_PRODAJA!$A:$A,0)),0)</f>
        <v>4</v>
      </c>
      <c r="Z373" s="23" t="n">
        <f aca="false">IFERROR(INDEX(PODACI_PRODAJA!I:I,MATCH($A373,PODACI_PRODAJA!$A:$A,0)),0)</f>
        <v>4</v>
      </c>
      <c r="AA373" s="23" t="n">
        <f aca="false">IFERROR(INDEX(PODACI_PRODAJA!J:J,MATCH($A373,PODACI_PRODAJA!$A:$A,0)),0)</f>
        <v>0</v>
      </c>
      <c r="AB373" s="23" t="n">
        <f aca="false">IFERROR(INDEX(PODACI_PRODAJA!K:K,MATCH($A373,PODACI_PRODAJA!$A:$A,0)),0)</f>
        <v>0</v>
      </c>
      <c r="AC373" s="23" t="n">
        <f aca="false">IFERROR(INDEX(PODACI_PRODAJA!L:L,MATCH($A373,PODACI_PRODAJA!$A:$A,0)),0)</f>
        <v>0</v>
      </c>
      <c r="AD373" s="23" t="n">
        <f aca="false">IFERROR(INDEX(PODACI_PRODAJA!M:M,MATCH($A373,PODACI_PRODAJA!$A:$A,0)),0)</f>
        <v>0</v>
      </c>
    </row>
    <row r="374" customFormat="false" ht="15" hidden="false" customHeight="false" outlineLevel="0" collapsed="false">
      <c r="A374" s="11" t="str">
        <f aca="false">PODACI_ZALIHE!A371</f>
        <v>15939</v>
      </c>
      <c r="B374" s="8" t="str">
        <f aca="false">PODACI_ZALIHE!B371</f>
        <v>TK SILVER LINE 80100 PRAVOKUTNA TUŠ KABINA 80x100x195 cm</v>
      </c>
      <c r="C374" s="9" t="str">
        <f aca="false">PODACI_ZALIHE!C371</f>
        <v>4328</v>
      </c>
      <c r="D374" s="8" t="str">
        <f aca="false">PODACI_ZALIHE!D371</f>
        <v>HANGZHOU DUHUI IMPORT AND EXPORT CO.,LTD</v>
      </c>
      <c r="E374" s="19" t="n">
        <f aca="false">IF(PODACI_ZALIHE!E371="","",PODACI_ZALIHE!E371)</f>
        <v>17</v>
      </c>
      <c r="F374" s="20" t="n">
        <f aca="false">PODACI_ZALIHE!F371</f>
        <v>16</v>
      </c>
      <c r="G374" s="19" t="n">
        <f aca="false">IF(E374="","",E374-F374)</f>
        <v>1</v>
      </c>
      <c r="H374" s="9" t="n">
        <f aca="false">PODACI_PRODAJA!N244</f>
        <v>1.88</v>
      </c>
      <c r="I374" s="21" t="n">
        <f aca="false">IF(H374&lt;=0,999,ROUND(F374/H374,1))</f>
        <v>8.5</v>
      </c>
      <c r="J374" s="9" t="n">
        <f aca="false">SUMIFS(ROBA_U_DOLASKU!$C$6:$C$95,ROBA_U_DOLASKU!$A$6:$A$95,A374,ROBA_U_DOLASKU!$H$6:$H$95,1)</f>
        <v>0</v>
      </c>
      <c r="K374" s="9" t="n">
        <f aca="false">SUMIFS(ROBA_U_DOLASKU!$B$6:$B$95,ROBA_U_DOLASKU!$A$6:$A$95,A374,ROBA_U_DOLASKU!$H$6:$H$95,1)</f>
        <v>0</v>
      </c>
      <c r="L374" s="9" t="n">
        <f aca="false">SUMIFS(ROBA_U_DOLASKU!$C$6:$C$95,ROBA_U_DOLASKU!$A$6:$A$95,A374,ROBA_U_DOLASKU!$H$6:$H$95,2)</f>
        <v>0</v>
      </c>
      <c r="M374" s="9" t="n">
        <f aca="false">SUMIFS(ROBA_U_DOLASKU!$B$6:$B$95,ROBA_U_DOLASKU!$A$6:$A$95,A374,ROBA_U_DOLASKU!$H$6:$H$95,2)</f>
        <v>0</v>
      </c>
      <c r="N374" s="9" t="n">
        <f aca="false">SUMIFS(ROBA_U_DOLASKU!$C$6:$C$95,ROBA_U_DOLASKU!$A$6:$A$95,A374,ROBA_U_DOLASKU!$H$6:$H$95,3)</f>
        <v>0</v>
      </c>
      <c r="O374" s="9" t="n">
        <f aca="false">SUMIFS(ROBA_U_DOLASKU!$B$6:$B$95,ROBA_U_DOLASKU!$A$6:$A$95,A374,ROBA_U_DOLASKU!$H$6:$H$95,3)</f>
        <v>0</v>
      </c>
      <c r="P374" s="9" t="n">
        <f aca="false">IF(H374&lt;=0,999,IF(O374&gt;0,ROUND((F374-H374*N374+K374+M374+O374)/H374,1),IF(M374&gt;0,ROUND((F374-H374*L374+K374+M374)/H374,1),IF(K374&gt;0,ROUND((F374-H374*J374+K374)/H374,1),I374))))</f>
        <v>8.5</v>
      </c>
      <c r="Q374" s="22" t="str">
        <f aca="false">IF(H374&lt;=0,"Nema prodaje",IF(AND(K374=0,M374=0,O374=0),IF(I374&lt;POSTAVKE!$B$6,"Naruči odmah","Sve u redu"),IF(F374-H374*J374&lt;0,"Rupa za ~"&amp;TEXT(I374,"0.0")&amp;" mj.",IF(AND(M374&gt;0,F374-H374*L374+K374&lt;0),"Rupa nakon 1. dolaska",IF(AND(O374&gt;0,F374-H374*N374+K374+M374&lt;0),"Rupa nakon 2. dolaska",IF(P374&lt;POSTAVKE!$B$6,"Količina nije dovoljna",IF(I374&gt;=POSTAVKE!$B$6,"Sve u redu","Stiže na vrijeme")))))))</f>
        <v>Sve u redu</v>
      </c>
      <c r="S374" s="23" t="n">
        <f aca="false">IFERROR(INDEX(PODACI_PRODAJA!B:B,MATCH($A374,PODACI_PRODAJA!$A:$A,0)),0)</f>
        <v>1</v>
      </c>
      <c r="T374" s="23" t="n">
        <f aca="false">IFERROR(INDEX(PODACI_PRODAJA!C:C,MATCH($A374,PODACI_PRODAJA!$A:$A,0)),0)</f>
        <v>3</v>
      </c>
      <c r="U374" s="23" t="n">
        <f aca="false">IFERROR(INDEX(PODACI_PRODAJA!D:D,MATCH($A374,PODACI_PRODAJA!$A:$A,0)),0)</f>
        <v>1</v>
      </c>
      <c r="V374" s="23" t="n">
        <f aca="false">IFERROR(INDEX(PODACI_PRODAJA!E:E,MATCH($A374,PODACI_PRODAJA!$A:$A,0)),0)</f>
        <v>6</v>
      </c>
      <c r="W374" s="23" t="n">
        <f aca="false">IFERROR(INDEX(PODACI_PRODAJA!F:F,MATCH($A374,PODACI_PRODAJA!$A:$A,0)),0)</f>
        <v>1</v>
      </c>
      <c r="X374" s="23" t="n">
        <f aca="false">IFERROR(INDEX(PODACI_PRODAJA!G:G,MATCH($A374,PODACI_PRODAJA!$A:$A,0)),0)</f>
        <v>0</v>
      </c>
      <c r="Y374" s="23" t="n">
        <f aca="false">IFERROR(INDEX(PODACI_PRODAJA!H:H,MATCH($A374,PODACI_PRODAJA!$A:$A,0)),0)</f>
        <v>2</v>
      </c>
      <c r="Z374" s="23" t="n">
        <f aca="false">IFERROR(INDEX(PODACI_PRODAJA!I:I,MATCH($A374,PODACI_PRODAJA!$A:$A,0)),0)</f>
        <v>1</v>
      </c>
      <c r="AA374" s="23" t="n">
        <f aca="false">IFERROR(INDEX(PODACI_PRODAJA!J:J,MATCH($A374,PODACI_PRODAJA!$A:$A,0)),0)</f>
        <v>0</v>
      </c>
      <c r="AB374" s="23" t="n">
        <f aca="false">IFERROR(INDEX(PODACI_PRODAJA!K:K,MATCH($A374,PODACI_PRODAJA!$A:$A,0)),0)</f>
        <v>0</v>
      </c>
      <c r="AC374" s="23" t="n">
        <f aca="false">IFERROR(INDEX(PODACI_PRODAJA!L:L,MATCH($A374,PODACI_PRODAJA!$A:$A,0)),0)</f>
        <v>0</v>
      </c>
      <c r="AD374" s="23" t="n">
        <f aca="false">IFERROR(INDEX(PODACI_PRODAJA!M:M,MATCH($A374,PODACI_PRODAJA!$A:$A,0)),0)</f>
        <v>0</v>
      </c>
    </row>
    <row r="375" customFormat="false" ht="15" hidden="false" customHeight="false" outlineLevel="0" collapsed="false">
      <c r="A375" s="11" t="str">
        <f aca="false">PODACI_ZALIHE!A372</f>
        <v>16974</v>
      </c>
      <c r="B375" s="8" t="str">
        <f aca="false">PODACI_ZALIHE!B372</f>
        <v>TK GRANADA 80 KVADRATNA TUŠ KABINA 80x80x195 cm</v>
      </c>
      <c r="C375" s="9" t="str">
        <f aca="false">PODACI_ZALIHE!C372</f>
        <v>4328</v>
      </c>
      <c r="D375" s="8" t="str">
        <f aca="false">PODACI_ZALIHE!D372</f>
        <v>HANGZHOU DUHUI IMPORT AND EXPORT CO.,LTD</v>
      </c>
      <c r="E375" s="19" t="n">
        <f aca="false">IF(PODACI_ZALIHE!E372="","",PODACI_ZALIHE!E372)</f>
        <v>16</v>
      </c>
      <c r="F375" s="20" t="n">
        <f aca="false">PODACI_ZALIHE!F372</f>
        <v>16</v>
      </c>
      <c r="G375" s="19" t="n">
        <f aca="false">IF(E375="","",E375-F375)</f>
        <v>0</v>
      </c>
      <c r="H375" s="9" t="n">
        <f aca="false">PODACI_PRODAJA!N586</f>
        <v>0.75</v>
      </c>
      <c r="I375" s="21" t="n">
        <f aca="false">IF(H375&lt;=0,999,ROUND(F375/H375,1))</f>
        <v>21.3</v>
      </c>
      <c r="J375" s="9" t="n">
        <f aca="false">SUMIFS(ROBA_U_DOLASKU!$C$6:$C$95,ROBA_U_DOLASKU!$A$6:$A$95,A375,ROBA_U_DOLASKU!$H$6:$H$95,1)</f>
        <v>0</v>
      </c>
      <c r="K375" s="9" t="n">
        <f aca="false">SUMIFS(ROBA_U_DOLASKU!$B$6:$B$95,ROBA_U_DOLASKU!$A$6:$A$95,A375,ROBA_U_DOLASKU!$H$6:$H$95,1)</f>
        <v>0</v>
      </c>
      <c r="L375" s="9" t="n">
        <f aca="false">SUMIFS(ROBA_U_DOLASKU!$C$6:$C$95,ROBA_U_DOLASKU!$A$6:$A$95,A375,ROBA_U_DOLASKU!$H$6:$H$95,2)</f>
        <v>0</v>
      </c>
      <c r="M375" s="9" t="n">
        <f aca="false">SUMIFS(ROBA_U_DOLASKU!$B$6:$B$95,ROBA_U_DOLASKU!$A$6:$A$95,A375,ROBA_U_DOLASKU!$H$6:$H$95,2)</f>
        <v>0</v>
      </c>
      <c r="N375" s="9" t="n">
        <f aca="false">SUMIFS(ROBA_U_DOLASKU!$C$6:$C$95,ROBA_U_DOLASKU!$A$6:$A$95,A375,ROBA_U_DOLASKU!$H$6:$H$95,3)</f>
        <v>0</v>
      </c>
      <c r="O375" s="9" t="n">
        <f aca="false">SUMIFS(ROBA_U_DOLASKU!$B$6:$B$95,ROBA_U_DOLASKU!$A$6:$A$95,A375,ROBA_U_DOLASKU!$H$6:$H$95,3)</f>
        <v>0</v>
      </c>
      <c r="P375" s="9" t="n">
        <f aca="false">IF(H375&lt;=0,999,IF(O375&gt;0,ROUND((F375-H375*N375+K375+M375+O375)/H375,1),IF(M375&gt;0,ROUND((F375-H375*L375+K375+M375)/H375,1),IF(K375&gt;0,ROUND((F375-H375*J375+K375)/H375,1),I375))))</f>
        <v>21.3</v>
      </c>
      <c r="Q375" s="22" t="str">
        <f aca="false">IF(H375&lt;=0,"Nema prodaje",IF(AND(K375=0,M375=0,O375=0),IF(I375&lt;POSTAVKE!$B$6,"Naruči odmah","Sve u redu"),IF(F375-H375*J375&lt;0,"Rupa za ~"&amp;TEXT(I375,"0.0")&amp;" mj.",IF(AND(M375&gt;0,F375-H375*L375+K375&lt;0),"Rupa nakon 1. dolaska",IF(AND(O375&gt;0,F375-H375*N375+K375+M375&lt;0),"Rupa nakon 2. dolaska",IF(P375&lt;POSTAVKE!$B$6,"Količina nije dovoljna",IF(I375&gt;=POSTAVKE!$B$6,"Sve u redu","Stiže na vrijeme")))))))</f>
        <v>Sve u redu</v>
      </c>
      <c r="S375" s="23" t="n">
        <f aca="false">IFERROR(INDEX(PODACI_PRODAJA!B:B,MATCH($A375,PODACI_PRODAJA!$A:$A,0)),0)</f>
        <v>0</v>
      </c>
      <c r="T375" s="23" t="n">
        <f aca="false">IFERROR(INDEX(PODACI_PRODAJA!C:C,MATCH($A375,PODACI_PRODAJA!$A:$A,0)),0)</f>
        <v>0</v>
      </c>
      <c r="U375" s="23" t="n">
        <f aca="false">IFERROR(INDEX(PODACI_PRODAJA!D:D,MATCH($A375,PODACI_PRODAJA!$A:$A,0)),0)</f>
        <v>1</v>
      </c>
      <c r="V375" s="23" t="n">
        <f aca="false">IFERROR(INDEX(PODACI_PRODAJA!E:E,MATCH($A375,PODACI_PRODAJA!$A:$A,0)),0)</f>
        <v>2</v>
      </c>
      <c r="W375" s="23" t="n">
        <f aca="false">IFERROR(INDEX(PODACI_PRODAJA!F:F,MATCH($A375,PODACI_PRODAJA!$A:$A,0)),0)</f>
        <v>3</v>
      </c>
      <c r="X375" s="23" t="n">
        <f aca="false">IFERROR(INDEX(PODACI_PRODAJA!G:G,MATCH($A375,PODACI_PRODAJA!$A:$A,0)),0)</f>
        <v>0</v>
      </c>
      <c r="Y375" s="23" t="n">
        <f aca="false">IFERROR(INDEX(PODACI_PRODAJA!H:H,MATCH($A375,PODACI_PRODAJA!$A:$A,0)),0)</f>
        <v>0</v>
      </c>
      <c r="Z375" s="23" t="n">
        <f aca="false">IFERROR(INDEX(PODACI_PRODAJA!I:I,MATCH($A375,PODACI_PRODAJA!$A:$A,0)),0)</f>
        <v>0</v>
      </c>
      <c r="AA375" s="23" t="n">
        <f aca="false">IFERROR(INDEX(PODACI_PRODAJA!J:J,MATCH($A375,PODACI_PRODAJA!$A:$A,0)),0)</f>
        <v>0</v>
      </c>
      <c r="AB375" s="23" t="n">
        <f aca="false">IFERROR(INDEX(PODACI_PRODAJA!K:K,MATCH($A375,PODACI_PRODAJA!$A:$A,0)),0)</f>
        <v>0</v>
      </c>
      <c r="AC375" s="23" t="n">
        <f aca="false">IFERROR(INDEX(PODACI_PRODAJA!L:L,MATCH($A375,PODACI_PRODAJA!$A:$A,0)),0)</f>
        <v>0</v>
      </c>
      <c r="AD375" s="23" t="n">
        <f aca="false">IFERROR(INDEX(PODACI_PRODAJA!M:M,MATCH($A375,PODACI_PRODAJA!$A:$A,0)),0)</f>
        <v>0</v>
      </c>
    </row>
    <row r="376" customFormat="false" ht="15" hidden="false" customHeight="false" outlineLevel="0" collapsed="false">
      <c r="A376" s="11" t="str">
        <f aca="false">PODACI_ZALIHE!A373</f>
        <v>17265</v>
      </c>
      <c r="B376" s="8" t="str">
        <f aca="false">PODACI_ZALIHE!B373</f>
        <v>OVIEDO TUŠ VRATA 78-90x190 cm</v>
      </c>
      <c r="C376" s="9" t="str">
        <f aca="false">PODACI_ZALIHE!C373</f>
        <v>6762</v>
      </c>
      <c r="D376" s="8" t="str">
        <f aca="false">PODACI_ZALIHE!D373</f>
        <v>ZHEJIANG QUICKLINE SHOWERING CO., LTD.</v>
      </c>
      <c r="E376" s="19" t="n">
        <f aca="false">IF(PODACI_ZALIHE!E373="","",PODACI_ZALIHE!E373)</f>
        <v>21</v>
      </c>
      <c r="F376" s="20" t="n">
        <f aca="false">PODACI_ZALIHE!F373</f>
        <v>16</v>
      </c>
      <c r="G376" s="19" t="n">
        <f aca="false">IF(E376="","",E376-F376)</f>
        <v>5</v>
      </c>
      <c r="H376" s="9" t="n">
        <f aca="false">PODACI_PRODAJA!N278</f>
        <v>1.25</v>
      </c>
      <c r="I376" s="21" t="n">
        <f aca="false">IF(H376&lt;=0,999,ROUND(F376/H376,1))</f>
        <v>12.8</v>
      </c>
      <c r="J376" s="9" t="n">
        <f aca="false">SUMIFS(ROBA_U_DOLASKU!$C$6:$C$95,ROBA_U_DOLASKU!$A$6:$A$95,A376,ROBA_U_DOLASKU!$H$6:$H$95,1)</f>
        <v>0</v>
      </c>
      <c r="K376" s="9" t="n">
        <f aca="false">SUMIFS(ROBA_U_DOLASKU!$B$6:$B$95,ROBA_U_DOLASKU!$A$6:$A$95,A376,ROBA_U_DOLASKU!$H$6:$H$95,1)</f>
        <v>0</v>
      </c>
      <c r="L376" s="9" t="n">
        <f aca="false">SUMIFS(ROBA_U_DOLASKU!$C$6:$C$95,ROBA_U_DOLASKU!$A$6:$A$95,A376,ROBA_U_DOLASKU!$H$6:$H$95,2)</f>
        <v>0</v>
      </c>
      <c r="M376" s="9" t="n">
        <f aca="false">SUMIFS(ROBA_U_DOLASKU!$B$6:$B$95,ROBA_U_DOLASKU!$A$6:$A$95,A376,ROBA_U_DOLASKU!$H$6:$H$95,2)</f>
        <v>0</v>
      </c>
      <c r="N376" s="9" t="n">
        <f aca="false">SUMIFS(ROBA_U_DOLASKU!$C$6:$C$95,ROBA_U_DOLASKU!$A$6:$A$95,A376,ROBA_U_DOLASKU!$H$6:$H$95,3)</f>
        <v>0</v>
      </c>
      <c r="O376" s="9" t="n">
        <f aca="false">SUMIFS(ROBA_U_DOLASKU!$B$6:$B$95,ROBA_U_DOLASKU!$A$6:$A$95,A376,ROBA_U_DOLASKU!$H$6:$H$95,3)</f>
        <v>0</v>
      </c>
      <c r="P376" s="9" t="n">
        <f aca="false">IF(H376&lt;=0,999,IF(O376&gt;0,ROUND((F376-H376*N376+K376+M376+O376)/H376,1),IF(M376&gt;0,ROUND((F376-H376*L376+K376+M376)/H376,1),IF(K376&gt;0,ROUND((F376-H376*J376+K376)/H376,1),I376))))</f>
        <v>12.8</v>
      </c>
      <c r="Q376" s="22" t="str">
        <f aca="false">IF(H376&lt;=0,"Nema prodaje",IF(AND(K376=0,M376=0,O376=0),IF(I376&lt;POSTAVKE!$B$6,"Naruči odmah","Sve u redu"),IF(F376-H376*J376&lt;0,"Rupa za ~"&amp;TEXT(I376,"0.0")&amp;" mj.",IF(AND(M376&gt;0,F376-H376*L376+K376&lt;0),"Rupa nakon 1. dolaska",IF(AND(O376&gt;0,F376-H376*N376+K376+M376&lt;0),"Rupa nakon 2. dolaska",IF(P376&lt;POSTAVKE!$B$6,"Količina nije dovoljna",IF(I376&gt;=POSTAVKE!$B$6,"Sve u redu","Stiže na vrijeme")))))))</f>
        <v>Sve u redu</v>
      </c>
      <c r="S376" s="23" t="n">
        <f aca="false">IFERROR(INDEX(PODACI_PRODAJA!B:B,MATCH($A376,PODACI_PRODAJA!$A:$A,0)),0)</f>
        <v>1</v>
      </c>
      <c r="T376" s="23" t="n">
        <f aca="false">IFERROR(INDEX(PODACI_PRODAJA!C:C,MATCH($A376,PODACI_PRODAJA!$A:$A,0)),0)</f>
        <v>2</v>
      </c>
      <c r="U376" s="23" t="n">
        <f aca="false">IFERROR(INDEX(PODACI_PRODAJA!D:D,MATCH($A376,PODACI_PRODAJA!$A:$A,0)),0)</f>
        <v>0</v>
      </c>
      <c r="V376" s="23" t="n">
        <f aca="false">IFERROR(INDEX(PODACI_PRODAJA!E:E,MATCH($A376,PODACI_PRODAJA!$A:$A,0)),0)</f>
        <v>0</v>
      </c>
      <c r="W376" s="23" t="n">
        <f aca="false">IFERROR(INDEX(PODACI_PRODAJA!F:F,MATCH($A376,PODACI_PRODAJA!$A:$A,0)),0)</f>
        <v>4</v>
      </c>
      <c r="X376" s="23" t="n">
        <f aca="false">IFERROR(INDEX(PODACI_PRODAJA!G:G,MATCH($A376,PODACI_PRODAJA!$A:$A,0)),0)</f>
        <v>0</v>
      </c>
      <c r="Y376" s="23" t="n">
        <f aca="false">IFERROR(INDEX(PODACI_PRODAJA!H:H,MATCH($A376,PODACI_PRODAJA!$A:$A,0)),0)</f>
        <v>0</v>
      </c>
      <c r="Z376" s="23" t="n">
        <f aca="false">IFERROR(INDEX(PODACI_PRODAJA!I:I,MATCH($A376,PODACI_PRODAJA!$A:$A,0)),0)</f>
        <v>3</v>
      </c>
      <c r="AA376" s="23" t="n">
        <f aca="false">IFERROR(INDEX(PODACI_PRODAJA!J:J,MATCH($A376,PODACI_PRODAJA!$A:$A,0)),0)</f>
        <v>5</v>
      </c>
      <c r="AB376" s="23" t="n">
        <f aca="false">IFERROR(INDEX(PODACI_PRODAJA!K:K,MATCH($A376,PODACI_PRODAJA!$A:$A,0)),0)</f>
        <v>0</v>
      </c>
      <c r="AC376" s="23" t="n">
        <f aca="false">IFERROR(INDEX(PODACI_PRODAJA!L:L,MATCH($A376,PODACI_PRODAJA!$A:$A,0)),0)</f>
        <v>0</v>
      </c>
      <c r="AD376" s="23" t="n">
        <f aca="false">IFERROR(INDEX(PODACI_PRODAJA!M:M,MATCH($A376,PODACI_PRODAJA!$A:$A,0)),0)</f>
        <v>0</v>
      </c>
    </row>
    <row r="377" customFormat="false" ht="15" hidden="false" customHeight="false" outlineLevel="0" collapsed="false">
      <c r="A377" s="11" t="str">
        <f aca="false">PODACI_ZALIHE!A374</f>
        <v>18026</v>
      </c>
      <c r="B377" s="8" t="str">
        <f aca="false">PODACI_ZALIHE!B374</f>
        <v>MARBELLA 130 TUŠ VRATA 130-140X200CM</v>
      </c>
      <c r="C377" s="9" t="str">
        <f aca="false">PODACI_ZALIHE!C374</f>
        <v>6762</v>
      </c>
      <c r="D377" s="8" t="str">
        <f aca="false">PODACI_ZALIHE!D374</f>
        <v>ZHEJIANG QUICKLINE SHOWERING CO., LTD.</v>
      </c>
      <c r="E377" s="19" t="n">
        <f aca="false">IF(PODACI_ZALIHE!E374="","",PODACI_ZALIHE!E374)</f>
        <v>18</v>
      </c>
      <c r="F377" s="20" t="n">
        <f aca="false">PODACI_ZALIHE!F374</f>
        <v>16</v>
      </c>
      <c r="G377" s="19" t="n">
        <f aca="false">IF(E377="","",E377-F377)</f>
        <v>2</v>
      </c>
      <c r="H377" s="9" t="n">
        <f aca="false">PODACI_PRODAJA!N217</f>
        <v>2.63</v>
      </c>
      <c r="I377" s="21" t="n">
        <f aca="false">IF(H377&lt;=0,999,ROUND(F377/H377,1))</f>
        <v>6.1</v>
      </c>
      <c r="J377" s="9" t="n">
        <f aca="false">SUMIFS(ROBA_U_DOLASKU!$C$6:$C$95,ROBA_U_DOLASKU!$A$6:$A$95,A377,ROBA_U_DOLASKU!$H$6:$H$95,1)</f>
        <v>0</v>
      </c>
      <c r="K377" s="9" t="n">
        <f aca="false">SUMIFS(ROBA_U_DOLASKU!$B$6:$B$95,ROBA_U_DOLASKU!$A$6:$A$95,A377,ROBA_U_DOLASKU!$H$6:$H$95,1)</f>
        <v>0</v>
      </c>
      <c r="L377" s="9" t="n">
        <f aca="false">SUMIFS(ROBA_U_DOLASKU!$C$6:$C$95,ROBA_U_DOLASKU!$A$6:$A$95,A377,ROBA_U_DOLASKU!$H$6:$H$95,2)</f>
        <v>0</v>
      </c>
      <c r="M377" s="9" t="n">
        <f aca="false">SUMIFS(ROBA_U_DOLASKU!$B$6:$B$95,ROBA_U_DOLASKU!$A$6:$A$95,A377,ROBA_U_DOLASKU!$H$6:$H$95,2)</f>
        <v>0</v>
      </c>
      <c r="N377" s="9" t="n">
        <f aca="false">SUMIFS(ROBA_U_DOLASKU!$C$6:$C$95,ROBA_U_DOLASKU!$A$6:$A$95,A377,ROBA_U_DOLASKU!$H$6:$H$95,3)</f>
        <v>0</v>
      </c>
      <c r="O377" s="9" t="n">
        <f aca="false">SUMIFS(ROBA_U_DOLASKU!$B$6:$B$95,ROBA_U_DOLASKU!$A$6:$A$95,A377,ROBA_U_DOLASKU!$H$6:$H$95,3)</f>
        <v>0</v>
      </c>
      <c r="P377" s="9" t="n">
        <f aca="false">IF(H377&lt;=0,999,IF(O377&gt;0,ROUND((F377-H377*N377+K377+M377+O377)/H377,1),IF(M377&gt;0,ROUND((F377-H377*L377+K377+M377)/H377,1),IF(K377&gt;0,ROUND((F377-H377*J377+K377)/H377,1),I377))))</f>
        <v>6.1</v>
      </c>
      <c r="Q377" s="22" t="str">
        <f aca="false">IF(H377&lt;=0,"Nema prodaje",IF(AND(K377=0,M377=0,O377=0),IF(I377&lt;POSTAVKE!$B$6,"Naruči odmah","Sve u redu"),IF(F377-H377*J377&lt;0,"Rupa za ~"&amp;TEXT(I377,"0.0")&amp;" mj.",IF(AND(M377&gt;0,F377-H377*L377+K377&lt;0),"Rupa nakon 1. dolaska",IF(AND(O377&gt;0,F377-H377*N377+K377+M377&lt;0),"Rupa nakon 2. dolaska",IF(P377&lt;POSTAVKE!$B$6,"Količina nije dovoljna",IF(I377&gt;=POSTAVKE!$B$6,"Sve u redu","Stiže na vrijeme")))))))</f>
        <v>Sve u redu</v>
      </c>
      <c r="S377" s="23" t="n">
        <f aca="false">IFERROR(INDEX(PODACI_PRODAJA!B:B,MATCH($A377,PODACI_PRODAJA!$A:$A,0)),0)</f>
        <v>2</v>
      </c>
      <c r="T377" s="23" t="n">
        <f aca="false">IFERROR(INDEX(PODACI_PRODAJA!C:C,MATCH($A377,PODACI_PRODAJA!$A:$A,0)),0)</f>
        <v>0</v>
      </c>
      <c r="U377" s="23" t="n">
        <f aca="false">IFERROR(INDEX(PODACI_PRODAJA!D:D,MATCH($A377,PODACI_PRODAJA!$A:$A,0)),0)</f>
        <v>3</v>
      </c>
      <c r="V377" s="23" t="n">
        <f aca="false">IFERROR(INDEX(PODACI_PRODAJA!E:E,MATCH($A377,PODACI_PRODAJA!$A:$A,0)),0)</f>
        <v>7</v>
      </c>
      <c r="W377" s="23" t="n">
        <f aca="false">IFERROR(INDEX(PODACI_PRODAJA!F:F,MATCH($A377,PODACI_PRODAJA!$A:$A,0)),0)</f>
        <v>1</v>
      </c>
      <c r="X377" s="23" t="n">
        <f aca="false">IFERROR(INDEX(PODACI_PRODAJA!G:G,MATCH($A377,PODACI_PRODAJA!$A:$A,0)),0)</f>
        <v>7</v>
      </c>
      <c r="Y377" s="23" t="n">
        <f aca="false">IFERROR(INDEX(PODACI_PRODAJA!H:H,MATCH($A377,PODACI_PRODAJA!$A:$A,0)),0)</f>
        <v>1</v>
      </c>
      <c r="Z377" s="23" t="n">
        <f aca="false">IFERROR(INDEX(PODACI_PRODAJA!I:I,MATCH($A377,PODACI_PRODAJA!$A:$A,0)),0)</f>
        <v>0</v>
      </c>
      <c r="AA377" s="23" t="n">
        <f aca="false">IFERROR(INDEX(PODACI_PRODAJA!J:J,MATCH($A377,PODACI_PRODAJA!$A:$A,0)),0)</f>
        <v>1</v>
      </c>
      <c r="AB377" s="23" t="n">
        <f aca="false">IFERROR(INDEX(PODACI_PRODAJA!K:K,MATCH($A377,PODACI_PRODAJA!$A:$A,0)),0)</f>
        <v>0</v>
      </c>
      <c r="AC377" s="23" t="n">
        <f aca="false">IFERROR(INDEX(PODACI_PRODAJA!L:L,MATCH($A377,PODACI_PRODAJA!$A:$A,0)),0)</f>
        <v>0</v>
      </c>
      <c r="AD377" s="23" t="n">
        <f aca="false">IFERROR(INDEX(PODACI_PRODAJA!M:M,MATCH($A377,PODACI_PRODAJA!$A:$A,0)),0)</f>
        <v>0</v>
      </c>
    </row>
    <row r="378" customFormat="false" ht="15" hidden="false" customHeight="false" outlineLevel="0" collapsed="false">
      <c r="A378" s="11" t="str">
        <f aca="false">PODACI_ZALIHE!A375</f>
        <v>18560</v>
      </c>
      <c r="B378" s="8" t="str">
        <f aca="false">PODACI_ZALIHE!B375</f>
        <v>VETRO BRILLIANCE LINE CHROME 90 TUŠ STIJENA 90x200cm</v>
      </c>
      <c r="C378" s="9" t="str">
        <f aca="false">PODACI_ZALIHE!C375</f>
        <v>6762</v>
      </c>
      <c r="D378" s="8" t="str">
        <f aca="false">PODACI_ZALIHE!D375</f>
        <v>ZHEJIANG QUICKLINE SHOWERING CO., LTD.</v>
      </c>
      <c r="E378" s="19" t="n">
        <f aca="false">IF(PODACI_ZALIHE!E375="","",PODACI_ZALIHE!E375)</f>
        <v>16</v>
      </c>
      <c r="F378" s="20" t="n">
        <f aca="false">PODACI_ZALIHE!F375</f>
        <v>16</v>
      </c>
      <c r="G378" s="19" t="n">
        <f aca="false">IF(E378="","",E378-F378)</f>
        <v>0</v>
      </c>
      <c r="H378" s="9" t="n">
        <f aca="false">PODACI_PRODAJA!N671</f>
        <v>4.25</v>
      </c>
      <c r="I378" s="21" t="n">
        <f aca="false">IF(H378&lt;=0,999,ROUND(F378/H378,1))</f>
        <v>3.8</v>
      </c>
      <c r="J378" s="9" t="n">
        <f aca="false">SUMIFS(ROBA_U_DOLASKU!$C$6:$C$95,ROBA_U_DOLASKU!$A$6:$A$95,A378,ROBA_U_DOLASKU!$H$6:$H$95,1)</f>
        <v>1</v>
      </c>
      <c r="K378" s="9" t="n">
        <f aca="false">SUMIFS(ROBA_U_DOLASKU!$B$6:$B$95,ROBA_U_DOLASKU!$A$6:$A$95,A378,ROBA_U_DOLASKU!$H$6:$H$95,1)</f>
        <v>20</v>
      </c>
      <c r="L378" s="9" t="n">
        <f aca="false">SUMIFS(ROBA_U_DOLASKU!$C$6:$C$95,ROBA_U_DOLASKU!$A$6:$A$95,A378,ROBA_U_DOLASKU!$H$6:$H$95,2)</f>
        <v>0</v>
      </c>
      <c r="M378" s="9" t="n">
        <f aca="false">SUMIFS(ROBA_U_DOLASKU!$B$6:$B$95,ROBA_U_DOLASKU!$A$6:$A$95,A378,ROBA_U_DOLASKU!$H$6:$H$95,2)</f>
        <v>0</v>
      </c>
      <c r="N378" s="9" t="n">
        <f aca="false">SUMIFS(ROBA_U_DOLASKU!$C$6:$C$95,ROBA_U_DOLASKU!$A$6:$A$95,A378,ROBA_U_DOLASKU!$H$6:$H$95,3)</f>
        <v>0</v>
      </c>
      <c r="O378" s="9" t="n">
        <f aca="false">SUMIFS(ROBA_U_DOLASKU!$B$6:$B$95,ROBA_U_DOLASKU!$A$6:$A$95,A378,ROBA_U_DOLASKU!$H$6:$H$95,3)</f>
        <v>0</v>
      </c>
      <c r="P378" s="9" t="n">
        <f aca="false">IF(H378&lt;=0,999,IF(O378&gt;0,ROUND((F378-H378*N378+K378+M378+O378)/H378,1),IF(M378&gt;0,ROUND((F378-H378*L378+K378+M378)/H378,1),IF(K378&gt;0,ROUND((F378-H378*J378+K378)/H378,1),I378))))</f>
        <v>7.5</v>
      </c>
      <c r="Q378" s="22" t="str">
        <f aca="false">IF(H378&lt;=0,"Nema prodaje",IF(AND(K378=0,M378=0,O378=0),IF(I378&lt;POSTAVKE!$B$6,"Naruči odmah","Sve u redu"),IF(F378-H378*J378&lt;0,"Rupa za ~"&amp;TEXT(I378,"0.0")&amp;" mj.",IF(AND(M378&gt;0,F378-H378*L378+K378&lt;0),"Rupa nakon 1. dolaska",IF(AND(O378&gt;0,F378-H378*N378+K378+M378&lt;0),"Rupa nakon 2. dolaska",IF(P378&lt;POSTAVKE!$B$6,"Količina nije dovoljna",IF(I378&gt;=POSTAVKE!$B$6,"Sve u redu","Stiže na vrijeme")))))))</f>
        <v>Stiže na vrijeme</v>
      </c>
      <c r="S378" s="23" t="n">
        <f aca="false">IFERROR(INDEX(PODACI_PRODAJA!B:B,MATCH($A378,PODACI_PRODAJA!$A:$A,0)),0)</f>
        <v>0</v>
      </c>
      <c r="T378" s="23" t="n">
        <f aca="false">IFERROR(INDEX(PODACI_PRODAJA!C:C,MATCH($A378,PODACI_PRODAJA!$A:$A,0)),0)</f>
        <v>1</v>
      </c>
      <c r="U378" s="23" t="n">
        <f aca="false">IFERROR(INDEX(PODACI_PRODAJA!D:D,MATCH($A378,PODACI_PRODAJA!$A:$A,0)),0)</f>
        <v>11</v>
      </c>
      <c r="V378" s="23" t="n">
        <f aca="false">IFERROR(INDEX(PODACI_PRODAJA!E:E,MATCH($A378,PODACI_PRODAJA!$A:$A,0)),0)</f>
        <v>3</v>
      </c>
      <c r="W378" s="23" t="n">
        <f aca="false">IFERROR(INDEX(PODACI_PRODAJA!F:F,MATCH($A378,PODACI_PRODAJA!$A:$A,0)),0)</f>
        <v>4</v>
      </c>
      <c r="X378" s="23" t="n">
        <f aca="false">IFERROR(INDEX(PODACI_PRODAJA!G:G,MATCH($A378,PODACI_PRODAJA!$A:$A,0)),0)</f>
        <v>6</v>
      </c>
      <c r="Y378" s="23" t="n">
        <f aca="false">IFERROR(INDEX(PODACI_PRODAJA!H:H,MATCH($A378,PODACI_PRODAJA!$A:$A,0)),0)</f>
        <v>4</v>
      </c>
      <c r="Z378" s="23" t="n">
        <f aca="false">IFERROR(INDEX(PODACI_PRODAJA!I:I,MATCH($A378,PODACI_PRODAJA!$A:$A,0)),0)</f>
        <v>5</v>
      </c>
      <c r="AA378" s="23" t="n">
        <f aca="false">IFERROR(INDEX(PODACI_PRODAJA!J:J,MATCH($A378,PODACI_PRODAJA!$A:$A,0)),0)</f>
        <v>0</v>
      </c>
      <c r="AB378" s="23" t="n">
        <f aca="false">IFERROR(INDEX(PODACI_PRODAJA!K:K,MATCH($A378,PODACI_PRODAJA!$A:$A,0)),0)</f>
        <v>0</v>
      </c>
      <c r="AC378" s="23" t="n">
        <f aca="false">IFERROR(INDEX(PODACI_PRODAJA!L:L,MATCH($A378,PODACI_PRODAJA!$A:$A,0)),0)</f>
        <v>0</v>
      </c>
      <c r="AD378" s="23" t="n">
        <f aca="false">IFERROR(INDEX(PODACI_PRODAJA!M:M,MATCH($A378,PODACI_PRODAJA!$A:$A,0)),0)</f>
        <v>0</v>
      </c>
    </row>
    <row r="379" customFormat="false" ht="15" hidden="false" customHeight="false" outlineLevel="0" collapsed="false">
      <c r="A379" s="11" t="str">
        <f aca="false">PODACI_ZALIHE!A376</f>
        <v>037080</v>
      </c>
      <c r="B379" s="8" t="str">
        <f aca="false">PODACI_ZALIHE!B376</f>
        <v>VETRO BLACK 90 TUŠ STIJENA 90x200 cm</v>
      </c>
      <c r="C379" s="9" t="str">
        <f aca="false">PODACI_ZALIHE!C376</f>
        <v>4328</v>
      </c>
      <c r="D379" s="8" t="str">
        <f aca="false">PODACI_ZALIHE!D376</f>
        <v>HANGZHOU DUHUI IMPORT AND EXPORT CO.,LTD</v>
      </c>
      <c r="E379" s="19" t="n">
        <f aca="false">IF(PODACI_ZALIHE!E376="","",PODACI_ZALIHE!E376)</f>
        <v>15</v>
      </c>
      <c r="F379" s="20" t="n">
        <f aca="false">PODACI_ZALIHE!F376</f>
        <v>15</v>
      </c>
      <c r="G379" s="19" t="n">
        <f aca="false">IF(E379="","",E379-F379)</f>
        <v>0</v>
      </c>
      <c r="H379" s="9" t="n">
        <f aca="false">PODACI_PRODAJA!N97</f>
        <v>7.25</v>
      </c>
      <c r="I379" s="21" t="n">
        <f aca="false">IF(H379&lt;=0,999,ROUND(F379/H379,1))</f>
        <v>2.1</v>
      </c>
      <c r="J379" s="9" t="n">
        <f aca="false">SUMIFS(ROBA_U_DOLASKU!$C$6:$C$95,ROBA_U_DOLASKU!$A$6:$A$95,A379,ROBA_U_DOLASKU!$H$6:$H$95,1)</f>
        <v>1</v>
      </c>
      <c r="K379" s="9" t="n">
        <f aca="false">SUMIFS(ROBA_U_DOLASKU!$B$6:$B$95,ROBA_U_DOLASKU!$A$6:$A$95,A379,ROBA_U_DOLASKU!$H$6:$H$95,1)</f>
        <v>20</v>
      </c>
      <c r="L379" s="9" t="n">
        <f aca="false">SUMIFS(ROBA_U_DOLASKU!$C$6:$C$95,ROBA_U_DOLASKU!$A$6:$A$95,A379,ROBA_U_DOLASKU!$H$6:$H$95,2)</f>
        <v>0</v>
      </c>
      <c r="M379" s="9" t="n">
        <f aca="false">SUMIFS(ROBA_U_DOLASKU!$B$6:$B$95,ROBA_U_DOLASKU!$A$6:$A$95,A379,ROBA_U_DOLASKU!$H$6:$H$95,2)</f>
        <v>0</v>
      </c>
      <c r="N379" s="9" t="n">
        <f aca="false">SUMIFS(ROBA_U_DOLASKU!$C$6:$C$95,ROBA_U_DOLASKU!$A$6:$A$95,A379,ROBA_U_DOLASKU!$H$6:$H$95,3)</f>
        <v>0</v>
      </c>
      <c r="O379" s="9" t="n">
        <f aca="false">SUMIFS(ROBA_U_DOLASKU!$B$6:$B$95,ROBA_U_DOLASKU!$A$6:$A$95,A379,ROBA_U_DOLASKU!$H$6:$H$95,3)</f>
        <v>0</v>
      </c>
      <c r="P379" s="9" t="n">
        <f aca="false">IF(H379&lt;=0,999,IF(O379&gt;0,ROUND((F379-H379*N379+K379+M379+O379)/H379,1),IF(M379&gt;0,ROUND((F379-H379*L379+K379+M379)/H379,1),IF(K379&gt;0,ROUND((F379-H379*J379+K379)/H379,1),I379))))</f>
        <v>3.8</v>
      </c>
      <c r="Q379" s="22" t="str">
        <f aca="false">IF(H379&lt;=0,"Nema prodaje",IF(AND(K379=0,M379=0,O379=0),IF(I379&lt;POSTAVKE!$B$6,"Naruči odmah","Sve u redu"),IF(F379-H379*J379&lt;0,"Rupa za ~"&amp;TEXT(I379,"0.0")&amp;" mj.",IF(AND(M379&gt;0,F379-H379*L379+K379&lt;0),"Rupa nakon 1. dolaska",IF(AND(O379&gt;0,F379-H379*N379+K379+M379&lt;0),"Rupa nakon 2. dolaska",IF(P379&lt;POSTAVKE!$B$6,"Količina nije dovoljna",IF(I379&gt;=POSTAVKE!$B$6,"Sve u redu","Stiže na vrijeme")))))))</f>
        <v>Količina nije dovoljna</v>
      </c>
      <c r="S379" s="23" t="n">
        <f aca="false">IFERROR(INDEX(PODACI_PRODAJA!B:B,MATCH($A379,PODACI_PRODAJA!$A:$A,0)),0)</f>
        <v>6</v>
      </c>
      <c r="T379" s="23" t="n">
        <f aca="false">IFERROR(INDEX(PODACI_PRODAJA!C:C,MATCH($A379,PODACI_PRODAJA!$A:$A,0)),0)</f>
        <v>12</v>
      </c>
      <c r="U379" s="23" t="n">
        <f aca="false">IFERROR(INDEX(PODACI_PRODAJA!D:D,MATCH($A379,PODACI_PRODAJA!$A:$A,0)),0)</f>
        <v>3</v>
      </c>
      <c r="V379" s="23" t="n">
        <f aca="false">IFERROR(INDEX(PODACI_PRODAJA!E:E,MATCH($A379,PODACI_PRODAJA!$A:$A,0)),0)</f>
        <v>14</v>
      </c>
      <c r="W379" s="23" t="n">
        <f aca="false">IFERROR(INDEX(PODACI_PRODAJA!F:F,MATCH($A379,PODACI_PRODAJA!$A:$A,0)),0)</f>
        <v>10</v>
      </c>
      <c r="X379" s="23" t="n">
        <f aca="false">IFERROR(INDEX(PODACI_PRODAJA!G:G,MATCH($A379,PODACI_PRODAJA!$A:$A,0)),0)</f>
        <v>6</v>
      </c>
      <c r="Y379" s="23" t="n">
        <f aca="false">IFERROR(INDEX(PODACI_PRODAJA!H:H,MATCH($A379,PODACI_PRODAJA!$A:$A,0)),0)</f>
        <v>5</v>
      </c>
      <c r="Z379" s="23" t="n">
        <f aca="false">IFERROR(INDEX(PODACI_PRODAJA!I:I,MATCH($A379,PODACI_PRODAJA!$A:$A,0)),0)</f>
        <v>2</v>
      </c>
      <c r="AA379" s="23" t="n">
        <f aca="false">IFERROR(INDEX(PODACI_PRODAJA!J:J,MATCH($A379,PODACI_PRODAJA!$A:$A,0)),0)</f>
        <v>0</v>
      </c>
      <c r="AB379" s="23" t="n">
        <f aca="false">IFERROR(INDEX(PODACI_PRODAJA!K:K,MATCH($A379,PODACI_PRODAJA!$A:$A,0)),0)</f>
        <v>0</v>
      </c>
      <c r="AC379" s="23" t="n">
        <f aca="false">IFERROR(INDEX(PODACI_PRODAJA!L:L,MATCH($A379,PODACI_PRODAJA!$A:$A,0)),0)</f>
        <v>0</v>
      </c>
      <c r="AD379" s="23" t="n">
        <f aca="false">IFERROR(INDEX(PODACI_PRODAJA!M:M,MATCH($A379,PODACI_PRODAJA!$A:$A,0)),0)</f>
        <v>0</v>
      </c>
    </row>
    <row r="380" customFormat="false" ht="15" hidden="false" customHeight="false" outlineLevel="0" collapsed="false">
      <c r="A380" s="11" t="str">
        <f aca="false">PODACI_ZALIHE!A377</f>
        <v>060652Y</v>
      </c>
      <c r="B380" s="8" t="str">
        <f aca="false">PODACI_ZALIHE!B377</f>
        <v>TK EVORA PK 80 POLUKRUŽNA TUŠ KABINA 80x80x160 cm</v>
      </c>
      <c r="C380" s="9" t="str">
        <f aca="false">PODACI_ZALIHE!C377</f>
        <v>5590</v>
      </c>
      <c r="D380" s="8" t="str">
        <f aca="false">PODACI_ZALIHE!D377</f>
        <v>PINGHU YINUO SANITARY WARE CO.,LTD</v>
      </c>
      <c r="E380" s="19" t="n">
        <f aca="false">IF(PODACI_ZALIHE!E377="","",PODACI_ZALIHE!E377)</f>
        <v>16</v>
      </c>
      <c r="F380" s="20" t="n">
        <f aca="false">PODACI_ZALIHE!F377</f>
        <v>15</v>
      </c>
      <c r="G380" s="19" t="n">
        <f aca="false">IF(E380="","",E380-F380)</f>
        <v>1</v>
      </c>
      <c r="H380" s="9" t="n">
        <f aca="false">PODACI_PRODAJA!N444</f>
        <v>0.63</v>
      </c>
      <c r="I380" s="21" t="n">
        <f aca="false">IF(H380&lt;=0,999,ROUND(F380/H380,1))</f>
        <v>23.8</v>
      </c>
      <c r="J380" s="9" t="n">
        <f aca="false">SUMIFS(ROBA_U_DOLASKU!$C$6:$C$95,ROBA_U_DOLASKU!$A$6:$A$95,A380,ROBA_U_DOLASKU!$H$6:$H$95,1)</f>
        <v>0</v>
      </c>
      <c r="K380" s="9" t="n">
        <f aca="false">SUMIFS(ROBA_U_DOLASKU!$B$6:$B$95,ROBA_U_DOLASKU!$A$6:$A$95,A380,ROBA_U_DOLASKU!$H$6:$H$95,1)</f>
        <v>0</v>
      </c>
      <c r="L380" s="9" t="n">
        <f aca="false">SUMIFS(ROBA_U_DOLASKU!$C$6:$C$95,ROBA_U_DOLASKU!$A$6:$A$95,A380,ROBA_U_DOLASKU!$H$6:$H$95,2)</f>
        <v>0</v>
      </c>
      <c r="M380" s="9" t="n">
        <f aca="false">SUMIFS(ROBA_U_DOLASKU!$B$6:$B$95,ROBA_U_DOLASKU!$A$6:$A$95,A380,ROBA_U_DOLASKU!$H$6:$H$95,2)</f>
        <v>0</v>
      </c>
      <c r="N380" s="9" t="n">
        <f aca="false">SUMIFS(ROBA_U_DOLASKU!$C$6:$C$95,ROBA_U_DOLASKU!$A$6:$A$95,A380,ROBA_U_DOLASKU!$H$6:$H$95,3)</f>
        <v>0</v>
      </c>
      <c r="O380" s="9" t="n">
        <f aca="false">SUMIFS(ROBA_U_DOLASKU!$B$6:$B$95,ROBA_U_DOLASKU!$A$6:$A$95,A380,ROBA_U_DOLASKU!$H$6:$H$95,3)</f>
        <v>0</v>
      </c>
      <c r="P380" s="9" t="n">
        <f aca="false">IF(H380&lt;=0,999,IF(O380&gt;0,ROUND((F380-H380*N380+K380+M380+O380)/H380,1),IF(M380&gt;0,ROUND((F380-H380*L380+K380+M380)/H380,1),IF(K380&gt;0,ROUND((F380-H380*J380+K380)/H380,1),I380))))</f>
        <v>23.8</v>
      </c>
      <c r="Q380" s="22" t="str">
        <f aca="false">IF(H380&lt;=0,"Nema prodaje",IF(AND(K380=0,M380=0,O380=0),IF(I380&lt;POSTAVKE!$B$6,"Naruči odmah","Sve u redu"),IF(F380-H380*J380&lt;0,"Rupa za ~"&amp;TEXT(I380,"0.0")&amp;" mj.",IF(AND(M380&gt;0,F380-H380*L380+K380&lt;0),"Rupa nakon 1. dolaska",IF(AND(O380&gt;0,F380-H380*N380+K380+M380&lt;0),"Rupa nakon 2. dolaska",IF(P380&lt;POSTAVKE!$B$6,"Količina nije dovoljna",IF(I380&gt;=POSTAVKE!$B$6,"Sve u redu","Stiže na vrijeme")))))))</f>
        <v>Sve u redu</v>
      </c>
      <c r="S380" s="23" t="n">
        <f aca="false">IFERROR(INDEX(PODACI_PRODAJA!B:B,MATCH($A380,PODACI_PRODAJA!$A:$A,0)),0)</f>
        <v>0</v>
      </c>
      <c r="T380" s="23" t="n">
        <f aca="false">IFERROR(INDEX(PODACI_PRODAJA!C:C,MATCH($A380,PODACI_PRODAJA!$A:$A,0)),0)</f>
        <v>2</v>
      </c>
      <c r="U380" s="23" t="n">
        <f aca="false">IFERROR(INDEX(PODACI_PRODAJA!D:D,MATCH($A380,PODACI_PRODAJA!$A:$A,0)),0)</f>
        <v>3</v>
      </c>
      <c r="V380" s="23" t="n">
        <f aca="false">IFERROR(INDEX(PODACI_PRODAJA!E:E,MATCH($A380,PODACI_PRODAJA!$A:$A,0)),0)</f>
        <v>0</v>
      </c>
      <c r="W380" s="23" t="n">
        <f aca="false">IFERROR(INDEX(PODACI_PRODAJA!F:F,MATCH($A380,PODACI_PRODAJA!$A:$A,0)),0)</f>
        <v>0</v>
      </c>
      <c r="X380" s="23" t="n">
        <f aca="false">IFERROR(INDEX(PODACI_PRODAJA!G:G,MATCH($A380,PODACI_PRODAJA!$A:$A,0)),0)</f>
        <v>0</v>
      </c>
      <c r="Y380" s="23" t="n">
        <f aca="false">IFERROR(INDEX(PODACI_PRODAJA!H:H,MATCH($A380,PODACI_PRODAJA!$A:$A,0)),0)</f>
        <v>0</v>
      </c>
      <c r="Z380" s="23" t="n">
        <f aca="false">IFERROR(INDEX(PODACI_PRODAJA!I:I,MATCH($A380,PODACI_PRODAJA!$A:$A,0)),0)</f>
        <v>0</v>
      </c>
      <c r="AA380" s="23" t="n">
        <f aca="false">IFERROR(INDEX(PODACI_PRODAJA!J:J,MATCH($A380,PODACI_PRODAJA!$A:$A,0)),0)</f>
        <v>0</v>
      </c>
      <c r="AB380" s="23" t="n">
        <f aca="false">IFERROR(INDEX(PODACI_PRODAJA!K:K,MATCH($A380,PODACI_PRODAJA!$A:$A,0)),0)</f>
        <v>0</v>
      </c>
      <c r="AC380" s="23" t="n">
        <f aca="false">IFERROR(INDEX(PODACI_PRODAJA!L:L,MATCH($A380,PODACI_PRODAJA!$A:$A,0)),0)</f>
        <v>0</v>
      </c>
      <c r="AD380" s="23" t="n">
        <f aca="false">IFERROR(INDEX(PODACI_PRODAJA!M:M,MATCH($A380,PODACI_PRODAJA!$A:$A,0)),0)</f>
        <v>0</v>
      </c>
    </row>
    <row r="381" customFormat="false" ht="15" hidden="false" customHeight="false" outlineLevel="0" collapsed="false">
      <c r="A381" s="11" t="str">
        <f aca="false">PODACI_ZALIHE!A378</f>
        <v>15224</v>
      </c>
      <c r="B381" s="8" t="str">
        <f aca="false">PODACI_ZALIHE!B378</f>
        <v>TK BLACK 90 KVADRATNA TUŠ KABINA 90x90x195 cm</v>
      </c>
      <c r="C381" s="9" t="str">
        <f aca="false">PODACI_ZALIHE!C378</f>
        <v>4981</v>
      </c>
      <c r="D381" s="8" t="str">
        <f aca="false">PODACI_ZALIHE!D378</f>
        <v>HANGZHOU SUNLIGHT TRADE CO., LTD.</v>
      </c>
      <c r="E381" s="19" t="n">
        <f aca="false">IF(PODACI_ZALIHE!E378="","",PODACI_ZALIHE!E378)</f>
        <v>15</v>
      </c>
      <c r="F381" s="20" t="n">
        <f aca="false">PODACI_ZALIHE!F378</f>
        <v>15</v>
      </c>
      <c r="G381" s="19" t="n">
        <f aca="false">IF(E381="","",E381-F381)</f>
        <v>0</v>
      </c>
      <c r="H381" s="9" t="n">
        <f aca="false">PODACI_PRODAJA!N60</f>
        <v>14.13</v>
      </c>
      <c r="I381" s="21" t="n">
        <f aca="false">IF(H381&lt;=0,999,ROUND(F381/H381,1))</f>
        <v>1.1</v>
      </c>
      <c r="J381" s="9" t="n">
        <f aca="false">SUMIFS(ROBA_U_DOLASKU!$C$6:$C$95,ROBA_U_DOLASKU!$A$6:$A$95,A381,ROBA_U_DOLASKU!$H$6:$H$95,1)</f>
        <v>0</v>
      </c>
      <c r="K381" s="9" t="n">
        <f aca="false">SUMIFS(ROBA_U_DOLASKU!$B$6:$B$95,ROBA_U_DOLASKU!$A$6:$A$95,A381,ROBA_U_DOLASKU!$H$6:$H$95,1)</f>
        <v>0</v>
      </c>
      <c r="L381" s="9" t="n">
        <f aca="false">SUMIFS(ROBA_U_DOLASKU!$C$6:$C$95,ROBA_U_DOLASKU!$A$6:$A$95,A381,ROBA_U_DOLASKU!$H$6:$H$95,2)</f>
        <v>0</v>
      </c>
      <c r="M381" s="9" t="n">
        <f aca="false">SUMIFS(ROBA_U_DOLASKU!$B$6:$B$95,ROBA_U_DOLASKU!$A$6:$A$95,A381,ROBA_U_DOLASKU!$H$6:$H$95,2)</f>
        <v>0</v>
      </c>
      <c r="N381" s="9" t="n">
        <f aca="false">SUMIFS(ROBA_U_DOLASKU!$C$6:$C$95,ROBA_U_DOLASKU!$A$6:$A$95,A381,ROBA_U_DOLASKU!$H$6:$H$95,3)</f>
        <v>0</v>
      </c>
      <c r="O381" s="9" t="n">
        <f aca="false">SUMIFS(ROBA_U_DOLASKU!$B$6:$B$95,ROBA_U_DOLASKU!$A$6:$A$95,A381,ROBA_U_DOLASKU!$H$6:$H$95,3)</f>
        <v>0</v>
      </c>
      <c r="P381" s="9" t="n">
        <f aca="false">IF(H381&lt;=0,999,IF(O381&gt;0,ROUND((F381-H381*N381+K381+M381+O381)/H381,1),IF(M381&gt;0,ROUND((F381-H381*L381+K381+M381)/H381,1),IF(K381&gt;0,ROUND((F381-H381*J381+K381)/H381,1),I381))))</f>
        <v>1.1</v>
      </c>
      <c r="Q381" s="22" t="str">
        <f aca="false">IF(H381&lt;=0,"Nema prodaje",IF(AND(K381=0,M381=0,O381=0),IF(I381&lt;POSTAVKE!$B$6,"Naruči odmah","Sve u redu"),IF(F381-H381*J381&lt;0,"Rupa za ~"&amp;TEXT(I381,"0.0")&amp;" mj.",IF(AND(M381&gt;0,F381-H381*L381+K381&lt;0),"Rupa nakon 1. dolaska",IF(AND(O381&gt;0,F381-H381*N381+K381+M381&lt;0),"Rupa nakon 2. dolaska",IF(P381&lt;POSTAVKE!$B$6,"Količina nije dovoljna",IF(I381&gt;=POSTAVKE!$B$6,"Sve u redu","Stiže na vrijeme")))))))</f>
        <v>Naruči odmah</v>
      </c>
      <c r="S381" s="23" t="n">
        <f aca="false">IFERROR(INDEX(PODACI_PRODAJA!B:B,MATCH($A381,PODACI_PRODAJA!$A:$A,0)),0)</f>
        <v>13</v>
      </c>
      <c r="T381" s="23" t="n">
        <f aca="false">IFERROR(INDEX(PODACI_PRODAJA!C:C,MATCH($A381,PODACI_PRODAJA!$A:$A,0)),0)</f>
        <v>10</v>
      </c>
      <c r="U381" s="23" t="n">
        <f aca="false">IFERROR(INDEX(PODACI_PRODAJA!D:D,MATCH($A381,PODACI_PRODAJA!$A:$A,0)),0)</f>
        <v>19</v>
      </c>
      <c r="V381" s="23" t="n">
        <f aca="false">IFERROR(INDEX(PODACI_PRODAJA!E:E,MATCH($A381,PODACI_PRODAJA!$A:$A,0)),0)</f>
        <v>25</v>
      </c>
      <c r="W381" s="23" t="n">
        <f aca="false">IFERROR(INDEX(PODACI_PRODAJA!F:F,MATCH($A381,PODACI_PRODAJA!$A:$A,0)),0)</f>
        <v>13</v>
      </c>
      <c r="X381" s="23" t="n">
        <f aca="false">IFERROR(INDEX(PODACI_PRODAJA!G:G,MATCH($A381,PODACI_PRODAJA!$A:$A,0)),0)</f>
        <v>8</v>
      </c>
      <c r="Y381" s="23" t="n">
        <f aca="false">IFERROR(INDEX(PODACI_PRODAJA!H:H,MATCH($A381,PODACI_PRODAJA!$A:$A,0)),0)</f>
        <v>11</v>
      </c>
      <c r="Z381" s="23" t="n">
        <f aca="false">IFERROR(INDEX(PODACI_PRODAJA!I:I,MATCH($A381,PODACI_PRODAJA!$A:$A,0)),0)</f>
        <v>14</v>
      </c>
      <c r="AA381" s="23" t="n">
        <f aca="false">IFERROR(INDEX(PODACI_PRODAJA!J:J,MATCH($A381,PODACI_PRODAJA!$A:$A,0)),0)</f>
        <v>0</v>
      </c>
      <c r="AB381" s="23" t="n">
        <f aca="false">IFERROR(INDEX(PODACI_PRODAJA!K:K,MATCH($A381,PODACI_PRODAJA!$A:$A,0)),0)</f>
        <v>0</v>
      </c>
      <c r="AC381" s="23" t="n">
        <f aca="false">IFERROR(INDEX(PODACI_PRODAJA!L:L,MATCH($A381,PODACI_PRODAJA!$A:$A,0)),0)</f>
        <v>0</v>
      </c>
      <c r="AD381" s="23" t="n">
        <f aca="false">IFERROR(INDEX(PODACI_PRODAJA!M:M,MATCH($A381,PODACI_PRODAJA!$A:$A,0)),0)</f>
        <v>0</v>
      </c>
    </row>
    <row r="382" customFormat="false" ht="15" hidden="false" customHeight="false" outlineLevel="0" collapsed="false">
      <c r="A382" s="11" t="str">
        <f aca="false">PODACI_ZALIHE!A379</f>
        <v>16096</v>
      </c>
      <c r="B382" s="8" t="str">
        <f aca="false">PODACI_ZALIHE!B379</f>
        <v>VETRO BLACK TRS 90 TUŠ STIJENA 90x200 cm</v>
      </c>
      <c r="C382" s="9" t="str">
        <f aca="false">PODACI_ZALIHE!C379</f>
        <v>4328</v>
      </c>
      <c r="D382" s="8" t="str">
        <f aca="false">PODACI_ZALIHE!D379</f>
        <v>HANGZHOU DUHUI IMPORT AND EXPORT CO.,LTD</v>
      </c>
      <c r="E382" s="19" t="n">
        <f aca="false">IF(PODACI_ZALIHE!E379="","",PODACI_ZALIHE!E379)</f>
        <v>15</v>
      </c>
      <c r="F382" s="20" t="n">
        <f aca="false">PODACI_ZALIHE!F379</f>
        <v>15</v>
      </c>
      <c r="G382" s="19" t="n">
        <f aca="false">IF(E382="","",E382-F382)</f>
        <v>0</v>
      </c>
      <c r="H382" s="9" t="n">
        <f aca="false">PODACI_PRODAJA!N196</f>
        <v>1.88</v>
      </c>
      <c r="I382" s="21" t="n">
        <f aca="false">IF(H382&lt;=0,999,ROUND(F382/H382,1))</f>
        <v>8</v>
      </c>
      <c r="J382" s="9" t="n">
        <f aca="false">SUMIFS(ROBA_U_DOLASKU!$C$6:$C$95,ROBA_U_DOLASKU!$A$6:$A$95,A382,ROBA_U_DOLASKU!$H$6:$H$95,1)</f>
        <v>0</v>
      </c>
      <c r="K382" s="9" t="n">
        <f aca="false">SUMIFS(ROBA_U_DOLASKU!$B$6:$B$95,ROBA_U_DOLASKU!$A$6:$A$95,A382,ROBA_U_DOLASKU!$H$6:$H$95,1)</f>
        <v>0</v>
      </c>
      <c r="L382" s="9" t="n">
        <f aca="false">SUMIFS(ROBA_U_DOLASKU!$C$6:$C$95,ROBA_U_DOLASKU!$A$6:$A$95,A382,ROBA_U_DOLASKU!$H$6:$H$95,2)</f>
        <v>0</v>
      </c>
      <c r="M382" s="9" t="n">
        <f aca="false">SUMIFS(ROBA_U_DOLASKU!$B$6:$B$95,ROBA_U_DOLASKU!$A$6:$A$95,A382,ROBA_U_DOLASKU!$H$6:$H$95,2)</f>
        <v>0</v>
      </c>
      <c r="N382" s="9" t="n">
        <f aca="false">SUMIFS(ROBA_U_DOLASKU!$C$6:$C$95,ROBA_U_DOLASKU!$A$6:$A$95,A382,ROBA_U_DOLASKU!$H$6:$H$95,3)</f>
        <v>0</v>
      </c>
      <c r="O382" s="9" t="n">
        <f aca="false">SUMIFS(ROBA_U_DOLASKU!$B$6:$B$95,ROBA_U_DOLASKU!$A$6:$A$95,A382,ROBA_U_DOLASKU!$H$6:$H$95,3)</f>
        <v>0</v>
      </c>
      <c r="P382" s="9" t="n">
        <f aca="false">IF(H382&lt;=0,999,IF(O382&gt;0,ROUND((F382-H382*N382+K382+M382+O382)/H382,1),IF(M382&gt;0,ROUND((F382-H382*L382+K382+M382)/H382,1),IF(K382&gt;0,ROUND((F382-H382*J382+K382)/H382,1),I382))))</f>
        <v>8</v>
      </c>
      <c r="Q382" s="22" t="str">
        <f aca="false">IF(H382&lt;=0,"Nema prodaje",IF(AND(K382=0,M382=0,O382=0),IF(I382&lt;POSTAVKE!$B$6,"Naruči odmah","Sve u redu"),IF(F382-H382*J382&lt;0,"Rupa za ~"&amp;TEXT(I382,"0.0")&amp;" mj.",IF(AND(M382&gt;0,F382-H382*L382+K382&lt;0),"Rupa nakon 1. dolaska",IF(AND(O382&gt;0,F382-H382*N382+K382+M382&lt;0),"Rupa nakon 2. dolaska",IF(P382&lt;POSTAVKE!$B$6,"Količina nije dovoljna",IF(I382&gt;=POSTAVKE!$B$6,"Sve u redu","Stiže na vrijeme")))))))</f>
        <v>Sve u redu</v>
      </c>
      <c r="S382" s="23" t="n">
        <f aca="false">IFERROR(INDEX(PODACI_PRODAJA!B:B,MATCH($A382,PODACI_PRODAJA!$A:$A,0)),0)</f>
        <v>2</v>
      </c>
      <c r="T382" s="23" t="n">
        <f aca="false">IFERROR(INDEX(PODACI_PRODAJA!C:C,MATCH($A382,PODACI_PRODAJA!$A:$A,0)),0)</f>
        <v>3</v>
      </c>
      <c r="U382" s="23" t="n">
        <f aca="false">IFERROR(INDEX(PODACI_PRODAJA!D:D,MATCH($A382,PODACI_PRODAJA!$A:$A,0)),0)</f>
        <v>4</v>
      </c>
      <c r="V382" s="23" t="n">
        <f aca="false">IFERROR(INDEX(PODACI_PRODAJA!E:E,MATCH($A382,PODACI_PRODAJA!$A:$A,0)),0)</f>
        <v>2</v>
      </c>
      <c r="W382" s="23" t="n">
        <f aca="false">IFERROR(INDEX(PODACI_PRODAJA!F:F,MATCH($A382,PODACI_PRODAJA!$A:$A,0)),0)</f>
        <v>1</v>
      </c>
      <c r="X382" s="23" t="n">
        <f aca="false">IFERROR(INDEX(PODACI_PRODAJA!G:G,MATCH($A382,PODACI_PRODAJA!$A:$A,0)),0)</f>
        <v>1</v>
      </c>
      <c r="Y382" s="23" t="n">
        <f aca="false">IFERROR(INDEX(PODACI_PRODAJA!H:H,MATCH($A382,PODACI_PRODAJA!$A:$A,0)),0)</f>
        <v>0</v>
      </c>
      <c r="Z382" s="23" t="n">
        <f aca="false">IFERROR(INDEX(PODACI_PRODAJA!I:I,MATCH($A382,PODACI_PRODAJA!$A:$A,0)),0)</f>
        <v>2</v>
      </c>
      <c r="AA382" s="23" t="n">
        <f aca="false">IFERROR(INDEX(PODACI_PRODAJA!J:J,MATCH($A382,PODACI_PRODAJA!$A:$A,0)),0)</f>
        <v>0</v>
      </c>
      <c r="AB382" s="23" t="n">
        <f aca="false">IFERROR(INDEX(PODACI_PRODAJA!K:K,MATCH($A382,PODACI_PRODAJA!$A:$A,0)),0)</f>
        <v>0</v>
      </c>
      <c r="AC382" s="23" t="n">
        <f aca="false">IFERROR(INDEX(PODACI_PRODAJA!L:L,MATCH($A382,PODACI_PRODAJA!$A:$A,0)),0)</f>
        <v>0</v>
      </c>
      <c r="AD382" s="23" t="n">
        <f aca="false">IFERROR(INDEX(PODACI_PRODAJA!M:M,MATCH($A382,PODACI_PRODAJA!$A:$A,0)),0)</f>
        <v>0</v>
      </c>
    </row>
    <row r="383" customFormat="false" ht="15" hidden="false" customHeight="false" outlineLevel="0" collapsed="false">
      <c r="A383" s="11" t="str">
        <f aca="false">PODACI_ZALIHE!A380</f>
        <v>16097</v>
      </c>
      <c r="B383" s="8" t="str">
        <f aca="false">PODACI_ZALIHE!B380</f>
        <v>VETRO BLACK TRS 100 TUŠ STIJENA 100x200 cm</v>
      </c>
      <c r="C383" s="9" t="str">
        <f aca="false">PODACI_ZALIHE!C380</f>
        <v>6762</v>
      </c>
      <c r="D383" s="8" t="str">
        <f aca="false">PODACI_ZALIHE!D380</f>
        <v>ZHEJIANG QUICKLINE SHOWERING CO., LTD.</v>
      </c>
      <c r="E383" s="19" t="n">
        <f aca="false">IF(PODACI_ZALIHE!E380="","",PODACI_ZALIHE!E380)</f>
        <v>15</v>
      </c>
      <c r="F383" s="20" t="n">
        <f aca="false">PODACI_ZALIHE!F380</f>
        <v>15</v>
      </c>
      <c r="G383" s="19" t="n">
        <f aca="false">IF(E383="","",E383-F383)</f>
        <v>0</v>
      </c>
      <c r="H383" s="9" t="n">
        <f aca="false">PODACI_PRODAJA!N251</f>
        <v>1.63</v>
      </c>
      <c r="I383" s="21" t="n">
        <f aca="false">IF(H383&lt;=0,999,ROUND(F383/H383,1))</f>
        <v>9.2</v>
      </c>
      <c r="J383" s="9" t="n">
        <f aca="false">SUMIFS(ROBA_U_DOLASKU!$C$6:$C$95,ROBA_U_DOLASKU!$A$6:$A$95,A383,ROBA_U_DOLASKU!$H$6:$H$95,1)</f>
        <v>0</v>
      </c>
      <c r="K383" s="9" t="n">
        <f aca="false">SUMIFS(ROBA_U_DOLASKU!$B$6:$B$95,ROBA_U_DOLASKU!$A$6:$A$95,A383,ROBA_U_DOLASKU!$H$6:$H$95,1)</f>
        <v>0</v>
      </c>
      <c r="L383" s="9" t="n">
        <f aca="false">SUMIFS(ROBA_U_DOLASKU!$C$6:$C$95,ROBA_U_DOLASKU!$A$6:$A$95,A383,ROBA_U_DOLASKU!$H$6:$H$95,2)</f>
        <v>0</v>
      </c>
      <c r="M383" s="9" t="n">
        <f aca="false">SUMIFS(ROBA_U_DOLASKU!$B$6:$B$95,ROBA_U_DOLASKU!$A$6:$A$95,A383,ROBA_U_DOLASKU!$H$6:$H$95,2)</f>
        <v>0</v>
      </c>
      <c r="N383" s="9" t="n">
        <f aca="false">SUMIFS(ROBA_U_DOLASKU!$C$6:$C$95,ROBA_U_DOLASKU!$A$6:$A$95,A383,ROBA_U_DOLASKU!$H$6:$H$95,3)</f>
        <v>0</v>
      </c>
      <c r="O383" s="9" t="n">
        <f aca="false">SUMIFS(ROBA_U_DOLASKU!$B$6:$B$95,ROBA_U_DOLASKU!$A$6:$A$95,A383,ROBA_U_DOLASKU!$H$6:$H$95,3)</f>
        <v>0</v>
      </c>
      <c r="P383" s="9" t="n">
        <f aca="false">IF(H383&lt;=0,999,IF(O383&gt;0,ROUND((F383-H383*N383+K383+M383+O383)/H383,1),IF(M383&gt;0,ROUND((F383-H383*L383+K383+M383)/H383,1),IF(K383&gt;0,ROUND((F383-H383*J383+K383)/H383,1),I383))))</f>
        <v>9.2</v>
      </c>
      <c r="Q383" s="22" t="str">
        <f aca="false">IF(H383&lt;=0,"Nema prodaje",IF(AND(K383=0,M383=0,O383=0),IF(I383&lt;POSTAVKE!$B$6,"Naruči odmah","Sve u redu"),IF(F383-H383*J383&lt;0,"Rupa za ~"&amp;TEXT(I383,"0.0")&amp;" mj.",IF(AND(M383&gt;0,F383-H383*L383+K383&lt;0),"Rupa nakon 1. dolaska",IF(AND(O383&gt;0,F383-H383*N383+K383+M383&lt;0),"Rupa nakon 2. dolaska",IF(P383&lt;POSTAVKE!$B$6,"Količina nije dovoljna",IF(I383&gt;=POSTAVKE!$B$6,"Sve u redu","Stiže na vrijeme")))))))</f>
        <v>Sve u redu</v>
      </c>
      <c r="S383" s="23" t="n">
        <f aca="false">IFERROR(INDEX(PODACI_PRODAJA!B:B,MATCH($A383,PODACI_PRODAJA!$A:$A,0)),0)</f>
        <v>1</v>
      </c>
      <c r="T383" s="23" t="n">
        <f aca="false">IFERROR(INDEX(PODACI_PRODAJA!C:C,MATCH($A383,PODACI_PRODAJA!$A:$A,0)),0)</f>
        <v>2</v>
      </c>
      <c r="U383" s="23" t="n">
        <f aca="false">IFERROR(INDEX(PODACI_PRODAJA!D:D,MATCH($A383,PODACI_PRODAJA!$A:$A,0)),0)</f>
        <v>2</v>
      </c>
      <c r="V383" s="23" t="n">
        <f aca="false">IFERROR(INDEX(PODACI_PRODAJA!E:E,MATCH($A383,PODACI_PRODAJA!$A:$A,0)),0)</f>
        <v>1</v>
      </c>
      <c r="W383" s="23" t="n">
        <f aca="false">IFERROR(INDEX(PODACI_PRODAJA!F:F,MATCH($A383,PODACI_PRODAJA!$A:$A,0)),0)</f>
        <v>0</v>
      </c>
      <c r="X383" s="23" t="n">
        <f aca="false">IFERROR(INDEX(PODACI_PRODAJA!G:G,MATCH($A383,PODACI_PRODAJA!$A:$A,0)),0)</f>
        <v>1</v>
      </c>
      <c r="Y383" s="23" t="n">
        <f aca="false">IFERROR(INDEX(PODACI_PRODAJA!H:H,MATCH($A383,PODACI_PRODAJA!$A:$A,0)),0)</f>
        <v>2</v>
      </c>
      <c r="Z383" s="23" t="n">
        <f aca="false">IFERROR(INDEX(PODACI_PRODAJA!I:I,MATCH($A383,PODACI_PRODAJA!$A:$A,0)),0)</f>
        <v>4</v>
      </c>
      <c r="AA383" s="23" t="n">
        <f aca="false">IFERROR(INDEX(PODACI_PRODAJA!J:J,MATCH($A383,PODACI_PRODAJA!$A:$A,0)),0)</f>
        <v>0</v>
      </c>
      <c r="AB383" s="23" t="n">
        <f aca="false">IFERROR(INDEX(PODACI_PRODAJA!K:K,MATCH($A383,PODACI_PRODAJA!$A:$A,0)),0)</f>
        <v>0</v>
      </c>
      <c r="AC383" s="23" t="n">
        <f aca="false">IFERROR(INDEX(PODACI_PRODAJA!L:L,MATCH($A383,PODACI_PRODAJA!$A:$A,0)),0)</f>
        <v>0</v>
      </c>
      <c r="AD383" s="23" t="n">
        <f aca="false">IFERROR(INDEX(PODACI_PRODAJA!M:M,MATCH($A383,PODACI_PRODAJA!$A:$A,0)),0)</f>
        <v>0</v>
      </c>
    </row>
    <row r="384" customFormat="false" ht="15" hidden="false" customHeight="false" outlineLevel="0" collapsed="false">
      <c r="A384" s="11" t="str">
        <f aca="false">PODACI_ZALIHE!A381</f>
        <v>16099</v>
      </c>
      <c r="B384" s="8" t="str">
        <f aca="false">PODACI_ZALIHE!B381</f>
        <v>VETRO BLACK TRS 120 TUŠ STIJENA 120x200 cm</v>
      </c>
      <c r="C384" s="9" t="str">
        <f aca="false">PODACI_ZALIHE!C381</f>
        <v>6762</v>
      </c>
      <c r="D384" s="8" t="str">
        <f aca="false">PODACI_ZALIHE!D381</f>
        <v>ZHEJIANG QUICKLINE SHOWERING CO., LTD.</v>
      </c>
      <c r="E384" s="19" t="n">
        <f aca="false">IF(PODACI_ZALIHE!E381="","",PODACI_ZALIHE!E381)</f>
        <v>15</v>
      </c>
      <c r="F384" s="20" t="n">
        <f aca="false">PODACI_ZALIHE!F381</f>
        <v>15</v>
      </c>
      <c r="G384" s="19" t="n">
        <f aca="false">IF(E384="","",E384-F384)</f>
        <v>0</v>
      </c>
      <c r="H384" s="9" t="n">
        <f aca="false">PODACI_PRODAJA!N562</f>
        <v>2.75</v>
      </c>
      <c r="I384" s="21" t="n">
        <f aca="false">IF(H384&lt;=0,999,ROUND(F384/H384,1))</f>
        <v>5.5</v>
      </c>
      <c r="J384" s="9" t="n">
        <f aca="false">SUMIFS(ROBA_U_DOLASKU!$C$6:$C$95,ROBA_U_DOLASKU!$A$6:$A$95,A384,ROBA_U_DOLASKU!$H$6:$H$95,1)</f>
        <v>0</v>
      </c>
      <c r="K384" s="9" t="n">
        <f aca="false">SUMIFS(ROBA_U_DOLASKU!$B$6:$B$95,ROBA_U_DOLASKU!$A$6:$A$95,A384,ROBA_U_DOLASKU!$H$6:$H$95,1)</f>
        <v>0</v>
      </c>
      <c r="L384" s="9" t="n">
        <f aca="false">SUMIFS(ROBA_U_DOLASKU!$C$6:$C$95,ROBA_U_DOLASKU!$A$6:$A$95,A384,ROBA_U_DOLASKU!$H$6:$H$95,2)</f>
        <v>0</v>
      </c>
      <c r="M384" s="9" t="n">
        <f aca="false">SUMIFS(ROBA_U_DOLASKU!$B$6:$B$95,ROBA_U_DOLASKU!$A$6:$A$95,A384,ROBA_U_DOLASKU!$H$6:$H$95,2)</f>
        <v>0</v>
      </c>
      <c r="N384" s="9" t="n">
        <f aca="false">SUMIFS(ROBA_U_DOLASKU!$C$6:$C$95,ROBA_U_DOLASKU!$A$6:$A$95,A384,ROBA_U_DOLASKU!$H$6:$H$95,3)</f>
        <v>0</v>
      </c>
      <c r="O384" s="9" t="n">
        <f aca="false">SUMIFS(ROBA_U_DOLASKU!$B$6:$B$95,ROBA_U_DOLASKU!$A$6:$A$95,A384,ROBA_U_DOLASKU!$H$6:$H$95,3)</f>
        <v>0</v>
      </c>
      <c r="P384" s="9" t="n">
        <f aca="false">IF(H384&lt;=0,999,IF(O384&gt;0,ROUND((F384-H384*N384+K384+M384+O384)/H384,1),IF(M384&gt;0,ROUND((F384-H384*L384+K384+M384)/H384,1),IF(K384&gt;0,ROUND((F384-H384*J384+K384)/H384,1),I384))))</f>
        <v>5.5</v>
      </c>
      <c r="Q384" s="22" t="str">
        <f aca="false">IF(H384&lt;=0,"Nema prodaje",IF(AND(K384=0,M384=0,O384=0),IF(I384&lt;POSTAVKE!$B$6,"Naruči odmah","Sve u redu"),IF(F384-H384*J384&lt;0,"Rupa za ~"&amp;TEXT(I384,"0.0")&amp;" mj.",IF(AND(M384&gt;0,F384-H384*L384+K384&lt;0),"Rupa nakon 1. dolaska",IF(AND(O384&gt;0,F384-H384*N384+K384+M384&lt;0),"Rupa nakon 2. dolaska",IF(P384&lt;POSTAVKE!$B$6,"Količina nije dovoljna",IF(I384&gt;=POSTAVKE!$B$6,"Sve u redu","Stiže na vrijeme")))))))</f>
        <v>Sve u redu</v>
      </c>
      <c r="S384" s="23" t="n">
        <f aca="false">IFERROR(INDEX(PODACI_PRODAJA!B:B,MATCH($A384,PODACI_PRODAJA!$A:$A,0)),0)</f>
        <v>0</v>
      </c>
      <c r="T384" s="23" t="n">
        <f aca="false">IFERROR(INDEX(PODACI_PRODAJA!C:C,MATCH($A384,PODACI_PRODAJA!$A:$A,0)),0)</f>
        <v>3</v>
      </c>
      <c r="U384" s="23" t="n">
        <f aca="false">IFERROR(INDEX(PODACI_PRODAJA!D:D,MATCH($A384,PODACI_PRODAJA!$A:$A,0)),0)</f>
        <v>4</v>
      </c>
      <c r="V384" s="23" t="n">
        <f aca="false">IFERROR(INDEX(PODACI_PRODAJA!E:E,MATCH($A384,PODACI_PRODAJA!$A:$A,0)),0)</f>
        <v>8</v>
      </c>
      <c r="W384" s="23" t="n">
        <f aca="false">IFERROR(INDEX(PODACI_PRODAJA!F:F,MATCH($A384,PODACI_PRODAJA!$A:$A,0)),0)</f>
        <v>1</v>
      </c>
      <c r="X384" s="23" t="n">
        <f aca="false">IFERROR(INDEX(PODACI_PRODAJA!G:G,MATCH($A384,PODACI_PRODAJA!$A:$A,0)),0)</f>
        <v>1</v>
      </c>
      <c r="Y384" s="23" t="n">
        <f aca="false">IFERROR(INDEX(PODACI_PRODAJA!H:H,MATCH($A384,PODACI_PRODAJA!$A:$A,0)),0)</f>
        <v>2</v>
      </c>
      <c r="Z384" s="23" t="n">
        <f aca="false">IFERROR(INDEX(PODACI_PRODAJA!I:I,MATCH($A384,PODACI_PRODAJA!$A:$A,0)),0)</f>
        <v>3</v>
      </c>
      <c r="AA384" s="23" t="n">
        <f aca="false">IFERROR(INDEX(PODACI_PRODAJA!J:J,MATCH($A384,PODACI_PRODAJA!$A:$A,0)),0)</f>
        <v>0</v>
      </c>
      <c r="AB384" s="23" t="n">
        <f aca="false">IFERROR(INDEX(PODACI_PRODAJA!K:K,MATCH($A384,PODACI_PRODAJA!$A:$A,0)),0)</f>
        <v>0</v>
      </c>
      <c r="AC384" s="23" t="n">
        <f aca="false">IFERROR(INDEX(PODACI_PRODAJA!L:L,MATCH($A384,PODACI_PRODAJA!$A:$A,0)),0)</f>
        <v>0</v>
      </c>
      <c r="AD384" s="23" t="n">
        <f aca="false">IFERROR(INDEX(PODACI_PRODAJA!M:M,MATCH($A384,PODACI_PRODAJA!$A:$A,0)),0)</f>
        <v>0</v>
      </c>
    </row>
    <row r="385" customFormat="false" ht="15" hidden="false" customHeight="false" outlineLevel="0" collapsed="false">
      <c r="A385" s="11" t="str">
        <f aca="false">PODACI_ZALIHE!A382</f>
        <v>16858</v>
      </c>
      <c r="B385" s="8" t="str">
        <f aca="false">PODACI_ZALIHE!B382</f>
        <v>MONDO BLACK VISEĆI BIDE 490x370x320 mm</v>
      </c>
      <c r="C385" s="9" t="str">
        <f aca="false">PODACI_ZALIHE!C382</f>
        <v>6376</v>
      </c>
      <c r="D385" s="8" t="str">
        <f aca="false">PODACI_ZALIHE!D382</f>
        <v>CHAOZHOU CHAOAN YALAIER CERAMICS CO.,LTD</v>
      </c>
      <c r="E385" s="19" t="n">
        <f aca="false">IF(PODACI_ZALIHE!E382="","",PODACI_ZALIHE!E382)</f>
        <v>15</v>
      </c>
      <c r="F385" s="20" t="n">
        <f aca="false">PODACI_ZALIHE!F382</f>
        <v>15</v>
      </c>
      <c r="G385" s="19" t="n">
        <f aca="false">IF(E385="","",E385-F385)</f>
        <v>0</v>
      </c>
      <c r="H385" s="9" t="n">
        <v>0</v>
      </c>
      <c r="I385" s="21" t="n">
        <f aca="false">IF(H385&lt;=0,999,ROUND(F385/H385,1))</f>
        <v>999</v>
      </c>
      <c r="J385" s="9" t="n">
        <f aca="false">SUMIFS(ROBA_U_DOLASKU!$C$6:$C$95,ROBA_U_DOLASKU!$A$6:$A$95,A385,ROBA_U_DOLASKU!$H$6:$H$95,1)</f>
        <v>0</v>
      </c>
      <c r="K385" s="9" t="n">
        <f aca="false">SUMIFS(ROBA_U_DOLASKU!$B$6:$B$95,ROBA_U_DOLASKU!$A$6:$A$95,A385,ROBA_U_DOLASKU!$H$6:$H$95,1)</f>
        <v>0</v>
      </c>
      <c r="L385" s="9" t="n">
        <f aca="false">SUMIFS(ROBA_U_DOLASKU!$C$6:$C$95,ROBA_U_DOLASKU!$A$6:$A$95,A385,ROBA_U_DOLASKU!$H$6:$H$95,2)</f>
        <v>0</v>
      </c>
      <c r="M385" s="9" t="n">
        <f aca="false">SUMIFS(ROBA_U_DOLASKU!$B$6:$B$95,ROBA_U_DOLASKU!$A$6:$A$95,A385,ROBA_U_DOLASKU!$H$6:$H$95,2)</f>
        <v>0</v>
      </c>
      <c r="N385" s="9" t="n">
        <f aca="false">SUMIFS(ROBA_U_DOLASKU!$C$6:$C$95,ROBA_U_DOLASKU!$A$6:$A$95,A385,ROBA_U_DOLASKU!$H$6:$H$95,3)</f>
        <v>0</v>
      </c>
      <c r="O385" s="9" t="n">
        <f aca="false">SUMIFS(ROBA_U_DOLASKU!$B$6:$B$95,ROBA_U_DOLASKU!$A$6:$A$95,A385,ROBA_U_DOLASKU!$H$6:$H$95,3)</f>
        <v>0</v>
      </c>
      <c r="P385" s="9" t="n">
        <f aca="false">IF(H385&lt;=0,999,IF(O385&gt;0,ROUND((F385-H385*N385+K385+M385+O385)/H385,1),IF(M385&gt;0,ROUND((F385-H385*L385+K385+M385)/H385,1),IF(K385&gt;0,ROUND((F385-H385*J385+K385)/H385,1),I385))))</f>
        <v>999</v>
      </c>
      <c r="Q385" s="22" t="str">
        <f aca="false">IF(H385&lt;=0,"Nema prodaje",IF(AND(K385=0,M385=0,O385=0),IF(I385&lt;POSTAVKE!$B$6,"Naruči odmah","Sve u redu"),IF(F385-H385*J385&lt;0,"Rupa za ~"&amp;TEXT(I385,"0.0")&amp;" mj.",IF(AND(M385&gt;0,F385-H385*L385+K385&lt;0),"Rupa nakon 1. dolaska",IF(AND(O385&gt;0,F385-H385*N385+K385+M385&lt;0),"Rupa nakon 2. dolaska",IF(P385&lt;POSTAVKE!$B$6,"Količina nije dovoljna",IF(I385&gt;=POSTAVKE!$B$6,"Sve u redu","Stiže na vrijeme")))))))</f>
        <v>Nema prodaje</v>
      </c>
      <c r="S385" s="23" t="n">
        <f aca="false">IFERROR(INDEX(PODACI_PRODAJA!B:B,MATCH($A385,PODACI_PRODAJA!$A:$A,0)),0)</f>
        <v>0</v>
      </c>
      <c r="T385" s="23" t="n">
        <f aca="false">IFERROR(INDEX(PODACI_PRODAJA!C:C,MATCH($A385,PODACI_PRODAJA!$A:$A,0)),0)</f>
        <v>0</v>
      </c>
      <c r="U385" s="23" t="n">
        <f aca="false">IFERROR(INDEX(PODACI_PRODAJA!D:D,MATCH($A385,PODACI_PRODAJA!$A:$A,0)),0)</f>
        <v>0</v>
      </c>
      <c r="V385" s="23" t="n">
        <f aca="false">IFERROR(INDEX(PODACI_PRODAJA!E:E,MATCH($A385,PODACI_PRODAJA!$A:$A,0)),0)</f>
        <v>0</v>
      </c>
      <c r="W385" s="23" t="n">
        <f aca="false">IFERROR(INDEX(PODACI_PRODAJA!F:F,MATCH($A385,PODACI_PRODAJA!$A:$A,0)),0)</f>
        <v>0</v>
      </c>
      <c r="X385" s="23" t="n">
        <f aca="false">IFERROR(INDEX(PODACI_PRODAJA!G:G,MATCH($A385,PODACI_PRODAJA!$A:$A,0)),0)</f>
        <v>0</v>
      </c>
      <c r="Y385" s="23" t="n">
        <f aca="false">IFERROR(INDEX(PODACI_PRODAJA!H:H,MATCH($A385,PODACI_PRODAJA!$A:$A,0)),0)</f>
        <v>0</v>
      </c>
      <c r="Z385" s="23" t="n">
        <f aca="false">IFERROR(INDEX(PODACI_PRODAJA!I:I,MATCH($A385,PODACI_PRODAJA!$A:$A,0)),0)</f>
        <v>0</v>
      </c>
      <c r="AA385" s="23" t="n">
        <f aca="false">IFERROR(INDEX(PODACI_PRODAJA!J:J,MATCH($A385,PODACI_PRODAJA!$A:$A,0)),0)</f>
        <v>0</v>
      </c>
      <c r="AB385" s="23" t="n">
        <f aca="false">IFERROR(INDEX(PODACI_PRODAJA!K:K,MATCH($A385,PODACI_PRODAJA!$A:$A,0)),0)</f>
        <v>0</v>
      </c>
      <c r="AC385" s="23" t="n">
        <f aca="false">IFERROR(INDEX(PODACI_PRODAJA!L:L,MATCH($A385,PODACI_PRODAJA!$A:$A,0)),0)</f>
        <v>0</v>
      </c>
      <c r="AD385" s="23" t="n">
        <f aca="false">IFERROR(INDEX(PODACI_PRODAJA!M:M,MATCH($A385,PODACI_PRODAJA!$A:$A,0)),0)</f>
        <v>0</v>
      </c>
    </row>
    <row r="386" customFormat="false" ht="15" hidden="false" customHeight="false" outlineLevel="0" collapsed="false">
      <c r="A386" s="11" t="str">
        <f aca="false">PODACI_ZALIHE!A383</f>
        <v>17263</v>
      </c>
      <c r="B386" s="8" t="str">
        <f aca="false">PODACI_ZALIHE!B383</f>
        <v>S PARLA SIDE 80 CHROME 80X195 cm STAKLENA STRANICA</v>
      </c>
      <c r="C386" s="9" t="str">
        <f aca="false">PODACI_ZALIHE!C383</f>
        <v>6762</v>
      </c>
      <c r="D386" s="8" t="str">
        <f aca="false">PODACI_ZALIHE!D383</f>
        <v>ZHEJIANG QUICKLINE SHOWERING CO., LTD.</v>
      </c>
      <c r="E386" s="19" t="n">
        <f aca="false">IF(PODACI_ZALIHE!E383="","",PODACI_ZALIHE!E383)</f>
        <v>15</v>
      </c>
      <c r="F386" s="20" t="n">
        <f aca="false">PODACI_ZALIHE!F383</f>
        <v>15</v>
      </c>
      <c r="G386" s="19" t="n">
        <f aca="false">IF(E386="","",E386-F386)</f>
        <v>0</v>
      </c>
      <c r="H386" s="9" t="n">
        <f aca="false">PODACI_PRODAJA!N635</f>
        <v>2.13</v>
      </c>
      <c r="I386" s="21" t="n">
        <f aca="false">IF(H386&lt;=0,999,ROUND(F386/H386,1))</f>
        <v>7</v>
      </c>
      <c r="J386" s="9" t="n">
        <f aca="false">SUMIFS(ROBA_U_DOLASKU!$C$6:$C$95,ROBA_U_DOLASKU!$A$6:$A$95,A386,ROBA_U_DOLASKU!$H$6:$H$95,1)</f>
        <v>0</v>
      </c>
      <c r="K386" s="9" t="n">
        <f aca="false">SUMIFS(ROBA_U_DOLASKU!$B$6:$B$95,ROBA_U_DOLASKU!$A$6:$A$95,A386,ROBA_U_DOLASKU!$H$6:$H$95,1)</f>
        <v>0</v>
      </c>
      <c r="L386" s="9" t="n">
        <f aca="false">SUMIFS(ROBA_U_DOLASKU!$C$6:$C$95,ROBA_U_DOLASKU!$A$6:$A$95,A386,ROBA_U_DOLASKU!$H$6:$H$95,2)</f>
        <v>0</v>
      </c>
      <c r="M386" s="9" t="n">
        <f aca="false">SUMIFS(ROBA_U_DOLASKU!$B$6:$B$95,ROBA_U_DOLASKU!$A$6:$A$95,A386,ROBA_U_DOLASKU!$H$6:$H$95,2)</f>
        <v>0</v>
      </c>
      <c r="N386" s="9" t="n">
        <f aca="false">SUMIFS(ROBA_U_DOLASKU!$C$6:$C$95,ROBA_U_DOLASKU!$A$6:$A$95,A386,ROBA_U_DOLASKU!$H$6:$H$95,3)</f>
        <v>0</v>
      </c>
      <c r="O386" s="9" t="n">
        <f aca="false">SUMIFS(ROBA_U_DOLASKU!$B$6:$B$95,ROBA_U_DOLASKU!$A$6:$A$95,A386,ROBA_U_DOLASKU!$H$6:$H$95,3)</f>
        <v>0</v>
      </c>
      <c r="P386" s="9" t="n">
        <f aca="false">IF(H386&lt;=0,999,IF(O386&gt;0,ROUND((F386-H386*N386+K386+M386+O386)/H386,1),IF(M386&gt;0,ROUND((F386-H386*L386+K386+M386)/H386,1),IF(K386&gt;0,ROUND((F386-H386*J386+K386)/H386,1),I386))))</f>
        <v>7</v>
      </c>
      <c r="Q386" s="22" t="str">
        <f aca="false">IF(H386&lt;=0,"Nema prodaje",IF(AND(K386=0,M386=0,O386=0),IF(I386&lt;POSTAVKE!$B$6,"Naruči odmah","Sve u redu"),IF(F386-H386*J386&lt;0,"Rupa za ~"&amp;TEXT(I386,"0.0")&amp;" mj.",IF(AND(M386&gt;0,F386-H386*L386+K386&lt;0),"Rupa nakon 1. dolaska",IF(AND(O386&gt;0,F386-H386*N386+K386+M386&lt;0),"Rupa nakon 2. dolaska",IF(P386&lt;POSTAVKE!$B$6,"Količina nije dovoljna",IF(I386&gt;=POSTAVKE!$B$6,"Sve u redu","Stiže na vrijeme")))))))</f>
        <v>Sve u redu</v>
      </c>
      <c r="S386" s="23" t="n">
        <f aca="false">IFERROR(INDEX(PODACI_PRODAJA!B:B,MATCH($A386,PODACI_PRODAJA!$A:$A,0)),0)</f>
        <v>0</v>
      </c>
      <c r="T386" s="23" t="n">
        <f aca="false">IFERROR(INDEX(PODACI_PRODAJA!C:C,MATCH($A386,PODACI_PRODAJA!$A:$A,0)),0)</f>
        <v>1</v>
      </c>
      <c r="U386" s="23" t="n">
        <f aca="false">IFERROR(INDEX(PODACI_PRODAJA!D:D,MATCH($A386,PODACI_PRODAJA!$A:$A,0)),0)</f>
        <v>1</v>
      </c>
      <c r="V386" s="23" t="n">
        <f aca="false">IFERROR(INDEX(PODACI_PRODAJA!E:E,MATCH($A386,PODACI_PRODAJA!$A:$A,0)),0)</f>
        <v>5</v>
      </c>
      <c r="W386" s="23" t="n">
        <f aca="false">IFERROR(INDEX(PODACI_PRODAJA!F:F,MATCH($A386,PODACI_PRODAJA!$A:$A,0)),0)</f>
        <v>1</v>
      </c>
      <c r="X386" s="23" t="n">
        <f aca="false">IFERROR(INDEX(PODACI_PRODAJA!G:G,MATCH($A386,PODACI_PRODAJA!$A:$A,0)),0)</f>
        <v>3</v>
      </c>
      <c r="Y386" s="23" t="n">
        <f aca="false">IFERROR(INDEX(PODACI_PRODAJA!H:H,MATCH($A386,PODACI_PRODAJA!$A:$A,0)),0)</f>
        <v>0</v>
      </c>
      <c r="Z386" s="23" t="n">
        <f aca="false">IFERROR(INDEX(PODACI_PRODAJA!I:I,MATCH($A386,PODACI_PRODAJA!$A:$A,0)),0)</f>
        <v>6</v>
      </c>
      <c r="AA386" s="23" t="n">
        <f aca="false">IFERROR(INDEX(PODACI_PRODAJA!J:J,MATCH($A386,PODACI_PRODAJA!$A:$A,0)),0)</f>
        <v>0</v>
      </c>
      <c r="AB386" s="23" t="n">
        <f aca="false">IFERROR(INDEX(PODACI_PRODAJA!K:K,MATCH($A386,PODACI_PRODAJA!$A:$A,0)),0)</f>
        <v>0</v>
      </c>
      <c r="AC386" s="23" t="n">
        <f aca="false">IFERROR(INDEX(PODACI_PRODAJA!L:L,MATCH($A386,PODACI_PRODAJA!$A:$A,0)),0)</f>
        <v>0</v>
      </c>
      <c r="AD386" s="23" t="n">
        <f aca="false">IFERROR(INDEX(PODACI_PRODAJA!M:M,MATCH($A386,PODACI_PRODAJA!$A:$A,0)),0)</f>
        <v>0</v>
      </c>
    </row>
    <row r="387" customFormat="false" ht="15" hidden="false" customHeight="false" outlineLevel="0" collapsed="false">
      <c r="A387" s="11" t="str">
        <f aca="false">PODACI_ZALIHE!A384</f>
        <v>17264</v>
      </c>
      <c r="B387" s="8" t="str">
        <f aca="false">PODACI_ZALIHE!B384</f>
        <v>S PARLA SIDE 90 CHROME 90X195 cm STAKLENA STRANICA</v>
      </c>
      <c r="C387" s="9" t="str">
        <f aca="false">PODACI_ZALIHE!C384</f>
        <v>6762</v>
      </c>
      <c r="D387" s="8" t="str">
        <f aca="false">PODACI_ZALIHE!D384</f>
        <v>ZHEJIANG QUICKLINE SHOWERING CO., LTD.</v>
      </c>
      <c r="E387" s="19" t="n">
        <f aca="false">IF(PODACI_ZALIHE!E384="","",PODACI_ZALIHE!E384)</f>
        <v>15</v>
      </c>
      <c r="F387" s="20" t="n">
        <f aca="false">PODACI_ZALIHE!F384</f>
        <v>15</v>
      </c>
      <c r="G387" s="19" t="n">
        <f aca="false">IF(E387="","",E387-F387)</f>
        <v>0</v>
      </c>
      <c r="H387" s="9" t="n">
        <f aca="false">PODACI_PRODAJA!N216</f>
        <v>1.5</v>
      </c>
      <c r="I387" s="21" t="n">
        <f aca="false">IF(H387&lt;=0,999,ROUND(F387/H387,1))</f>
        <v>10</v>
      </c>
      <c r="J387" s="9" t="n">
        <f aca="false">SUMIFS(ROBA_U_DOLASKU!$C$6:$C$95,ROBA_U_DOLASKU!$A$6:$A$95,A387,ROBA_U_DOLASKU!$H$6:$H$95,1)</f>
        <v>0</v>
      </c>
      <c r="K387" s="9" t="n">
        <f aca="false">SUMIFS(ROBA_U_DOLASKU!$B$6:$B$95,ROBA_U_DOLASKU!$A$6:$A$95,A387,ROBA_U_DOLASKU!$H$6:$H$95,1)</f>
        <v>0</v>
      </c>
      <c r="L387" s="9" t="n">
        <f aca="false">SUMIFS(ROBA_U_DOLASKU!$C$6:$C$95,ROBA_U_DOLASKU!$A$6:$A$95,A387,ROBA_U_DOLASKU!$H$6:$H$95,2)</f>
        <v>0</v>
      </c>
      <c r="M387" s="9" t="n">
        <f aca="false">SUMIFS(ROBA_U_DOLASKU!$B$6:$B$95,ROBA_U_DOLASKU!$A$6:$A$95,A387,ROBA_U_DOLASKU!$H$6:$H$95,2)</f>
        <v>0</v>
      </c>
      <c r="N387" s="9" t="n">
        <f aca="false">SUMIFS(ROBA_U_DOLASKU!$C$6:$C$95,ROBA_U_DOLASKU!$A$6:$A$95,A387,ROBA_U_DOLASKU!$H$6:$H$95,3)</f>
        <v>0</v>
      </c>
      <c r="O387" s="9" t="n">
        <f aca="false">SUMIFS(ROBA_U_DOLASKU!$B$6:$B$95,ROBA_U_DOLASKU!$A$6:$A$95,A387,ROBA_U_DOLASKU!$H$6:$H$95,3)</f>
        <v>0</v>
      </c>
      <c r="P387" s="9" t="n">
        <f aca="false">IF(H387&lt;=0,999,IF(O387&gt;0,ROUND((F387-H387*N387+K387+M387+O387)/H387,1),IF(M387&gt;0,ROUND((F387-H387*L387+K387+M387)/H387,1),IF(K387&gt;0,ROUND((F387-H387*J387+K387)/H387,1),I387))))</f>
        <v>10</v>
      </c>
      <c r="Q387" s="22" t="str">
        <f aca="false">IF(H387&lt;=0,"Nema prodaje",IF(AND(K387=0,M387=0,O387=0),IF(I387&lt;POSTAVKE!$B$6,"Naruči odmah","Sve u redu"),IF(F387-H387*J387&lt;0,"Rupa za ~"&amp;TEXT(I387,"0.0")&amp;" mj.",IF(AND(M387&gt;0,F387-H387*L387+K387&lt;0),"Rupa nakon 1. dolaska",IF(AND(O387&gt;0,F387-H387*N387+K387+M387&lt;0),"Rupa nakon 2. dolaska",IF(P387&lt;POSTAVKE!$B$6,"Količina nije dovoljna",IF(I387&gt;=POSTAVKE!$B$6,"Sve u redu","Stiže na vrijeme")))))))</f>
        <v>Sve u redu</v>
      </c>
      <c r="S387" s="23" t="n">
        <f aca="false">IFERROR(INDEX(PODACI_PRODAJA!B:B,MATCH($A387,PODACI_PRODAJA!$A:$A,0)),0)</f>
        <v>2</v>
      </c>
      <c r="T387" s="23" t="n">
        <f aca="false">IFERROR(INDEX(PODACI_PRODAJA!C:C,MATCH($A387,PODACI_PRODAJA!$A:$A,0)),0)</f>
        <v>0</v>
      </c>
      <c r="U387" s="23" t="n">
        <f aca="false">IFERROR(INDEX(PODACI_PRODAJA!D:D,MATCH($A387,PODACI_PRODAJA!$A:$A,0)),0)</f>
        <v>2</v>
      </c>
      <c r="V387" s="23" t="n">
        <f aca="false">IFERROR(INDEX(PODACI_PRODAJA!E:E,MATCH($A387,PODACI_PRODAJA!$A:$A,0)),0)</f>
        <v>0</v>
      </c>
      <c r="W387" s="23" t="n">
        <f aca="false">IFERROR(INDEX(PODACI_PRODAJA!F:F,MATCH($A387,PODACI_PRODAJA!$A:$A,0)),0)</f>
        <v>0</v>
      </c>
      <c r="X387" s="23" t="n">
        <f aca="false">IFERROR(INDEX(PODACI_PRODAJA!G:G,MATCH($A387,PODACI_PRODAJA!$A:$A,0)),0)</f>
        <v>4</v>
      </c>
      <c r="Y387" s="23" t="n">
        <f aca="false">IFERROR(INDEX(PODACI_PRODAJA!H:H,MATCH($A387,PODACI_PRODAJA!$A:$A,0)),0)</f>
        <v>0</v>
      </c>
      <c r="Z387" s="23" t="n">
        <f aca="false">IFERROR(INDEX(PODACI_PRODAJA!I:I,MATCH($A387,PODACI_PRODAJA!$A:$A,0)),0)</f>
        <v>4</v>
      </c>
      <c r="AA387" s="23" t="n">
        <f aca="false">IFERROR(INDEX(PODACI_PRODAJA!J:J,MATCH($A387,PODACI_PRODAJA!$A:$A,0)),0)</f>
        <v>0</v>
      </c>
      <c r="AB387" s="23" t="n">
        <f aca="false">IFERROR(INDEX(PODACI_PRODAJA!K:K,MATCH($A387,PODACI_PRODAJA!$A:$A,0)),0)</f>
        <v>0</v>
      </c>
      <c r="AC387" s="23" t="n">
        <f aca="false">IFERROR(INDEX(PODACI_PRODAJA!L:L,MATCH($A387,PODACI_PRODAJA!$A:$A,0)),0)</f>
        <v>0</v>
      </c>
      <c r="AD387" s="23" t="n">
        <f aca="false">IFERROR(INDEX(PODACI_PRODAJA!M:M,MATCH($A387,PODACI_PRODAJA!$A:$A,0)),0)</f>
        <v>0</v>
      </c>
    </row>
    <row r="388" customFormat="false" ht="15" hidden="false" customHeight="false" outlineLevel="0" collapsed="false">
      <c r="A388" s="11" t="str">
        <f aca="false">PODACI_ZALIHE!A385</f>
        <v>18027</v>
      </c>
      <c r="B388" s="8" t="str">
        <f aca="false">PODACI_ZALIHE!B385</f>
        <v>MARBELLA 140 TUŠ VRATA 140-150X200CM</v>
      </c>
      <c r="C388" s="9" t="str">
        <f aca="false">PODACI_ZALIHE!C385</f>
        <v>6762</v>
      </c>
      <c r="D388" s="8" t="str">
        <f aca="false">PODACI_ZALIHE!D385</f>
        <v>ZHEJIANG QUICKLINE SHOWERING CO., LTD.</v>
      </c>
      <c r="E388" s="19" t="n">
        <f aca="false">IF(PODACI_ZALIHE!E385="","",PODACI_ZALIHE!E385)</f>
        <v>16</v>
      </c>
      <c r="F388" s="20" t="n">
        <f aca="false">PODACI_ZALIHE!F385</f>
        <v>15</v>
      </c>
      <c r="G388" s="19" t="n">
        <f aca="false">IF(E388="","",E388-F388)</f>
        <v>1</v>
      </c>
      <c r="H388" s="9" t="n">
        <f aca="false">PODACI_PRODAJA!N283</f>
        <v>1.13</v>
      </c>
      <c r="I388" s="21" t="n">
        <f aca="false">IF(H388&lt;=0,999,ROUND(F388/H388,1))</f>
        <v>13.3</v>
      </c>
      <c r="J388" s="9" t="n">
        <f aca="false">SUMIFS(ROBA_U_DOLASKU!$C$6:$C$95,ROBA_U_DOLASKU!$A$6:$A$95,A388,ROBA_U_DOLASKU!$H$6:$H$95,1)</f>
        <v>0.8</v>
      </c>
      <c r="K388" s="9" t="n">
        <f aca="false">SUMIFS(ROBA_U_DOLASKU!$B$6:$B$95,ROBA_U_DOLASKU!$A$6:$A$95,A388,ROBA_U_DOLASKU!$H$6:$H$95,1)</f>
        <v>20</v>
      </c>
      <c r="L388" s="9" t="n">
        <f aca="false">SUMIFS(ROBA_U_DOLASKU!$C$6:$C$95,ROBA_U_DOLASKU!$A$6:$A$95,A388,ROBA_U_DOLASKU!$H$6:$H$95,2)</f>
        <v>0</v>
      </c>
      <c r="M388" s="9" t="n">
        <f aca="false">SUMIFS(ROBA_U_DOLASKU!$B$6:$B$95,ROBA_U_DOLASKU!$A$6:$A$95,A388,ROBA_U_DOLASKU!$H$6:$H$95,2)</f>
        <v>0</v>
      </c>
      <c r="N388" s="9" t="n">
        <f aca="false">SUMIFS(ROBA_U_DOLASKU!$C$6:$C$95,ROBA_U_DOLASKU!$A$6:$A$95,A388,ROBA_U_DOLASKU!$H$6:$H$95,3)</f>
        <v>0</v>
      </c>
      <c r="O388" s="9" t="n">
        <f aca="false">SUMIFS(ROBA_U_DOLASKU!$B$6:$B$95,ROBA_U_DOLASKU!$A$6:$A$95,A388,ROBA_U_DOLASKU!$H$6:$H$95,3)</f>
        <v>0</v>
      </c>
      <c r="P388" s="9" t="n">
        <f aca="false">IF(H388&lt;=0,999,IF(O388&gt;0,ROUND((F388-H388*N388+K388+M388+O388)/H388,1),IF(M388&gt;0,ROUND((F388-H388*L388+K388+M388)/H388,1),IF(K388&gt;0,ROUND((F388-H388*J388+K388)/H388,1),I388))))</f>
        <v>30.2</v>
      </c>
      <c r="Q388" s="22" t="str">
        <f aca="false">IF(H388&lt;=0,"Nema prodaje",IF(AND(K388=0,M388=0,O388=0),IF(I388&lt;POSTAVKE!$B$6,"Naruči odmah","Sve u redu"),IF(F388-H388*J388&lt;0,"Rupa za ~"&amp;TEXT(I388,"0.0")&amp;" mj.",IF(AND(M388&gt;0,F388-H388*L388+K388&lt;0),"Rupa nakon 1. dolaska",IF(AND(O388&gt;0,F388-H388*N388+K388+M388&lt;0),"Rupa nakon 2. dolaska",IF(P388&lt;POSTAVKE!$B$6,"Količina nije dovoljna",IF(I388&gt;=POSTAVKE!$B$6,"Sve u redu","Stiže na vrijeme")))))))</f>
        <v>Sve u redu</v>
      </c>
      <c r="S388" s="23" t="n">
        <f aca="false">IFERROR(INDEX(PODACI_PRODAJA!B:B,MATCH($A388,PODACI_PRODAJA!$A:$A,0)),0)</f>
        <v>1</v>
      </c>
      <c r="T388" s="23" t="n">
        <f aca="false">IFERROR(INDEX(PODACI_PRODAJA!C:C,MATCH($A388,PODACI_PRODAJA!$A:$A,0)),0)</f>
        <v>1</v>
      </c>
      <c r="U388" s="23" t="n">
        <f aca="false">IFERROR(INDEX(PODACI_PRODAJA!D:D,MATCH($A388,PODACI_PRODAJA!$A:$A,0)),0)</f>
        <v>1</v>
      </c>
      <c r="V388" s="23" t="n">
        <f aca="false">IFERROR(INDEX(PODACI_PRODAJA!E:E,MATCH($A388,PODACI_PRODAJA!$A:$A,0)),0)</f>
        <v>2</v>
      </c>
      <c r="W388" s="23" t="n">
        <f aca="false">IFERROR(INDEX(PODACI_PRODAJA!F:F,MATCH($A388,PODACI_PRODAJA!$A:$A,0)),0)</f>
        <v>1</v>
      </c>
      <c r="X388" s="23" t="n">
        <f aca="false">IFERROR(INDEX(PODACI_PRODAJA!G:G,MATCH($A388,PODACI_PRODAJA!$A:$A,0)),0)</f>
        <v>1</v>
      </c>
      <c r="Y388" s="23" t="n">
        <f aca="false">IFERROR(INDEX(PODACI_PRODAJA!H:H,MATCH($A388,PODACI_PRODAJA!$A:$A,0)),0)</f>
        <v>1</v>
      </c>
      <c r="Z388" s="23" t="n">
        <f aca="false">IFERROR(INDEX(PODACI_PRODAJA!I:I,MATCH($A388,PODACI_PRODAJA!$A:$A,0)),0)</f>
        <v>1</v>
      </c>
      <c r="AA388" s="23" t="n">
        <f aca="false">IFERROR(INDEX(PODACI_PRODAJA!J:J,MATCH($A388,PODACI_PRODAJA!$A:$A,0)),0)</f>
        <v>0</v>
      </c>
      <c r="AB388" s="23" t="n">
        <f aca="false">IFERROR(INDEX(PODACI_PRODAJA!K:K,MATCH($A388,PODACI_PRODAJA!$A:$A,0)),0)</f>
        <v>0</v>
      </c>
      <c r="AC388" s="23" t="n">
        <f aca="false">IFERROR(INDEX(PODACI_PRODAJA!L:L,MATCH($A388,PODACI_PRODAJA!$A:$A,0)),0)</f>
        <v>0</v>
      </c>
      <c r="AD388" s="23" t="n">
        <f aca="false">IFERROR(INDEX(PODACI_PRODAJA!M:M,MATCH($A388,PODACI_PRODAJA!$A:$A,0)),0)</f>
        <v>0</v>
      </c>
    </row>
    <row r="389" customFormat="false" ht="15" hidden="false" customHeight="false" outlineLevel="0" collapsed="false">
      <c r="A389" s="11" t="str">
        <f aca="false">PODACI_ZALIHE!A386</f>
        <v>18652</v>
      </c>
      <c r="B389" s="8" t="str">
        <f aca="false">PODACI_ZALIHE!B386</f>
        <v>VETRO FLUTED 90 CHROME TUŠ STIJENA 90x200 cm</v>
      </c>
      <c r="C389" s="9" t="str">
        <f aca="false">PODACI_ZALIHE!C386</f>
        <v>6762</v>
      </c>
      <c r="D389" s="8" t="str">
        <f aca="false">PODACI_ZALIHE!D386</f>
        <v>ZHEJIANG QUICKLINE SHOWERING CO., LTD.</v>
      </c>
      <c r="E389" s="19" t="n">
        <f aca="false">IF(PODACI_ZALIHE!E386="","",PODACI_ZALIHE!E386)</f>
        <v>15</v>
      </c>
      <c r="F389" s="20" t="n">
        <f aca="false">PODACI_ZALIHE!F386</f>
        <v>15</v>
      </c>
      <c r="G389" s="19" t="n">
        <f aca="false">IF(E389="","",E389-F389)</f>
        <v>0</v>
      </c>
      <c r="H389" s="9" t="n">
        <f aca="false">PODACI_PRODAJA!N681</f>
        <v>0</v>
      </c>
      <c r="I389" s="21" t="n">
        <f aca="false">IF(H389&lt;=0,999,ROUND(F389/H389,1))</f>
        <v>999</v>
      </c>
      <c r="J389" s="9" t="n">
        <f aca="false">SUMIFS(ROBA_U_DOLASKU!$C$6:$C$95,ROBA_U_DOLASKU!$A$6:$A$95,A389,ROBA_U_DOLASKU!$H$6:$H$95,1)</f>
        <v>0</v>
      </c>
      <c r="K389" s="9" t="n">
        <f aca="false">SUMIFS(ROBA_U_DOLASKU!$B$6:$B$95,ROBA_U_DOLASKU!$A$6:$A$95,A389,ROBA_U_DOLASKU!$H$6:$H$95,1)</f>
        <v>0</v>
      </c>
      <c r="L389" s="9" t="n">
        <f aca="false">SUMIFS(ROBA_U_DOLASKU!$C$6:$C$95,ROBA_U_DOLASKU!$A$6:$A$95,A389,ROBA_U_DOLASKU!$H$6:$H$95,2)</f>
        <v>0</v>
      </c>
      <c r="M389" s="9" t="n">
        <f aca="false">SUMIFS(ROBA_U_DOLASKU!$B$6:$B$95,ROBA_U_DOLASKU!$A$6:$A$95,A389,ROBA_U_DOLASKU!$H$6:$H$95,2)</f>
        <v>0</v>
      </c>
      <c r="N389" s="9" t="n">
        <f aca="false">SUMIFS(ROBA_U_DOLASKU!$C$6:$C$95,ROBA_U_DOLASKU!$A$6:$A$95,A389,ROBA_U_DOLASKU!$H$6:$H$95,3)</f>
        <v>0</v>
      </c>
      <c r="O389" s="9" t="n">
        <f aca="false">SUMIFS(ROBA_U_DOLASKU!$B$6:$B$95,ROBA_U_DOLASKU!$A$6:$A$95,A389,ROBA_U_DOLASKU!$H$6:$H$95,3)</f>
        <v>0</v>
      </c>
      <c r="P389" s="9" t="n">
        <f aca="false">IF(H389&lt;=0,999,IF(O389&gt;0,ROUND((F389-H389*N389+K389+M389+O389)/H389,1),IF(M389&gt;0,ROUND((F389-H389*L389+K389+M389)/H389,1),IF(K389&gt;0,ROUND((F389-H389*J389+K389)/H389,1),I389))))</f>
        <v>999</v>
      </c>
      <c r="Q389" s="22" t="str">
        <f aca="false">IF(H389&lt;=0,"Nema prodaje",IF(AND(K389=0,M389=0,O389=0),IF(I389&lt;POSTAVKE!$B$6,"Naruči odmah","Sve u redu"),IF(F389-H389*J389&lt;0,"Rupa za ~"&amp;TEXT(I389,"0.0")&amp;" mj.",IF(AND(M389&gt;0,F389-H389*L389+K389&lt;0),"Rupa nakon 1. dolaska",IF(AND(O389&gt;0,F389-H389*N389+K389+M389&lt;0),"Rupa nakon 2. dolaska",IF(P389&lt;POSTAVKE!$B$6,"Količina nije dovoljna",IF(I389&gt;=POSTAVKE!$B$6,"Sve u redu","Stiže na vrijeme")))))))</f>
        <v>Nema prodaje</v>
      </c>
      <c r="S389" s="23" t="n">
        <f aca="false">IFERROR(INDEX(PODACI_PRODAJA!B:B,MATCH($A389,PODACI_PRODAJA!$A:$A,0)),0)</f>
        <v>0</v>
      </c>
      <c r="T389" s="23" t="n">
        <f aca="false">IFERROR(INDEX(PODACI_PRODAJA!C:C,MATCH($A389,PODACI_PRODAJA!$A:$A,0)),0)</f>
        <v>0</v>
      </c>
      <c r="U389" s="23" t="n">
        <f aca="false">IFERROR(INDEX(PODACI_PRODAJA!D:D,MATCH($A389,PODACI_PRODAJA!$A:$A,0)),0)</f>
        <v>0</v>
      </c>
      <c r="V389" s="23" t="n">
        <f aca="false">IFERROR(INDEX(PODACI_PRODAJA!E:E,MATCH($A389,PODACI_PRODAJA!$A:$A,0)),0)</f>
        <v>0</v>
      </c>
      <c r="W389" s="23" t="n">
        <f aca="false">IFERROR(INDEX(PODACI_PRODAJA!F:F,MATCH($A389,PODACI_PRODAJA!$A:$A,0)),0)</f>
        <v>0</v>
      </c>
      <c r="X389" s="23" t="n">
        <f aca="false">IFERROR(INDEX(PODACI_PRODAJA!G:G,MATCH($A389,PODACI_PRODAJA!$A:$A,0)),0)</f>
        <v>0</v>
      </c>
      <c r="Y389" s="23" t="n">
        <f aca="false">IFERROR(INDEX(PODACI_PRODAJA!H:H,MATCH($A389,PODACI_PRODAJA!$A:$A,0)),0)</f>
        <v>0</v>
      </c>
      <c r="Z389" s="23" t="n">
        <f aca="false">IFERROR(INDEX(PODACI_PRODAJA!I:I,MATCH($A389,PODACI_PRODAJA!$A:$A,0)),0)</f>
        <v>0</v>
      </c>
      <c r="AA389" s="23" t="n">
        <f aca="false">IFERROR(INDEX(PODACI_PRODAJA!J:J,MATCH($A389,PODACI_PRODAJA!$A:$A,0)),0)</f>
        <v>0</v>
      </c>
      <c r="AB389" s="23" t="n">
        <f aca="false">IFERROR(INDEX(PODACI_PRODAJA!K:K,MATCH($A389,PODACI_PRODAJA!$A:$A,0)),0)</f>
        <v>0</v>
      </c>
      <c r="AC389" s="23" t="n">
        <f aca="false">IFERROR(INDEX(PODACI_PRODAJA!L:L,MATCH($A389,PODACI_PRODAJA!$A:$A,0)),0)</f>
        <v>0</v>
      </c>
      <c r="AD389" s="23" t="n">
        <f aca="false">IFERROR(INDEX(PODACI_PRODAJA!M:M,MATCH($A389,PODACI_PRODAJA!$A:$A,0)),0)</f>
        <v>0</v>
      </c>
    </row>
    <row r="390" customFormat="false" ht="15" hidden="false" customHeight="false" outlineLevel="0" collapsed="false">
      <c r="A390" s="11" t="str">
        <f aca="false">PODACI_ZALIHE!A387</f>
        <v>18653</v>
      </c>
      <c r="B390" s="8" t="str">
        <f aca="false">PODACI_ZALIHE!B387</f>
        <v>VETRO FLUTED 100 CHROME TUŠ STIJENA 100x200 cm</v>
      </c>
      <c r="C390" s="9" t="str">
        <f aca="false">PODACI_ZALIHE!C387</f>
        <v>6762</v>
      </c>
      <c r="D390" s="8" t="str">
        <f aca="false">PODACI_ZALIHE!D387</f>
        <v>ZHEJIANG QUICKLINE SHOWERING CO., LTD.</v>
      </c>
      <c r="E390" s="19" t="n">
        <f aca="false">IF(PODACI_ZALIHE!E387="","",PODACI_ZALIHE!E387)</f>
        <v>15</v>
      </c>
      <c r="F390" s="20" t="n">
        <f aca="false">PODACI_ZALIHE!F387</f>
        <v>15</v>
      </c>
      <c r="G390" s="19" t="n">
        <f aca="false">IF(E390="","",E390-F390)</f>
        <v>0</v>
      </c>
      <c r="H390" s="9" t="n">
        <f aca="false">PODACI_PRODAJA!N682</f>
        <v>0</v>
      </c>
      <c r="I390" s="21" t="n">
        <f aca="false">IF(H390&lt;=0,999,ROUND(F390/H390,1))</f>
        <v>999</v>
      </c>
      <c r="J390" s="9" t="n">
        <f aca="false">SUMIFS(ROBA_U_DOLASKU!$C$6:$C$95,ROBA_U_DOLASKU!$A$6:$A$95,A390,ROBA_U_DOLASKU!$H$6:$H$95,1)</f>
        <v>0</v>
      </c>
      <c r="K390" s="9" t="n">
        <f aca="false">SUMIFS(ROBA_U_DOLASKU!$B$6:$B$95,ROBA_U_DOLASKU!$A$6:$A$95,A390,ROBA_U_DOLASKU!$H$6:$H$95,1)</f>
        <v>0</v>
      </c>
      <c r="L390" s="9" t="n">
        <f aca="false">SUMIFS(ROBA_U_DOLASKU!$C$6:$C$95,ROBA_U_DOLASKU!$A$6:$A$95,A390,ROBA_U_DOLASKU!$H$6:$H$95,2)</f>
        <v>0</v>
      </c>
      <c r="M390" s="9" t="n">
        <f aca="false">SUMIFS(ROBA_U_DOLASKU!$B$6:$B$95,ROBA_U_DOLASKU!$A$6:$A$95,A390,ROBA_U_DOLASKU!$H$6:$H$95,2)</f>
        <v>0</v>
      </c>
      <c r="N390" s="9" t="n">
        <f aca="false">SUMIFS(ROBA_U_DOLASKU!$C$6:$C$95,ROBA_U_DOLASKU!$A$6:$A$95,A390,ROBA_U_DOLASKU!$H$6:$H$95,3)</f>
        <v>0</v>
      </c>
      <c r="O390" s="9" t="n">
        <f aca="false">SUMIFS(ROBA_U_DOLASKU!$B$6:$B$95,ROBA_U_DOLASKU!$A$6:$A$95,A390,ROBA_U_DOLASKU!$H$6:$H$95,3)</f>
        <v>0</v>
      </c>
      <c r="P390" s="9" t="n">
        <f aca="false">IF(H390&lt;=0,999,IF(O390&gt;0,ROUND((F390-H390*N390+K390+M390+O390)/H390,1),IF(M390&gt;0,ROUND((F390-H390*L390+K390+M390)/H390,1),IF(K390&gt;0,ROUND((F390-H390*J390+K390)/H390,1),I390))))</f>
        <v>999</v>
      </c>
      <c r="Q390" s="22" t="str">
        <f aca="false">IF(H390&lt;=0,"Nema prodaje",IF(AND(K390=0,M390=0,O390=0),IF(I390&lt;POSTAVKE!$B$6,"Naruči odmah","Sve u redu"),IF(F390-H390*J390&lt;0,"Rupa za ~"&amp;TEXT(I390,"0.0")&amp;" mj.",IF(AND(M390&gt;0,F390-H390*L390+K390&lt;0),"Rupa nakon 1. dolaska",IF(AND(O390&gt;0,F390-H390*N390+K390+M390&lt;0),"Rupa nakon 2. dolaska",IF(P390&lt;POSTAVKE!$B$6,"Količina nije dovoljna",IF(I390&gt;=POSTAVKE!$B$6,"Sve u redu","Stiže na vrijeme")))))))</f>
        <v>Nema prodaje</v>
      </c>
      <c r="S390" s="23" t="n">
        <f aca="false">IFERROR(INDEX(PODACI_PRODAJA!B:B,MATCH($A390,PODACI_PRODAJA!$A:$A,0)),0)</f>
        <v>0</v>
      </c>
      <c r="T390" s="23" t="n">
        <f aca="false">IFERROR(INDEX(PODACI_PRODAJA!C:C,MATCH($A390,PODACI_PRODAJA!$A:$A,0)),0)</f>
        <v>0</v>
      </c>
      <c r="U390" s="23" t="n">
        <f aca="false">IFERROR(INDEX(PODACI_PRODAJA!D:D,MATCH($A390,PODACI_PRODAJA!$A:$A,0)),0)</f>
        <v>0</v>
      </c>
      <c r="V390" s="23" t="n">
        <f aca="false">IFERROR(INDEX(PODACI_PRODAJA!E:E,MATCH($A390,PODACI_PRODAJA!$A:$A,0)),0)</f>
        <v>0</v>
      </c>
      <c r="W390" s="23" t="n">
        <f aca="false">IFERROR(INDEX(PODACI_PRODAJA!F:F,MATCH($A390,PODACI_PRODAJA!$A:$A,0)),0)</f>
        <v>0</v>
      </c>
      <c r="X390" s="23" t="n">
        <f aca="false">IFERROR(INDEX(PODACI_PRODAJA!G:G,MATCH($A390,PODACI_PRODAJA!$A:$A,0)),0)</f>
        <v>0</v>
      </c>
      <c r="Y390" s="23" t="n">
        <f aca="false">IFERROR(INDEX(PODACI_PRODAJA!H:H,MATCH($A390,PODACI_PRODAJA!$A:$A,0)),0)</f>
        <v>0</v>
      </c>
      <c r="Z390" s="23" t="n">
        <f aca="false">IFERROR(INDEX(PODACI_PRODAJA!I:I,MATCH($A390,PODACI_PRODAJA!$A:$A,0)),0)</f>
        <v>0</v>
      </c>
      <c r="AA390" s="23" t="n">
        <f aca="false">IFERROR(INDEX(PODACI_PRODAJA!J:J,MATCH($A390,PODACI_PRODAJA!$A:$A,0)),0)</f>
        <v>0</v>
      </c>
      <c r="AB390" s="23" t="n">
        <f aca="false">IFERROR(INDEX(PODACI_PRODAJA!K:K,MATCH($A390,PODACI_PRODAJA!$A:$A,0)),0)</f>
        <v>0</v>
      </c>
      <c r="AC390" s="23" t="n">
        <f aca="false">IFERROR(INDEX(PODACI_PRODAJA!L:L,MATCH($A390,PODACI_PRODAJA!$A:$A,0)),0)</f>
        <v>0</v>
      </c>
      <c r="AD390" s="23" t="n">
        <f aca="false">IFERROR(INDEX(PODACI_PRODAJA!M:M,MATCH($A390,PODACI_PRODAJA!$A:$A,0)),0)</f>
        <v>0</v>
      </c>
    </row>
    <row r="391" customFormat="false" ht="15" hidden="false" customHeight="false" outlineLevel="0" collapsed="false">
      <c r="A391" s="11" t="str">
        <f aca="false">PODACI_ZALIHE!A388</f>
        <v>18654</v>
      </c>
      <c r="B391" s="8" t="str">
        <f aca="false">PODACI_ZALIHE!B388</f>
        <v>VETRO FLUTED 120 CHROME TUŠ STIJENA 120x200 cm</v>
      </c>
      <c r="C391" s="9" t="str">
        <f aca="false">PODACI_ZALIHE!C388</f>
        <v>6762</v>
      </c>
      <c r="D391" s="8" t="str">
        <f aca="false">PODACI_ZALIHE!D388</f>
        <v>ZHEJIANG QUICKLINE SHOWERING CO., LTD.</v>
      </c>
      <c r="E391" s="19" t="n">
        <f aca="false">IF(PODACI_ZALIHE!E388="","",PODACI_ZALIHE!E388)</f>
        <v>15</v>
      </c>
      <c r="F391" s="20" t="n">
        <f aca="false">PODACI_ZALIHE!F388</f>
        <v>15</v>
      </c>
      <c r="G391" s="19" t="n">
        <f aca="false">IF(E391="","",E391-F391)</f>
        <v>0</v>
      </c>
      <c r="H391" s="9" t="n">
        <f aca="false">PODACI_PRODAJA!N683</f>
        <v>0</v>
      </c>
      <c r="I391" s="21" t="n">
        <f aca="false">IF(H391&lt;=0,999,ROUND(F391/H391,1))</f>
        <v>999</v>
      </c>
      <c r="J391" s="9" t="n">
        <f aca="false">SUMIFS(ROBA_U_DOLASKU!$C$6:$C$95,ROBA_U_DOLASKU!$A$6:$A$95,A391,ROBA_U_DOLASKU!$H$6:$H$95,1)</f>
        <v>0</v>
      </c>
      <c r="K391" s="9" t="n">
        <f aca="false">SUMIFS(ROBA_U_DOLASKU!$B$6:$B$95,ROBA_U_DOLASKU!$A$6:$A$95,A391,ROBA_U_DOLASKU!$H$6:$H$95,1)</f>
        <v>0</v>
      </c>
      <c r="L391" s="9" t="n">
        <f aca="false">SUMIFS(ROBA_U_DOLASKU!$C$6:$C$95,ROBA_U_DOLASKU!$A$6:$A$95,A391,ROBA_U_DOLASKU!$H$6:$H$95,2)</f>
        <v>0</v>
      </c>
      <c r="M391" s="9" t="n">
        <f aca="false">SUMIFS(ROBA_U_DOLASKU!$B$6:$B$95,ROBA_U_DOLASKU!$A$6:$A$95,A391,ROBA_U_DOLASKU!$H$6:$H$95,2)</f>
        <v>0</v>
      </c>
      <c r="N391" s="9" t="n">
        <f aca="false">SUMIFS(ROBA_U_DOLASKU!$C$6:$C$95,ROBA_U_DOLASKU!$A$6:$A$95,A391,ROBA_U_DOLASKU!$H$6:$H$95,3)</f>
        <v>0</v>
      </c>
      <c r="O391" s="9" t="n">
        <f aca="false">SUMIFS(ROBA_U_DOLASKU!$B$6:$B$95,ROBA_U_DOLASKU!$A$6:$A$95,A391,ROBA_U_DOLASKU!$H$6:$H$95,3)</f>
        <v>0</v>
      </c>
      <c r="P391" s="9" t="n">
        <f aca="false">IF(H391&lt;=0,999,IF(O391&gt;0,ROUND((F391-H391*N391+K391+M391+O391)/H391,1),IF(M391&gt;0,ROUND((F391-H391*L391+K391+M391)/H391,1),IF(K391&gt;0,ROUND((F391-H391*J391+K391)/H391,1),I391))))</f>
        <v>999</v>
      </c>
      <c r="Q391" s="22" t="str">
        <f aca="false">IF(H391&lt;=0,"Nema prodaje",IF(AND(K391=0,M391=0,O391=0),IF(I391&lt;POSTAVKE!$B$6,"Naruči odmah","Sve u redu"),IF(F391-H391*J391&lt;0,"Rupa za ~"&amp;TEXT(I391,"0.0")&amp;" mj.",IF(AND(M391&gt;0,F391-H391*L391+K391&lt;0),"Rupa nakon 1. dolaska",IF(AND(O391&gt;0,F391-H391*N391+K391+M391&lt;0),"Rupa nakon 2. dolaska",IF(P391&lt;POSTAVKE!$B$6,"Količina nije dovoljna",IF(I391&gt;=POSTAVKE!$B$6,"Sve u redu","Stiže na vrijeme")))))))</f>
        <v>Nema prodaje</v>
      </c>
      <c r="S391" s="23" t="n">
        <f aca="false">IFERROR(INDEX(PODACI_PRODAJA!B:B,MATCH($A391,PODACI_PRODAJA!$A:$A,0)),0)</f>
        <v>0</v>
      </c>
      <c r="T391" s="23" t="n">
        <f aca="false">IFERROR(INDEX(PODACI_PRODAJA!C:C,MATCH($A391,PODACI_PRODAJA!$A:$A,0)),0)</f>
        <v>0</v>
      </c>
      <c r="U391" s="23" t="n">
        <f aca="false">IFERROR(INDEX(PODACI_PRODAJA!D:D,MATCH($A391,PODACI_PRODAJA!$A:$A,0)),0)</f>
        <v>0</v>
      </c>
      <c r="V391" s="23" t="n">
        <f aca="false">IFERROR(INDEX(PODACI_PRODAJA!E:E,MATCH($A391,PODACI_PRODAJA!$A:$A,0)),0)</f>
        <v>0</v>
      </c>
      <c r="W391" s="23" t="n">
        <f aca="false">IFERROR(INDEX(PODACI_PRODAJA!F:F,MATCH($A391,PODACI_PRODAJA!$A:$A,0)),0)</f>
        <v>0</v>
      </c>
      <c r="X391" s="23" t="n">
        <f aca="false">IFERROR(INDEX(PODACI_PRODAJA!G:G,MATCH($A391,PODACI_PRODAJA!$A:$A,0)),0)</f>
        <v>0</v>
      </c>
      <c r="Y391" s="23" t="n">
        <f aca="false">IFERROR(INDEX(PODACI_PRODAJA!H:H,MATCH($A391,PODACI_PRODAJA!$A:$A,0)),0)</f>
        <v>0</v>
      </c>
      <c r="Z391" s="23" t="n">
        <f aca="false">IFERROR(INDEX(PODACI_PRODAJA!I:I,MATCH($A391,PODACI_PRODAJA!$A:$A,0)),0)</f>
        <v>0</v>
      </c>
      <c r="AA391" s="23" t="n">
        <f aca="false">IFERROR(INDEX(PODACI_PRODAJA!J:J,MATCH($A391,PODACI_PRODAJA!$A:$A,0)),0)</f>
        <v>0</v>
      </c>
      <c r="AB391" s="23" t="n">
        <f aca="false">IFERROR(INDEX(PODACI_PRODAJA!K:K,MATCH($A391,PODACI_PRODAJA!$A:$A,0)),0)</f>
        <v>0</v>
      </c>
      <c r="AC391" s="23" t="n">
        <f aca="false">IFERROR(INDEX(PODACI_PRODAJA!L:L,MATCH($A391,PODACI_PRODAJA!$A:$A,0)),0)</f>
        <v>0</v>
      </c>
      <c r="AD391" s="23" t="n">
        <f aca="false">IFERROR(INDEX(PODACI_PRODAJA!M:M,MATCH($A391,PODACI_PRODAJA!$A:$A,0)),0)</f>
        <v>0</v>
      </c>
    </row>
    <row r="392" customFormat="false" ht="15" hidden="false" customHeight="false" outlineLevel="0" collapsed="false">
      <c r="A392" s="11" t="str">
        <f aca="false">PODACI_ZALIHE!A389</f>
        <v>18665</v>
      </c>
      <c r="B392" s="8" t="str">
        <f aca="false">PODACI_ZALIHE!B389</f>
        <v>VETRO FLUTED 80 BLACK TUŠ STIJENA 80x200 cm</v>
      </c>
      <c r="C392" s="9" t="str">
        <f aca="false">PODACI_ZALIHE!C389</f>
        <v>6762</v>
      </c>
      <c r="D392" s="8" t="str">
        <f aca="false">PODACI_ZALIHE!D389</f>
        <v>ZHEJIANG QUICKLINE SHOWERING CO., LTD.</v>
      </c>
      <c r="E392" s="19" t="n">
        <f aca="false">IF(PODACI_ZALIHE!E389="","",PODACI_ZALIHE!E389)</f>
        <v>15</v>
      </c>
      <c r="F392" s="20" t="n">
        <f aca="false">PODACI_ZALIHE!F389</f>
        <v>15</v>
      </c>
      <c r="G392" s="19" t="n">
        <f aca="false">IF(E392="","",E392-F392)</f>
        <v>0</v>
      </c>
      <c r="H392" s="9" t="n">
        <f aca="false">PODACI_PRODAJA!N688</f>
        <v>0</v>
      </c>
      <c r="I392" s="21" t="n">
        <f aca="false">IF(H392&lt;=0,999,ROUND(F392/H392,1))</f>
        <v>999</v>
      </c>
      <c r="J392" s="9" t="n">
        <f aca="false">SUMIFS(ROBA_U_DOLASKU!$C$6:$C$95,ROBA_U_DOLASKU!$A$6:$A$95,A392,ROBA_U_DOLASKU!$H$6:$H$95,1)</f>
        <v>0.8</v>
      </c>
      <c r="K392" s="9" t="n">
        <f aca="false">SUMIFS(ROBA_U_DOLASKU!$B$6:$B$95,ROBA_U_DOLASKU!$A$6:$A$95,A392,ROBA_U_DOLASKU!$H$6:$H$95,1)</f>
        <v>15</v>
      </c>
      <c r="L392" s="9" t="n">
        <f aca="false">SUMIFS(ROBA_U_DOLASKU!$C$6:$C$95,ROBA_U_DOLASKU!$A$6:$A$95,A392,ROBA_U_DOLASKU!$H$6:$H$95,2)</f>
        <v>0</v>
      </c>
      <c r="M392" s="9" t="n">
        <f aca="false">SUMIFS(ROBA_U_DOLASKU!$B$6:$B$95,ROBA_U_DOLASKU!$A$6:$A$95,A392,ROBA_U_DOLASKU!$H$6:$H$95,2)</f>
        <v>0</v>
      </c>
      <c r="N392" s="9" t="n">
        <f aca="false">SUMIFS(ROBA_U_DOLASKU!$C$6:$C$95,ROBA_U_DOLASKU!$A$6:$A$95,A392,ROBA_U_DOLASKU!$H$6:$H$95,3)</f>
        <v>0</v>
      </c>
      <c r="O392" s="9" t="n">
        <f aca="false">SUMIFS(ROBA_U_DOLASKU!$B$6:$B$95,ROBA_U_DOLASKU!$A$6:$A$95,A392,ROBA_U_DOLASKU!$H$6:$H$95,3)</f>
        <v>0</v>
      </c>
      <c r="P392" s="9" t="n">
        <f aca="false">IF(H392&lt;=0,999,IF(O392&gt;0,ROUND((F392-H392*N392+K392+M392+O392)/H392,1),IF(M392&gt;0,ROUND((F392-H392*L392+K392+M392)/H392,1),IF(K392&gt;0,ROUND((F392-H392*J392+K392)/H392,1),I392))))</f>
        <v>999</v>
      </c>
      <c r="Q392" s="22" t="str">
        <f aca="false">IF(H392&lt;=0,"Nema prodaje",IF(AND(K392=0,M392=0,O392=0),IF(I392&lt;POSTAVKE!$B$6,"Naruči odmah","Sve u redu"),IF(F392-H392*J392&lt;0,"Rupa za ~"&amp;TEXT(I392,"0.0")&amp;" mj.",IF(AND(M392&gt;0,F392-H392*L392+K392&lt;0),"Rupa nakon 1. dolaska",IF(AND(O392&gt;0,F392-H392*N392+K392+M392&lt;0),"Rupa nakon 2. dolaska",IF(P392&lt;POSTAVKE!$B$6,"Količina nije dovoljna",IF(I392&gt;=POSTAVKE!$B$6,"Sve u redu","Stiže na vrijeme")))))))</f>
        <v>Nema prodaje</v>
      </c>
      <c r="S392" s="23" t="n">
        <f aca="false">IFERROR(INDEX(PODACI_PRODAJA!B:B,MATCH($A392,PODACI_PRODAJA!$A:$A,0)),0)</f>
        <v>0</v>
      </c>
      <c r="T392" s="23" t="n">
        <f aca="false">IFERROR(INDEX(PODACI_PRODAJA!C:C,MATCH($A392,PODACI_PRODAJA!$A:$A,0)),0)</f>
        <v>0</v>
      </c>
      <c r="U392" s="23" t="n">
        <f aca="false">IFERROR(INDEX(PODACI_PRODAJA!D:D,MATCH($A392,PODACI_PRODAJA!$A:$A,0)),0)</f>
        <v>0</v>
      </c>
      <c r="V392" s="23" t="n">
        <f aca="false">IFERROR(INDEX(PODACI_PRODAJA!E:E,MATCH($A392,PODACI_PRODAJA!$A:$A,0)),0)</f>
        <v>0</v>
      </c>
      <c r="W392" s="23" t="n">
        <f aca="false">IFERROR(INDEX(PODACI_PRODAJA!F:F,MATCH($A392,PODACI_PRODAJA!$A:$A,0)),0)</f>
        <v>0</v>
      </c>
      <c r="X392" s="23" t="n">
        <f aca="false">IFERROR(INDEX(PODACI_PRODAJA!G:G,MATCH($A392,PODACI_PRODAJA!$A:$A,0)),0)</f>
        <v>0</v>
      </c>
      <c r="Y392" s="23" t="n">
        <f aca="false">IFERROR(INDEX(PODACI_PRODAJA!H:H,MATCH($A392,PODACI_PRODAJA!$A:$A,0)),0)</f>
        <v>0</v>
      </c>
      <c r="Z392" s="23" t="n">
        <f aca="false">IFERROR(INDEX(PODACI_PRODAJA!I:I,MATCH($A392,PODACI_PRODAJA!$A:$A,0)),0)</f>
        <v>0</v>
      </c>
      <c r="AA392" s="23" t="n">
        <f aca="false">IFERROR(INDEX(PODACI_PRODAJA!J:J,MATCH($A392,PODACI_PRODAJA!$A:$A,0)),0)</f>
        <v>0</v>
      </c>
      <c r="AB392" s="23" t="n">
        <f aca="false">IFERROR(INDEX(PODACI_PRODAJA!K:K,MATCH($A392,PODACI_PRODAJA!$A:$A,0)),0)</f>
        <v>0</v>
      </c>
      <c r="AC392" s="23" t="n">
        <f aca="false">IFERROR(INDEX(PODACI_PRODAJA!L:L,MATCH($A392,PODACI_PRODAJA!$A:$A,0)),0)</f>
        <v>0</v>
      </c>
      <c r="AD392" s="23" t="n">
        <f aca="false">IFERROR(INDEX(PODACI_PRODAJA!M:M,MATCH($A392,PODACI_PRODAJA!$A:$A,0)),0)</f>
        <v>0</v>
      </c>
    </row>
    <row r="393" customFormat="false" ht="15" hidden="false" customHeight="false" outlineLevel="0" collapsed="false">
      <c r="A393" s="11" t="str">
        <f aca="false">PODACI_ZALIHE!A390</f>
        <v>18667</v>
      </c>
      <c r="B393" s="8" t="str">
        <f aca="false">PODACI_ZALIHE!B390</f>
        <v>VETRO FLUTED 100 BLACK TUŠ STIJENA 100x200 cm</v>
      </c>
      <c r="C393" s="9" t="str">
        <f aca="false">PODACI_ZALIHE!C390</f>
        <v>6762</v>
      </c>
      <c r="D393" s="8" t="str">
        <f aca="false">PODACI_ZALIHE!D390</f>
        <v>ZHEJIANG QUICKLINE SHOWERING CO., LTD.</v>
      </c>
      <c r="E393" s="19" t="n">
        <f aca="false">IF(PODACI_ZALIHE!E390="","",PODACI_ZALIHE!E390)</f>
        <v>15</v>
      </c>
      <c r="F393" s="20" t="n">
        <f aca="false">PODACI_ZALIHE!F390</f>
        <v>15</v>
      </c>
      <c r="G393" s="19" t="n">
        <f aca="false">IF(E393="","",E393-F393)</f>
        <v>0</v>
      </c>
      <c r="H393" s="9" t="n">
        <f aca="false">PODACI_PRODAJA!N690</f>
        <v>0</v>
      </c>
      <c r="I393" s="21" t="n">
        <f aca="false">IF(H393&lt;=0,999,ROUND(F393/H393,1))</f>
        <v>999</v>
      </c>
      <c r="J393" s="9" t="n">
        <f aca="false">SUMIFS(ROBA_U_DOLASKU!$C$6:$C$95,ROBA_U_DOLASKU!$A$6:$A$95,A393,ROBA_U_DOLASKU!$H$6:$H$95,1)</f>
        <v>1</v>
      </c>
      <c r="K393" s="9" t="n">
        <f aca="false">SUMIFS(ROBA_U_DOLASKU!$B$6:$B$95,ROBA_U_DOLASKU!$A$6:$A$95,A393,ROBA_U_DOLASKU!$H$6:$H$95,1)</f>
        <v>15</v>
      </c>
      <c r="L393" s="9" t="n">
        <f aca="false">SUMIFS(ROBA_U_DOLASKU!$C$6:$C$95,ROBA_U_DOLASKU!$A$6:$A$95,A393,ROBA_U_DOLASKU!$H$6:$H$95,2)</f>
        <v>0</v>
      </c>
      <c r="M393" s="9" t="n">
        <f aca="false">SUMIFS(ROBA_U_DOLASKU!$B$6:$B$95,ROBA_U_DOLASKU!$A$6:$A$95,A393,ROBA_U_DOLASKU!$H$6:$H$95,2)</f>
        <v>0</v>
      </c>
      <c r="N393" s="9" t="n">
        <f aca="false">SUMIFS(ROBA_U_DOLASKU!$C$6:$C$95,ROBA_U_DOLASKU!$A$6:$A$95,A393,ROBA_U_DOLASKU!$H$6:$H$95,3)</f>
        <v>0</v>
      </c>
      <c r="O393" s="9" t="n">
        <f aca="false">SUMIFS(ROBA_U_DOLASKU!$B$6:$B$95,ROBA_U_DOLASKU!$A$6:$A$95,A393,ROBA_U_DOLASKU!$H$6:$H$95,3)</f>
        <v>0</v>
      </c>
      <c r="P393" s="9" t="n">
        <f aca="false">IF(H393&lt;=0,999,IF(O393&gt;0,ROUND((F393-H393*N393+K393+M393+O393)/H393,1),IF(M393&gt;0,ROUND((F393-H393*L393+K393+M393)/H393,1),IF(K393&gt;0,ROUND((F393-H393*J393+K393)/H393,1),I393))))</f>
        <v>999</v>
      </c>
      <c r="Q393" s="22" t="str">
        <f aca="false">IF(H393&lt;=0,"Nema prodaje",IF(AND(K393=0,M393=0,O393=0),IF(I393&lt;POSTAVKE!$B$6,"Naruči odmah","Sve u redu"),IF(F393-H393*J393&lt;0,"Rupa za ~"&amp;TEXT(I393,"0.0")&amp;" mj.",IF(AND(M393&gt;0,F393-H393*L393+K393&lt;0),"Rupa nakon 1. dolaska",IF(AND(O393&gt;0,F393-H393*N393+K393+M393&lt;0),"Rupa nakon 2. dolaska",IF(P393&lt;POSTAVKE!$B$6,"Količina nije dovoljna",IF(I393&gt;=POSTAVKE!$B$6,"Sve u redu","Stiže na vrijeme")))))))</f>
        <v>Nema prodaje</v>
      </c>
      <c r="S393" s="23" t="n">
        <f aca="false">IFERROR(INDEX(PODACI_PRODAJA!B:B,MATCH($A393,PODACI_PRODAJA!$A:$A,0)),0)</f>
        <v>0</v>
      </c>
      <c r="T393" s="23" t="n">
        <f aca="false">IFERROR(INDEX(PODACI_PRODAJA!C:C,MATCH($A393,PODACI_PRODAJA!$A:$A,0)),0)</f>
        <v>0</v>
      </c>
      <c r="U393" s="23" t="n">
        <f aca="false">IFERROR(INDEX(PODACI_PRODAJA!D:D,MATCH($A393,PODACI_PRODAJA!$A:$A,0)),0)</f>
        <v>0</v>
      </c>
      <c r="V393" s="23" t="n">
        <f aca="false">IFERROR(INDEX(PODACI_PRODAJA!E:E,MATCH($A393,PODACI_PRODAJA!$A:$A,0)),0)</f>
        <v>0</v>
      </c>
      <c r="W393" s="23" t="n">
        <f aca="false">IFERROR(INDEX(PODACI_PRODAJA!F:F,MATCH($A393,PODACI_PRODAJA!$A:$A,0)),0)</f>
        <v>0</v>
      </c>
      <c r="X393" s="23" t="n">
        <f aca="false">IFERROR(INDEX(PODACI_PRODAJA!G:G,MATCH($A393,PODACI_PRODAJA!$A:$A,0)),0)</f>
        <v>0</v>
      </c>
      <c r="Y393" s="23" t="n">
        <f aca="false">IFERROR(INDEX(PODACI_PRODAJA!H:H,MATCH($A393,PODACI_PRODAJA!$A:$A,0)),0)</f>
        <v>0</v>
      </c>
      <c r="Z393" s="23" t="n">
        <f aca="false">IFERROR(INDEX(PODACI_PRODAJA!I:I,MATCH($A393,PODACI_PRODAJA!$A:$A,0)),0)</f>
        <v>0</v>
      </c>
      <c r="AA393" s="23" t="n">
        <f aca="false">IFERROR(INDEX(PODACI_PRODAJA!J:J,MATCH($A393,PODACI_PRODAJA!$A:$A,0)),0)</f>
        <v>0</v>
      </c>
      <c r="AB393" s="23" t="n">
        <f aca="false">IFERROR(INDEX(PODACI_PRODAJA!K:K,MATCH($A393,PODACI_PRODAJA!$A:$A,0)),0)</f>
        <v>0</v>
      </c>
      <c r="AC393" s="23" t="n">
        <f aca="false">IFERROR(INDEX(PODACI_PRODAJA!L:L,MATCH($A393,PODACI_PRODAJA!$A:$A,0)),0)</f>
        <v>0</v>
      </c>
      <c r="AD393" s="23" t="n">
        <f aca="false">IFERROR(INDEX(PODACI_PRODAJA!M:M,MATCH($A393,PODACI_PRODAJA!$A:$A,0)),0)</f>
        <v>0</v>
      </c>
    </row>
    <row r="394" customFormat="false" ht="15" hidden="false" customHeight="false" outlineLevel="0" collapsed="false">
      <c r="A394" s="11" t="str">
        <f aca="false">PODACI_ZALIHE!A391</f>
        <v>18668</v>
      </c>
      <c r="B394" s="8" t="str">
        <f aca="false">PODACI_ZALIHE!B391</f>
        <v>VETRO FLUTED 120 BLACK TUŠ STIJENA 120x200 cm</v>
      </c>
      <c r="C394" s="9" t="str">
        <f aca="false">PODACI_ZALIHE!C391</f>
        <v>6762</v>
      </c>
      <c r="D394" s="8" t="str">
        <f aca="false">PODACI_ZALIHE!D391</f>
        <v>ZHEJIANG QUICKLINE SHOWERING CO., LTD.</v>
      </c>
      <c r="E394" s="19" t="n">
        <f aca="false">IF(PODACI_ZALIHE!E391="","",PODACI_ZALIHE!E391)</f>
        <v>15</v>
      </c>
      <c r="F394" s="20" t="n">
        <f aca="false">PODACI_ZALIHE!F391</f>
        <v>15</v>
      </c>
      <c r="G394" s="19" t="n">
        <f aca="false">IF(E394="","",E394-F394)</f>
        <v>0</v>
      </c>
      <c r="H394" s="9" t="n">
        <f aca="false">PODACI_PRODAJA!N691</f>
        <v>0</v>
      </c>
      <c r="I394" s="21" t="n">
        <f aca="false">IF(H394&lt;=0,999,ROUND(F394/H394,1))</f>
        <v>999</v>
      </c>
      <c r="J394" s="9" t="n">
        <f aca="false">SUMIFS(ROBA_U_DOLASKU!$C$6:$C$95,ROBA_U_DOLASKU!$A$6:$A$95,A394,ROBA_U_DOLASKU!$H$6:$H$95,1)</f>
        <v>1</v>
      </c>
      <c r="K394" s="9" t="n">
        <f aca="false">SUMIFS(ROBA_U_DOLASKU!$B$6:$B$95,ROBA_U_DOLASKU!$A$6:$A$95,A394,ROBA_U_DOLASKU!$H$6:$H$95,1)</f>
        <v>15</v>
      </c>
      <c r="L394" s="9" t="n">
        <f aca="false">SUMIFS(ROBA_U_DOLASKU!$C$6:$C$95,ROBA_U_DOLASKU!$A$6:$A$95,A394,ROBA_U_DOLASKU!$H$6:$H$95,2)</f>
        <v>0</v>
      </c>
      <c r="M394" s="9" t="n">
        <f aca="false">SUMIFS(ROBA_U_DOLASKU!$B$6:$B$95,ROBA_U_DOLASKU!$A$6:$A$95,A394,ROBA_U_DOLASKU!$H$6:$H$95,2)</f>
        <v>0</v>
      </c>
      <c r="N394" s="9" t="n">
        <f aca="false">SUMIFS(ROBA_U_DOLASKU!$C$6:$C$95,ROBA_U_DOLASKU!$A$6:$A$95,A394,ROBA_U_DOLASKU!$H$6:$H$95,3)</f>
        <v>0</v>
      </c>
      <c r="O394" s="9" t="n">
        <f aca="false">SUMIFS(ROBA_U_DOLASKU!$B$6:$B$95,ROBA_U_DOLASKU!$A$6:$A$95,A394,ROBA_U_DOLASKU!$H$6:$H$95,3)</f>
        <v>0</v>
      </c>
      <c r="P394" s="9" t="n">
        <f aca="false">IF(H394&lt;=0,999,IF(O394&gt;0,ROUND((F394-H394*N394+K394+M394+O394)/H394,1),IF(M394&gt;0,ROUND((F394-H394*L394+K394+M394)/H394,1),IF(K394&gt;0,ROUND((F394-H394*J394+K394)/H394,1),I394))))</f>
        <v>999</v>
      </c>
      <c r="Q394" s="22" t="str">
        <f aca="false">IF(H394&lt;=0,"Nema prodaje",IF(AND(K394=0,M394=0,O394=0),IF(I394&lt;POSTAVKE!$B$6,"Naruči odmah","Sve u redu"),IF(F394-H394*J394&lt;0,"Rupa za ~"&amp;TEXT(I394,"0.0")&amp;" mj.",IF(AND(M394&gt;0,F394-H394*L394+K394&lt;0),"Rupa nakon 1. dolaska",IF(AND(O394&gt;0,F394-H394*N394+K394+M394&lt;0),"Rupa nakon 2. dolaska",IF(P394&lt;POSTAVKE!$B$6,"Količina nije dovoljna",IF(I394&gt;=POSTAVKE!$B$6,"Sve u redu","Stiže na vrijeme")))))))</f>
        <v>Nema prodaje</v>
      </c>
      <c r="S394" s="23" t="n">
        <f aca="false">IFERROR(INDEX(PODACI_PRODAJA!B:B,MATCH($A394,PODACI_PRODAJA!$A:$A,0)),0)</f>
        <v>0</v>
      </c>
      <c r="T394" s="23" t="n">
        <f aca="false">IFERROR(INDEX(PODACI_PRODAJA!C:C,MATCH($A394,PODACI_PRODAJA!$A:$A,0)),0)</f>
        <v>0</v>
      </c>
      <c r="U394" s="23" t="n">
        <f aca="false">IFERROR(INDEX(PODACI_PRODAJA!D:D,MATCH($A394,PODACI_PRODAJA!$A:$A,0)),0)</f>
        <v>0</v>
      </c>
      <c r="V394" s="23" t="n">
        <f aca="false">IFERROR(INDEX(PODACI_PRODAJA!E:E,MATCH($A394,PODACI_PRODAJA!$A:$A,0)),0)</f>
        <v>0</v>
      </c>
      <c r="W394" s="23" t="n">
        <f aca="false">IFERROR(INDEX(PODACI_PRODAJA!F:F,MATCH($A394,PODACI_PRODAJA!$A:$A,0)),0)</f>
        <v>0</v>
      </c>
      <c r="X394" s="23" t="n">
        <f aca="false">IFERROR(INDEX(PODACI_PRODAJA!G:G,MATCH($A394,PODACI_PRODAJA!$A:$A,0)),0)</f>
        <v>0</v>
      </c>
      <c r="Y394" s="23" t="n">
        <f aca="false">IFERROR(INDEX(PODACI_PRODAJA!H:H,MATCH($A394,PODACI_PRODAJA!$A:$A,0)),0)</f>
        <v>0</v>
      </c>
      <c r="Z394" s="23" t="n">
        <f aca="false">IFERROR(INDEX(PODACI_PRODAJA!I:I,MATCH($A394,PODACI_PRODAJA!$A:$A,0)),0)</f>
        <v>0</v>
      </c>
      <c r="AA394" s="23" t="n">
        <f aca="false">IFERROR(INDEX(PODACI_PRODAJA!J:J,MATCH($A394,PODACI_PRODAJA!$A:$A,0)),0)</f>
        <v>0</v>
      </c>
      <c r="AB394" s="23" t="n">
        <f aca="false">IFERROR(INDEX(PODACI_PRODAJA!K:K,MATCH($A394,PODACI_PRODAJA!$A:$A,0)),0)</f>
        <v>0</v>
      </c>
      <c r="AC394" s="23" t="n">
        <f aca="false">IFERROR(INDEX(PODACI_PRODAJA!L:L,MATCH($A394,PODACI_PRODAJA!$A:$A,0)),0)</f>
        <v>0</v>
      </c>
      <c r="AD394" s="23" t="n">
        <f aca="false">IFERROR(INDEX(PODACI_PRODAJA!M:M,MATCH($A394,PODACI_PRODAJA!$A:$A,0)),0)</f>
        <v>0</v>
      </c>
    </row>
    <row r="395" customFormat="false" ht="15" hidden="false" customHeight="false" outlineLevel="0" collapsed="false">
      <c r="A395" s="11" t="str">
        <f aca="false">PODACI_ZALIHE!A392</f>
        <v>040260</v>
      </c>
      <c r="B395" s="8" t="str">
        <f aca="false">PODACI_ZALIHE!B392</f>
        <v>VETRO BLACK 130 TUŠ STIJENA 130x200 cm</v>
      </c>
      <c r="C395" s="9" t="str">
        <f aca="false">PODACI_ZALIHE!C392</f>
        <v>6762</v>
      </c>
      <c r="D395" s="8" t="str">
        <f aca="false">PODACI_ZALIHE!D392</f>
        <v>ZHEJIANG QUICKLINE SHOWERING CO., LTD.</v>
      </c>
      <c r="E395" s="19" t="n">
        <f aca="false">IF(PODACI_ZALIHE!E392="","",PODACI_ZALIHE!E392)</f>
        <v>14</v>
      </c>
      <c r="F395" s="20" t="n">
        <f aca="false">PODACI_ZALIHE!F392</f>
        <v>14</v>
      </c>
      <c r="G395" s="19" t="n">
        <f aca="false">IF(E395="","",E395-F395)</f>
        <v>0</v>
      </c>
      <c r="H395" s="9" t="n">
        <f aca="false">PODACI_PRODAJA!N412</f>
        <v>0</v>
      </c>
      <c r="I395" s="21" t="n">
        <f aca="false">IF(H395&lt;=0,999,ROUND(F395/H395,1))</f>
        <v>999</v>
      </c>
      <c r="J395" s="9" t="n">
        <f aca="false">SUMIFS(ROBA_U_DOLASKU!$C$6:$C$95,ROBA_U_DOLASKU!$A$6:$A$95,A395,ROBA_U_DOLASKU!$H$6:$H$95,1)</f>
        <v>0</v>
      </c>
      <c r="K395" s="9" t="n">
        <f aca="false">SUMIFS(ROBA_U_DOLASKU!$B$6:$B$95,ROBA_U_DOLASKU!$A$6:$A$95,A395,ROBA_U_DOLASKU!$H$6:$H$95,1)</f>
        <v>0</v>
      </c>
      <c r="L395" s="9" t="n">
        <f aca="false">SUMIFS(ROBA_U_DOLASKU!$C$6:$C$95,ROBA_U_DOLASKU!$A$6:$A$95,A395,ROBA_U_DOLASKU!$H$6:$H$95,2)</f>
        <v>0</v>
      </c>
      <c r="M395" s="9" t="n">
        <f aca="false">SUMIFS(ROBA_U_DOLASKU!$B$6:$B$95,ROBA_U_DOLASKU!$A$6:$A$95,A395,ROBA_U_DOLASKU!$H$6:$H$95,2)</f>
        <v>0</v>
      </c>
      <c r="N395" s="9" t="n">
        <f aca="false">SUMIFS(ROBA_U_DOLASKU!$C$6:$C$95,ROBA_U_DOLASKU!$A$6:$A$95,A395,ROBA_U_DOLASKU!$H$6:$H$95,3)</f>
        <v>0</v>
      </c>
      <c r="O395" s="9" t="n">
        <f aca="false">SUMIFS(ROBA_U_DOLASKU!$B$6:$B$95,ROBA_U_DOLASKU!$A$6:$A$95,A395,ROBA_U_DOLASKU!$H$6:$H$95,3)</f>
        <v>0</v>
      </c>
      <c r="P395" s="9" t="n">
        <f aca="false">IF(H395&lt;=0,999,IF(O395&gt;0,ROUND((F395-H395*N395+K395+M395+O395)/H395,1),IF(M395&gt;0,ROUND((F395-H395*L395+K395+M395)/H395,1),IF(K395&gt;0,ROUND((F395-H395*J395+K395)/H395,1),I395))))</f>
        <v>999</v>
      </c>
      <c r="Q395" s="22" t="str">
        <f aca="false">IF(H395&lt;=0,"Nema prodaje",IF(AND(K395=0,M395=0,O395=0),IF(I395&lt;POSTAVKE!$B$6,"Naruči odmah","Sve u redu"),IF(F395-H395*J395&lt;0,"Rupa za ~"&amp;TEXT(I395,"0.0")&amp;" mj.",IF(AND(M395&gt;0,F395-H395*L395+K395&lt;0),"Rupa nakon 1. dolaska",IF(AND(O395&gt;0,F395-H395*N395+K395+M395&lt;0),"Rupa nakon 2. dolaska",IF(P395&lt;POSTAVKE!$B$6,"Količina nije dovoljna",IF(I395&gt;=POSTAVKE!$B$6,"Sve u redu","Stiže na vrijeme")))))))</f>
        <v>Nema prodaje</v>
      </c>
      <c r="S395" s="23" t="n">
        <f aca="false">IFERROR(INDEX(PODACI_PRODAJA!B:B,MATCH($A395,PODACI_PRODAJA!$A:$A,0)),0)</f>
        <v>0</v>
      </c>
      <c r="T395" s="23" t="n">
        <f aca="false">IFERROR(INDEX(PODACI_PRODAJA!C:C,MATCH($A395,PODACI_PRODAJA!$A:$A,0)),0)</f>
        <v>0</v>
      </c>
      <c r="U395" s="23" t="n">
        <f aca="false">IFERROR(INDEX(PODACI_PRODAJA!D:D,MATCH($A395,PODACI_PRODAJA!$A:$A,0)),0)</f>
        <v>0</v>
      </c>
      <c r="V395" s="23" t="n">
        <f aca="false">IFERROR(INDEX(PODACI_PRODAJA!E:E,MATCH($A395,PODACI_PRODAJA!$A:$A,0)),0)</f>
        <v>0</v>
      </c>
      <c r="W395" s="23" t="n">
        <f aca="false">IFERROR(INDEX(PODACI_PRODAJA!F:F,MATCH($A395,PODACI_PRODAJA!$A:$A,0)),0)</f>
        <v>0</v>
      </c>
      <c r="X395" s="23" t="n">
        <f aca="false">IFERROR(INDEX(PODACI_PRODAJA!G:G,MATCH($A395,PODACI_PRODAJA!$A:$A,0)),0)</f>
        <v>0</v>
      </c>
      <c r="Y395" s="23" t="n">
        <f aca="false">IFERROR(INDEX(PODACI_PRODAJA!H:H,MATCH($A395,PODACI_PRODAJA!$A:$A,0)),0)</f>
        <v>0</v>
      </c>
      <c r="Z395" s="23" t="n">
        <f aca="false">IFERROR(INDEX(PODACI_PRODAJA!I:I,MATCH($A395,PODACI_PRODAJA!$A:$A,0)),0)</f>
        <v>0</v>
      </c>
      <c r="AA395" s="23" t="n">
        <f aca="false">IFERROR(INDEX(PODACI_PRODAJA!J:J,MATCH($A395,PODACI_PRODAJA!$A:$A,0)),0)</f>
        <v>0</v>
      </c>
      <c r="AB395" s="23" t="n">
        <f aca="false">IFERROR(INDEX(PODACI_PRODAJA!K:K,MATCH($A395,PODACI_PRODAJA!$A:$A,0)),0)</f>
        <v>0</v>
      </c>
      <c r="AC395" s="23" t="n">
        <f aca="false">IFERROR(INDEX(PODACI_PRODAJA!L:L,MATCH($A395,PODACI_PRODAJA!$A:$A,0)),0)</f>
        <v>0</v>
      </c>
      <c r="AD395" s="23" t="n">
        <f aca="false">IFERROR(INDEX(PODACI_PRODAJA!M:M,MATCH($A395,PODACI_PRODAJA!$A:$A,0)),0)</f>
        <v>0</v>
      </c>
    </row>
    <row r="396" customFormat="false" ht="15" hidden="false" customHeight="false" outlineLevel="0" collapsed="false">
      <c r="A396" s="11" t="str">
        <f aca="false">PODACI_ZALIHE!A393</f>
        <v>15256</v>
      </c>
      <c r="B396" s="8" t="str">
        <f aca="false">PODACI_ZALIHE!B393</f>
        <v>SCALA MIJEŠALICA ZA TUŠ</v>
      </c>
      <c r="C396" s="9" t="str">
        <f aca="false">PODACI_ZALIHE!C393</f>
        <v>5150</v>
      </c>
      <c r="D396" s="8" t="str">
        <f aca="false">PODACI_ZALIHE!D393</f>
        <v>ZHEJIANG VOLONG SANITARY WARES CO.,LTD.</v>
      </c>
      <c r="E396" s="19" t="n">
        <f aca="false">IF(PODACI_ZALIHE!E393="","",PODACI_ZALIHE!E393)</f>
        <v>14</v>
      </c>
      <c r="F396" s="20" t="n">
        <f aca="false">PODACI_ZALIHE!F393</f>
        <v>14</v>
      </c>
      <c r="G396" s="19" t="n">
        <f aca="false">IF(E396="","",E396-F396)</f>
        <v>0</v>
      </c>
      <c r="H396" s="9" t="n">
        <f aca="false">PODACI_PRODAJA!N470</f>
        <v>0.25</v>
      </c>
      <c r="I396" s="21" t="n">
        <f aca="false">IF(H396&lt;=0,999,ROUND(F396/H396,1))</f>
        <v>56</v>
      </c>
      <c r="J396" s="9" t="n">
        <f aca="false">SUMIFS(ROBA_U_DOLASKU!$C$6:$C$95,ROBA_U_DOLASKU!$A$6:$A$95,A396,ROBA_U_DOLASKU!$H$6:$H$95,1)</f>
        <v>0</v>
      </c>
      <c r="K396" s="9" t="n">
        <f aca="false">SUMIFS(ROBA_U_DOLASKU!$B$6:$B$95,ROBA_U_DOLASKU!$A$6:$A$95,A396,ROBA_U_DOLASKU!$H$6:$H$95,1)</f>
        <v>0</v>
      </c>
      <c r="L396" s="9" t="n">
        <f aca="false">SUMIFS(ROBA_U_DOLASKU!$C$6:$C$95,ROBA_U_DOLASKU!$A$6:$A$95,A396,ROBA_U_DOLASKU!$H$6:$H$95,2)</f>
        <v>0</v>
      </c>
      <c r="M396" s="9" t="n">
        <f aca="false">SUMIFS(ROBA_U_DOLASKU!$B$6:$B$95,ROBA_U_DOLASKU!$A$6:$A$95,A396,ROBA_U_DOLASKU!$H$6:$H$95,2)</f>
        <v>0</v>
      </c>
      <c r="N396" s="9" t="n">
        <f aca="false">SUMIFS(ROBA_U_DOLASKU!$C$6:$C$95,ROBA_U_DOLASKU!$A$6:$A$95,A396,ROBA_U_DOLASKU!$H$6:$H$95,3)</f>
        <v>0</v>
      </c>
      <c r="O396" s="9" t="n">
        <f aca="false">SUMIFS(ROBA_U_DOLASKU!$B$6:$B$95,ROBA_U_DOLASKU!$A$6:$A$95,A396,ROBA_U_DOLASKU!$H$6:$H$95,3)</f>
        <v>0</v>
      </c>
      <c r="P396" s="9" t="n">
        <f aca="false">IF(H396&lt;=0,999,IF(O396&gt;0,ROUND((F396-H396*N396+K396+M396+O396)/H396,1),IF(M396&gt;0,ROUND((F396-H396*L396+K396+M396)/H396,1),IF(K396&gt;0,ROUND((F396-H396*J396+K396)/H396,1),I396))))</f>
        <v>56</v>
      </c>
      <c r="Q396" s="22" t="str">
        <f aca="false">IF(H396&lt;=0,"Nema prodaje",IF(AND(K396=0,M396=0,O396=0),IF(I396&lt;POSTAVKE!$B$6,"Naruči odmah","Sve u redu"),IF(F396-H396*J396&lt;0,"Rupa za ~"&amp;TEXT(I396,"0.0")&amp;" mj.",IF(AND(M396&gt;0,F396-H396*L396+K396&lt;0),"Rupa nakon 1. dolaska",IF(AND(O396&gt;0,F396-H396*N396+K396+M396&lt;0),"Rupa nakon 2. dolaska",IF(P396&lt;POSTAVKE!$B$6,"Količina nije dovoljna",IF(I396&gt;=POSTAVKE!$B$6,"Sve u redu","Stiže na vrijeme")))))))</f>
        <v>Sve u redu</v>
      </c>
      <c r="S396" s="23" t="n">
        <f aca="false">IFERROR(INDEX(PODACI_PRODAJA!B:B,MATCH($A396,PODACI_PRODAJA!$A:$A,0)),0)</f>
        <v>0</v>
      </c>
      <c r="T396" s="23" t="n">
        <f aca="false">IFERROR(INDEX(PODACI_PRODAJA!C:C,MATCH($A396,PODACI_PRODAJA!$A:$A,0)),0)</f>
        <v>0</v>
      </c>
      <c r="U396" s="23" t="n">
        <f aca="false">IFERROR(INDEX(PODACI_PRODAJA!D:D,MATCH($A396,PODACI_PRODAJA!$A:$A,0)),0)</f>
        <v>0</v>
      </c>
      <c r="V396" s="23" t="n">
        <f aca="false">IFERROR(INDEX(PODACI_PRODAJA!E:E,MATCH($A396,PODACI_PRODAJA!$A:$A,0)),0)</f>
        <v>0</v>
      </c>
      <c r="W396" s="23" t="n">
        <f aca="false">IFERROR(INDEX(PODACI_PRODAJA!F:F,MATCH($A396,PODACI_PRODAJA!$A:$A,0)),0)</f>
        <v>0</v>
      </c>
      <c r="X396" s="23" t="n">
        <f aca="false">IFERROR(INDEX(PODACI_PRODAJA!G:G,MATCH($A396,PODACI_PRODAJA!$A:$A,0)),0)</f>
        <v>0</v>
      </c>
      <c r="Y396" s="23" t="n">
        <f aca="false">IFERROR(INDEX(PODACI_PRODAJA!H:H,MATCH($A396,PODACI_PRODAJA!$A:$A,0)),0)</f>
        <v>0</v>
      </c>
      <c r="Z396" s="23" t="n">
        <f aca="false">IFERROR(INDEX(PODACI_PRODAJA!I:I,MATCH($A396,PODACI_PRODAJA!$A:$A,0)),0)</f>
        <v>2</v>
      </c>
      <c r="AA396" s="23" t="n">
        <f aca="false">IFERROR(INDEX(PODACI_PRODAJA!J:J,MATCH($A396,PODACI_PRODAJA!$A:$A,0)),0)</f>
        <v>0</v>
      </c>
      <c r="AB396" s="23" t="n">
        <f aca="false">IFERROR(INDEX(PODACI_PRODAJA!K:K,MATCH($A396,PODACI_PRODAJA!$A:$A,0)),0)</f>
        <v>0</v>
      </c>
      <c r="AC396" s="23" t="n">
        <f aca="false">IFERROR(INDEX(PODACI_PRODAJA!L:L,MATCH($A396,PODACI_PRODAJA!$A:$A,0)),0)</f>
        <v>0</v>
      </c>
      <c r="AD396" s="23" t="n">
        <f aca="false">IFERROR(INDEX(PODACI_PRODAJA!M:M,MATCH($A396,PODACI_PRODAJA!$A:$A,0)),0)</f>
        <v>0</v>
      </c>
    </row>
    <row r="397" customFormat="false" ht="15" hidden="false" customHeight="false" outlineLevel="0" collapsed="false">
      <c r="A397" s="11" t="str">
        <f aca="false">PODACI_ZALIHE!A394</f>
        <v>16964</v>
      </c>
      <c r="B397" s="8" t="str">
        <f aca="false">PODACI_ZALIHE!B394</f>
        <v>CLEAR SIDE 90 BLACK STAKLENA STRANICA 900x1950 mm</v>
      </c>
      <c r="C397" s="9" t="str">
        <f aca="false">PODACI_ZALIHE!C394</f>
        <v>6163</v>
      </c>
      <c r="D397" s="8" t="str">
        <f aca="false">PODACI_ZALIHE!D394</f>
        <v>HANGZHOU TIANMEI INDUSTRY CO.,LTD</v>
      </c>
      <c r="E397" s="19" t="n">
        <f aca="false">IF(PODACI_ZALIHE!E394="","",PODACI_ZALIHE!E394)</f>
        <v>14</v>
      </c>
      <c r="F397" s="20" t="n">
        <f aca="false">PODACI_ZALIHE!F394</f>
        <v>14</v>
      </c>
      <c r="G397" s="19" t="n">
        <f aca="false">IF(E397="","",E397-F397)</f>
        <v>0</v>
      </c>
      <c r="H397" s="9" t="n">
        <f aca="false">PODACI_PRODAJA!N159</f>
        <v>2.25</v>
      </c>
      <c r="I397" s="21" t="n">
        <f aca="false">IF(H397&lt;=0,999,ROUND(F397/H397,1))</f>
        <v>6.2</v>
      </c>
      <c r="J397" s="9" t="n">
        <f aca="false">SUMIFS(ROBA_U_DOLASKU!$C$6:$C$95,ROBA_U_DOLASKU!$A$6:$A$95,A397,ROBA_U_DOLASKU!$H$6:$H$95,1)</f>
        <v>2.4</v>
      </c>
      <c r="K397" s="9" t="n">
        <f aca="false">SUMIFS(ROBA_U_DOLASKU!$B$6:$B$95,ROBA_U_DOLASKU!$A$6:$A$95,A397,ROBA_U_DOLASKU!$H$6:$H$95,1)</f>
        <v>20</v>
      </c>
      <c r="L397" s="9" t="n">
        <f aca="false">SUMIFS(ROBA_U_DOLASKU!$C$6:$C$95,ROBA_U_DOLASKU!$A$6:$A$95,A397,ROBA_U_DOLASKU!$H$6:$H$95,2)</f>
        <v>0</v>
      </c>
      <c r="M397" s="9" t="n">
        <f aca="false">SUMIFS(ROBA_U_DOLASKU!$B$6:$B$95,ROBA_U_DOLASKU!$A$6:$A$95,A397,ROBA_U_DOLASKU!$H$6:$H$95,2)</f>
        <v>0</v>
      </c>
      <c r="N397" s="9" t="n">
        <f aca="false">SUMIFS(ROBA_U_DOLASKU!$C$6:$C$95,ROBA_U_DOLASKU!$A$6:$A$95,A397,ROBA_U_DOLASKU!$H$6:$H$95,3)</f>
        <v>0</v>
      </c>
      <c r="O397" s="9" t="n">
        <f aca="false">SUMIFS(ROBA_U_DOLASKU!$B$6:$B$95,ROBA_U_DOLASKU!$A$6:$A$95,A397,ROBA_U_DOLASKU!$H$6:$H$95,3)</f>
        <v>0</v>
      </c>
      <c r="P397" s="9" t="n">
        <f aca="false">IF(H397&lt;=0,999,IF(O397&gt;0,ROUND((F397-H397*N397+K397+M397+O397)/H397,1),IF(M397&gt;0,ROUND((F397-H397*L397+K397+M397)/H397,1),IF(K397&gt;0,ROUND((F397-H397*J397+K397)/H397,1),I397))))</f>
        <v>12.7</v>
      </c>
      <c r="Q397" s="22" t="str">
        <f aca="false">IF(H397&lt;=0,"Nema prodaje",IF(AND(K397=0,M397=0,O397=0),IF(I397&lt;POSTAVKE!$B$6,"Naruči odmah","Sve u redu"),IF(F397-H397*J397&lt;0,"Rupa za ~"&amp;TEXT(I397,"0.0")&amp;" mj.",IF(AND(M397&gt;0,F397-H397*L397+K397&lt;0),"Rupa nakon 1. dolaska",IF(AND(O397&gt;0,F397-H397*N397+K397+M397&lt;0),"Rupa nakon 2. dolaska",IF(P397&lt;POSTAVKE!$B$6,"Količina nije dovoljna",IF(I397&gt;=POSTAVKE!$B$6,"Sve u redu","Stiže na vrijeme")))))))</f>
        <v>Sve u redu</v>
      </c>
      <c r="S397" s="23" t="n">
        <f aca="false">IFERROR(INDEX(PODACI_PRODAJA!B:B,MATCH($A397,PODACI_PRODAJA!$A:$A,0)),0)</f>
        <v>3</v>
      </c>
      <c r="T397" s="23" t="n">
        <f aca="false">IFERROR(INDEX(PODACI_PRODAJA!C:C,MATCH($A397,PODACI_PRODAJA!$A:$A,0)),0)</f>
        <v>0</v>
      </c>
      <c r="U397" s="23" t="n">
        <f aca="false">IFERROR(INDEX(PODACI_PRODAJA!D:D,MATCH($A397,PODACI_PRODAJA!$A:$A,0)),0)</f>
        <v>3</v>
      </c>
      <c r="V397" s="23" t="n">
        <f aca="false">IFERROR(INDEX(PODACI_PRODAJA!E:E,MATCH($A397,PODACI_PRODAJA!$A:$A,0)),0)</f>
        <v>4</v>
      </c>
      <c r="W397" s="23" t="n">
        <f aca="false">IFERROR(INDEX(PODACI_PRODAJA!F:F,MATCH($A397,PODACI_PRODAJA!$A:$A,0)),0)</f>
        <v>1</v>
      </c>
      <c r="X397" s="23" t="n">
        <f aca="false">IFERROR(INDEX(PODACI_PRODAJA!G:G,MATCH($A397,PODACI_PRODAJA!$A:$A,0)),0)</f>
        <v>5</v>
      </c>
      <c r="Y397" s="23" t="n">
        <f aca="false">IFERROR(INDEX(PODACI_PRODAJA!H:H,MATCH($A397,PODACI_PRODAJA!$A:$A,0)),0)</f>
        <v>0</v>
      </c>
      <c r="Z397" s="23" t="n">
        <f aca="false">IFERROR(INDEX(PODACI_PRODAJA!I:I,MATCH($A397,PODACI_PRODAJA!$A:$A,0)),0)</f>
        <v>2</v>
      </c>
      <c r="AA397" s="23" t="n">
        <f aca="false">IFERROR(INDEX(PODACI_PRODAJA!J:J,MATCH($A397,PODACI_PRODAJA!$A:$A,0)),0)</f>
        <v>0</v>
      </c>
      <c r="AB397" s="23" t="n">
        <f aca="false">IFERROR(INDEX(PODACI_PRODAJA!K:K,MATCH($A397,PODACI_PRODAJA!$A:$A,0)),0)</f>
        <v>0</v>
      </c>
      <c r="AC397" s="23" t="n">
        <f aca="false">IFERROR(INDEX(PODACI_PRODAJA!L:L,MATCH($A397,PODACI_PRODAJA!$A:$A,0)),0)</f>
        <v>0</v>
      </c>
      <c r="AD397" s="23" t="n">
        <f aca="false">IFERROR(INDEX(PODACI_PRODAJA!M:M,MATCH($A397,PODACI_PRODAJA!$A:$A,0)),0)</f>
        <v>0</v>
      </c>
    </row>
    <row r="398" customFormat="false" ht="15" hidden="false" customHeight="false" outlineLevel="0" collapsed="false">
      <c r="A398" s="11" t="str">
        <f aca="false">PODACI_ZALIHE!A395</f>
        <v>18003</v>
      </c>
      <c r="B398" s="8" t="str">
        <f aca="false">PODACI_ZALIHE!B395</f>
        <v>VETRO CR TRS 6mm ECO TUŠ STIJENA 110x200</v>
      </c>
      <c r="C398" s="9" t="str">
        <f aca="false">PODACI_ZALIHE!C395</f>
        <v>6762</v>
      </c>
      <c r="D398" s="8" t="str">
        <f aca="false">PODACI_ZALIHE!D395</f>
        <v>ZHEJIANG QUICKLINE SHOWERING CO., LTD.</v>
      </c>
      <c r="E398" s="19" t="n">
        <f aca="false">IF(PODACI_ZALIHE!E395="","",PODACI_ZALIHE!E395)</f>
        <v>14</v>
      </c>
      <c r="F398" s="20" t="n">
        <f aca="false">PODACI_ZALIHE!F395</f>
        <v>14</v>
      </c>
      <c r="G398" s="19" t="n">
        <f aca="false">IF(E398="","",E398-F398)</f>
        <v>0</v>
      </c>
      <c r="H398" s="9" t="n">
        <f aca="false">PODACI_PRODAJA!N644</f>
        <v>6.63</v>
      </c>
      <c r="I398" s="21" t="n">
        <f aca="false">IF(H398&lt;=0,999,ROUND(F398/H398,1))</f>
        <v>2.1</v>
      </c>
      <c r="J398" s="9" t="n">
        <f aca="false">SUMIFS(ROBA_U_DOLASKU!$C$6:$C$95,ROBA_U_DOLASKU!$A$6:$A$95,A398,ROBA_U_DOLASKU!$H$6:$H$95,1)</f>
        <v>0</v>
      </c>
      <c r="K398" s="9" t="n">
        <f aca="false">SUMIFS(ROBA_U_DOLASKU!$B$6:$B$95,ROBA_U_DOLASKU!$A$6:$A$95,A398,ROBA_U_DOLASKU!$H$6:$H$95,1)</f>
        <v>0</v>
      </c>
      <c r="L398" s="9" t="n">
        <f aca="false">SUMIFS(ROBA_U_DOLASKU!$C$6:$C$95,ROBA_U_DOLASKU!$A$6:$A$95,A398,ROBA_U_DOLASKU!$H$6:$H$95,2)</f>
        <v>0</v>
      </c>
      <c r="M398" s="9" t="n">
        <f aca="false">SUMIFS(ROBA_U_DOLASKU!$B$6:$B$95,ROBA_U_DOLASKU!$A$6:$A$95,A398,ROBA_U_DOLASKU!$H$6:$H$95,2)</f>
        <v>0</v>
      </c>
      <c r="N398" s="9" t="n">
        <f aca="false">SUMIFS(ROBA_U_DOLASKU!$C$6:$C$95,ROBA_U_DOLASKU!$A$6:$A$95,A398,ROBA_U_DOLASKU!$H$6:$H$95,3)</f>
        <v>0</v>
      </c>
      <c r="O398" s="9" t="n">
        <f aca="false">SUMIFS(ROBA_U_DOLASKU!$B$6:$B$95,ROBA_U_DOLASKU!$A$6:$A$95,A398,ROBA_U_DOLASKU!$H$6:$H$95,3)</f>
        <v>0</v>
      </c>
      <c r="P398" s="9" t="n">
        <f aca="false">IF(H398&lt;=0,999,IF(O398&gt;0,ROUND((F398-H398*N398+K398+M398+O398)/H398,1),IF(M398&gt;0,ROUND((F398-H398*L398+K398+M398)/H398,1),IF(K398&gt;0,ROUND((F398-H398*J398+K398)/H398,1),I398))))</f>
        <v>2.1</v>
      </c>
      <c r="Q398" s="22" t="str">
        <f aca="false">IF(H398&lt;=0,"Nema prodaje",IF(AND(K398=0,M398=0,O398=0),IF(I398&lt;POSTAVKE!$B$6,"Naruči odmah","Sve u redu"),IF(F398-H398*J398&lt;0,"Rupa za ~"&amp;TEXT(I398,"0.0")&amp;" mj.",IF(AND(M398&gt;0,F398-H398*L398+K398&lt;0),"Rupa nakon 1. dolaska",IF(AND(O398&gt;0,F398-H398*N398+K398+M398&lt;0),"Rupa nakon 2. dolaska",IF(P398&lt;POSTAVKE!$B$6,"Količina nije dovoljna",IF(I398&gt;=POSTAVKE!$B$6,"Sve u redu","Stiže na vrijeme")))))))</f>
        <v>Naruči odmah</v>
      </c>
      <c r="S398" s="23" t="n">
        <f aca="false">IFERROR(INDEX(PODACI_PRODAJA!B:B,MATCH($A398,PODACI_PRODAJA!$A:$A,0)),0)</f>
        <v>0</v>
      </c>
      <c r="T398" s="23" t="n">
        <f aca="false">IFERROR(INDEX(PODACI_PRODAJA!C:C,MATCH($A398,PODACI_PRODAJA!$A:$A,0)),0)</f>
        <v>0</v>
      </c>
      <c r="U398" s="23" t="n">
        <f aca="false">IFERROR(INDEX(PODACI_PRODAJA!D:D,MATCH($A398,PODACI_PRODAJA!$A:$A,0)),0)</f>
        <v>29</v>
      </c>
      <c r="V398" s="23" t="n">
        <f aca="false">IFERROR(INDEX(PODACI_PRODAJA!E:E,MATCH($A398,PODACI_PRODAJA!$A:$A,0)),0)</f>
        <v>0</v>
      </c>
      <c r="W398" s="23" t="n">
        <f aca="false">IFERROR(INDEX(PODACI_PRODAJA!F:F,MATCH($A398,PODACI_PRODAJA!$A:$A,0)),0)</f>
        <v>22</v>
      </c>
      <c r="X398" s="23" t="n">
        <f aca="false">IFERROR(INDEX(PODACI_PRODAJA!G:G,MATCH($A398,PODACI_PRODAJA!$A:$A,0)),0)</f>
        <v>2</v>
      </c>
      <c r="Y398" s="23" t="n">
        <f aca="false">IFERROR(INDEX(PODACI_PRODAJA!H:H,MATCH($A398,PODACI_PRODAJA!$A:$A,0)),0)</f>
        <v>0</v>
      </c>
      <c r="Z398" s="23" t="n">
        <f aca="false">IFERROR(INDEX(PODACI_PRODAJA!I:I,MATCH($A398,PODACI_PRODAJA!$A:$A,0)),0)</f>
        <v>0</v>
      </c>
      <c r="AA398" s="23" t="n">
        <f aca="false">IFERROR(INDEX(PODACI_PRODAJA!J:J,MATCH($A398,PODACI_PRODAJA!$A:$A,0)),0)</f>
        <v>0</v>
      </c>
      <c r="AB398" s="23" t="n">
        <f aca="false">IFERROR(INDEX(PODACI_PRODAJA!K:K,MATCH($A398,PODACI_PRODAJA!$A:$A,0)),0)</f>
        <v>0</v>
      </c>
      <c r="AC398" s="23" t="n">
        <f aca="false">IFERROR(INDEX(PODACI_PRODAJA!L:L,MATCH($A398,PODACI_PRODAJA!$A:$A,0)),0)</f>
        <v>0</v>
      </c>
      <c r="AD398" s="23" t="n">
        <f aca="false">IFERROR(INDEX(PODACI_PRODAJA!M:M,MATCH($A398,PODACI_PRODAJA!$A:$A,0)),0)</f>
        <v>0</v>
      </c>
    </row>
    <row r="399" customFormat="false" ht="15" hidden="false" customHeight="false" outlineLevel="0" collapsed="false">
      <c r="A399" s="11" t="str">
        <f aca="false">PODACI_ZALIHE!A396</f>
        <v>18569</v>
      </c>
      <c r="B399" s="8" t="str">
        <f aca="false">PODACI_ZALIHE!B396</f>
        <v>VETRO BRILLIANCE CRYSTAL BLACK 100 TUŠ STIJENA 100x200cm</v>
      </c>
      <c r="C399" s="9" t="str">
        <f aca="false">PODACI_ZALIHE!C396</f>
        <v>6762</v>
      </c>
      <c r="D399" s="8" t="str">
        <f aca="false">PODACI_ZALIHE!D396</f>
        <v>ZHEJIANG QUICKLINE SHOWERING CO., LTD.</v>
      </c>
      <c r="E399" s="19" t="n">
        <f aca="false">IF(PODACI_ZALIHE!E396="","",PODACI_ZALIHE!E396)</f>
        <v>14</v>
      </c>
      <c r="F399" s="20" t="n">
        <f aca="false">PODACI_ZALIHE!F396</f>
        <v>14</v>
      </c>
      <c r="G399" s="19" t="n">
        <f aca="false">IF(E399="","",E399-F399)</f>
        <v>0</v>
      </c>
      <c r="H399" s="9" t="n">
        <f aca="false">PODACI_PRODAJA!N679</f>
        <v>3.13</v>
      </c>
      <c r="I399" s="21" t="n">
        <f aca="false">IF(H399&lt;=0,999,ROUND(F399/H399,1))</f>
        <v>4.5</v>
      </c>
      <c r="J399" s="9" t="n">
        <f aca="false">SUMIFS(ROBA_U_DOLASKU!$C$6:$C$95,ROBA_U_DOLASKU!$A$6:$A$95,A399,ROBA_U_DOLASKU!$H$6:$H$95,1)</f>
        <v>0</v>
      </c>
      <c r="K399" s="9" t="n">
        <f aca="false">SUMIFS(ROBA_U_DOLASKU!$B$6:$B$95,ROBA_U_DOLASKU!$A$6:$A$95,A399,ROBA_U_DOLASKU!$H$6:$H$95,1)</f>
        <v>0</v>
      </c>
      <c r="L399" s="9" t="n">
        <f aca="false">SUMIFS(ROBA_U_DOLASKU!$C$6:$C$95,ROBA_U_DOLASKU!$A$6:$A$95,A399,ROBA_U_DOLASKU!$H$6:$H$95,2)</f>
        <v>0</v>
      </c>
      <c r="M399" s="9" t="n">
        <f aca="false">SUMIFS(ROBA_U_DOLASKU!$B$6:$B$95,ROBA_U_DOLASKU!$A$6:$A$95,A399,ROBA_U_DOLASKU!$H$6:$H$95,2)</f>
        <v>0</v>
      </c>
      <c r="N399" s="9" t="n">
        <f aca="false">SUMIFS(ROBA_U_DOLASKU!$C$6:$C$95,ROBA_U_DOLASKU!$A$6:$A$95,A399,ROBA_U_DOLASKU!$H$6:$H$95,3)</f>
        <v>0</v>
      </c>
      <c r="O399" s="9" t="n">
        <f aca="false">SUMIFS(ROBA_U_DOLASKU!$B$6:$B$95,ROBA_U_DOLASKU!$A$6:$A$95,A399,ROBA_U_DOLASKU!$H$6:$H$95,3)</f>
        <v>0</v>
      </c>
      <c r="P399" s="9" t="n">
        <f aca="false">IF(H399&lt;=0,999,IF(O399&gt;0,ROUND((F399-H399*N399+K399+M399+O399)/H399,1),IF(M399&gt;0,ROUND((F399-H399*L399+K399+M399)/H399,1),IF(K399&gt;0,ROUND((F399-H399*J399+K399)/H399,1),I399))))</f>
        <v>4.5</v>
      </c>
      <c r="Q399" s="22" t="str">
        <f aca="false">IF(H399&lt;=0,"Nema prodaje",IF(AND(K399=0,M399=0,O399=0),IF(I399&lt;POSTAVKE!$B$6,"Naruči odmah","Sve u redu"),IF(F399-H399*J399&lt;0,"Rupa za ~"&amp;TEXT(I399,"0.0")&amp;" mj.",IF(AND(M399&gt;0,F399-H399*L399+K399&lt;0),"Rupa nakon 1. dolaska",IF(AND(O399&gt;0,F399-H399*N399+K399+M399&lt;0),"Rupa nakon 2. dolaska",IF(P399&lt;POSTAVKE!$B$6,"Količina nije dovoljna",IF(I399&gt;=POSTAVKE!$B$6,"Sve u redu","Stiže na vrijeme")))))))</f>
        <v>Naruči odmah</v>
      </c>
      <c r="S399" s="23" t="n">
        <f aca="false">IFERROR(INDEX(PODACI_PRODAJA!B:B,MATCH($A399,PODACI_PRODAJA!$A:$A,0)),0)</f>
        <v>0</v>
      </c>
      <c r="T399" s="23" t="n">
        <f aca="false">IFERROR(INDEX(PODACI_PRODAJA!C:C,MATCH($A399,PODACI_PRODAJA!$A:$A,0)),0)</f>
        <v>2</v>
      </c>
      <c r="U399" s="23" t="n">
        <f aca="false">IFERROR(INDEX(PODACI_PRODAJA!D:D,MATCH($A399,PODACI_PRODAJA!$A:$A,0)),0)</f>
        <v>0</v>
      </c>
      <c r="V399" s="23" t="n">
        <f aca="false">IFERROR(INDEX(PODACI_PRODAJA!E:E,MATCH($A399,PODACI_PRODAJA!$A:$A,0)),0)</f>
        <v>1</v>
      </c>
      <c r="W399" s="23" t="n">
        <f aca="false">IFERROR(INDEX(PODACI_PRODAJA!F:F,MATCH($A399,PODACI_PRODAJA!$A:$A,0)),0)</f>
        <v>6</v>
      </c>
      <c r="X399" s="23" t="n">
        <f aca="false">IFERROR(INDEX(PODACI_PRODAJA!G:G,MATCH($A399,PODACI_PRODAJA!$A:$A,0)),0)</f>
        <v>0</v>
      </c>
      <c r="Y399" s="23" t="n">
        <f aca="false">IFERROR(INDEX(PODACI_PRODAJA!H:H,MATCH($A399,PODACI_PRODAJA!$A:$A,0)),0)</f>
        <v>12</v>
      </c>
      <c r="Z399" s="23" t="n">
        <f aca="false">IFERROR(INDEX(PODACI_PRODAJA!I:I,MATCH($A399,PODACI_PRODAJA!$A:$A,0)),0)</f>
        <v>4</v>
      </c>
      <c r="AA399" s="23" t="n">
        <f aca="false">IFERROR(INDEX(PODACI_PRODAJA!J:J,MATCH($A399,PODACI_PRODAJA!$A:$A,0)),0)</f>
        <v>0</v>
      </c>
      <c r="AB399" s="23" t="n">
        <f aca="false">IFERROR(INDEX(PODACI_PRODAJA!K:K,MATCH($A399,PODACI_PRODAJA!$A:$A,0)),0)</f>
        <v>0</v>
      </c>
      <c r="AC399" s="23" t="n">
        <f aca="false">IFERROR(INDEX(PODACI_PRODAJA!L:L,MATCH($A399,PODACI_PRODAJA!$A:$A,0)),0)</f>
        <v>0</v>
      </c>
      <c r="AD399" s="23" t="n">
        <f aca="false">IFERROR(INDEX(PODACI_PRODAJA!M:M,MATCH($A399,PODACI_PRODAJA!$A:$A,0)),0)</f>
        <v>0</v>
      </c>
    </row>
    <row r="400" customFormat="false" ht="15" hidden="false" customHeight="false" outlineLevel="0" collapsed="false">
      <c r="A400" s="11" t="str">
        <f aca="false">PODACI_ZALIHE!A397</f>
        <v>18651</v>
      </c>
      <c r="B400" s="8" t="str">
        <f aca="false">PODACI_ZALIHE!B397</f>
        <v>VETRO FLUTED 80 CHROME TUŠ STIJENA 80x200 cm</v>
      </c>
      <c r="C400" s="9" t="str">
        <f aca="false">PODACI_ZALIHE!C397</f>
        <v>6762</v>
      </c>
      <c r="D400" s="8" t="str">
        <f aca="false">PODACI_ZALIHE!D397</f>
        <v>ZHEJIANG QUICKLINE SHOWERING CO., LTD.</v>
      </c>
      <c r="E400" s="19" t="n">
        <f aca="false">IF(PODACI_ZALIHE!E397="","",PODACI_ZALIHE!E397)</f>
        <v>14</v>
      </c>
      <c r="F400" s="20" t="n">
        <f aca="false">PODACI_ZALIHE!F397</f>
        <v>14</v>
      </c>
      <c r="G400" s="19" t="n">
        <f aca="false">IF(E400="","",E400-F400)</f>
        <v>0</v>
      </c>
      <c r="H400" s="9" t="n">
        <f aca="false">PODACI_PRODAJA!N680</f>
        <v>0</v>
      </c>
      <c r="I400" s="21" t="n">
        <f aca="false">IF(H400&lt;=0,999,ROUND(F400/H400,1))</f>
        <v>999</v>
      </c>
      <c r="J400" s="9" t="n">
        <f aca="false">SUMIFS(ROBA_U_DOLASKU!$C$6:$C$95,ROBA_U_DOLASKU!$A$6:$A$95,A400,ROBA_U_DOLASKU!$H$6:$H$95,1)</f>
        <v>0</v>
      </c>
      <c r="K400" s="9" t="n">
        <f aca="false">SUMIFS(ROBA_U_DOLASKU!$B$6:$B$95,ROBA_U_DOLASKU!$A$6:$A$95,A400,ROBA_U_DOLASKU!$H$6:$H$95,1)</f>
        <v>0</v>
      </c>
      <c r="L400" s="9" t="n">
        <f aca="false">SUMIFS(ROBA_U_DOLASKU!$C$6:$C$95,ROBA_U_DOLASKU!$A$6:$A$95,A400,ROBA_U_DOLASKU!$H$6:$H$95,2)</f>
        <v>0</v>
      </c>
      <c r="M400" s="9" t="n">
        <f aca="false">SUMIFS(ROBA_U_DOLASKU!$B$6:$B$95,ROBA_U_DOLASKU!$A$6:$A$95,A400,ROBA_U_DOLASKU!$H$6:$H$95,2)</f>
        <v>0</v>
      </c>
      <c r="N400" s="9" t="n">
        <f aca="false">SUMIFS(ROBA_U_DOLASKU!$C$6:$C$95,ROBA_U_DOLASKU!$A$6:$A$95,A400,ROBA_U_DOLASKU!$H$6:$H$95,3)</f>
        <v>0</v>
      </c>
      <c r="O400" s="9" t="n">
        <f aca="false">SUMIFS(ROBA_U_DOLASKU!$B$6:$B$95,ROBA_U_DOLASKU!$A$6:$A$95,A400,ROBA_U_DOLASKU!$H$6:$H$95,3)</f>
        <v>0</v>
      </c>
      <c r="P400" s="9" t="n">
        <f aca="false">IF(H400&lt;=0,999,IF(O400&gt;0,ROUND((F400-H400*N400+K400+M400+O400)/H400,1),IF(M400&gt;0,ROUND((F400-H400*L400+K400+M400)/H400,1),IF(K400&gt;0,ROUND((F400-H400*J400+K400)/H400,1),I400))))</f>
        <v>999</v>
      </c>
      <c r="Q400" s="22" t="str">
        <f aca="false">IF(H400&lt;=0,"Nema prodaje",IF(AND(K400=0,M400=0,O400=0),IF(I400&lt;POSTAVKE!$B$6,"Naruči odmah","Sve u redu"),IF(F400-H400*J400&lt;0,"Rupa za ~"&amp;TEXT(I400,"0.0")&amp;" mj.",IF(AND(M400&gt;0,F400-H400*L400+K400&lt;0),"Rupa nakon 1. dolaska",IF(AND(O400&gt;0,F400-H400*N400+K400+M400&lt;0),"Rupa nakon 2. dolaska",IF(P400&lt;POSTAVKE!$B$6,"Količina nije dovoljna",IF(I400&gt;=POSTAVKE!$B$6,"Sve u redu","Stiže na vrijeme")))))))</f>
        <v>Nema prodaje</v>
      </c>
      <c r="S400" s="23" t="n">
        <f aca="false">IFERROR(INDEX(PODACI_PRODAJA!B:B,MATCH($A400,PODACI_PRODAJA!$A:$A,0)),0)</f>
        <v>0</v>
      </c>
      <c r="T400" s="23" t="n">
        <f aca="false">IFERROR(INDEX(PODACI_PRODAJA!C:C,MATCH($A400,PODACI_PRODAJA!$A:$A,0)),0)</f>
        <v>0</v>
      </c>
      <c r="U400" s="23" t="n">
        <f aca="false">IFERROR(INDEX(PODACI_PRODAJA!D:D,MATCH($A400,PODACI_PRODAJA!$A:$A,0)),0)</f>
        <v>0</v>
      </c>
      <c r="V400" s="23" t="n">
        <f aca="false">IFERROR(INDEX(PODACI_PRODAJA!E:E,MATCH($A400,PODACI_PRODAJA!$A:$A,0)),0)</f>
        <v>0</v>
      </c>
      <c r="W400" s="23" t="n">
        <f aca="false">IFERROR(INDEX(PODACI_PRODAJA!F:F,MATCH($A400,PODACI_PRODAJA!$A:$A,0)),0)</f>
        <v>0</v>
      </c>
      <c r="X400" s="23" t="n">
        <f aca="false">IFERROR(INDEX(PODACI_PRODAJA!G:G,MATCH($A400,PODACI_PRODAJA!$A:$A,0)),0)</f>
        <v>0</v>
      </c>
      <c r="Y400" s="23" t="n">
        <f aca="false">IFERROR(INDEX(PODACI_PRODAJA!H:H,MATCH($A400,PODACI_PRODAJA!$A:$A,0)),0)</f>
        <v>0</v>
      </c>
      <c r="Z400" s="23" t="n">
        <f aca="false">IFERROR(INDEX(PODACI_PRODAJA!I:I,MATCH($A400,PODACI_PRODAJA!$A:$A,0)),0)</f>
        <v>0</v>
      </c>
      <c r="AA400" s="23" t="n">
        <f aca="false">IFERROR(INDEX(PODACI_PRODAJA!J:J,MATCH($A400,PODACI_PRODAJA!$A:$A,0)),0)</f>
        <v>0</v>
      </c>
      <c r="AB400" s="23" t="n">
        <f aca="false">IFERROR(INDEX(PODACI_PRODAJA!K:K,MATCH($A400,PODACI_PRODAJA!$A:$A,0)),0)</f>
        <v>0</v>
      </c>
      <c r="AC400" s="23" t="n">
        <f aca="false">IFERROR(INDEX(PODACI_PRODAJA!L:L,MATCH($A400,PODACI_PRODAJA!$A:$A,0)),0)</f>
        <v>0</v>
      </c>
      <c r="AD400" s="23" t="n">
        <f aca="false">IFERROR(INDEX(PODACI_PRODAJA!M:M,MATCH($A400,PODACI_PRODAJA!$A:$A,0)),0)</f>
        <v>0</v>
      </c>
    </row>
    <row r="401" customFormat="false" ht="15" hidden="false" customHeight="false" outlineLevel="0" collapsed="false">
      <c r="A401" s="11" t="str">
        <f aca="false">PODACI_ZALIHE!A398</f>
        <v>18666</v>
      </c>
      <c r="B401" s="8" t="str">
        <f aca="false">PODACI_ZALIHE!B398</f>
        <v>VETRO FLUTED 90 BLACK TUŠ STIJENA 90x200 cm</v>
      </c>
      <c r="C401" s="9" t="str">
        <f aca="false">PODACI_ZALIHE!C398</f>
        <v>6762</v>
      </c>
      <c r="D401" s="8" t="str">
        <f aca="false">PODACI_ZALIHE!D398</f>
        <v>ZHEJIANG QUICKLINE SHOWERING CO., LTD.</v>
      </c>
      <c r="E401" s="19" t="n">
        <f aca="false">IF(PODACI_ZALIHE!E398="","",PODACI_ZALIHE!E398)</f>
        <v>14</v>
      </c>
      <c r="F401" s="20" t="n">
        <f aca="false">PODACI_ZALIHE!F398</f>
        <v>14</v>
      </c>
      <c r="G401" s="19" t="n">
        <f aca="false">IF(E401="","",E401-F401)</f>
        <v>0</v>
      </c>
      <c r="H401" s="9" t="n">
        <f aca="false">PODACI_PRODAJA!N689</f>
        <v>0</v>
      </c>
      <c r="I401" s="21" t="n">
        <f aca="false">IF(H401&lt;=0,999,ROUND(F401/H401,1))</f>
        <v>999</v>
      </c>
      <c r="J401" s="9" t="n">
        <f aca="false">SUMIFS(ROBA_U_DOLASKU!$C$6:$C$95,ROBA_U_DOLASKU!$A$6:$A$95,A401,ROBA_U_DOLASKU!$H$6:$H$95,1)</f>
        <v>0.8</v>
      </c>
      <c r="K401" s="9" t="n">
        <f aca="false">SUMIFS(ROBA_U_DOLASKU!$B$6:$B$95,ROBA_U_DOLASKU!$A$6:$A$95,A401,ROBA_U_DOLASKU!$H$6:$H$95,1)</f>
        <v>20</v>
      </c>
      <c r="L401" s="9" t="n">
        <f aca="false">SUMIFS(ROBA_U_DOLASKU!$C$6:$C$95,ROBA_U_DOLASKU!$A$6:$A$95,A401,ROBA_U_DOLASKU!$H$6:$H$95,2)</f>
        <v>0</v>
      </c>
      <c r="M401" s="9" t="n">
        <f aca="false">SUMIFS(ROBA_U_DOLASKU!$B$6:$B$95,ROBA_U_DOLASKU!$A$6:$A$95,A401,ROBA_U_DOLASKU!$H$6:$H$95,2)</f>
        <v>0</v>
      </c>
      <c r="N401" s="9" t="n">
        <f aca="false">SUMIFS(ROBA_U_DOLASKU!$C$6:$C$95,ROBA_U_DOLASKU!$A$6:$A$95,A401,ROBA_U_DOLASKU!$H$6:$H$95,3)</f>
        <v>0</v>
      </c>
      <c r="O401" s="9" t="n">
        <f aca="false">SUMIFS(ROBA_U_DOLASKU!$B$6:$B$95,ROBA_U_DOLASKU!$A$6:$A$95,A401,ROBA_U_DOLASKU!$H$6:$H$95,3)</f>
        <v>0</v>
      </c>
      <c r="P401" s="9" t="n">
        <f aca="false">IF(H401&lt;=0,999,IF(O401&gt;0,ROUND((F401-H401*N401+K401+M401+O401)/H401,1),IF(M401&gt;0,ROUND((F401-H401*L401+K401+M401)/H401,1),IF(K401&gt;0,ROUND((F401-H401*J401+K401)/H401,1),I401))))</f>
        <v>999</v>
      </c>
      <c r="Q401" s="22" t="str">
        <f aca="false">IF(H401&lt;=0,"Nema prodaje",IF(AND(K401=0,M401=0,O401=0),IF(I401&lt;POSTAVKE!$B$6,"Naruči odmah","Sve u redu"),IF(F401-H401*J401&lt;0,"Rupa za ~"&amp;TEXT(I401,"0.0")&amp;" mj.",IF(AND(M401&gt;0,F401-H401*L401+K401&lt;0),"Rupa nakon 1. dolaska",IF(AND(O401&gt;0,F401-H401*N401+K401+M401&lt;0),"Rupa nakon 2. dolaska",IF(P401&lt;POSTAVKE!$B$6,"Količina nije dovoljna",IF(I401&gt;=POSTAVKE!$B$6,"Sve u redu","Stiže na vrijeme")))))))</f>
        <v>Nema prodaje</v>
      </c>
      <c r="S401" s="23" t="n">
        <f aca="false">IFERROR(INDEX(PODACI_PRODAJA!B:B,MATCH($A401,PODACI_PRODAJA!$A:$A,0)),0)</f>
        <v>0</v>
      </c>
      <c r="T401" s="23" t="n">
        <f aca="false">IFERROR(INDEX(PODACI_PRODAJA!C:C,MATCH($A401,PODACI_PRODAJA!$A:$A,0)),0)</f>
        <v>0</v>
      </c>
      <c r="U401" s="23" t="n">
        <f aca="false">IFERROR(INDEX(PODACI_PRODAJA!D:D,MATCH($A401,PODACI_PRODAJA!$A:$A,0)),0)</f>
        <v>0</v>
      </c>
      <c r="V401" s="23" t="n">
        <f aca="false">IFERROR(INDEX(PODACI_PRODAJA!E:E,MATCH($A401,PODACI_PRODAJA!$A:$A,0)),0)</f>
        <v>0</v>
      </c>
      <c r="W401" s="23" t="n">
        <f aca="false">IFERROR(INDEX(PODACI_PRODAJA!F:F,MATCH($A401,PODACI_PRODAJA!$A:$A,0)),0)</f>
        <v>0</v>
      </c>
      <c r="X401" s="23" t="n">
        <f aca="false">IFERROR(INDEX(PODACI_PRODAJA!G:G,MATCH($A401,PODACI_PRODAJA!$A:$A,0)),0)</f>
        <v>0</v>
      </c>
      <c r="Y401" s="23" t="n">
        <f aca="false">IFERROR(INDEX(PODACI_PRODAJA!H:H,MATCH($A401,PODACI_PRODAJA!$A:$A,0)),0)</f>
        <v>0</v>
      </c>
      <c r="Z401" s="23" t="n">
        <f aca="false">IFERROR(INDEX(PODACI_PRODAJA!I:I,MATCH($A401,PODACI_PRODAJA!$A:$A,0)),0)</f>
        <v>0</v>
      </c>
      <c r="AA401" s="23" t="n">
        <f aca="false">IFERROR(INDEX(PODACI_PRODAJA!J:J,MATCH($A401,PODACI_PRODAJA!$A:$A,0)),0)</f>
        <v>0</v>
      </c>
      <c r="AB401" s="23" t="n">
        <f aca="false">IFERROR(INDEX(PODACI_PRODAJA!K:K,MATCH($A401,PODACI_PRODAJA!$A:$A,0)),0)</f>
        <v>0</v>
      </c>
      <c r="AC401" s="23" t="n">
        <f aca="false">IFERROR(INDEX(PODACI_PRODAJA!L:L,MATCH($A401,PODACI_PRODAJA!$A:$A,0)),0)</f>
        <v>0</v>
      </c>
      <c r="AD401" s="23" t="n">
        <f aca="false">IFERROR(INDEX(PODACI_PRODAJA!M:M,MATCH($A401,PODACI_PRODAJA!$A:$A,0)),0)</f>
        <v>0</v>
      </c>
    </row>
    <row r="402" customFormat="false" ht="15" hidden="false" customHeight="false" outlineLevel="0" collapsed="false">
      <c r="A402" s="11" t="str">
        <f aca="false">PODACI_ZALIHE!A399</f>
        <v>P158133</v>
      </c>
      <c r="B402" s="8" t="str">
        <f aca="false">PODACI_ZALIHE!B399</f>
        <v>BOLD LUX 80100 MINERALSOLID TUŠ KADA BIJELA SJAJNA B</v>
      </c>
      <c r="C402" s="9" t="n">
        <f aca="false">PODACI_ZALIHE!C399</f>
        <v>0</v>
      </c>
      <c r="D402" s="8" t="n">
        <f aca="false">PODACI_ZALIHE!D399</f>
        <v>0</v>
      </c>
      <c r="E402" s="19" t="n">
        <f aca="false">IF(PODACI_ZALIHE!E399="","",PODACI_ZALIHE!E399)</f>
        <v>13</v>
      </c>
      <c r="F402" s="20" t="n">
        <f aca="false">PODACI_ZALIHE!F399</f>
        <v>13</v>
      </c>
      <c r="G402" s="19" t="n">
        <f aca="false">IF(E402="","",E402-F402)</f>
        <v>0</v>
      </c>
      <c r="H402" s="9" t="n">
        <f aca="false">PODACI_PRODAJA!N315</f>
        <v>0</v>
      </c>
      <c r="I402" s="21" t="n">
        <f aca="false">IF(H402&lt;=0,999,ROUND(F402/H402,1))</f>
        <v>999</v>
      </c>
      <c r="J402" s="9" t="n">
        <f aca="false">SUMIFS(ROBA_U_DOLASKU!$C$6:$C$95,ROBA_U_DOLASKU!$A$6:$A$95,A402,ROBA_U_DOLASKU!$H$6:$H$95,1)</f>
        <v>0</v>
      </c>
      <c r="K402" s="9" t="n">
        <f aca="false">SUMIFS(ROBA_U_DOLASKU!$B$6:$B$95,ROBA_U_DOLASKU!$A$6:$A$95,A402,ROBA_U_DOLASKU!$H$6:$H$95,1)</f>
        <v>0</v>
      </c>
      <c r="L402" s="9" t="n">
        <f aca="false">SUMIFS(ROBA_U_DOLASKU!$C$6:$C$95,ROBA_U_DOLASKU!$A$6:$A$95,A402,ROBA_U_DOLASKU!$H$6:$H$95,2)</f>
        <v>0</v>
      </c>
      <c r="M402" s="9" t="n">
        <f aca="false">SUMIFS(ROBA_U_DOLASKU!$B$6:$B$95,ROBA_U_DOLASKU!$A$6:$A$95,A402,ROBA_U_DOLASKU!$H$6:$H$95,2)</f>
        <v>0</v>
      </c>
      <c r="N402" s="9" t="n">
        <f aca="false">SUMIFS(ROBA_U_DOLASKU!$C$6:$C$95,ROBA_U_DOLASKU!$A$6:$A$95,A402,ROBA_U_DOLASKU!$H$6:$H$95,3)</f>
        <v>0</v>
      </c>
      <c r="O402" s="9" t="n">
        <f aca="false">SUMIFS(ROBA_U_DOLASKU!$B$6:$B$95,ROBA_U_DOLASKU!$A$6:$A$95,A402,ROBA_U_DOLASKU!$H$6:$H$95,3)</f>
        <v>0</v>
      </c>
      <c r="P402" s="9" t="n">
        <f aca="false">IF(H402&lt;=0,999,IF(O402&gt;0,ROUND((F402-H402*N402+K402+M402+O402)/H402,1),IF(M402&gt;0,ROUND((F402-H402*L402+K402+M402)/H402,1),IF(K402&gt;0,ROUND((F402-H402*J402+K402)/H402,1),I402))))</f>
        <v>999</v>
      </c>
      <c r="Q402" s="22" t="str">
        <f aca="false">IF(H402&lt;=0,"Nema prodaje",IF(AND(K402=0,M402=0,O402=0),IF(I402&lt;POSTAVKE!$B$6,"Naruči odmah","Sve u redu"),IF(F402-H402*J402&lt;0,"Rupa za ~"&amp;TEXT(I402,"0.0")&amp;" mj.",IF(AND(M402&gt;0,F402-H402*L402+K402&lt;0),"Rupa nakon 1. dolaska",IF(AND(O402&gt;0,F402-H402*N402+K402+M402&lt;0),"Rupa nakon 2. dolaska",IF(P402&lt;POSTAVKE!$B$6,"Količina nije dovoljna",IF(I402&gt;=POSTAVKE!$B$6,"Sve u redu","Stiže na vrijeme")))))))</f>
        <v>Nema prodaje</v>
      </c>
      <c r="S402" s="23" t="n">
        <f aca="false">IFERROR(INDEX(PODACI_PRODAJA!B:B,MATCH($A402,PODACI_PRODAJA!$A:$A,0)),0)</f>
        <v>0</v>
      </c>
      <c r="T402" s="23" t="n">
        <f aca="false">IFERROR(INDEX(PODACI_PRODAJA!C:C,MATCH($A402,PODACI_PRODAJA!$A:$A,0)),0)</f>
        <v>0</v>
      </c>
      <c r="U402" s="23" t="n">
        <f aca="false">IFERROR(INDEX(PODACI_PRODAJA!D:D,MATCH($A402,PODACI_PRODAJA!$A:$A,0)),0)</f>
        <v>0</v>
      </c>
      <c r="V402" s="23" t="n">
        <f aca="false">IFERROR(INDEX(PODACI_PRODAJA!E:E,MATCH($A402,PODACI_PRODAJA!$A:$A,0)),0)</f>
        <v>0</v>
      </c>
      <c r="W402" s="23" t="n">
        <f aca="false">IFERROR(INDEX(PODACI_PRODAJA!F:F,MATCH($A402,PODACI_PRODAJA!$A:$A,0)),0)</f>
        <v>0</v>
      </c>
      <c r="X402" s="23" t="n">
        <f aca="false">IFERROR(INDEX(PODACI_PRODAJA!G:G,MATCH($A402,PODACI_PRODAJA!$A:$A,0)),0)</f>
        <v>0</v>
      </c>
      <c r="Y402" s="23" t="n">
        <f aca="false">IFERROR(INDEX(PODACI_PRODAJA!H:H,MATCH($A402,PODACI_PRODAJA!$A:$A,0)),0)</f>
        <v>0</v>
      </c>
      <c r="Z402" s="23" t="n">
        <f aca="false">IFERROR(INDEX(PODACI_PRODAJA!I:I,MATCH($A402,PODACI_PRODAJA!$A:$A,0)),0)</f>
        <v>0</v>
      </c>
      <c r="AA402" s="23" t="n">
        <f aca="false">IFERROR(INDEX(PODACI_PRODAJA!J:J,MATCH($A402,PODACI_PRODAJA!$A:$A,0)),0)</f>
        <v>0</v>
      </c>
      <c r="AB402" s="23" t="n">
        <f aca="false">IFERROR(INDEX(PODACI_PRODAJA!K:K,MATCH($A402,PODACI_PRODAJA!$A:$A,0)),0)</f>
        <v>0</v>
      </c>
      <c r="AC402" s="23" t="n">
        <f aca="false">IFERROR(INDEX(PODACI_PRODAJA!L:L,MATCH($A402,PODACI_PRODAJA!$A:$A,0)),0)</f>
        <v>0</v>
      </c>
      <c r="AD402" s="23" t="n">
        <f aca="false">IFERROR(INDEX(PODACI_PRODAJA!M:M,MATCH($A402,PODACI_PRODAJA!$A:$A,0)),0)</f>
        <v>0</v>
      </c>
    </row>
    <row r="403" customFormat="false" ht="15" hidden="false" customHeight="false" outlineLevel="0" collapsed="false">
      <c r="A403" s="11" t="str">
        <f aca="false">PODACI_ZALIHE!A400</f>
        <v>060653Y</v>
      </c>
      <c r="B403" s="8" t="str">
        <f aca="false">PODACI_ZALIHE!B400</f>
        <v>TK EVORA PK 90 POLUKRUŽNA TUŠ KABINA 90x90x160 cm</v>
      </c>
      <c r="C403" s="9" t="str">
        <f aca="false">PODACI_ZALIHE!C400</f>
        <v>5590</v>
      </c>
      <c r="D403" s="8" t="str">
        <f aca="false">PODACI_ZALIHE!D400</f>
        <v>PINGHU YINUO SANITARY WARE CO.,LTD</v>
      </c>
      <c r="E403" s="19" t="n">
        <f aca="false">IF(PODACI_ZALIHE!E400="","",PODACI_ZALIHE!E400)</f>
        <v>14</v>
      </c>
      <c r="F403" s="20" t="n">
        <f aca="false">PODACI_ZALIHE!F400</f>
        <v>13</v>
      </c>
      <c r="G403" s="19" t="n">
        <f aca="false">IF(E403="","",E403-F403)</f>
        <v>1</v>
      </c>
      <c r="H403" s="9" t="n">
        <f aca="false">PODACI_PRODAJA!N445</f>
        <v>1.25</v>
      </c>
      <c r="I403" s="21" t="n">
        <f aca="false">IF(H403&lt;=0,999,ROUND(F403/H403,1))</f>
        <v>10.4</v>
      </c>
      <c r="J403" s="9" t="n">
        <f aca="false">SUMIFS(ROBA_U_DOLASKU!$C$6:$C$95,ROBA_U_DOLASKU!$A$6:$A$95,A403,ROBA_U_DOLASKU!$H$6:$H$95,1)</f>
        <v>0</v>
      </c>
      <c r="K403" s="9" t="n">
        <f aca="false">SUMIFS(ROBA_U_DOLASKU!$B$6:$B$95,ROBA_U_DOLASKU!$A$6:$A$95,A403,ROBA_U_DOLASKU!$H$6:$H$95,1)</f>
        <v>0</v>
      </c>
      <c r="L403" s="9" t="n">
        <f aca="false">SUMIFS(ROBA_U_DOLASKU!$C$6:$C$95,ROBA_U_DOLASKU!$A$6:$A$95,A403,ROBA_U_DOLASKU!$H$6:$H$95,2)</f>
        <v>0</v>
      </c>
      <c r="M403" s="9" t="n">
        <f aca="false">SUMIFS(ROBA_U_DOLASKU!$B$6:$B$95,ROBA_U_DOLASKU!$A$6:$A$95,A403,ROBA_U_DOLASKU!$H$6:$H$95,2)</f>
        <v>0</v>
      </c>
      <c r="N403" s="9" t="n">
        <f aca="false">SUMIFS(ROBA_U_DOLASKU!$C$6:$C$95,ROBA_U_DOLASKU!$A$6:$A$95,A403,ROBA_U_DOLASKU!$H$6:$H$95,3)</f>
        <v>0</v>
      </c>
      <c r="O403" s="9" t="n">
        <f aca="false">SUMIFS(ROBA_U_DOLASKU!$B$6:$B$95,ROBA_U_DOLASKU!$A$6:$A$95,A403,ROBA_U_DOLASKU!$H$6:$H$95,3)</f>
        <v>0</v>
      </c>
      <c r="P403" s="9" t="n">
        <f aca="false">IF(H403&lt;=0,999,IF(O403&gt;0,ROUND((F403-H403*N403+K403+M403+O403)/H403,1),IF(M403&gt;0,ROUND((F403-H403*L403+K403+M403)/H403,1),IF(K403&gt;0,ROUND((F403-H403*J403+K403)/H403,1),I403))))</f>
        <v>10.4</v>
      </c>
      <c r="Q403" s="22" t="str">
        <f aca="false">IF(H403&lt;=0,"Nema prodaje",IF(AND(K403=0,M403=0,O403=0),IF(I403&lt;POSTAVKE!$B$6,"Naruči odmah","Sve u redu"),IF(F403-H403*J403&lt;0,"Rupa za ~"&amp;TEXT(I403,"0.0")&amp;" mj.",IF(AND(M403&gt;0,F403-H403*L403+K403&lt;0),"Rupa nakon 1. dolaska",IF(AND(O403&gt;0,F403-H403*N403+K403+M403&lt;0),"Rupa nakon 2. dolaska",IF(P403&lt;POSTAVKE!$B$6,"Količina nije dovoljna",IF(I403&gt;=POSTAVKE!$B$6,"Sve u redu","Stiže na vrijeme")))))))</f>
        <v>Sve u redu</v>
      </c>
      <c r="S403" s="23" t="n">
        <f aca="false">IFERROR(INDEX(PODACI_PRODAJA!B:B,MATCH($A403,PODACI_PRODAJA!$A:$A,0)),0)</f>
        <v>0</v>
      </c>
      <c r="T403" s="23" t="n">
        <f aca="false">IFERROR(INDEX(PODACI_PRODAJA!C:C,MATCH($A403,PODACI_PRODAJA!$A:$A,0)),0)</f>
        <v>0</v>
      </c>
      <c r="U403" s="23" t="n">
        <f aca="false">IFERROR(INDEX(PODACI_PRODAJA!D:D,MATCH($A403,PODACI_PRODAJA!$A:$A,0)),0)</f>
        <v>3</v>
      </c>
      <c r="V403" s="23" t="n">
        <f aca="false">IFERROR(INDEX(PODACI_PRODAJA!E:E,MATCH($A403,PODACI_PRODAJA!$A:$A,0)),0)</f>
        <v>0</v>
      </c>
      <c r="W403" s="23" t="n">
        <f aca="false">IFERROR(INDEX(PODACI_PRODAJA!F:F,MATCH($A403,PODACI_PRODAJA!$A:$A,0)),0)</f>
        <v>0</v>
      </c>
      <c r="X403" s="23" t="n">
        <f aca="false">IFERROR(INDEX(PODACI_PRODAJA!G:G,MATCH($A403,PODACI_PRODAJA!$A:$A,0)),0)</f>
        <v>2</v>
      </c>
      <c r="Y403" s="23" t="n">
        <f aca="false">IFERROR(INDEX(PODACI_PRODAJA!H:H,MATCH($A403,PODACI_PRODAJA!$A:$A,0)),0)</f>
        <v>5</v>
      </c>
      <c r="Z403" s="23" t="n">
        <f aca="false">IFERROR(INDEX(PODACI_PRODAJA!I:I,MATCH($A403,PODACI_PRODAJA!$A:$A,0)),0)</f>
        <v>0</v>
      </c>
      <c r="AA403" s="23" t="n">
        <f aca="false">IFERROR(INDEX(PODACI_PRODAJA!J:J,MATCH($A403,PODACI_PRODAJA!$A:$A,0)),0)</f>
        <v>1</v>
      </c>
      <c r="AB403" s="23" t="n">
        <f aca="false">IFERROR(INDEX(PODACI_PRODAJA!K:K,MATCH($A403,PODACI_PRODAJA!$A:$A,0)),0)</f>
        <v>0</v>
      </c>
      <c r="AC403" s="23" t="n">
        <f aca="false">IFERROR(INDEX(PODACI_PRODAJA!L:L,MATCH($A403,PODACI_PRODAJA!$A:$A,0)),0)</f>
        <v>0</v>
      </c>
      <c r="AD403" s="23" t="n">
        <f aca="false">IFERROR(INDEX(PODACI_PRODAJA!M:M,MATCH($A403,PODACI_PRODAJA!$A:$A,0)),0)</f>
        <v>0</v>
      </c>
    </row>
    <row r="404" customFormat="false" ht="15" hidden="false" customHeight="false" outlineLevel="0" collapsed="false">
      <c r="A404" s="11" t="str">
        <f aca="false">PODACI_ZALIHE!A401</f>
        <v>155150</v>
      </c>
      <c r="B404" s="8" t="str">
        <f aca="false">PODACI_ZALIHE!B401</f>
        <v>BOLD BIJELA 80140 MINERALSOLID TUŠ KADA 800x1400x30 mm</v>
      </c>
      <c r="C404" s="9" t="str">
        <f aca="false">PODACI_ZALIHE!C401</f>
        <v>5517</v>
      </c>
      <c r="D404" s="8" t="str">
        <f aca="false">PODACI_ZALIHE!D401</f>
        <v>NICOS INTERNATIONAL S.P.A.</v>
      </c>
      <c r="E404" s="19" t="n">
        <f aca="false">IF(PODACI_ZALIHE!E401="","",PODACI_ZALIHE!E401)</f>
        <v>13</v>
      </c>
      <c r="F404" s="20" t="n">
        <f aca="false">PODACI_ZALIHE!F401</f>
        <v>13</v>
      </c>
      <c r="G404" s="19" t="n">
        <f aca="false">IF(E404="","",E404-F404)</f>
        <v>0</v>
      </c>
      <c r="H404" s="9" t="n">
        <f aca="false">PODACI_PRODAJA!N482</f>
        <v>4.63</v>
      </c>
      <c r="I404" s="21" t="n">
        <f aca="false">IF(H404&lt;=0,999,ROUND(F404/H404,1))</f>
        <v>2.8</v>
      </c>
      <c r="J404" s="9" t="n">
        <f aca="false">SUMIFS(ROBA_U_DOLASKU!$C$6:$C$95,ROBA_U_DOLASKU!$A$6:$A$95,A404,ROBA_U_DOLASKU!$H$6:$H$95,1)</f>
        <v>0</v>
      </c>
      <c r="K404" s="9" t="n">
        <f aca="false">SUMIFS(ROBA_U_DOLASKU!$B$6:$B$95,ROBA_U_DOLASKU!$A$6:$A$95,A404,ROBA_U_DOLASKU!$H$6:$H$95,1)</f>
        <v>0</v>
      </c>
      <c r="L404" s="9" t="n">
        <f aca="false">SUMIFS(ROBA_U_DOLASKU!$C$6:$C$95,ROBA_U_DOLASKU!$A$6:$A$95,A404,ROBA_U_DOLASKU!$H$6:$H$95,2)</f>
        <v>0</v>
      </c>
      <c r="M404" s="9" t="n">
        <f aca="false">SUMIFS(ROBA_U_DOLASKU!$B$6:$B$95,ROBA_U_DOLASKU!$A$6:$A$95,A404,ROBA_U_DOLASKU!$H$6:$H$95,2)</f>
        <v>0</v>
      </c>
      <c r="N404" s="9" t="n">
        <f aca="false">SUMIFS(ROBA_U_DOLASKU!$C$6:$C$95,ROBA_U_DOLASKU!$A$6:$A$95,A404,ROBA_U_DOLASKU!$H$6:$H$95,3)</f>
        <v>0</v>
      </c>
      <c r="O404" s="9" t="n">
        <f aca="false">SUMIFS(ROBA_U_DOLASKU!$B$6:$B$95,ROBA_U_DOLASKU!$A$6:$A$95,A404,ROBA_U_DOLASKU!$H$6:$H$95,3)</f>
        <v>0</v>
      </c>
      <c r="P404" s="9" t="n">
        <f aca="false">IF(H404&lt;=0,999,IF(O404&gt;0,ROUND((F404-H404*N404+K404+M404+O404)/H404,1),IF(M404&gt;0,ROUND((F404-H404*L404+K404+M404)/H404,1),IF(K404&gt;0,ROUND((F404-H404*J404+K404)/H404,1),I404))))</f>
        <v>2.8</v>
      </c>
      <c r="Q404" s="22" t="str">
        <f aca="false">IF(H404&lt;=0,"Nema prodaje",IF(AND(K404=0,M404=0,O404=0),IF(I404&lt;POSTAVKE!$B$6,"Naruči odmah","Sve u redu"),IF(F404-H404*J404&lt;0,"Rupa za ~"&amp;TEXT(I404,"0.0")&amp;" mj.",IF(AND(M404&gt;0,F404-H404*L404+K404&lt;0),"Rupa nakon 1. dolaska",IF(AND(O404&gt;0,F404-H404*N404+K404+M404&lt;0),"Rupa nakon 2. dolaska",IF(P404&lt;POSTAVKE!$B$6,"Količina nije dovoljna",IF(I404&gt;=POSTAVKE!$B$6,"Sve u redu","Stiže na vrijeme")))))))</f>
        <v>Naruči odmah</v>
      </c>
      <c r="S404" s="23" t="n">
        <f aca="false">IFERROR(INDEX(PODACI_PRODAJA!B:B,MATCH($A404,PODACI_PRODAJA!$A:$A,0)),0)</f>
        <v>0</v>
      </c>
      <c r="T404" s="23" t="n">
        <f aca="false">IFERROR(INDEX(PODACI_PRODAJA!C:C,MATCH($A404,PODACI_PRODAJA!$A:$A,0)),0)</f>
        <v>0</v>
      </c>
      <c r="U404" s="23" t="n">
        <f aca="false">IFERROR(INDEX(PODACI_PRODAJA!D:D,MATCH($A404,PODACI_PRODAJA!$A:$A,0)),0)</f>
        <v>9</v>
      </c>
      <c r="V404" s="23" t="n">
        <f aca="false">IFERROR(INDEX(PODACI_PRODAJA!E:E,MATCH($A404,PODACI_PRODAJA!$A:$A,0)),0)</f>
        <v>15</v>
      </c>
      <c r="W404" s="23" t="n">
        <f aca="false">IFERROR(INDEX(PODACI_PRODAJA!F:F,MATCH($A404,PODACI_PRODAJA!$A:$A,0)),0)</f>
        <v>13</v>
      </c>
      <c r="X404" s="23" t="n">
        <f aca="false">IFERROR(INDEX(PODACI_PRODAJA!G:G,MATCH($A404,PODACI_PRODAJA!$A:$A,0)),0)</f>
        <v>0</v>
      </c>
      <c r="Y404" s="23" t="n">
        <f aca="false">IFERROR(INDEX(PODACI_PRODAJA!H:H,MATCH($A404,PODACI_PRODAJA!$A:$A,0)),0)</f>
        <v>0</v>
      </c>
      <c r="Z404" s="23" t="n">
        <f aca="false">IFERROR(INDEX(PODACI_PRODAJA!I:I,MATCH($A404,PODACI_PRODAJA!$A:$A,0)),0)</f>
        <v>0</v>
      </c>
      <c r="AA404" s="23" t="n">
        <f aca="false">IFERROR(INDEX(PODACI_PRODAJA!J:J,MATCH($A404,PODACI_PRODAJA!$A:$A,0)),0)</f>
        <v>0</v>
      </c>
      <c r="AB404" s="23" t="n">
        <f aca="false">IFERROR(INDEX(PODACI_PRODAJA!K:K,MATCH($A404,PODACI_PRODAJA!$A:$A,0)),0)</f>
        <v>0</v>
      </c>
      <c r="AC404" s="23" t="n">
        <f aca="false">IFERROR(INDEX(PODACI_PRODAJA!L:L,MATCH($A404,PODACI_PRODAJA!$A:$A,0)),0)</f>
        <v>0</v>
      </c>
      <c r="AD404" s="23" t="n">
        <f aca="false">IFERROR(INDEX(PODACI_PRODAJA!M:M,MATCH($A404,PODACI_PRODAJA!$A:$A,0)),0)</f>
        <v>0</v>
      </c>
    </row>
    <row r="405" customFormat="false" ht="15" hidden="false" customHeight="false" outlineLevel="0" collapsed="false">
      <c r="A405" s="11" t="str">
        <f aca="false">PODACI_ZALIHE!A402</f>
        <v>15957</v>
      </c>
      <c r="B405" s="8" t="str">
        <f aca="false">PODACI_ZALIHE!B402</f>
        <v>TK NEVA 90 KVADRATNA TUŠ KABINA 90x90x180 cm</v>
      </c>
      <c r="C405" s="9" t="str">
        <f aca="false">PODACI_ZALIHE!C402</f>
        <v>2515</v>
      </c>
      <c r="D405" s="8" t="str">
        <f aca="false">PODACI_ZALIHE!D402</f>
        <v>HANGZHOU ZHUGELAI JINGYI CO., LTD.</v>
      </c>
      <c r="E405" s="19" t="n">
        <f aca="false">IF(PODACI_ZALIHE!E402="","",PODACI_ZALIHE!E402)</f>
        <v>13</v>
      </c>
      <c r="F405" s="20" t="n">
        <f aca="false">PODACI_ZALIHE!F402</f>
        <v>13</v>
      </c>
      <c r="G405" s="19" t="n">
        <f aca="false">IF(E405="","",E405-F405)</f>
        <v>0</v>
      </c>
      <c r="H405" s="9" t="n">
        <f aca="false">PODACI_PRODAJA!N155</f>
        <v>2.38</v>
      </c>
      <c r="I405" s="21" t="n">
        <f aca="false">IF(H405&lt;=0,999,ROUND(F405/H405,1))</f>
        <v>5.5</v>
      </c>
      <c r="J405" s="9" t="n">
        <f aca="false">SUMIFS(ROBA_U_DOLASKU!$C$6:$C$95,ROBA_U_DOLASKU!$A$6:$A$95,A405,ROBA_U_DOLASKU!$H$6:$H$95,1)</f>
        <v>0</v>
      </c>
      <c r="K405" s="9" t="n">
        <f aca="false">SUMIFS(ROBA_U_DOLASKU!$B$6:$B$95,ROBA_U_DOLASKU!$A$6:$A$95,A405,ROBA_U_DOLASKU!$H$6:$H$95,1)</f>
        <v>0</v>
      </c>
      <c r="L405" s="9" t="n">
        <f aca="false">SUMIFS(ROBA_U_DOLASKU!$C$6:$C$95,ROBA_U_DOLASKU!$A$6:$A$95,A405,ROBA_U_DOLASKU!$H$6:$H$95,2)</f>
        <v>0</v>
      </c>
      <c r="M405" s="9" t="n">
        <f aca="false">SUMIFS(ROBA_U_DOLASKU!$B$6:$B$95,ROBA_U_DOLASKU!$A$6:$A$95,A405,ROBA_U_DOLASKU!$H$6:$H$95,2)</f>
        <v>0</v>
      </c>
      <c r="N405" s="9" t="n">
        <f aca="false">SUMIFS(ROBA_U_DOLASKU!$C$6:$C$95,ROBA_U_DOLASKU!$A$6:$A$95,A405,ROBA_U_DOLASKU!$H$6:$H$95,3)</f>
        <v>0</v>
      </c>
      <c r="O405" s="9" t="n">
        <f aca="false">SUMIFS(ROBA_U_DOLASKU!$B$6:$B$95,ROBA_U_DOLASKU!$A$6:$A$95,A405,ROBA_U_DOLASKU!$H$6:$H$95,3)</f>
        <v>0</v>
      </c>
      <c r="P405" s="9" t="n">
        <f aca="false">IF(H405&lt;=0,999,IF(O405&gt;0,ROUND((F405-H405*N405+K405+M405+O405)/H405,1),IF(M405&gt;0,ROUND((F405-H405*L405+K405+M405)/H405,1),IF(K405&gt;0,ROUND((F405-H405*J405+K405)/H405,1),I405))))</f>
        <v>5.5</v>
      </c>
      <c r="Q405" s="22" t="str">
        <f aca="false">IF(H405&lt;=0,"Nema prodaje",IF(AND(K405=0,M405=0,O405=0),IF(I405&lt;POSTAVKE!$B$6,"Naruči odmah","Sve u redu"),IF(F405-H405*J405&lt;0,"Rupa za ~"&amp;TEXT(I405,"0.0")&amp;" mj.",IF(AND(M405&gt;0,F405-H405*L405+K405&lt;0),"Rupa nakon 1. dolaska",IF(AND(O405&gt;0,F405-H405*N405+K405+M405&lt;0),"Rupa nakon 2. dolaska",IF(P405&lt;POSTAVKE!$B$6,"Količina nije dovoljna",IF(I405&gt;=POSTAVKE!$B$6,"Sve u redu","Stiže na vrijeme")))))))</f>
        <v>Sve u redu</v>
      </c>
      <c r="S405" s="23" t="n">
        <f aca="false">IFERROR(INDEX(PODACI_PRODAJA!B:B,MATCH($A405,PODACI_PRODAJA!$A:$A,0)),0)</f>
        <v>3</v>
      </c>
      <c r="T405" s="23" t="n">
        <f aca="false">IFERROR(INDEX(PODACI_PRODAJA!C:C,MATCH($A405,PODACI_PRODAJA!$A:$A,0)),0)</f>
        <v>1</v>
      </c>
      <c r="U405" s="23" t="n">
        <f aca="false">IFERROR(INDEX(PODACI_PRODAJA!D:D,MATCH($A405,PODACI_PRODAJA!$A:$A,0)),0)</f>
        <v>4</v>
      </c>
      <c r="V405" s="23" t="n">
        <f aca="false">IFERROR(INDEX(PODACI_PRODAJA!E:E,MATCH($A405,PODACI_PRODAJA!$A:$A,0)),0)</f>
        <v>3</v>
      </c>
      <c r="W405" s="23" t="n">
        <f aca="false">IFERROR(INDEX(PODACI_PRODAJA!F:F,MATCH($A405,PODACI_PRODAJA!$A:$A,0)),0)</f>
        <v>5</v>
      </c>
      <c r="X405" s="23" t="n">
        <f aca="false">IFERROR(INDEX(PODACI_PRODAJA!G:G,MATCH($A405,PODACI_PRODAJA!$A:$A,0)),0)</f>
        <v>1</v>
      </c>
      <c r="Y405" s="23" t="n">
        <f aca="false">IFERROR(INDEX(PODACI_PRODAJA!H:H,MATCH($A405,PODACI_PRODAJA!$A:$A,0)),0)</f>
        <v>1</v>
      </c>
      <c r="Z405" s="23" t="n">
        <f aca="false">IFERROR(INDEX(PODACI_PRODAJA!I:I,MATCH($A405,PODACI_PRODAJA!$A:$A,0)),0)</f>
        <v>1</v>
      </c>
      <c r="AA405" s="23" t="n">
        <f aca="false">IFERROR(INDEX(PODACI_PRODAJA!J:J,MATCH($A405,PODACI_PRODAJA!$A:$A,0)),0)</f>
        <v>0</v>
      </c>
      <c r="AB405" s="23" t="n">
        <f aca="false">IFERROR(INDEX(PODACI_PRODAJA!K:K,MATCH($A405,PODACI_PRODAJA!$A:$A,0)),0)</f>
        <v>0</v>
      </c>
      <c r="AC405" s="23" t="n">
        <f aca="false">IFERROR(INDEX(PODACI_PRODAJA!L:L,MATCH($A405,PODACI_PRODAJA!$A:$A,0)),0)</f>
        <v>0</v>
      </c>
      <c r="AD405" s="23" t="n">
        <f aca="false">IFERROR(INDEX(PODACI_PRODAJA!M:M,MATCH($A405,PODACI_PRODAJA!$A:$A,0)),0)</f>
        <v>0</v>
      </c>
    </row>
    <row r="406" customFormat="false" ht="15" hidden="false" customHeight="false" outlineLevel="0" collapsed="false">
      <c r="A406" s="11" t="str">
        <f aca="false">PODACI_ZALIHE!A403</f>
        <v>16061</v>
      </c>
      <c r="B406" s="8" t="str">
        <f aca="false">PODACI_ZALIHE!B403</f>
        <v>TK SPRING 90 KVADRATNA TUŠ KABINA 90x90x180 cm</v>
      </c>
      <c r="C406" s="9" t="str">
        <f aca="false">PODACI_ZALIHE!C403</f>
        <v>2515</v>
      </c>
      <c r="D406" s="8" t="str">
        <f aca="false">PODACI_ZALIHE!D403</f>
        <v>HANGZHOU ZHUGELAI JINGYI CO., LTD.</v>
      </c>
      <c r="E406" s="19" t="n">
        <f aca="false">IF(PODACI_ZALIHE!E403="","",PODACI_ZALIHE!E403)</f>
        <v>16</v>
      </c>
      <c r="F406" s="20" t="n">
        <f aca="false">PODACI_ZALIHE!F403</f>
        <v>13</v>
      </c>
      <c r="G406" s="19" t="n">
        <f aca="false">IF(E406="","",E406-F406)</f>
        <v>3</v>
      </c>
      <c r="H406" s="9" t="n">
        <f aca="false">PODACI_PRODAJA!N556</f>
        <v>0</v>
      </c>
      <c r="I406" s="21" t="n">
        <f aca="false">IF(H406&lt;=0,999,ROUND(F406/H406,1))</f>
        <v>999</v>
      </c>
      <c r="J406" s="9" t="n">
        <f aca="false">SUMIFS(ROBA_U_DOLASKU!$C$6:$C$95,ROBA_U_DOLASKU!$A$6:$A$95,A406,ROBA_U_DOLASKU!$H$6:$H$95,1)</f>
        <v>0</v>
      </c>
      <c r="K406" s="9" t="n">
        <f aca="false">SUMIFS(ROBA_U_DOLASKU!$B$6:$B$95,ROBA_U_DOLASKU!$A$6:$A$95,A406,ROBA_U_DOLASKU!$H$6:$H$95,1)</f>
        <v>0</v>
      </c>
      <c r="L406" s="9" t="n">
        <f aca="false">SUMIFS(ROBA_U_DOLASKU!$C$6:$C$95,ROBA_U_DOLASKU!$A$6:$A$95,A406,ROBA_U_DOLASKU!$H$6:$H$95,2)</f>
        <v>0</v>
      </c>
      <c r="M406" s="9" t="n">
        <f aca="false">SUMIFS(ROBA_U_DOLASKU!$B$6:$B$95,ROBA_U_DOLASKU!$A$6:$A$95,A406,ROBA_U_DOLASKU!$H$6:$H$95,2)</f>
        <v>0</v>
      </c>
      <c r="N406" s="9" t="n">
        <f aca="false">SUMIFS(ROBA_U_DOLASKU!$C$6:$C$95,ROBA_U_DOLASKU!$A$6:$A$95,A406,ROBA_U_DOLASKU!$H$6:$H$95,3)</f>
        <v>0</v>
      </c>
      <c r="O406" s="9" t="n">
        <f aca="false">SUMIFS(ROBA_U_DOLASKU!$B$6:$B$95,ROBA_U_DOLASKU!$A$6:$A$95,A406,ROBA_U_DOLASKU!$H$6:$H$95,3)</f>
        <v>0</v>
      </c>
      <c r="P406" s="9" t="n">
        <f aca="false">IF(H406&lt;=0,999,IF(O406&gt;0,ROUND((F406-H406*N406+K406+M406+O406)/H406,1),IF(M406&gt;0,ROUND((F406-H406*L406+K406+M406)/H406,1),IF(K406&gt;0,ROUND((F406-H406*J406+K406)/H406,1),I406))))</f>
        <v>999</v>
      </c>
      <c r="Q406" s="22" t="str">
        <f aca="false">IF(H406&lt;=0,"Nema prodaje",IF(AND(K406=0,M406=0,O406=0),IF(I406&lt;POSTAVKE!$B$6,"Naruči odmah","Sve u redu"),IF(F406-H406*J406&lt;0,"Rupa za ~"&amp;TEXT(I406,"0.0")&amp;" mj.",IF(AND(M406&gt;0,F406-H406*L406+K406&lt;0),"Rupa nakon 1. dolaska",IF(AND(O406&gt;0,F406-H406*N406+K406+M406&lt;0),"Rupa nakon 2. dolaska",IF(P406&lt;POSTAVKE!$B$6,"Količina nije dovoljna",IF(I406&gt;=POSTAVKE!$B$6,"Sve u redu","Stiže na vrijeme")))))))</f>
        <v>Nema prodaje</v>
      </c>
      <c r="S406" s="23" t="n">
        <f aca="false">IFERROR(INDEX(PODACI_PRODAJA!B:B,MATCH($A406,PODACI_PRODAJA!$A:$A,0)),0)</f>
        <v>0</v>
      </c>
      <c r="T406" s="23" t="n">
        <f aca="false">IFERROR(INDEX(PODACI_PRODAJA!C:C,MATCH($A406,PODACI_PRODAJA!$A:$A,0)),0)</f>
        <v>0</v>
      </c>
      <c r="U406" s="23" t="n">
        <f aca="false">IFERROR(INDEX(PODACI_PRODAJA!D:D,MATCH($A406,PODACI_PRODAJA!$A:$A,0)),0)</f>
        <v>0</v>
      </c>
      <c r="V406" s="23" t="n">
        <f aca="false">IFERROR(INDEX(PODACI_PRODAJA!E:E,MATCH($A406,PODACI_PRODAJA!$A:$A,0)),0)</f>
        <v>0</v>
      </c>
      <c r="W406" s="23" t="n">
        <f aca="false">IFERROR(INDEX(PODACI_PRODAJA!F:F,MATCH($A406,PODACI_PRODAJA!$A:$A,0)),0)</f>
        <v>0</v>
      </c>
      <c r="X406" s="23" t="n">
        <f aca="false">IFERROR(INDEX(PODACI_PRODAJA!G:G,MATCH($A406,PODACI_PRODAJA!$A:$A,0)),0)</f>
        <v>0</v>
      </c>
      <c r="Y406" s="23" t="n">
        <f aca="false">IFERROR(INDEX(PODACI_PRODAJA!H:H,MATCH($A406,PODACI_PRODAJA!$A:$A,0)),0)</f>
        <v>0</v>
      </c>
      <c r="Z406" s="23" t="n">
        <f aca="false">IFERROR(INDEX(PODACI_PRODAJA!I:I,MATCH($A406,PODACI_PRODAJA!$A:$A,0)),0)</f>
        <v>0</v>
      </c>
      <c r="AA406" s="23" t="n">
        <f aca="false">IFERROR(INDEX(PODACI_PRODAJA!J:J,MATCH($A406,PODACI_PRODAJA!$A:$A,0)),0)</f>
        <v>0</v>
      </c>
      <c r="AB406" s="23" t="n">
        <f aca="false">IFERROR(INDEX(PODACI_PRODAJA!K:K,MATCH($A406,PODACI_PRODAJA!$A:$A,0)),0)</f>
        <v>0</v>
      </c>
      <c r="AC406" s="23" t="n">
        <f aca="false">IFERROR(INDEX(PODACI_PRODAJA!L:L,MATCH($A406,PODACI_PRODAJA!$A:$A,0)),0)</f>
        <v>0</v>
      </c>
      <c r="AD406" s="23" t="n">
        <f aca="false">IFERROR(INDEX(PODACI_PRODAJA!M:M,MATCH($A406,PODACI_PRODAJA!$A:$A,0)),0)</f>
        <v>0</v>
      </c>
    </row>
    <row r="407" customFormat="false" ht="15" hidden="false" customHeight="false" outlineLevel="0" collapsed="false">
      <c r="A407" s="11" t="str">
        <f aca="false">PODACI_ZALIHE!A404</f>
        <v>171420</v>
      </c>
      <c r="B407" s="8" t="str">
        <f aca="false">PODACI_ZALIHE!B404</f>
        <v>VETRO GOLD TRS 100 TUŠ STIJENA 100x200 cm</v>
      </c>
      <c r="C407" s="9" t="n">
        <f aca="false">PODACI_ZALIHE!C404</f>
        <v>0</v>
      </c>
      <c r="D407" s="8" t="n">
        <f aca="false">PODACI_ZALIHE!D404</f>
        <v>0</v>
      </c>
      <c r="E407" s="19" t="n">
        <f aca="false">IF(PODACI_ZALIHE!E404="","",PODACI_ZALIHE!E404)</f>
        <v>13</v>
      </c>
      <c r="F407" s="20" t="n">
        <f aca="false">PODACI_ZALIHE!F404</f>
        <v>13</v>
      </c>
      <c r="G407" s="19" t="n">
        <f aca="false">IF(E407="","",E407-F407)</f>
        <v>0</v>
      </c>
      <c r="H407" s="9" t="n">
        <f aca="false">PODACI_PRODAJA!N262</f>
        <v>2</v>
      </c>
      <c r="I407" s="21" t="n">
        <f aca="false">IF(H407&lt;=0,999,ROUND(F407/H407,1))</f>
        <v>6.5</v>
      </c>
      <c r="J407" s="9" t="n">
        <f aca="false">SUMIFS(ROBA_U_DOLASKU!$C$6:$C$95,ROBA_U_DOLASKU!$A$6:$A$95,A407,ROBA_U_DOLASKU!$H$6:$H$95,1)</f>
        <v>0</v>
      </c>
      <c r="K407" s="9" t="n">
        <f aca="false">SUMIFS(ROBA_U_DOLASKU!$B$6:$B$95,ROBA_U_DOLASKU!$A$6:$A$95,A407,ROBA_U_DOLASKU!$H$6:$H$95,1)</f>
        <v>0</v>
      </c>
      <c r="L407" s="9" t="n">
        <f aca="false">SUMIFS(ROBA_U_DOLASKU!$C$6:$C$95,ROBA_U_DOLASKU!$A$6:$A$95,A407,ROBA_U_DOLASKU!$H$6:$H$95,2)</f>
        <v>0</v>
      </c>
      <c r="M407" s="9" t="n">
        <f aca="false">SUMIFS(ROBA_U_DOLASKU!$B$6:$B$95,ROBA_U_DOLASKU!$A$6:$A$95,A407,ROBA_U_DOLASKU!$H$6:$H$95,2)</f>
        <v>0</v>
      </c>
      <c r="N407" s="9" t="n">
        <f aca="false">SUMIFS(ROBA_U_DOLASKU!$C$6:$C$95,ROBA_U_DOLASKU!$A$6:$A$95,A407,ROBA_U_DOLASKU!$H$6:$H$95,3)</f>
        <v>0</v>
      </c>
      <c r="O407" s="9" t="n">
        <f aca="false">SUMIFS(ROBA_U_DOLASKU!$B$6:$B$95,ROBA_U_DOLASKU!$A$6:$A$95,A407,ROBA_U_DOLASKU!$H$6:$H$95,3)</f>
        <v>0</v>
      </c>
      <c r="P407" s="9" t="n">
        <f aca="false">IF(H407&lt;=0,999,IF(O407&gt;0,ROUND((F407-H407*N407+K407+M407+O407)/H407,1),IF(M407&gt;0,ROUND((F407-H407*L407+K407+M407)/H407,1),IF(K407&gt;0,ROUND((F407-H407*J407+K407)/H407,1),I407))))</f>
        <v>6.5</v>
      </c>
      <c r="Q407" s="22" t="str">
        <f aca="false">IF(H407&lt;=0,"Nema prodaje",IF(AND(K407=0,M407=0,O407=0),IF(I407&lt;POSTAVKE!$B$6,"Naruči odmah","Sve u redu"),IF(F407-H407*J407&lt;0,"Rupa za ~"&amp;TEXT(I407,"0.0")&amp;" mj.",IF(AND(M407&gt;0,F407-H407*L407+K407&lt;0),"Rupa nakon 1. dolaska",IF(AND(O407&gt;0,F407-H407*N407+K407+M407&lt;0),"Rupa nakon 2. dolaska",IF(P407&lt;POSTAVKE!$B$6,"Količina nije dovoljna",IF(I407&gt;=POSTAVKE!$B$6,"Sve u redu","Stiže na vrijeme")))))))</f>
        <v>Sve u redu</v>
      </c>
      <c r="S407" s="23" t="n">
        <f aca="false">IFERROR(INDEX(PODACI_PRODAJA!B:B,MATCH($A407,PODACI_PRODAJA!$A:$A,0)),0)</f>
        <v>1</v>
      </c>
      <c r="T407" s="23" t="n">
        <f aca="false">IFERROR(INDEX(PODACI_PRODAJA!C:C,MATCH($A407,PODACI_PRODAJA!$A:$A,0)),0)</f>
        <v>3</v>
      </c>
      <c r="U407" s="23" t="n">
        <f aca="false">IFERROR(INDEX(PODACI_PRODAJA!D:D,MATCH($A407,PODACI_PRODAJA!$A:$A,0)),0)</f>
        <v>0</v>
      </c>
      <c r="V407" s="23" t="n">
        <f aca="false">IFERROR(INDEX(PODACI_PRODAJA!E:E,MATCH($A407,PODACI_PRODAJA!$A:$A,0)),0)</f>
        <v>3</v>
      </c>
      <c r="W407" s="23" t="n">
        <f aca="false">IFERROR(INDEX(PODACI_PRODAJA!F:F,MATCH($A407,PODACI_PRODAJA!$A:$A,0)),0)</f>
        <v>1</v>
      </c>
      <c r="X407" s="23" t="n">
        <f aca="false">IFERROR(INDEX(PODACI_PRODAJA!G:G,MATCH($A407,PODACI_PRODAJA!$A:$A,0)),0)</f>
        <v>2</v>
      </c>
      <c r="Y407" s="23" t="n">
        <f aca="false">IFERROR(INDEX(PODACI_PRODAJA!H:H,MATCH($A407,PODACI_PRODAJA!$A:$A,0)),0)</f>
        <v>2</v>
      </c>
      <c r="Z407" s="23" t="n">
        <f aca="false">IFERROR(INDEX(PODACI_PRODAJA!I:I,MATCH($A407,PODACI_PRODAJA!$A:$A,0)),0)</f>
        <v>4</v>
      </c>
      <c r="AA407" s="23" t="n">
        <f aca="false">IFERROR(INDEX(PODACI_PRODAJA!J:J,MATCH($A407,PODACI_PRODAJA!$A:$A,0)),0)</f>
        <v>0</v>
      </c>
      <c r="AB407" s="23" t="n">
        <f aca="false">IFERROR(INDEX(PODACI_PRODAJA!K:K,MATCH($A407,PODACI_PRODAJA!$A:$A,0)),0)</f>
        <v>0</v>
      </c>
      <c r="AC407" s="23" t="n">
        <f aca="false">IFERROR(INDEX(PODACI_PRODAJA!L:L,MATCH($A407,PODACI_PRODAJA!$A:$A,0)),0)</f>
        <v>0</v>
      </c>
      <c r="AD407" s="23" t="n">
        <f aca="false">IFERROR(INDEX(PODACI_PRODAJA!M:M,MATCH($A407,PODACI_PRODAJA!$A:$A,0)),0)</f>
        <v>0</v>
      </c>
    </row>
    <row r="408" customFormat="false" ht="15" hidden="false" customHeight="false" outlineLevel="0" collapsed="false">
      <c r="A408" s="11" t="str">
        <f aca="false">PODACI_ZALIHE!A405</f>
        <v>17231</v>
      </c>
      <c r="B408" s="8" t="str">
        <f aca="false">PODACI_ZALIHE!B405</f>
        <v>TK MALAGA 90120 BRUSHED GOLD PRAVOKUTNA TUŠ KABINA 90X120X195 cm</v>
      </c>
      <c r="C408" s="9" t="str">
        <f aca="false">PODACI_ZALIHE!C405</f>
        <v>6762</v>
      </c>
      <c r="D408" s="8" t="str">
        <f aca="false">PODACI_ZALIHE!D405</f>
        <v>ZHEJIANG QUICKLINE SHOWERING CO., LTD.</v>
      </c>
      <c r="E408" s="19" t="n">
        <f aca="false">IF(PODACI_ZALIHE!E405="","",PODACI_ZALIHE!E405)</f>
        <v>13</v>
      </c>
      <c r="F408" s="20" t="n">
        <f aca="false">PODACI_ZALIHE!F405</f>
        <v>13</v>
      </c>
      <c r="G408" s="19" t="n">
        <f aca="false">IF(E408="","",E408-F408)</f>
        <v>0</v>
      </c>
      <c r="H408" s="9" t="n">
        <f aca="false">PODACI_PRODAJA!N612</f>
        <v>1.13</v>
      </c>
      <c r="I408" s="21" t="n">
        <f aca="false">IF(H408&lt;=0,999,ROUND(F408/H408,1))</f>
        <v>11.5</v>
      </c>
      <c r="J408" s="9" t="n">
        <f aca="false">SUMIFS(ROBA_U_DOLASKU!$C$6:$C$95,ROBA_U_DOLASKU!$A$6:$A$95,A408,ROBA_U_DOLASKU!$H$6:$H$95,1)</f>
        <v>0</v>
      </c>
      <c r="K408" s="9" t="n">
        <f aca="false">SUMIFS(ROBA_U_DOLASKU!$B$6:$B$95,ROBA_U_DOLASKU!$A$6:$A$95,A408,ROBA_U_DOLASKU!$H$6:$H$95,1)</f>
        <v>0</v>
      </c>
      <c r="L408" s="9" t="n">
        <f aca="false">SUMIFS(ROBA_U_DOLASKU!$C$6:$C$95,ROBA_U_DOLASKU!$A$6:$A$95,A408,ROBA_U_DOLASKU!$H$6:$H$95,2)</f>
        <v>0</v>
      </c>
      <c r="M408" s="9" t="n">
        <f aca="false">SUMIFS(ROBA_U_DOLASKU!$B$6:$B$95,ROBA_U_DOLASKU!$A$6:$A$95,A408,ROBA_U_DOLASKU!$H$6:$H$95,2)</f>
        <v>0</v>
      </c>
      <c r="N408" s="9" t="n">
        <f aca="false">SUMIFS(ROBA_U_DOLASKU!$C$6:$C$95,ROBA_U_DOLASKU!$A$6:$A$95,A408,ROBA_U_DOLASKU!$H$6:$H$95,3)</f>
        <v>0</v>
      </c>
      <c r="O408" s="9" t="n">
        <f aca="false">SUMIFS(ROBA_U_DOLASKU!$B$6:$B$95,ROBA_U_DOLASKU!$A$6:$A$95,A408,ROBA_U_DOLASKU!$H$6:$H$95,3)</f>
        <v>0</v>
      </c>
      <c r="P408" s="9" t="n">
        <f aca="false">IF(H408&lt;=0,999,IF(O408&gt;0,ROUND((F408-H408*N408+K408+M408+O408)/H408,1),IF(M408&gt;0,ROUND((F408-H408*L408+K408+M408)/H408,1),IF(K408&gt;0,ROUND((F408-H408*J408+K408)/H408,1),I408))))</f>
        <v>11.5</v>
      </c>
      <c r="Q408" s="22" t="str">
        <f aca="false">IF(H408&lt;=0,"Nema prodaje",IF(AND(K408=0,M408=0,O408=0),IF(I408&lt;POSTAVKE!$B$6,"Naruči odmah","Sve u redu"),IF(F408-H408*J408&lt;0,"Rupa za ~"&amp;TEXT(I408,"0.0")&amp;" mj.",IF(AND(M408&gt;0,F408-H408*L408+K408&lt;0),"Rupa nakon 1. dolaska",IF(AND(O408&gt;0,F408-H408*N408+K408+M408&lt;0),"Rupa nakon 2. dolaska",IF(P408&lt;POSTAVKE!$B$6,"Količina nije dovoljna",IF(I408&gt;=POSTAVKE!$B$6,"Sve u redu","Stiže na vrijeme")))))))</f>
        <v>Sve u redu</v>
      </c>
      <c r="S408" s="23" t="n">
        <f aca="false">IFERROR(INDEX(PODACI_PRODAJA!B:B,MATCH($A408,PODACI_PRODAJA!$A:$A,0)),0)</f>
        <v>0</v>
      </c>
      <c r="T408" s="23" t="n">
        <f aca="false">IFERROR(INDEX(PODACI_PRODAJA!C:C,MATCH($A408,PODACI_PRODAJA!$A:$A,0)),0)</f>
        <v>0</v>
      </c>
      <c r="U408" s="23" t="n">
        <f aca="false">IFERROR(INDEX(PODACI_PRODAJA!D:D,MATCH($A408,PODACI_PRODAJA!$A:$A,0)),0)</f>
        <v>0</v>
      </c>
      <c r="V408" s="23" t="n">
        <f aca="false">IFERROR(INDEX(PODACI_PRODAJA!E:E,MATCH($A408,PODACI_PRODAJA!$A:$A,0)),0)</f>
        <v>3</v>
      </c>
      <c r="W408" s="23" t="n">
        <f aca="false">IFERROR(INDEX(PODACI_PRODAJA!F:F,MATCH($A408,PODACI_PRODAJA!$A:$A,0)),0)</f>
        <v>0</v>
      </c>
      <c r="X408" s="23" t="n">
        <f aca="false">IFERROR(INDEX(PODACI_PRODAJA!G:G,MATCH($A408,PODACI_PRODAJA!$A:$A,0)),0)</f>
        <v>1</v>
      </c>
      <c r="Y408" s="23" t="n">
        <f aca="false">IFERROR(INDEX(PODACI_PRODAJA!H:H,MATCH($A408,PODACI_PRODAJA!$A:$A,0)),0)</f>
        <v>2</v>
      </c>
      <c r="Z408" s="23" t="n">
        <f aca="false">IFERROR(INDEX(PODACI_PRODAJA!I:I,MATCH($A408,PODACI_PRODAJA!$A:$A,0)),0)</f>
        <v>3</v>
      </c>
      <c r="AA408" s="23" t="n">
        <f aca="false">IFERROR(INDEX(PODACI_PRODAJA!J:J,MATCH($A408,PODACI_PRODAJA!$A:$A,0)),0)</f>
        <v>0</v>
      </c>
      <c r="AB408" s="23" t="n">
        <f aca="false">IFERROR(INDEX(PODACI_PRODAJA!K:K,MATCH($A408,PODACI_PRODAJA!$A:$A,0)),0)</f>
        <v>0</v>
      </c>
      <c r="AC408" s="23" t="n">
        <f aca="false">IFERROR(INDEX(PODACI_PRODAJA!L:L,MATCH($A408,PODACI_PRODAJA!$A:$A,0)),0)</f>
        <v>0</v>
      </c>
      <c r="AD408" s="23" t="n">
        <f aca="false">IFERROR(INDEX(PODACI_PRODAJA!M:M,MATCH($A408,PODACI_PRODAJA!$A:$A,0)),0)</f>
        <v>0</v>
      </c>
    </row>
    <row r="409" customFormat="false" ht="15" hidden="false" customHeight="false" outlineLevel="0" collapsed="false">
      <c r="A409" s="11" t="str">
        <f aca="false">PODACI_ZALIHE!A406</f>
        <v>17246</v>
      </c>
      <c r="B409" s="8" t="str">
        <f aca="false">PODACI_ZALIHE!B406</f>
        <v>TUŠ STAKLO ZA VETRO SLIDE BLACK 120 120X195 cm</v>
      </c>
      <c r="C409" s="9" t="str">
        <f aca="false">PODACI_ZALIHE!C406</f>
        <v>6762</v>
      </c>
      <c r="D409" s="8" t="str">
        <f aca="false">PODACI_ZALIHE!D406</f>
        <v>ZHEJIANG QUICKLINE SHOWERING CO., LTD.</v>
      </c>
      <c r="E409" s="19" t="n">
        <f aca="false">IF(PODACI_ZALIHE!E406="","",PODACI_ZALIHE!E406)</f>
        <v>13</v>
      </c>
      <c r="F409" s="20" t="n">
        <f aca="false">PODACI_ZALIHE!F406</f>
        <v>13</v>
      </c>
      <c r="G409" s="19" t="n">
        <f aca="false">IF(E409="","",E409-F409)</f>
        <v>0</v>
      </c>
      <c r="H409" s="9" t="n">
        <f aca="false">PODACI_PRODAJA!N622</f>
        <v>0.13</v>
      </c>
      <c r="I409" s="21" t="n">
        <f aca="false">IF(H409&lt;=0,999,ROUND(F409/H409,1))</f>
        <v>100</v>
      </c>
      <c r="J409" s="9" t="n">
        <f aca="false">SUMIFS(ROBA_U_DOLASKU!$C$6:$C$95,ROBA_U_DOLASKU!$A$6:$A$95,A409,ROBA_U_DOLASKU!$H$6:$H$95,1)</f>
        <v>0</v>
      </c>
      <c r="K409" s="9" t="n">
        <f aca="false">SUMIFS(ROBA_U_DOLASKU!$B$6:$B$95,ROBA_U_DOLASKU!$A$6:$A$95,A409,ROBA_U_DOLASKU!$H$6:$H$95,1)</f>
        <v>0</v>
      </c>
      <c r="L409" s="9" t="n">
        <f aca="false">SUMIFS(ROBA_U_DOLASKU!$C$6:$C$95,ROBA_U_DOLASKU!$A$6:$A$95,A409,ROBA_U_DOLASKU!$H$6:$H$95,2)</f>
        <v>0</v>
      </c>
      <c r="M409" s="9" t="n">
        <f aca="false">SUMIFS(ROBA_U_DOLASKU!$B$6:$B$95,ROBA_U_DOLASKU!$A$6:$A$95,A409,ROBA_U_DOLASKU!$H$6:$H$95,2)</f>
        <v>0</v>
      </c>
      <c r="N409" s="9" t="n">
        <f aca="false">SUMIFS(ROBA_U_DOLASKU!$C$6:$C$95,ROBA_U_DOLASKU!$A$6:$A$95,A409,ROBA_U_DOLASKU!$H$6:$H$95,3)</f>
        <v>0</v>
      </c>
      <c r="O409" s="9" t="n">
        <f aca="false">SUMIFS(ROBA_U_DOLASKU!$B$6:$B$95,ROBA_U_DOLASKU!$A$6:$A$95,A409,ROBA_U_DOLASKU!$H$6:$H$95,3)</f>
        <v>0</v>
      </c>
      <c r="P409" s="9" t="n">
        <f aca="false">IF(H409&lt;=0,999,IF(O409&gt;0,ROUND((F409-H409*N409+K409+M409+O409)/H409,1),IF(M409&gt;0,ROUND((F409-H409*L409+K409+M409)/H409,1),IF(K409&gt;0,ROUND((F409-H409*J409+K409)/H409,1),I409))))</f>
        <v>100</v>
      </c>
      <c r="Q409" s="22" t="str">
        <f aca="false">IF(H409&lt;=0,"Nema prodaje",IF(AND(K409=0,M409=0,O409=0),IF(I409&lt;POSTAVKE!$B$6,"Naruči odmah","Sve u redu"),IF(F409-H409*J409&lt;0,"Rupa za ~"&amp;TEXT(I409,"0.0")&amp;" mj.",IF(AND(M409&gt;0,F409-H409*L409+K409&lt;0),"Rupa nakon 1. dolaska",IF(AND(O409&gt;0,F409-H409*N409+K409+M409&lt;0),"Rupa nakon 2. dolaska",IF(P409&lt;POSTAVKE!$B$6,"Količina nije dovoljna",IF(I409&gt;=POSTAVKE!$B$6,"Sve u redu","Stiže na vrijeme")))))))</f>
        <v>Sve u redu</v>
      </c>
      <c r="S409" s="23" t="n">
        <f aca="false">IFERROR(INDEX(PODACI_PRODAJA!B:B,MATCH($A409,PODACI_PRODAJA!$A:$A,0)),0)</f>
        <v>0</v>
      </c>
      <c r="T409" s="23" t="n">
        <f aca="false">IFERROR(INDEX(PODACI_PRODAJA!C:C,MATCH($A409,PODACI_PRODAJA!$A:$A,0)),0)</f>
        <v>0</v>
      </c>
      <c r="U409" s="23" t="n">
        <f aca="false">IFERROR(INDEX(PODACI_PRODAJA!D:D,MATCH($A409,PODACI_PRODAJA!$A:$A,0)),0)</f>
        <v>0</v>
      </c>
      <c r="V409" s="23" t="n">
        <f aca="false">IFERROR(INDEX(PODACI_PRODAJA!E:E,MATCH($A409,PODACI_PRODAJA!$A:$A,0)),0)</f>
        <v>0</v>
      </c>
      <c r="W409" s="23" t="n">
        <f aca="false">IFERROR(INDEX(PODACI_PRODAJA!F:F,MATCH($A409,PODACI_PRODAJA!$A:$A,0)),0)</f>
        <v>0</v>
      </c>
      <c r="X409" s="23" t="n">
        <f aca="false">IFERROR(INDEX(PODACI_PRODAJA!G:G,MATCH($A409,PODACI_PRODAJA!$A:$A,0)),0)</f>
        <v>1</v>
      </c>
      <c r="Y409" s="23" t="n">
        <f aca="false">IFERROR(INDEX(PODACI_PRODAJA!H:H,MATCH($A409,PODACI_PRODAJA!$A:$A,0)),0)</f>
        <v>0</v>
      </c>
      <c r="Z409" s="23" t="n">
        <f aca="false">IFERROR(INDEX(PODACI_PRODAJA!I:I,MATCH($A409,PODACI_PRODAJA!$A:$A,0)),0)</f>
        <v>0</v>
      </c>
      <c r="AA409" s="23" t="n">
        <f aca="false">IFERROR(INDEX(PODACI_PRODAJA!J:J,MATCH($A409,PODACI_PRODAJA!$A:$A,0)),0)</f>
        <v>0</v>
      </c>
      <c r="AB409" s="23" t="n">
        <f aca="false">IFERROR(INDEX(PODACI_PRODAJA!K:K,MATCH($A409,PODACI_PRODAJA!$A:$A,0)),0)</f>
        <v>0</v>
      </c>
      <c r="AC409" s="23" t="n">
        <f aca="false">IFERROR(INDEX(PODACI_PRODAJA!L:L,MATCH($A409,PODACI_PRODAJA!$A:$A,0)),0)</f>
        <v>0</v>
      </c>
      <c r="AD409" s="23" t="n">
        <f aca="false">IFERROR(INDEX(PODACI_PRODAJA!M:M,MATCH($A409,PODACI_PRODAJA!$A:$A,0)),0)</f>
        <v>0</v>
      </c>
    </row>
    <row r="410" customFormat="false" ht="15" hidden="false" customHeight="false" outlineLevel="0" collapsed="false">
      <c r="A410" s="11" t="str">
        <f aca="false">PODACI_ZALIHE!A407</f>
        <v>18566</v>
      </c>
      <c r="B410" s="8" t="str">
        <f aca="false">PODACI_ZALIHE!B407</f>
        <v>PURE 120 TUŠ VRATA CHROME 120x200 cm</v>
      </c>
      <c r="C410" s="9" t="str">
        <f aca="false">PODACI_ZALIHE!C407</f>
        <v>6762</v>
      </c>
      <c r="D410" s="8" t="str">
        <f aca="false">PODACI_ZALIHE!D407</f>
        <v>ZHEJIANG QUICKLINE SHOWERING CO., LTD.</v>
      </c>
      <c r="E410" s="19" t="n">
        <f aca="false">IF(PODACI_ZALIHE!E407="","",PODACI_ZALIHE!E407)</f>
        <v>14</v>
      </c>
      <c r="F410" s="20" t="n">
        <f aca="false">PODACI_ZALIHE!F407</f>
        <v>13</v>
      </c>
      <c r="G410" s="19" t="n">
        <f aca="false">IF(E410="","",E410-F410)</f>
        <v>1</v>
      </c>
      <c r="H410" s="9" t="n">
        <f aca="false">PODACI_PRODAJA!N676</f>
        <v>2.38</v>
      </c>
      <c r="I410" s="21" t="n">
        <f aca="false">IF(H410&lt;=0,999,ROUND(F410/H410,1))</f>
        <v>5.5</v>
      </c>
      <c r="J410" s="9" t="n">
        <f aca="false">SUMIFS(ROBA_U_DOLASKU!$C$6:$C$95,ROBA_U_DOLASKU!$A$6:$A$95,A410,ROBA_U_DOLASKU!$H$6:$H$95,1)</f>
        <v>0</v>
      </c>
      <c r="K410" s="9" t="n">
        <f aca="false">SUMIFS(ROBA_U_DOLASKU!$B$6:$B$95,ROBA_U_DOLASKU!$A$6:$A$95,A410,ROBA_U_DOLASKU!$H$6:$H$95,1)</f>
        <v>0</v>
      </c>
      <c r="L410" s="9" t="n">
        <f aca="false">SUMIFS(ROBA_U_DOLASKU!$C$6:$C$95,ROBA_U_DOLASKU!$A$6:$A$95,A410,ROBA_U_DOLASKU!$H$6:$H$95,2)</f>
        <v>0</v>
      </c>
      <c r="M410" s="9" t="n">
        <f aca="false">SUMIFS(ROBA_U_DOLASKU!$B$6:$B$95,ROBA_U_DOLASKU!$A$6:$A$95,A410,ROBA_U_DOLASKU!$H$6:$H$95,2)</f>
        <v>0</v>
      </c>
      <c r="N410" s="9" t="n">
        <f aca="false">SUMIFS(ROBA_U_DOLASKU!$C$6:$C$95,ROBA_U_DOLASKU!$A$6:$A$95,A410,ROBA_U_DOLASKU!$H$6:$H$95,3)</f>
        <v>0</v>
      </c>
      <c r="O410" s="9" t="n">
        <f aca="false">SUMIFS(ROBA_U_DOLASKU!$B$6:$B$95,ROBA_U_DOLASKU!$A$6:$A$95,A410,ROBA_U_DOLASKU!$H$6:$H$95,3)</f>
        <v>0</v>
      </c>
      <c r="P410" s="9" t="n">
        <f aca="false">IF(H410&lt;=0,999,IF(O410&gt;0,ROUND((F410-H410*N410+K410+M410+O410)/H410,1),IF(M410&gt;0,ROUND((F410-H410*L410+K410+M410)/H410,1),IF(K410&gt;0,ROUND((F410-H410*J410+K410)/H410,1),I410))))</f>
        <v>5.5</v>
      </c>
      <c r="Q410" s="22" t="str">
        <f aca="false">IF(H410&lt;=0,"Nema prodaje",IF(AND(K410=0,M410=0,O410=0),IF(I410&lt;POSTAVKE!$B$6,"Naruči odmah","Sve u redu"),IF(F410-H410*J410&lt;0,"Rupa za ~"&amp;TEXT(I410,"0.0")&amp;" mj.",IF(AND(M410&gt;0,F410-H410*L410+K410&lt;0),"Rupa nakon 1. dolaska",IF(AND(O410&gt;0,F410-H410*N410+K410+M410&lt;0),"Rupa nakon 2. dolaska",IF(P410&lt;POSTAVKE!$B$6,"Količina nije dovoljna",IF(I410&gt;=POSTAVKE!$B$6,"Sve u redu","Stiže na vrijeme")))))))</f>
        <v>Sve u redu</v>
      </c>
      <c r="S410" s="23" t="n">
        <f aca="false">IFERROR(INDEX(PODACI_PRODAJA!B:B,MATCH($A410,PODACI_PRODAJA!$A:$A,0)),0)</f>
        <v>0</v>
      </c>
      <c r="T410" s="23" t="n">
        <f aca="false">IFERROR(INDEX(PODACI_PRODAJA!C:C,MATCH($A410,PODACI_PRODAJA!$A:$A,0)),0)</f>
        <v>1</v>
      </c>
      <c r="U410" s="23" t="n">
        <f aca="false">IFERROR(INDEX(PODACI_PRODAJA!D:D,MATCH($A410,PODACI_PRODAJA!$A:$A,0)),0)</f>
        <v>2</v>
      </c>
      <c r="V410" s="23" t="n">
        <f aca="false">IFERROR(INDEX(PODACI_PRODAJA!E:E,MATCH($A410,PODACI_PRODAJA!$A:$A,0)),0)</f>
        <v>7</v>
      </c>
      <c r="W410" s="23" t="n">
        <f aca="false">IFERROR(INDEX(PODACI_PRODAJA!F:F,MATCH($A410,PODACI_PRODAJA!$A:$A,0)),0)</f>
        <v>2</v>
      </c>
      <c r="X410" s="23" t="n">
        <f aca="false">IFERROR(INDEX(PODACI_PRODAJA!G:G,MATCH($A410,PODACI_PRODAJA!$A:$A,0)),0)</f>
        <v>5</v>
      </c>
      <c r="Y410" s="23" t="n">
        <f aca="false">IFERROR(INDEX(PODACI_PRODAJA!H:H,MATCH($A410,PODACI_PRODAJA!$A:$A,0)),0)</f>
        <v>1</v>
      </c>
      <c r="Z410" s="23" t="n">
        <f aca="false">IFERROR(INDEX(PODACI_PRODAJA!I:I,MATCH($A410,PODACI_PRODAJA!$A:$A,0)),0)</f>
        <v>1</v>
      </c>
      <c r="AA410" s="23" t="n">
        <f aca="false">IFERROR(INDEX(PODACI_PRODAJA!J:J,MATCH($A410,PODACI_PRODAJA!$A:$A,0)),0)</f>
        <v>0</v>
      </c>
      <c r="AB410" s="23" t="n">
        <f aca="false">IFERROR(INDEX(PODACI_PRODAJA!K:K,MATCH($A410,PODACI_PRODAJA!$A:$A,0)),0)</f>
        <v>0</v>
      </c>
      <c r="AC410" s="23" t="n">
        <f aca="false">IFERROR(INDEX(PODACI_PRODAJA!L:L,MATCH($A410,PODACI_PRODAJA!$A:$A,0)),0)</f>
        <v>0</v>
      </c>
      <c r="AD410" s="23" t="n">
        <f aca="false">IFERROR(INDEX(PODACI_PRODAJA!M:M,MATCH($A410,PODACI_PRODAJA!$A:$A,0)),0)</f>
        <v>0</v>
      </c>
    </row>
    <row r="411" customFormat="false" ht="15" hidden="false" customHeight="false" outlineLevel="0" collapsed="false">
      <c r="A411" s="11" t="str">
        <f aca="false">PODACI_ZALIHE!A408</f>
        <v>18661</v>
      </c>
      <c r="B411" s="8" t="str">
        <f aca="false">PODACI_ZALIHE!B408</f>
        <v>VETRO SLIDE 100 BLACK TRS TUŠ STIJENA 100x195 cm</v>
      </c>
      <c r="C411" s="9" t="str">
        <f aca="false">PODACI_ZALIHE!C408</f>
        <v>6762</v>
      </c>
      <c r="D411" s="8" t="str">
        <f aca="false">PODACI_ZALIHE!D408</f>
        <v>ZHEJIANG QUICKLINE SHOWERING CO., LTD.</v>
      </c>
      <c r="E411" s="19" t="n">
        <f aca="false">IF(PODACI_ZALIHE!E408="","",PODACI_ZALIHE!E408)</f>
        <v>13</v>
      </c>
      <c r="F411" s="20" t="n">
        <f aca="false">PODACI_ZALIHE!F408</f>
        <v>13</v>
      </c>
      <c r="G411" s="19" t="n">
        <f aca="false">IF(E411="","",E411-F411)</f>
        <v>0</v>
      </c>
      <c r="H411" s="9" t="n">
        <f aca="false">PODACI_PRODAJA!N684</f>
        <v>0.25</v>
      </c>
      <c r="I411" s="21" t="n">
        <f aca="false">IF(H411&lt;=0,999,ROUND(F411/H411,1))</f>
        <v>52</v>
      </c>
      <c r="J411" s="9" t="n">
        <f aca="false">SUMIFS(ROBA_U_DOLASKU!$C$6:$C$95,ROBA_U_DOLASKU!$A$6:$A$95,A411,ROBA_U_DOLASKU!$H$6:$H$95,1)</f>
        <v>0</v>
      </c>
      <c r="K411" s="9" t="n">
        <f aca="false">SUMIFS(ROBA_U_DOLASKU!$B$6:$B$95,ROBA_U_DOLASKU!$A$6:$A$95,A411,ROBA_U_DOLASKU!$H$6:$H$95,1)</f>
        <v>0</v>
      </c>
      <c r="L411" s="9" t="n">
        <f aca="false">SUMIFS(ROBA_U_DOLASKU!$C$6:$C$95,ROBA_U_DOLASKU!$A$6:$A$95,A411,ROBA_U_DOLASKU!$H$6:$H$95,2)</f>
        <v>0</v>
      </c>
      <c r="M411" s="9" t="n">
        <f aca="false">SUMIFS(ROBA_U_DOLASKU!$B$6:$B$95,ROBA_U_DOLASKU!$A$6:$A$95,A411,ROBA_U_DOLASKU!$H$6:$H$95,2)</f>
        <v>0</v>
      </c>
      <c r="N411" s="9" t="n">
        <f aca="false">SUMIFS(ROBA_U_DOLASKU!$C$6:$C$95,ROBA_U_DOLASKU!$A$6:$A$95,A411,ROBA_U_DOLASKU!$H$6:$H$95,3)</f>
        <v>0</v>
      </c>
      <c r="O411" s="9" t="n">
        <f aca="false">SUMIFS(ROBA_U_DOLASKU!$B$6:$B$95,ROBA_U_DOLASKU!$A$6:$A$95,A411,ROBA_U_DOLASKU!$H$6:$H$95,3)</f>
        <v>0</v>
      </c>
      <c r="P411" s="9" t="n">
        <f aca="false">IF(H411&lt;=0,999,IF(O411&gt;0,ROUND((F411-H411*N411+K411+M411+O411)/H411,1),IF(M411&gt;0,ROUND((F411-H411*L411+K411+M411)/H411,1),IF(K411&gt;0,ROUND((F411-H411*J411+K411)/H411,1),I411))))</f>
        <v>52</v>
      </c>
      <c r="Q411" s="22" t="str">
        <f aca="false">IF(H411&lt;=0,"Nema prodaje",IF(AND(K411=0,M411=0,O411=0),IF(I411&lt;POSTAVKE!$B$6,"Naruči odmah","Sve u redu"),IF(F411-H411*J411&lt;0,"Rupa za ~"&amp;TEXT(I411,"0.0")&amp;" mj.",IF(AND(M411&gt;0,F411-H411*L411+K411&lt;0),"Rupa nakon 1. dolaska",IF(AND(O411&gt;0,F411-H411*N411+K411+M411&lt;0),"Rupa nakon 2. dolaska",IF(P411&lt;POSTAVKE!$B$6,"Količina nije dovoljna",IF(I411&gt;=POSTAVKE!$B$6,"Sve u redu","Stiže na vrijeme")))))))</f>
        <v>Sve u redu</v>
      </c>
      <c r="S411" s="23" t="n">
        <f aca="false">IFERROR(INDEX(PODACI_PRODAJA!B:B,MATCH($A411,PODACI_PRODAJA!$A:$A,0)),0)</f>
        <v>0</v>
      </c>
      <c r="T411" s="23" t="n">
        <f aca="false">IFERROR(INDEX(PODACI_PRODAJA!C:C,MATCH($A411,PODACI_PRODAJA!$A:$A,0)),0)</f>
        <v>0</v>
      </c>
      <c r="U411" s="23" t="n">
        <f aca="false">IFERROR(INDEX(PODACI_PRODAJA!D:D,MATCH($A411,PODACI_PRODAJA!$A:$A,0)),0)</f>
        <v>0</v>
      </c>
      <c r="V411" s="23" t="n">
        <f aca="false">IFERROR(INDEX(PODACI_PRODAJA!E:E,MATCH($A411,PODACI_PRODAJA!$A:$A,0)),0)</f>
        <v>0</v>
      </c>
      <c r="W411" s="23" t="n">
        <f aca="false">IFERROR(INDEX(PODACI_PRODAJA!F:F,MATCH($A411,PODACI_PRODAJA!$A:$A,0)),0)</f>
        <v>0</v>
      </c>
      <c r="X411" s="23" t="n">
        <f aca="false">IFERROR(INDEX(PODACI_PRODAJA!G:G,MATCH($A411,PODACI_PRODAJA!$A:$A,0)),0)</f>
        <v>1</v>
      </c>
      <c r="Y411" s="23" t="n">
        <f aca="false">IFERROR(INDEX(PODACI_PRODAJA!H:H,MATCH($A411,PODACI_PRODAJA!$A:$A,0)),0)</f>
        <v>0</v>
      </c>
      <c r="Z411" s="23" t="n">
        <f aca="false">IFERROR(INDEX(PODACI_PRODAJA!I:I,MATCH($A411,PODACI_PRODAJA!$A:$A,0)),0)</f>
        <v>1</v>
      </c>
      <c r="AA411" s="23" t="n">
        <f aca="false">IFERROR(INDEX(PODACI_PRODAJA!J:J,MATCH($A411,PODACI_PRODAJA!$A:$A,0)),0)</f>
        <v>0</v>
      </c>
      <c r="AB411" s="23" t="n">
        <f aca="false">IFERROR(INDEX(PODACI_PRODAJA!K:K,MATCH($A411,PODACI_PRODAJA!$A:$A,0)),0)</f>
        <v>0</v>
      </c>
      <c r="AC411" s="23" t="n">
        <f aca="false">IFERROR(INDEX(PODACI_PRODAJA!L:L,MATCH($A411,PODACI_PRODAJA!$A:$A,0)),0)</f>
        <v>0</v>
      </c>
      <c r="AD411" s="23" t="n">
        <f aca="false">IFERROR(INDEX(PODACI_PRODAJA!M:M,MATCH($A411,PODACI_PRODAJA!$A:$A,0)),0)</f>
        <v>0</v>
      </c>
    </row>
    <row r="412" customFormat="false" ht="15" hidden="false" customHeight="false" outlineLevel="0" collapsed="false">
      <c r="A412" s="11" t="str">
        <f aca="false">PODACI_ZALIHE!A409</f>
        <v>18663</v>
      </c>
      <c r="B412" s="8" t="str">
        <f aca="false">PODACI_ZALIHE!B409</f>
        <v>VETRO SLIDE 100 CHROME TRS TUŠ STIJENA 100x195 cm</v>
      </c>
      <c r="C412" s="9" t="str">
        <f aca="false">PODACI_ZALIHE!C409</f>
        <v>6762</v>
      </c>
      <c r="D412" s="8" t="str">
        <f aca="false">PODACI_ZALIHE!D409</f>
        <v>ZHEJIANG QUICKLINE SHOWERING CO., LTD.</v>
      </c>
      <c r="E412" s="19" t="n">
        <f aca="false">IF(PODACI_ZALIHE!E409="","",PODACI_ZALIHE!E409)</f>
        <v>13</v>
      </c>
      <c r="F412" s="20" t="n">
        <f aca="false">PODACI_ZALIHE!F409</f>
        <v>13</v>
      </c>
      <c r="G412" s="19" t="n">
        <f aca="false">IF(E412="","",E412-F412)</f>
        <v>0</v>
      </c>
      <c r="H412" s="9" t="n">
        <f aca="false">PODACI_PRODAJA!N686</f>
        <v>0.13</v>
      </c>
      <c r="I412" s="21" t="n">
        <f aca="false">IF(H412&lt;=0,999,ROUND(F412/H412,1))</f>
        <v>100</v>
      </c>
      <c r="J412" s="9" t="n">
        <f aca="false">SUMIFS(ROBA_U_DOLASKU!$C$6:$C$95,ROBA_U_DOLASKU!$A$6:$A$95,A412,ROBA_U_DOLASKU!$H$6:$H$95,1)</f>
        <v>0</v>
      </c>
      <c r="K412" s="9" t="n">
        <f aca="false">SUMIFS(ROBA_U_DOLASKU!$B$6:$B$95,ROBA_U_DOLASKU!$A$6:$A$95,A412,ROBA_U_DOLASKU!$H$6:$H$95,1)</f>
        <v>0</v>
      </c>
      <c r="L412" s="9" t="n">
        <f aca="false">SUMIFS(ROBA_U_DOLASKU!$C$6:$C$95,ROBA_U_DOLASKU!$A$6:$A$95,A412,ROBA_U_DOLASKU!$H$6:$H$95,2)</f>
        <v>0</v>
      </c>
      <c r="M412" s="9" t="n">
        <f aca="false">SUMIFS(ROBA_U_DOLASKU!$B$6:$B$95,ROBA_U_DOLASKU!$A$6:$A$95,A412,ROBA_U_DOLASKU!$H$6:$H$95,2)</f>
        <v>0</v>
      </c>
      <c r="N412" s="9" t="n">
        <f aca="false">SUMIFS(ROBA_U_DOLASKU!$C$6:$C$95,ROBA_U_DOLASKU!$A$6:$A$95,A412,ROBA_U_DOLASKU!$H$6:$H$95,3)</f>
        <v>0</v>
      </c>
      <c r="O412" s="9" t="n">
        <f aca="false">SUMIFS(ROBA_U_DOLASKU!$B$6:$B$95,ROBA_U_DOLASKU!$A$6:$A$95,A412,ROBA_U_DOLASKU!$H$6:$H$95,3)</f>
        <v>0</v>
      </c>
      <c r="P412" s="9" t="n">
        <f aca="false">IF(H412&lt;=0,999,IF(O412&gt;0,ROUND((F412-H412*N412+K412+M412+O412)/H412,1),IF(M412&gt;0,ROUND((F412-H412*L412+K412+M412)/H412,1),IF(K412&gt;0,ROUND((F412-H412*J412+K412)/H412,1),I412))))</f>
        <v>100</v>
      </c>
      <c r="Q412" s="22" t="str">
        <f aca="false">IF(H412&lt;=0,"Nema prodaje",IF(AND(K412=0,M412=0,O412=0),IF(I412&lt;POSTAVKE!$B$6,"Naruči odmah","Sve u redu"),IF(F412-H412*J412&lt;0,"Rupa za ~"&amp;TEXT(I412,"0.0")&amp;" mj.",IF(AND(M412&gt;0,F412-H412*L412+K412&lt;0),"Rupa nakon 1. dolaska",IF(AND(O412&gt;0,F412-H412*N412+K412+M412&lt;0),"Rupa nakon 2. dolaska",IF(P412&lt;POSTAVKE!$B$6,"Količina nije dovoljna",IF(I412&gt;=POSTAVKE!$B$6,"Sve u redu","Stiže na vrijeme")))))))</f>
        <v>Sve u redu</v>
      </c>
      <c r="S412" s="23" t="n">
        <f aca="false">IFERROR(INDEX(PODACI_PRODAJA!B:B,MATCH($A412,PODACI_PRODAJA!$A:$A,0)),0)</f>
        <v>0</v>
      </c>
      <c r="T412" s="23" t="n">
        <f aca="false">IFERROR(INDEX(PODACI_PRODAJA!C:C,MATCH($A412,PODACI_PRODAJA!$A:$A,0)),0)</f>
        <v>0</v>
      </c>
      <c r="U412" s="23" t="n">
        <f aca="false">IFERROR(INDEX(PODACI_PRODAJA!D:D,MATCH($A412,PODACI_PRODAJA!$A:$A,0)),0)</f>
        <v>0</v>
      </c>
      <c r="V412" s="23" t="n">
        <f aca="false">IFERROR(INDEX(PODACI_PRODAJA!E:E,MATCH($A412,PODACI_PRODAJA!$A:$A,0)),0)</f>
        <v>0</v>
      </c>
      <c r="W412" s="23" t="n">
        <f aca="false">IFERROR(INDEX(PODACI_PRODAJA!F:F,MATCH($A412,PODACI_PRODAJA!$A:$A,0)),0)</f>
        <v>0</v>
      </c>
      <c r="X412" s="23" t="n">
        <f aca="false">IFERROR(INDEX(PODACI_PRODAJA!G:G,MATCH($A412,PODACI_PRODAJA!$A:$A,0)),0)</f>
        <v>1</v>
      </c>
      <c r="Y412" s="23" t="n">
        <f aca="false">IFERROR(INDEX(PODACI_PRODAJA!H:H,MATCH($A412,PODACI_PRODAJA!$A:$A,0)),0)</f>
        <v>0</v>
      </c>
      <c r="Z412" s="23" t="n">
        <f aca="false">IFERROR(INDEX(PODACI_PRODAJA!I:I,MATCH($A412,PODACI_PRODAJA!$A:$A,0)),0)</f>
        <v>0</v>
      </c>
      <c r="AA412" s="23" t="n">
        <f aca="false">IFERROR(INDEX(PODACI_PRODAJA!J:J,MATCH($A412,PODACI_PRODAJA!$A:$A,0)),0)</f>
        <v>0</v>
      </c>
      <c r="AB412" s="23" t="n">
        <f aca="false">IFERROR(INDEX(PODACI_PRODAJA!K:K,MATCH($A412,PODACI_PRODAJA!$A:$A,0)),0)</f>
        <v>0</v>
      </c>
      <c r="AC412" s="23" t="n">
        <f aca="false">IFERROR(INDEX(PODACI_PRODAJA!L:L,MATCH($A412,PODACI_PRODAJA!$A:$A,0)),0)</f>
        <v>0</v>
      </c>
      <c r="AD412" s="23" t="n">
        <f aca="false">IFERROR(INDEX(PODACI_PRODAJA!M:M,MATCH($A412,PODACI_PRODAJA!$A:$A,0)),0)</f>
        <v>0</v>
      </c>
    </row>
    <row r="413" customFormat="false" ht="15" hidden="false" customHeight="false" outlineLevel="0" collapsed="false">
      <c r="A413" s="11" t="str">
        <f aca="false">PODACI_ZALIHE!A410</f>
        <v>AA02066</v>
      </c>
      <c r="B413" s="8" t="str">
        <f aca="false">PODACI_ZALIHE!B410</f>
        <v>KOMPLET NOGICA ZA KUPAONSKU KUTNU KADU</v>
      </c>
      <c r="C413" s="9" t="n">
        <f aca="false">PODACI_ZALIHE!C410</f>
        <v>0</v>
      </c>
      <c r="D413" s="8" t="n">
        <f aca="false">PODACI_ZALIHE!D410</f>
        <v>0</v>
      </c>
      <c r="E413" s="19" t="n">
        <f aca="false">IF(PODACI_ZALIHE!E410="","",PODACI_ZALIHE!E410)</f>
        <v>12</v>
      </c>
      <c r="F413" s="20" t="n">
        <f aca="false">PODACI_ZALIHE!F410</f>
        <v>12</v>
      </c>
      <c r="G413" s="19" t="n">
        <f aca="false">IF(E413="","",E413-F413)</f>
        <v>0</v>
      </c>
      <c r="H413" s="9" t="n">
        <f aca="false">PODACI_PRODAJA!N289</f>
        <v>0.13</v>
      </c>
      <c r="I413" s="21" t="n">
        <f aca="false">IF(H413&lt;=0,999,ROUND(F413/H413,1))</f>
        <v>92.3</v>
      </c>
      <c r="J413" s="9" t="n">
        <f aca="false">SUMIFS(ROBA_U_DOLASKU!$C$6:$C$95,ROBA_U_DOLASKU!$A$6:$A$95,A413,ROBA_U_DOLASKU!$H$6:$H$95,1)</f>
        <v>0</v>
      </c>
      <c r="K413" s="9" t="n">
        <f aca="false">SUMIFS(ROBA_U_DOLASKU!$B$6:$B$95,ROBA_U_DOLASKU!$A$6:$A$95,A413,ROBA_U_DOLASKU!$H$6:$H$95,1)</f>
        <v>0</v>
      </c>
      <c r="L413" s="9" t="n">
        <f aca="false">SUMIFS(ROBA_U_DOLASKU!$C$6:$C$95,ROBA_U_DOLASKU!$A$6:$A$95,A413,ROBA_U_DOLASKU!$H$6:$H$95,2)</f>
        <v>0</v>
      </c>
      <c r="M413" s="9" t="n">
        <f aca="false">SUMIFS(ROBA_U_DOLASKU!$B$6:$B$95,ROBA_U_DOLASKU!$A$6:$A$95,A413,ROBA_U_DOLASKU!$H$6:$H$95,2)</f>
        <v>0</v>
      </c>
      <c r="N413" s="9" t="n">
        <f aca="false">SUMIFS(ROBA_U_DOLASKU!$C$6:$C$95,ROBA_U_DOLASKU!$A$6:$A$95,A413,ROBA_U_DOLASKU!$H$6:$H$95,3)</f>
        <v>0</v>
      </c>
      <c r="O413" s="9" t="n">
        <f aca="false">SUMIFS(ROBA_U_DOLASKU!$B$6:$B$95,ROBA_U_DOLASKU!$A$6:$A$95,A413,ROBA_U_DOLASKU!$H$6:$H$95,3)</f>
        <v>0</v>
      </c>
      <c r="P413" s="9" t="n">
        <f aca="false">IF(H413&lt;=0,999,IF(O413&gt;0,ROUND((F413-H413*N413+K413+M413+O413)/H413,1),IF(M413&gt;0,ROUND((F413-H413*L413+K413+M413)/H413,1),IF(K413&gt;0,ROUND((F413-H413*J413+K413)/H413,1),I413))))</f>
        <v>92.3</v>
      </c>
      <c r="Q413" s="22" t="str">
        <f aca="false">IF(H413&lt;=0,"Nema prodaje",IF(AND(K413=0,M413=0,O413=0),IF(I413&lt;POSTAVKE!$B$6,"Naruči odmah","Sve u redu"),IF(F413-H413*J413&lt;0,"Rupa za ~"&amp;TEXT(I413,"0.0")&amp;" mj.",IF(AND(M413&gt;0,F413-H413*L413+K413&lt;0),"Rupa nakon 1. dolaska",IF(AND(O413&gt;0,F413-H413*N413+K413+M413&lt;0),"Rupa nakon 2. dolaska",IF(P413&lt;POSTAVKE!$B$6,"Količina nije dovoljna",IF(I413&gt;=POSTAVKE!$B$6,"Sve u redu","Stiže na vrijeme")))))))</f>
        <v>Sve u redu</v>
      </c>
      <c r="S413" s="23" t="n">
        <f aca="false">IFERROR(INDEX(PODACI_PRODAJA!B:B,MATCH($A413,PODACI_PRODAJA!$A:$A,0)),0)</f>
        <v>0</v>
      </c>
      <c r="T413" s="23" t="n">
        <f aca="false">IFERROR(INDEX(PODACI_PRODAJA!C:C,MATCH($A413,PODACI_PRODAJA!$A:$A,0)),0)</f>
        <v>0</v>
      </c>
      <c r="U413" s="23" t="n">
        <f aca="false">IFERROR(INDEX(PODACI_PRODAJA!D:D,MATCH($A413,PODACI_PRODAJA!$A:$A,0)),0)</f>
        <v>0</v>
      </c>
      <c r="V413" s="23" t="n">
        <f aca="false">IFERROR(INDEX(PODACI_PRODAJA!E:E,MATCH($A413,PODACI_PRODAJA!$A:$A,0)),0)</f>
        <v>0</v>
      </c>
      <c r="W413" s="23" t="n">
        <f aca="false">IFERROR(INDEX(PODACI_PRODAJA!F:F,MATCH($A413,PODACI_PRODAJA!$A:$A,0)),0)</f>
        <v>0</v>
      </c>
      <c r="X413" s="23" t="n">
        <f aca="false">IFERROR(INDEX(PODACI_PRODAJA!G:G,MATCH($A413,PODACI_PRODAJA!$A:$A,0)),0)</f>
        <v>1</v>
      </c>
      <c r="Y413" s="23" t="n">
        <f aca="false">IFERROR(INDEX(PODACI_PRODAJA!H:H,MATCH($A413,PODACI_PRODAJA!$A:$A,0)),0)</f>
        <v>0</v>
      </c>
      <c r="Z413" s="23" t="n">
        <f aca="false">IFERROR(INDEX(PODACI_PRODAJA!I:I,MATCH($A413,PODACI_PRODAJA!$A:$A,0)),0)</f>
        <v>0</v>
      </c>
      <c r="AA413" s="23" t="n">
        <f aca="false">IFERROR(INDEX(PODACI_PRODAJA!J:J,MATCH($A413,PODACI_PRODAJA!$A:$A,0)),0)</f>
        <v>0</v>
      </c>
      <c r="AB413" s="23" t="n">
        <f aca="false">IFERROR(INDEX(PODACI_PRODAJA!K:K,MATCH($A413,PODACI_PRODAJA!$A:$A,0)),0)</f>
        <v>0</v>
      </c>
      <c r="AC413" s="23" t="n">
        <f aca="false">IFERROR(INDEX(PODACI_PRODAJA!L:L,MATCH($A413,PODACI_PRODAJA!$A:$A,0)),0)</f>
        <v>0</v>
      </c>
      <c r="AD413" s="23" t="n">
        <f aca="false">IFERROR(INDEX(PODACI_PRODAJA!M:M,MATCH($A413,PODACI_PRODAJA!$A:$A,0)),0)</f>
        <v>0</v>
      </c>
    </row>
    <row r="414" customFormat="false" ht="15" hidden="false" customHeight="false" outlineLevel="0" collapsed="false">
      <c r="A414" s="11" t="str">
        <f aca="false">PODACI_ZALIHE!A411</f>
        <v>1567100</v>
      </c>
      <c r="B414" s="8" t="str">
        <f aca="false">PODACI_ZALIHE!B411</f>
        <v>BOLD S BIJELA 90 KV MINERALSOLID TUŠ KADA 900x900x30 mm</v>
      </c>
      <c r="C414" s="9" t="str">
        <f aca="false">PODACI_ZALIHE!C411</f>
        <v>5140</v>
      </c>
      <c r="D414" s="8" t="str">
        <f aca="false">PODACI_ZALIHE!D411</f>
        <v>GUANGDONG OCEAN SANITARY WARE CO., LTD.</v>
      </c>
      <c r="E414" s="19" t="n">
        <f aca="false">IF(PODACI_ZALIHE!E411="","",PODACI_ZALIHE!E411)</f>
        <v>12</v>
      </c>
      <c r="F414" s="20" t="n">
        <f aca="false">PODACI_ZALIHE!F411</f>
        <v>12</v>
      </c>
      <c r="G414" s="19" t="n">
        <f aca="false">IF(E414="","",E414-F414)</f>
        <v>0</v>
      </c>
      <c r="H414" s="9" t="n">
        <f aca="false">PODACI_PRODAJA!N507</f>
        <v>10.63</v>
      </c>
      <c r="I414" s="21" t="n">
        <f aca="false">IF(H414&lt;=0,999,ROUND(F414/H414,1))</f>
        <v>1.1</v>
      </c>
      <c r="J414" s="9" t="n">
        <f aca="false">SUMIFS(ROBA_U_DOLASKU!$C$6:$C$95,ROBA_U_DOLASKU!$A$6:$A$95,A414,ROBA_U_DOLASKU!$H$6:$H$95,1)</f>
        <v>0</v>
      </c>
      <c r="K414" s="9" t="n">
        <f aca="false">SUMIFS(ROBA_U_DOLASKU!$B$6:$B$95,ROBA_U_DOLASKU!$A$6:$A$95,A414,ROBA_U_DOLASKU!$H$6:$H$95,1)</f>
        <v>0</v>
      </c>
      <c r="L414" s="9" t="n">
        <f aca="false">SUMIFS(ROBA_U_DOLASKU!$C$6:$C$95,ROBA_U_DOLASKU!$A$6:$A$95,A414,ROBA_U_DOLASKU!$H$6:$H$95,2)</f>
        <v>0</v>
      </c>
      <c r="M414" s="9" t="n">
        <f aca="false">SUMIFS(ROBA_U_DOLASKU!$B$6:$B$95,ROBA_U_DOLASKU!$A$6:$A$95,A414,ROBA_U_DOLASKU!$H$6:$H$95,2)</f>
        <v>0</v>
      </c>
      <c r="N414" s="9" t="n">
        <f aca="false">SUMIFS(ROBA_U_DOLASKU!$C$6:$C$95,ROBA_U_DOLASKU!$A$6:$A$95,A414,ROBA_U_DOLASKU!$H$6:$H$95,3)</f>
        <v>0</v>
      </c>
      <c r="O414" s="9" t="n">
        <f aca="false">SUMIFS(ROBA_U_DOLASKU!$B$6:$B$95,ROBA_U_DOLASKU!$A$6:$A$95,A414,ROBA_U_DOLASKU!$H$6:$H$95,3)</f>
        <v>0</v>
      </c>
      <c r="P414" s="9" t="n">
        <f aca="false">IF(H414&lt;=0,999,IF(O414&gt;0,ROUND((F414-H414*N414+K414+M414+O414)/H414,1),IF(M414&gt;0,ROUND((F414-H414*L414+K414+M414)/H414,1),IF(K414&gt;0,ROUND((F414-H414*J414+K414)/H414,1),I414))))</f>
        <v>1.1</v>
      </c>
      <c r="Q414" s="22" t="str">
        <f aca="false">IF(H414&lt;=0,"Nema prodaje",IF(AND(K414=0,M414=0,O414=0),IF(I414&lt;POSTAVKE!$B$6,"Naruči odmah","Sve u redu"),IF(F414-H414*J414&lt;0,"Rupa za ~"&amp;TEXT(I414,"0.0")&amp;" mj.",IF(AND(M414&gt;0,F414-H414*L414+K414&lt;0),"Rupa nakon 1. dolaska",IF(AND(O414&gt;0,F414-H414*N414+K414+M414&lt;0),"Rupa nakon 2. dolaska",IF(P414&lt;POSTAVKE!$B$6,"Količina nije dovoljna",IF(I414&gt;=POSTAVKE!$B$6,"Sve u redu","Stiže na vrijeme")))))))</f>
        <v>Naruči odmah</v>
      </c>
      <c r="S414" s="23" t="n">
        <f aca="false">IFERROR(INDEX(PODACI_PRODAJA!B:B,MATCH($A414,PODACI_PRODAJA!$A:$A,0)),0)</f>
        <v>0</v>
      </c>
      <c r="T414" s="23" t="n">
        <f aca="false">IFERROR(INDEX(PODACI_PRODAJA!C:C,MATCH($A414,PODACI_PRODAJA!$A:$A,0)),0)</f>
        <v>0</v>
      </c>
      <c r="U414" s="23" t="n">
        <f aca="false">IFERROR(INDEX(PODACI_PRODAJA!D:D,MATCH($A414,PODACI_PRODAJA!$A:$A,0)),0)</f>
        <v>32</v>
      </c>
      <c r="V414" s="23" t="n">
        <f aca="false">IFERROR(INDEX(PODACI_PRODAJA!E:E,MATCH($A414,PODACI_PRODAJA!$A:$A,0)),0)</f>
        <v>17</v>
      </c>
      <c r="W414" s="23" t="n">
        <f aca="false">IFERROR(INDEX(PODACI_PRODAJA!F:F,MATCH($A414,PODACI_PRODAJA!$A:$A,0)),0)</f>
        <v>0</v>
      </c>
      <c r="X414" s="23" t="n">
        <f aca="false">IFERROR(INDEX(PODACI_PRODAJA!G:G,MATCH($A414,PODACI_PRODAJA!$A:$A,0)),0)</f>
        <v>14</v>
      </c>
      <c r="Y414" s="23" t="n">
        <f aca="false">IFERROR(INDEX(PODACI_PRODAJA!H:H,MATCH($A414,PODACI_PRODAJA!$A:$A,0)),0)</f>
        <v>20</v>
      </c>
      <c r="Z414" s="23" t="n">
        <f aca="false">IFERROR(INDEX(PODACI_PRODAJA!I:I,MATCH($A414,PODACI_PRODAJA!$A:$A,0)),0)</f>
        <v>2</v>
      </c>
      <c r="AA414" s="23" t="n">
        <f aca="false">IFERROR(INDEX(PODACI_PRODAJA!J:J,MATCH($A414,PODACI_PRODAJA!$A:$A,0)),0)</f>
        <v>0</v>
      </c>
      <c r="AB414" s="23" t="n">
        <f aca="false">IFERROR(INDEX(PODACI_PRODAJA!K:K,MATCH($A414,PODACI_PRODAJA!$A:$A,0)),0)</f>
        <v>0</v>
      </c>
      <c r="AC414" s="23" t="n">
        <f aca="false">IFERROR(INDEX(PODACI_PRODAJA!L:L,MATCH($A414,PODACI_PRODAJA!$A:$A,0)),0)</f>
        <v>0</v>
      </c>
      <c r="AD414" s="23" t="n">
        <f aca="false">IFERROR(INDEX(PODACI_PRODAJA!M:M,MATCH($A414,PODACI_PRODAJA!$A:$A,0)),0)</f>
        <v>0</v>
      </c>
    </row>
    <row r="415" customFormat="false" ht="15" hidden="false" customHeight="false" outlineLevel="0" collapsed="false">
      <c r="A415" s="11" t="str">
        <f aca="false">PODACI_ZALIHE!A412</f>
        <v>17193</v>
      </c>
      <c r="B415" s="8" t="str">
        <f aca="false">PODACI_ZALIHE!B412</f>
        <v>QUADRA VISEĆI BIDE 515x365x300 mm</v>
      </c>
      <c r="C415" s="9" t="n">
        <f aca="false">PODACI_ZALIHE!C412</f>
        <v>0</v>
      </c>
      <c r="D415" s="8" t="n">
        <f aca="false">PODACI_ZALIHE!D412</f>
        <v>0</v>
      </c>
      <c r="E415" s="19" t="n">
        <f aca="false">IF(PODACI_ZALIHE!E412="","",PODACI_ZALIHE!E412)</f>
        <v>12</v>
      </c>
      <c r="F415" s="20" t="n">
        <f aca="false">PODACI_ZALIHE!F412</f>
        <v>12</v>
      </c>
      <c r="G415" s="19" t="n">
        <f aca="false">IF(E415="","",E415-F415)</f>
        <v>0</v>
      </c>
      <c r="H415" s="9" t="n">
        <f aca="false">PODACI_PRODAJA!N600</f>
        <v>0</v>
      </c>
      <c r="I415" s="21" t="n">
        <f aca="false">IF(H415&lt;=0,999,ROUND(F415/H415,1))</f>
        <v>999</v>
      </c>
      <c r="J415" s="9" t="n">
        <f aca="false">SUMIFS(ROBA_U_DOLASKU!$C$6:$C$95,ROBA_U_DOLASKU!$A$6:$A$95,A415,ROBA_U_DOLASKU!$H$6:$H$95,1)</f>
        <v>0</v>
      </c>
      <c r="K415" s="9" t="n">
        <f aca="false">SUMIFS(ROBA_U_DOLASKU!$B$6:$B$95,ROBA_U_DOLASKU!$A$6:$A$95,A415,ROBA_U_DOLASKU!$H$6:$H$95,1)</f>
        <v>0</v>
      </c>
      <c r="L415" s="9" t="n">
        <f aca="false">SUMIFS(ROBA_U_DOLASKU!$C$6:$C$95,ROBA_U_DOLASKU!$A$6:$A$95,A415,ROBA_U_DOLASKU!$H$6:$H$95,2)</f>
        <v>0</v>
      </c>
      <c r="M415" s="9" t="n">
        <f aca="false">SUMIFS(ROBA_U_DOLASKU!$B$6:$B$95,ROBA_U_DOLASKU!$A$6:$A$95,A415,ROBA_U_DOLASKU!$H$6:$H$95,2)</f>
        <v>0</v>
      </c>
      <c r="N415" s="9" t="n">
        <f aca="false">SUMIFS(ROBA_U_DOLASKU!$C$6:$C$95,ROBA_U_DOLASKU!$A$6:$A$95,A415,ROBA_U_DOLASKU!$H$6:$H$95,3)</f>
        <v>0</v>
      </c>
      <c r="O415" s="9" t="n">
        <f aca="false">SUMIFS(ROBA_U_DOLASKU!$B$6:$B$95,ROBA_U_DOLASKU!$A$6:$A$95,A415,ROBA_U_DOLASKU!$H$6:$H$95,3)</f>
        <v>0</v>
      </c>
      <c r="P415" s="9" t="n">
        <f aca="false">IF(H415&lt;=0,999,IF(O415&gt;0,ROUND((F415-H415*N415+K415+M415+O415)/H415,1),IF(M415&gt;0,ROUND((F415-H415*L415+K415+M415)/H415,1),IF(K415&gt;0,ROUND((F415-H415*J415+K415)/H415,1),I415))))</f>
        <v>999</v>
      </c>
      <c r="Q415" s="22" t="str">
        <f aca="false">IF(H415&lt;=0,"Nema prodaje",IF(AND(K415=0,M415=0,O415=0),IF(I415&lt;POSTAVKE!$B$6,"Naruči odmah","Sve u redu"),IF(F415-H415*J415&lt;0,"Rupa za ~"&amp;TEXT(I415,"0.0")&amp;" mj.",IF(AND(M415&gt;0,F415-H415*L415+K415&lt;0),"Rupa nakon 1. dolaska",IF(AND(O415&gt;0,F415-H415*N415+K415+M415&lt;0),"Rupa nakon 2. dolaska",IF(P415&lt;POSTAVKE!$B$6,"Količina nije dovoljna",IF(I415&gt;=POSTAVKE!$B$6,"Sve u redu","Stiže na vrijeme")))))))</f>
        <v>Nema prodaje</v>
      </c>
      <c r="S415" s="23" t="n">
        <f aca="false">IFERROR(INDEX(PODACI_PRODAJA!B:B,MATCH($A415,PODACI_PRODAJA!$A:$A,0)),0)</f>
        <v>0</v>
      </c>
      <c r="T415" s="23" t="n">
        <f aca="false">IFERROR(INDEX(PODACI_PRODAJA!C:C,MATCH($A415,PODACI_PRODAJA!$A:$A,0)),0)</f>
        <v>0</v>
      </c>
      <c r="U415" s="23" t="n">
        <f aca="false">IFERROR(INDEX(PODACI_PRODAJA!D:D,MATCH($A415,PODACI_PRODAJA!$A:$A,0)),0)</f>
        <v>0</v>
      </c>
      <c r="V415" s="23" t="n">
        <f aca="false">IFERROR(INDEX(PODACI_PRODAJA!E:E,MATCH($A415,PODACI_PRODAJA!$A:$A,0)),0)</f>
        <v>0</v>
      </c>
      <c r="W415" s="23" t="n">
        <f aca="false">IFERROR(INDEX(PODACI_PRODAJA!F:F,MATCH($A415,PODACI_PRODAJA!$A:$A,0)),0)</f>
        <v>0</v>
      </c>
      <c r="X415" s="23" t="n">
        <f aca="false">IFERROR(INDEX(PODACI_PRODAJA!G:G,MATCH($A415,PODACI_PRODAJA!$A:$A,0)),0)</f>
        <v>0</v>
      </c>
      <c r="Y415" s="23" t="n">
        <f aca="false">IFERROR(INDEX(PODACI_PRODAJA!H:H,MATCH($A415,PODACI_PRODAJA!$A:$A,0)),0)</f>
        <v>0</v>
      </c>
      <c r="Z415" s="23" t="n">
        <f aca="false">IFERROR(INDEX(PODACI_PRODAJA!I:I,MATCH($A415,PODACI_PRODAJA!$A:$A,0)),0)</f>
        <v>0</v>
      </c>
      <c r="AA415" s="23" t="n">
        <f aca="false">IFERROR(INDEX(PODACI_PRODAJA!J:J,MATCH($A415,PODACI_PRODAJA!$A:$A,0)),0)</f>
        <v>0</v>
      </c>
      <c r="AB415" s="23" t="n">
        <f aca="false">IFERROR(INDEX(PODACI_PRODAJA!K:K,MATCH($A415,PODACI_PRODAJA!$A:$A,0)),0)</f>
        <v>0</v>
      </c>
      <c r="AC415" s="23" t="n">
        <f aca="false">IFERROR(INDEX(PODACI_PRODAJA!L:L,MATCH($A415,PODACI_PRODAJA!$A:$A,0)),0)</f>
        <v>0</v>
      </c>
      <c r="AD415" s="23" t="n">
        <f aca="false">IFERROR(INDEX(PODACI_PRODAJA!M:M,MATCH($A415,PODACI_PRODAJA!$A:$A,0)),0)</f>
        <v>0</v>
      </c>
    </row>
    <row r="416" customFormat="false" ht="15" hidden="false" customHeight="false" outlineLevel="0" collapsed="false">
      <c r="A416" s="11" t="str">
        <f aca="false">PODACI_ZALIHE!A413</f>
        <v>17226</v>
      </c>
      <c r="B416" s="8" t="str">
        <f aca="false">PODACI_ZALIHE!B413</f>
        <v>TK MALAGA 80100 BLACK PRAVOKUTNA TUŠ KABINA 80X100X195 cm</v>
      </c>
      <c r="C416" s="9" t="str">
        <f aca="false">PODACI_ZALIHE!C413</f>
        <v>6762</v>
      </c>
      <c r="D416" s="8" t="str">
        <f aca="false">PODACI_ZALIHE!D413</f>
        <v>ZHEJIANG QUICKLINE SHOWERING CO., LTD.</v>
      </c>
      <c r="E416" s="19" t="n">
        <f aca="false">IF(PODACI_ZALIHE!E413="","",PODACI_ZALIHE!E413)</f>
        <v>12</v>
      </c>
      <c r="F416" s="20" t="n">
        <f aca="false">PODACI_ZALIHE!F413</f>
        <v>12</v>
      </c>
      <c r="G416" s="19" t="n">
        <f aca="false">IF(E416="","",E416-F416)</f>
        <v>0</v>
      </c>
      <c r="H416" s="9" t="n">
        <f aca="false">PODACI_PRODAJA!N163</f>
        <v>2.88</v>
      </c>
      <c r="I416" s="21" t="n">
        <f aca="false">IF(H416&lt;=0,999,ROUND(F416/H416,1))</f>
        <v>4.2</v>
      </c>
      <c r="J416" s="9" t="n">
        <f aca="false">SUMIFS(ROBA_U_DOLASKU!$C$6:$C$95,ROBA_U_DOLASKU!$A$6:$A$95,A416,ROBA_U_DOLASKU!$H$6:$H$95,1)</f>
        <v>0</v>
      </c>
      <c r="K416" s="9" t="n">
        <f aca="false">SUMIFS(ROBA_U_DOLASKU!$B$6:$B$95,ROBA_U_DOLASKU!$A$6:$A$95,A416,ROBA_U_DOLASKU!$H$6:$H$95,1)</f>
        <v>0</v>
      </c>
      <c r="L416" s="9" t="n">
        <f aca="false">SUMIFS(ROBA_U_DOLASKU!$C$6:$C$95,ROBA_U_DOLASKU!$A$6:$A$95,A416,ROBA_U_DOLASKU!$H$6:$H$95,2)</f>
        <v>0</v>
      </c>
      <c r="M416" s="9" t="n">
        <f aca="false">SUMIFS(ROBA_U_DOLASKU!$B$6:$B$95,ROBA_U_DOLASKU!$A$6:$A$95,A416,ROBA_U_DOLASKU!$H$6:$H$95,2)</f>
        <v>0</v>
      </c>
      <c r="N416" s="9" t="n">
        <f aca="false">SUMIFS(ROBA_U_DOLASKU!$C$6:$C$95,ROBA_U_DOLASKU!$A$6:$A$95,A416,ROBA_U_DOLASKU!$H$6:$H$95,3)</f>
        <v>0</v>
      </c>
      <c r="O416" s="9" t="n">
        <f aca="false">SUMIFS(ROBA_U_DOLASKU!$B$6:$B$95,ROBA_U_DOLASKU!$A$6:$A$95,A416,ROBA_U_DOLASKU!$H$6:$H$95,3)</f>
        <v>0</v>
      </c>
      <c r="P416" s="9" t="n">
        <f aca="false">IF(H416&lt;=0,999,IF(O416&gt;0,ROUND((F416-H416*N416+K416+M416+O416)/H416,1),IF(M416&gt;0,ROUND((F416-H416*L416+K416+M416)/H416,1),IF(K416&gt;0,ROUND((F416-H416*J416+K416)/H416,1),I416))))</f>
        <v>4.2</v>
      </c>
      <c r="Q416" s="22" t="str">
        <f aca="false">IF(H416&lt;=0,"Nema prodaje",IF(AND(K416=0,M416=0,O416=0),IF(I416&lt;POSTAVKE!$B$6,"Naruči odmah","Sve u redu"),IF(F416-H416*J416&lt;0,"Rupa za ~"&amp;TEXT(I416,"0.0")&amp;" mj.",IF(AND(M416&gt;0,F416-H416*L416+K416&lt;0),"Rupa nakon 1. dolaska",IF(AND(O416&gt;0,F416-H416*N416+K416+M416&lt;0),"Rupa nakon 2. dolaska",IF(P416&lt;POSTAVKE!$B$6,"Količina nije dovoljna",IF(I416&gt;=POSTAVKE!$B$6,"Sve u redu","Stiže na vrijeme")))))))</f>
        <v>Naruči odmah</v>
      </c>
      <c r="S416" s="23" t="n">
        <f aca="false">IFERROR(INDEX(PODACI_PRODAJA!B:B,MATCH($A416,PODACI_PRODAJA!$A:$A,0)),0)</f>
        <v>3</v>
      </c>
      <c r="T416" s="23" t="n">
        <f aca="false">IFERROR(INDEX(PODACI_PRODAJA!C:C,MATCH($A416,PODACI_PRODAJA!$A:$A,0)),0)</f>
        <v>1</v>
      </c>
      <c r="U416" s="23" t="n">
        <f aca="false">IFERROR(INDEX(PODACI_PRODAJA!D:D,MATCH($A416,PODACI_PRODAJA!$A:$A,0)),0)</f>
        <v>2</v>
      </c>
      <c r="V416" s="23" t="n">
        <f aca="false">IFERROR(INDEX(PODACI_PRODAJA!E:E,MATCH($A416,PODACI_PRODAJA!$A:$A,0)),0)</f>
        <v>5</v>
      </c>
      <c r="W416" s="23" t="n">
        <f aca="false">IFERROR(INDEX(PODACI_PRODAJA!F:F,MATCH($A416,PODACI_PRODAJA!$A:$A,0)),0)</f>
        <v>3</v>
      </c>
      <c r="X416" s="23" t="n">
        <f aca="false">IFERROR(INDEX(PODACI_PRODAJA!G:G,MATCH($A416,PODACI_PRODAJA!$A:$A,0)),0)</f>
        <v>3</v>
      </c>
      <c r="Y416" s="23" t="n">
        <f aca="false">IFERROR(INDEX(PODACI_PRODAJA!H:H,MATCH($A416,PODACI_PRODAJA!$A:$A,0)),0)</f>
        <v>1</v>
      </c>
      <c r="Z416" s="23" t="n">
        <f aca="false">IFERROR(INDEX(PODACI_PRODAJA!I:I,MATCH($A416,PODACI_PRODAJA!$A:$A,0)),0)</f>
        <v>5</v>
      </c>
      <c r="AA416" s="23" t="n">
        <f aca="false">IFERROR(INDEX(PODACI_PRODAJA!J:J,MATCH($A416,PODACI_PRODAJA!$A:$A,0)),0)</f>
        <v>0</v>
      </c>
      <c r="AB416" s="23" t="n">
        <f aca="false">IFERROR(INDEX(PODACI_PRODAJA!K:K,MATCH($A416,PODACI_PRODAJA!$A:$A,0)),0)</f>
        <v>0</v>
      </c>
      <c r="AC416" s="23" t="n">
        <f aca="false">IFERROR(INDEX(PODACI_PRODAJA!L:L,MATCH($A416,PODACI_PRODAJA!$A:$A,0)),0)</f>
        <v>0</v>
      </c>
      <c r="AD416" s="23" t="n">
        <f aca="false">IFERROR(INDEX(PODACI_PRODAJA!M:M,MATCH($A416,PODACI_PRODAJA!$A:$A,0)),0)</f>
        <v>0</v>
      </c>
    </row>
    <row r="417" customFormat="false" ht="15" hidden="false" customHeight="false" outlineLevel="0" collapsed="false">
      <c r="A417" s="11" t="str">
        <f aca="false">PODACI_ZALIHE!A414</f>
        <v>17241</v>
      </c>
      <c r="B417" s="8" t="str">
        <f aca="false">PODACI_ZALIHE!B414</f>
        <v>TK TELDE 80120 CHROME PRAVOKUTNA TUŠ KABINA 80X120X195 cm</v>
      </c>
      <c r="C417" s="9" t="str">
        <f aca="false">PODACI_ZALIHE!C414</f>
        <v>6762</v>
      </c>
      <c r="D417" s="8" t="str">
        <f aca="false">PODACI_ZALIHE!D414</f>
        <v>ZHEJIANG QUICKLINE SHOWERING CO., LTD.</v>
      </c>
      <c r="E417" s="19" t="n">
        <f aca="false">IF(PODACI_ZALIHE!E414="","",PODACI_ZALIHE!E414)</f>
        <v>12</v>
      </c>
      <c r="F417" s="20" t="n">
        <f aca="false">PODACI_ZALIHE!F414</f>
        <v>12</v>
      </c>
      <c r="G417" s="19" t="n">
        <f aca="false">IF(E417="","",E417-F417)</f>
        <v>0</v>
      </c>
      <c r="H417" s="9" t="n">
        <f aca="false">PODACI_PRODAJA!N272</f>
        <v>2.5</v>
      </c>
      <c r="I417" s="21" t="n">
        <f aca="false">IF(H417&lt;=0,999,ROUND(F417/H417,1))</f>
        <v>4.8</v>
      </c>
      <c r="J417" s="9" t="n">
        <f aca="false">SUMIFS(ROBA_U_DOLASKU!$C$6:$C$95,ROBA_U_DOLASKU!$A$6:$A$95,A417,ROBA_U_DOLASKU!$H$6:$H$95,1)</f>
        <v>0</v>
      </c>
      <c r="K417" s="9" t="n">
        <f aca="false">SUMIFS(ROBA_U_DOLASKU!$B$6:$B$95,ROBA_U_DOLASKU!$A$6:$A$95,A417,ROBA_U_DOLASKU!$H$6:$H$95,1)</f>
        <v>0</v>
      </c>
      <c r="L417" s="9" t="n">
        <f aca="false">SUMIFS(ROBA_U_DOLASKU!$C$6:$C$95,ROBA_U_DOLASKU!$A$6:$A$95,A417,ROBA_U_DOLASKU!$H$6:$H$95,2)</f>
        <v>0</v>
      </c>
      <c r="M417" s="9" t="n">
        <f aca="false">SUMIFS(ROBA_U_DOLASKU!$B$6:$B$95,ROBA_U_DOLASKU!$A$6:$A$95,A417,ROBA_U_DOLASKU!$H$6:$H$95,2)</f>
        <v>0</v>
      </c>
      <c r="N417" s="9" t="n">
        <f aca="false">SUMIFS(ROBA_U_DOLASKU!$C$6:$C$95,ROBA_U_DOLASKU!$A$6:$A$95,A417,ROBA_U_DOLASKU!$H$6:$H$95,3)</f>
        <v>0</v>
      </c>
      <c r="O417" s="9" t="n">
        <f aca="false">SUMIFS(ROBA_U_DOLASKU!$B$6:$B$95,ROBA_U_DOLASKU!$A$6:$A$95,A417,ROBA_U_DOLASKU!$H$6:$H$95,3)</f>
        <v>0</v>
      </c>
      <c r="P417" s="9" t="n">
        <f aca="false">IF(H417&lt;=0,999,IF(O417&gt;0,ROUND((F417-H417*N417+K417+M417+O417)/H417,1),IF(M417&gt;0,ROUND((F417-H417*L417+K417+M417)/H417,1),IF(K417&gt;0,ROUND((F417-H417*J417+K417)/H417,1),I417))))</f>
        <v>4.8</v>
      </c>
      <c r="Q417" s="22" t="str">
        <f aca="false">IF(H417&lt;=0,"Nema prodaje",IF(AND(K417=0,M417=0,O417=0),IF(I417&lt;POSTAVKE!$B$6,"Naruči odmah","Sve u redu"),IF(F417-H417*J417&lt;0,"Rupa za ~"&amp;TEXT(I417,"0.0")&amp;" mj.",IF(AND(M417&gt;0,F417-H417*L417+K417&lt;0),"Rupa nakon 1. dolaska",IF(AND(O417&gt;0,F417-H417*N417+K417+M417&lt;0),"Rupa nakon 2. dolaska",IF(P417&lt;POSTAVKE!$B$6,"Količina nije dovoljna",IF(I417&gt;=POSTAVKE!$B$6,"Sve u redu","Stiže na vrijeme")))))))</f>
        <v>Naruči odmah</v>
      </c>
      <c r="S417" s="23" t="n">
        <f aca="false">IFERROR(INDEX(PODACI_PRODAJA!B:B,MATCH($A417,PODACI_PRODAJA!$A:$A,0)),0)</f>
        <v>1</v>
      </c>
      <c r="T417" s="23" t="n">
        <f aca="false">IFERROR(INDEX(PODACI_PRODAJA!C:C,MATCH($A417,PODACI_PRODAJA!$A:$A,0)),0)</f>
        <v>2</v>
      </c>
      <c r="U417" s="23" t="n">
        <f aca="false">IFERROR(INDEX(PODACI_PRODAJA!D:D,MATCH($A417,PODACI_PRODAJA!$A:$A,0)),0)</f>
        <v>6</v>
      </c>
      <c r="V417" s="23" t="n">
        <f aca="false">IFERROR(INDEX(PODACI_PRODAJA!E:E,MATCH($A417,PODACI_PRODAJA!$A:$A,0)),0)</f>
        <v>2</v>
      </c>
      <c r="W417" s="23" t="n">
        <f aca="false">IFERROR(INDEX(PODACI_PRODAJA!F:F,MATCH($A417,PODACI_PRODAJA!$A:$A,0)),0)</f>
        <v>4</v>
      </c>
      <c r="X417" s="23" t="n">
        <f aca="false">IFERROR(INDEX(PODACI_PRODAJA!G:G,MATCH($A417,PODACI_PRODAJA!$A:$A,0)),0)</f>
        <v>6</v>
      </c>
      <c r="Y417" s="23" t="n">
        <f aca="false">IFERROR(INDEX(PODACI_PRODAJA!H:H,MATCH($A417,PODACI_PRODAJA!$A:$A,0)),0)</f>
        <v>-1</v>
      </c>
      <c r="Z417" s="23" t="n">
        <f aca="false">IFERROR(INDEX(PODACI_PRODAJA!I:I,MATCH($A417,PODACI_PRODAJA!$A:$A,0)),0)</f>
        <v>0</v>
      </c>
      <c r="AA417" s="23" t="n">
        <f aca="false">IFERROR(INDEX(PODACI_PRODAJA!J:J,MATCH($A417,PODACI_PRODAJA!$A:$A,0)),0)</f>
        <v>0</v>
      </c>
      <c r="AB417" s="23" t="n">
        <f aca="false">IFERROR(INDEX(PODACI_PRODAJA!K:K,MATCH($A417,PODACI_PRODAJA!$A:$A,0)),0)</f>
        <v>0</v>
      </c>
      <c r="AC417" s="23" t="n">
        <f aca="false">IFERROR(INDEX(PODACI_PRODAJA!L:L,MATCH($A417,PODACI_PRODAJA!$A:$A,0)),0)</f>
        <v>0</v>
      </c>
      <c r="AD417" s="23" t="n">
        <f aca="false">IFERROR(INDEX(PODACI_PRODAJA!M:M,MATCH($A417,PODACI_PRODAJA!$A:$A,0)),0)</f>
        <v>0</v>
      </c>
    </row>
    <row r="418" customFormat="false" ht="15" hidden="false" customHeight="false" outlineLevel="0" collapsed="false">
      <c r="A418" s="11" t="str">
        <f aca="false">PODACI_ZALIHE!A415</f>
        <v>18435</v>
      </c>
      <c r="B418" s="8" t="str">
        <f aca="false">PODACI_ZALIHE!B415</f>
        <v>SHAPE LED OGLEDALO 78x100cm 3000/4000/5000K</v>
      </c>
      <c r="C418" s="9" t="str">
        <f aca="false">PODACI_ZALIHE!C415</f>
        <v>6032</v>
      </c>
      <c r="D418" s="8" t="str">
        <f aca="false">PODACI_ZALIHE!D415</f>
        <v>HANGZHOU ZIHAN MIRROR INDUSTRY CO., LTD.</v>
      </c>
      <c r="E418" s="19" t="n">
        <f aca="false">IF(PODACI_ZALIHE!E415="","",PODACI_ZALIHE!E415)</f>
        <v>13</v>
      </c>
      <c r="F418" s="20" t="n">
        <f aca="false">PODACI_ZALIHE!F415</f>
        <v>12</v>
      </c>
      <c r="G418" s="19" t="n">
        <f aca="false">IF(E418="","",E418-F418)</f>
        <v>1</v>
      </c>
      <c r="H418" s="9" t="n">
        <f aca="false">PODACI_PRODAJA!N670</f>
        <v>16</v>
      </c>
      <c r="I418" s="21" t="n">
        <f aca="false">IF(H418&lt;=0,999,ROUND(F418/H418,1))</f>
        <v>0.8</v>
      </c>
      <c r="J418" s="9" t="n">
        <f aca="false">SUMIFS(ROBA_U_DOLASKU!$C$6:$C$95,ROBA_U_DOLASKU!$A$6:$A$95,A418,ROBA_U_DOLASKU!$H$6:$H$95,1)</f>
        <v>2.2</v>
      </c>
      <c r="K418" s="9" t="n">
        <f aca="false">SUMIFS(ROBA_U_DOLASKU!$B$6:$B$95,ROBA_U_DOLASKU!$A$6:$A$95,A418,ROBA_U_DOLASKU!$H$6:$H$95,1)</f>
        <v>100</v>
      </c>
      <c r="L418" s="9" t="n">
        <f aca="false">SUMIFS(ROBA_U_DOLASKU!$C$6:$C$95,ROBA_U_DOLASKU!$A$6:$A$95,A418,ROBA_U_DOLASKU!$H$6:$H$95,2)</f>
        <v>0</v>
      </c>
      <c r="M418" s="9" t="n">
        <f aca="false">SUMIFS(ROBA_U_DOLASKU!$B$6:$B$95,ROBA_U_DOLASKU!$A$6:$A$95,A418,ROBA_U_DOLASKU!$H$6:$H$95,2)</f>
        <v>0</v>
      </c>
      <c r="N418" s="9" t="n">
        <f aca="false">SUMIFS(ROBA_U_DOLASKU!$C$6:$C$95,ROBA_U_DOLASKU!$A$6:$A$95,A418,ROBA_U_DOLASKU!$H$6:$H$95,3)</f>
        <v>0</v>
      </c>
      <c r="O418" s="9" t="n">
        <f aca="false">SUMIFS(ROBA_U_DOLASKU!$B$6:$B$95,ROBA_U_DOLASKU!$A$6:$A$95,A418,ROBA_U_DOLASKU!$H$6:$H$95,3)</f>
        <v>0</v>
      </c>
      <c r="P418" s="9" t="n">
        <f aca="false">IF(H418&lt;=0,999,IF(O418&gt;0,ROUND((F418-H418*N418+K418+M418+O418)/H418,1),IF(M418&gt;0,ROUND((F418-H418*L418+K418+M418)/H418,1),IF(K418&gt;0,ROUND((F418-H418*J418+K418)/H418,1),I418))))</f>
        <v>4.8</v>
      </c>
      <c r="Q418" s="22" t="str">
        <f aca="false">IF(H418&lt;=0,"Nema prodaje",IF(AND(K418=0,M418=0,O418=0),IF(I418&lt;POSTAVKE!$B$6,"Naruči odmah","Sve u redu"),IF(F418-H418*J418&lt;0,"Rupa za ~"&amp;TEXT(I418,"0.0")&amp;" mj.",IF(AND(M418&gt;0,F418-H418*L418+K418&lt;0),"Rupa nakon 1. dolaska",IF(AND(O418&gt;0,F418-H418*N418+K418+M418&lt;0),"Rupa nakon 2. dolaska",IF(P418&lt;POSTAVKE!$B$6,"Količina nije dovoljna",IF(I418&gt;=POSTAVKE!$B$6,"Sve u redu","Stiže na vrijeme")))))))</f>
        <v>Rupa za ~0.8 mj.</v>
      </c>
      <c r="S418" s="23" t="n">
        <f aca="false">IFERROR(INDEX(PODACI_PRODAJA!B:B,MATCH($A418,PODACI_PRODAJA!$A:$A,0)),0)</f>
        <v>0</v>
      </c>
      <c r="T418" s="23" t="n">
        <f aca="false">IFERROR(INDEX(PODACI_PRODAJA!C:C,MATCH($A418,PODACI_PRODAJA!$A:$A,0)),0)</f>
        <v>44</v>
      </c>
      <c r="U418" s="23" t="n">
        <f aca="false">IFERROR(INDEX(PODACI_PRODAJA!D:D,MATCH($A418,PODACI_PRODAJA!$A:$A,0)),0)</f>
        <v>24</v>
      </c>
      <c r="V418" s="23" t="n">
        <f aca="false">IFERROR(INDEX(PODACI_PRODAJA!E:E,MATCH($A418,PODACI_PRODAJA!$A:$A,0)),0)</f>
        <v>16</v>
      </c>
      <c r="W418" s="23" t="n">
        <f aca="false">IFERROR(INDEX(PODACI_PRODAJA!F:F,MATCH($A418,PODACI_PRODAJA!$A:$A,0)),0)</f>
        <v>-1</v>
      </c>
      <c r="X418" s="23" t="n">
        <f aca="false">IFERROR(INDEX(PODACI_PRODAJA!G:G,MATCH($A418,PODACI_PRODAJA!$A:$A,0)),0)</f>
        <v>0</v>
      </c>
      <c r="Y418" s="23" t="n">
        <f aca="false">IFERROR(INDEX(PODACI_PRODAJA!H:H,MATCH($A418,PODACI_PRODAJA!$A:$A,0)),0)</f>
        <v>0</v>
      </c>
      <c r="Z418" s="23" t="n">
        <f aca="false">IFERROR(INDEX(PODACI_PRODAJA!I:I,MATCH($A418,PODACI_PRODAJA!$A:$A,0)),0)</f>
        <v>45</v>
      </c>
      <c r="AA418" s="23" t="n">
        <f aca="false">IFERROR(INDEX(PODACI_PRODAJA!J:J,MATCH($A418,PODACI_PRODAJA!$A:$A,0)),0)</f>
        <v>1</v>
      </c>
      <c r="AB418" s="23" t="n">
        <f aca="false">IFERROR(INDEX(PODACI_PRODAJA!K:K,MATCH($A418,PODACI_PRODAJA!$A:$A,0)),0)</f>
        <v>0</v>
      </c>
      <c r="AC418" s="23" t="n">
        <f aca="false">IFERROR(INDEX(PODACI_PRODAJA!L:L,MATCH($A418,PODACI_PRODAJA!$A:$A,0)),0)</f>
        <v>0</v>
      </c>
      <c r="AD418" s="23" t="n">
        <f aca="false">IFERROR(INDEX(PODACI_PRODAJA!M:M,MATCH($A418,PODACI_PRODAJA!$A:$A,0)),0)</f>
        <v>0</v>
      </c>
    </row>
    <row r="419" customFormat="false" ht="15" hidden="false" customHeight="false" outlineLevel="0" collapsed="false">
      <c r="A419" s="11" t="str">
        <f aca="false">PODACI_ZALIHE!A416</f>
        <v>AA02227</v>
      </c>
      <c r="B419" s="8" t="str">
        <f aca="false">PODACI_ZALIHE!B416</f>
        <v>TK VENIO 8090R POLUKRUŽNA TUŠ KABINA 80x90X195 CM</v>
      </c>
      <c r="C419" s="9" t="str">
        <f aca="false">PODACI_ZALIHE!C416</f>
        <v>3933</v>
      </c>
      <c r="D419" s="8" t="str">
        <f aca="false">PODACI_ZALIHE!D416</f>
        <v>PINGHU AONISI SANITARY WARE CO.,LTD</v>
      </c>
      <c r="E419" s="19" t="n">
        <f aca="false">IF(PODACI_ZALIHE!E416="","",PODACI_ZALIHE!E416)</f>
        <v>11</v>
      </c>
      <c r="F419" s="20" t="n">
        <f aca="false">PODACI_ZALIHE!F416</f>
        <v>11</v>
      </c>
      <c r="G419" s="19" t="n">
        <f aca="false">IF(E419="","",E419-F419)</f>
        <v>0</v>
      </c>
      <c r="H419" s="9" t="n">
        <f aca="false">PODACI_PRODAJA!N290</f>
        <v>0.13</v>
      </c>
      <c r="I419" s="21" t="n">
        <f aca="false">IF(H419&lt;=0,999,ROUND(F419/H419,1))</f>
        <v>84.6</v>
      </c>
      <c r="J419" s="9" t="n">
        <f aca="false">SUMIFS(ROBA_U_DOLASKU!$C$6:$C$95,ROBA_U_DOLASKU!$A$6:$A$95,A419,ROBA_U_DOLASKU!$H$6:$H$95,1)</f>
        <v>0</v>
      </c>
      <c r="K419" s="9" t="n">
        <f aca="false">SUMIFS(ROBA_U_DOLASKU!$B$6:$B$95,ROBA_U_DOLASKU!$A$6:$A$95,A419,ROBA_U_DOLASKU!$H$6:$H$95,1)</f>
        <v>0</v>
      </c>
      <c r="L419" s="9" t="n">
        <f aca="false">SUMIFS(ROBA_U_DOLASKU!$C$6:$C$95,ROBA_U_DOLASKU!$A$6:$A$95,A419,ROBA_U_DOLASKU!$H$6:$H$95,2)</f>
        <v>0</v>
      </c>
      <c r="M419" s="9" t="n">
        <f aca="false">SUMIFS(ROBA_U_DOLASKU!$B$6:$B$95,ROBA_U_DOLASKU!$A$6:$A$95,A419,ROBA_U_DOLASKU!$H$6:$H$95,2)</f>
        <v>0</v>
      </c>
      <c r="N419" s="9" t="n">
        <f aca="false">SUMIFS(ROBA_U_DOLASKU!$C$6:$C$95,ROBA_U_DOLASKU!$A$6:$A$95,A419,ROBA_U_DOLASKU!$H$6:$H$95,3)</f>
        <v>0</v>
      </c>
      <c r="O419" s="9" t="n">
        <f aca="false">SUMIFS(ROBA_U_DOLASKU!$B$6:$B$95,ROBA_U_DOLASKU!$A$6:$A$95,A419,ROBA_U_DOLASKU!$H$6:$H$95,3)</f>
        <v>0</v>
      </c>
      <c r="P419" s="9" t="n">
        <f aca="false">IF(H419&lt;=0,999,IF(O419&gt;0,ROUND((F419-H419*N419+K419+M419+O419)/H419,1),IF(M419&gt;0,ROUND((F419-H419*L419+K419+M419)/H419,1),IF(K419&gt;0,ROUND((F419-H419*J419+K419)/H419,1),I419))))</f>
        <v>84.6</v>
      </c>
      <c r="Q419" s="22" t="str">
        <f aca="false">IF(H419&lt;=0,"Nema prodaje",IF(AND(K419=0,M419=0,O419=0),IF(I419&lt;POSTAVKE!$B$6,"Naruči odmah","Sve u redu"),IF(F419-H419*J419&lt;0,"Rupa za ~"&amp;TEXT(I419,"0.0")&amp;" mj.",IF(AND(M419&gt;0,F419-H419*L419+K419&lt;0),"Rupa nakon 1. dolaska",IF(AND(O419&gt;0,F419-H419*N419+K419+M419&lt;0),"Rupa nakon 2. dolaska",IF(P419&lt;POSTAVKE!$B$6,"Količina nije dovoljna",IF(I419&gt;=POSTAVKE!$B$6,"Sve u redu","Stiže na vrijeme")))))))</f>
        <v>Sve u redu</v>
      </c>
      <c r="S419" s="23" t="n">
        <f aca="false">IFERROR(INDEX(PODACI_PRODAJA!B:B,MATCH($A419,PODACI_PRODAJA!$A:$A,0)),0)</f>
        <v>0</v>
      </c>
      <c r="T419" s="23" t="n">
        <f aca="false">IFERROR(INDEX(PODACI_PRODAJA!C:C,MATCH($A419,PODACI_PRODAJA!$A:$A,0)),0)</f>
        <v>0</v>
      </c>
      <c r="U419" s="23" t="n">
        <f aca="false">IFERROR(INDEX(PODACI_PRODAJA!D:D,MATCH($A419,PODACI_PRODAJA!$A:$A,0)),0)</f>
        <v>0</v>
      </c>
      <c r="V419" s="23" t="n">
        <f aca="false">IFERROR(INDEX(PODACI_PRODAJA!E:E,MATCH($A419,PODACI_PRODAJA!$A:$A,0)),0)</f>
        <v>0</v>
      </c>
      <c r="W419" s="23" t="n">
        <f aca="false">IFERROR(INDEX(PODACI_PRODAJA!F:F,MATCH($A419,PODACI_PRODAJA!$A:$A,0)),0)</f>
        <v>0</v>
      </c>
      <c r="X419" s="23" t="n">
        <f aca="false">IFERROR(INDEX(PODACI_PRODAJA!G:G,MATCH($A419,PODACI_PRODAJA!$A:$A,0)),0)</f>
        <v>0</v>
      </c>
      <c r="Y419" s="23" t="n">
        <f aca="false">IFERROR(INDEX(PODACI_PRODAJA!H:H,MATCH($A419,PODACI_PRODAJA!$A:$A,0)),0)</f>
        <v>0</v>
      </c>
      <c r="Z419" s="23" t="n">
        <f aca="false">IFERROR(INDEX(PODACI_PRODAJA!I:I,MATCH($A419,PODACI_PRODAJA!$A:$A,0)),0)</f>
        <v>1</v>
      </c>
      <c r="AA419" s="23" t="n">
        <f aca="false">IFERROR(INDEX(PODACI_PRODAJA!J:J,MATCH($A419,PODACI_PRODAJA!$A:$A,0)),0)</f>
        <v>0</v>
      </c>
      <c r="AB419" s="23" t="n">
        <f aca="false">IFERROR(INDEX(PODACI_PRODAJA!K:K,MATCH($A419,PODACI_PRODAJA!$A:$A,0)),0)</f>
        <v>0</v>
      </c>
      <c r="AC419" s="23" t="n">
        <f aca="false">IFERROR(INDEX(PODACI_PRODAJA!L:L,MATCH($A419,PODACI_PRODAJA!$A:$A,0)),0)</f>
        <v>0</v>
      </c>
      <c r="AD419" s="23" t="n">
        <f aca="false">IFERROR(INDEX(PODACI_PRODAJA!M:M,MATCH($A419,PODACI_PRODAJA!$A:$A,0)),0)</f>
        <v>0</v>
      </c>
    </row>
    <row r="420" customFormat="false" ht="15" hidden="false" customHeight="false" outlineLevel="0" collapsed="false">
      <c r="A420" s="11" t="str">
        <f aca="false">PODACI_ZALIHE!A417</f>
        <v>004040</v>
      </c>
      <c r="B420" s="8" t="str">
        <f aca="false">PODACI_ZALIHE!B417</f>
        <v>SIENA MJEŠALICA ZA SUDOPER BIJELA</v>
      </c>
      <c r="C420" s="9" t="str">
        <f aca="false">PODACI_ZALIHE!C417</f>
        <v>4053</v>
      </c>
      <c r="D420" s="8" t="str">
        <f aca="false">PODACI_ZALIHE!D417</f>
        <v>TAIZHOU ZHENGSHING VALVE CO .,LTD</v>
      </c>
      <c r="E420" s="19" t="n">
        <f aca="false">IF(PODACI_ZALIHE!E417="","",PODACI_ZALIHE!E417)</f>
        <v>11</v>
      </c>
      <c r="F420" s="20" t="n">
        <f aca="false">PODACI_ZALIHE!F417</f>
        <v>11</v>
      </c>
      <c r="G420" s="19" t="n">
        <f aca="false">IF(E420="","",E420-F420)</f>
        <v>0</v>
      </c>
      <c r="H420" s="9" t="n">
        <v>0</v>
      </c>
      <c r="I420" s="21" t="n">
        <f aca="false">IF(H420&lt;=0,999,ROUND(F420/H420,1))</f>
        <v>999</v>
      </c>
      <c r="J420" s="9" t="n">
        <f aca="false">SUMIFS(ROBA_U_DOLASKU!$C$6:$C$95,ROBA_U_DOLASKU!$A$6:$A$95,A420,ROBA_U_DOLASKU!$H$6:$H$95,1)</f>
        <v>0</v>
      </c>
      <c r="K420" s="9" t="n">
        <f aca="false">SUMIFS(ROBA_U_DOLASKU!$B$6:$B$95,ROBA_U_DOLASKU!$A$6:$A$95,A420,ROBA_U_DOLASKU!$H$6:$H$95,1)</f>
        <v>0</v>
      </c>
      <c r="L420" s="9" t="n">
        <f aca="false">SUMIFS(ROBA_U_DOLASKU!$C$6:$C$95,ROBA_U_DOLASKU!$A$6:$A$95,A420,ROBA_U_DOLASKU!$H$6:$H$95,2)</f>
        <v>0</v>
      </c>
      <c r="M420" s="9" t="n">
        <f aca="false">SUMIFS(ROBA_U_DOLASKU!$B$6:$B$95,ROBA_U_DOLASKU!$A$6:$A$95,A420,ROBA_U_DOLASKU!$H$6:$H$95,2)</f>
        <v>0</v>
      </c>
      <c r="N420" s="9" t="n">
        <f aca="false">SUMIFS(ROBA_U_DOLASKU!$C$6:$C$95,ROBA_U_DOLASKU!$A$6:$A$95,A420,ROBA_U_DOLASKU!$H$6:$H$95,3)</f>
        <v>0</v>
      </c>
      <c r="O420" s="9" t="n">
        <f aca="false">SUMIFS(ROBA_U_DOLASKU!$B$6:$B$95,ROBA_U_DOLASKU!$A$6:$A$95,A420,ROBA_U_DOLASKU!$H$6:$H$95,3)</f>
        <v>0</v>
      </c>
      <c r="P420" s="9" t="n">
        <f aca="false">IF(H420&lt;=0,999,IF(O420&gt;0,ROUND((F420-H420*N420+K420+M420+O420)/H420,1),IF(M420&gt;0,ROUND((F420-H420*L420+K420+M420)/H420,1),IF(K420&gt;0,ROUND((F420-H420*J420+K420)/H420,1),I420))))</f>
        <v>999</v>
      </c>
      <c r="Q420" s="22" t="str">
        <f aca="false">IF(H420&lt;=0,"Nema prodaje",IF(AND(K420=0,M420=0,O420=0),IF(I420&lt;POSTAVKE!$B$6,"Naruči odmah","Sve u redu"),IF(F420-H420*J420&lt;0,"Rupa za ~"&amp;TEXT(I420,"0.0")&amp;" mj.",IF(AND(M420&gt;0,F420-H420*L420+K420&lt;0),"Rupa nakon 1. dolaska",IF(AND(O420&gt;0,F420-H420*N420+K420+M420&lt;0),"Rupa nakon 2. dolaska",IF(P420&lt;POSTAVKE!$B$6,"Količina nije dovoljna",IF(I420&gt;=POSTAVKE!$B$6,"Sve u redu","Stiže na vrijeme")))))))</f>
        <v>Nema prodaje</v>
      </c>
      <c r="S420" s="23" t="n">
        <f aca="false">IFERROR(INDEX(PODACI_PRODAJA!B:B,MATCH($A420,PODACI_PRODAJA!$A:$A,0)),0)</f>
        <v>0</v>
      </c>
      <c r="T420" s="23" t="n">
        <f aca="false">IFERROR(INDEX(PODACI_PRODAJA!C:C,MATCH($A420,PODACI_PRODAJA!$A:$A,0)),0)</f>
        <v>0</v>
      </c>
      <c r="U420" s="23" t="n">
        <f aca="false">IFERROR(INDEX(PODACI_PRODAJA!D:D,MATCH($A420,PODACI_PRODAJA!$A:$A,0)),0)</f>
        <v>0</v>
      </c>
      <c r="V420" s="23" t="n">
        <f aca="false">IFERROR(INDEX(PODACI_PRODAJA!E:E,MATCH($A420,PODACI_PRODAJA!$A:$A,0)),0)</f>
        <v>0</v>
      </c>
      <c r="W420" s="23" t="n">
        <f aca="false">IFERROR(INDEX(PODACI_PRODAJA!F:F,MATCH($A420,PODACI_PRODAJA!$A:$A,0)),0)</f>
        <v>0</v>
      </c>
      <c r="X420" s="23" t="n">
        <f aca="false">IFERROR(INDEX(PODACI_PRODAJA!G:G,MATCH($A420,PODACI_PRODAJA!$A:$A,0)),0)</f>
        <v>0</v>
      </c>
      <c r="Y420" s="23" t="n">
        <f aca="false">IFERROR(INDEX(PODACI_PRODAJA!H:H,MATCH($A420,PODACI_PRODAJA!$A:$A,0)),0)</f>
        <v>0</v>
      </c>
      <c r="Z420" s="23" t="n">
        <f aca="false">IFERROR(INDEX(PODACI_PRODAJA!I:I,MATCH($A420,PODACI_PRODAJA!$A:$A,0)),0)</f>
        <v>0</v>
      </c>
      <c r="AA420" s="23" t="n">
        <f aca="false">IFERROR(INDEX(PODACI_PRODAJA!J:J,MATCH($A420,PODACI_PRODAJA!$A:$A,0)),0)</f>
        <v>0</v>
      </c>
      <c r="AB420" s="23" t="n">
        <f aca="false">IFERROR(INDEX(PODACI_PRODAJA!K:K,MATCH($A420,PODACI_PRODAJA!$A:$A,0)),0)</f>
        <v>0</v>
      </c>
      <c r="AC420" s="23" t="n">
        <f aca="false">IFERROR(INDEX(PODACI_PRODAJA!L:L,MATCH($A420,PODACI_PRODAJA!$A:$A,0)),0)</f>
        <v>0</v>
      </c>
      <c r="AD420" s="23" t="n">
        <f aca="false">IFERROR(INDEX(PODACI_PRODAJA!M:M,MATCH($A420,PODACI_PRODAJA!$A:$A,0)),0)</f>
        <v>0</v>
      </c>
    </row>
    <row r="421" customFormat="false" ht="15" hidden="false" customHeight="false" outlineLevel="0" collapsed="false">
      <c r="A421" s="11" t="str">
        <f aca="false">PODACI_ZALIHE!A418</f>
        <v>004120</v>
      </c>
      <c r="B421" s="8" t="str">
        <f aca="false">PODACI_ZALIHE!B418</f>
        <v>SIENA MJEŠALICA ZA SUDOPER BIJELA-VISOKA</v>
      </c>
      <c r="C421" s="9" t="str">
        <f aca="false">PODACI_ZALIHE!C418</f>
        <v>4053</v>
      </c>
      <c r="D421" s="8" t="str">
        <f aca="false">PODACI_ZALIHE!D418</f>
        <v>TAIZHOU ZHENGSHING VALVE CO .,LTD</v>
      </c>
      <c r="E421" s="19" t="n">
        <f aca="false">IF(PODACI_ZALIHE!E418="","",PODACI_ZALIHE!E418)</f>
        <v>11</v>
      </c>
      <c r="F421" s="20" t="n">
        <f aca="false">PODACI_ZALIHE!F418</f>
        <v>11</v>
      </c>
      <c r="G421" s="19" t="n">
        <f aca="false">IF(E421="","",E421-F421)</f>
        <v>0</v>
      </c>
      <c r="H421" s="9" t="n">
        <v>0</v>
      </c>
      <c r="I421" s="21" t="n">
        <f aca="false">IF(H421&lt;=0,999,ROUND(F421/H421,1))</f>
        <v>999</v>
      </c>
      <c r="J421" s="9" t="n">
        <f aca="false">SUMIFS(ROBA_U_DOLASKU!$C$6:$C$95,ROBA_U_DOLASKU!$A$6:$A$95,A421,ROBA_U_DOLASKU!$H$6:$H$95,1)</f>
        <v>0</v>
      </c>
      <c r="K421" s="9" t="n">
        <f aca="false">SUMIFS(ROBA_U_DOLASKU!$B$6:$B$95,ROBA_U_DOLASKU!$A$6:$A$95,A421,ROBA_U_DOLASKU!$H$6:$H$95,1)</f>
        <v>0</v>
      </c>
      <c r="L421" s="9" t="n">
        <f aca="false">SUMIFS(ROBA_U_DOLASKU!$C$6:$C$95,ROBA_U_DOLASKU!$A$6:$A$95,A421,ROBA_U_DOLASKU!$H$6:$H$95,2)</f>
        <v>0</v>
      </c>
      <c r="M421" s="9" t="n">
        <f aca="false">SUMIFS(ROBA_U_DOLASKU!$B$6:$B$95,ROBA_U_DOLASKU!$A$6:$A$95,A421,ROBA_U_DOLASKU!$H$6:$H$95,2)</f>
        <v>0</v>
      </c>
      <c r="N421" s="9" t="n">
        <f aca="false">SUMIFS(ROBA_U_DOLASKU!$C$6:$C$95,ROBA_U_DOLASKU!$A$6:$A$95,A421,ROBA_U_DOLASKU!$H$6:$H$95,3)</f>
        <v>0</v>
      </c>
      <c r="O421" s="9" t="n">
        <f aca="false">SUMIFS(ROBA_U_DOLASKU!$B$6:$B$95,ROBA_U_DOLASKU!$A$6:$A$95,A421,ROBA_U_DOLASKU!$H$6:$H$95,3)</f>
        <v>0</v>
      </c>
      <c r="P421" s="9" t="n">
        <f aca="false">IF(H421&lt;=0,999,IF(O421&gt;0,ROUND((F421-H421*N421+K421+M421+O421)/H421,1),IF(M421&gt;0,ROUND((F421-H421*L421+K421+M421)/H421,1),IF(K421&gt;0,ROUND((F421-H421*J421+K421)/H421,1),I421))))</f>
        <v>999</v>
      </c>
      <c r="Q421" s="22" t="str">
        <f aca="false">IF(H421&lt;=0,"Nema prodaje",IF(AND(K421=0,M421=0,O421=0),IF(I421&lt;POSTAVKE!$B$6,"Naruči odmah","Sve u redu"),IF(F421-H421*J421&lt;0,"Rupa za ~"&amp;TEXT(I421,"0.0")&amp;" mj.",IF(AND(M421&gt;0,F421-H421*L421+K421&lt;0),"Rupa nakon 1. dolaska",IF(AND(O421&gt;0,F421-H421*N421+K421+M421&lt;0),"Rupa nakon 2. dolaska",IF(P421&lt;POSTAVKE!$B$6,"Količina nije dovoljna",IF(I421&gt;=POSTAVKE!$B$6,"Sve u redu","Stiže na vrijeme")))))))</f>
        <v>Nema prodaje</v>
      </c>
      <c r="S421" s="23" t="n">
        <f aca="false">IFERROR(INDEX(PODACI_PRODAJA!B:B,MATCH($A421,PODACI_PRODAJA!$A:$A,0)),0)</f>
        <v>0</v>
      </c>
      <c r="T421" s="23" t="n">
        <f aca="false">IFERROR(INDEX(PODACI_PRODAJA!C:C,MATCH($A421,PODACI_PRODAJA!$A:$A,0)),0)</f>
        <v>0</v>
      </c>
      <c r="U421" s="23" t="n">
        <f aca="false">IFERROR(INDEX(PODACI_PRODAJA!D:D,MATCH($A421,PODACI_PRODAJA!$A:$A,0)),0)</f>
        <v>0</v>
      </c>
      <c r="V421" s="23" t="n">
        <f aca="false">IFERROR(INDEX(PODACI_PRODAJA!E:E,MATCH($A421,PODACI_PRODAJA!$A:$A,0)),0)</f>
        <v>0</v>
      </c>
      <c r="W421" s="23" t="n">
        <f aca="false">IFERROR(INDEX(PODACI_PRODAJA!F:F,MATCH($A421,PODACI_PRODAJA!$A:$A,0)),0)</f>
        <v>0</v>
      </c>
      <c r="X421" s="23" t="n">
        <f aca="false">IFERROR(INDEX(PODACI_PRODAJA!G:G,MATCH($A421,PODACI_PRODAJA!$A:$A,0)),0)</f>
        <v>0</v>
      </c>
      <c r="Y421" s="23" t="n">
        <f aca="false">IFERROR(INDEX(PODACI_PRODAJA!H:H,MATCH($A421,PODACI_PRODAJA!$A:$A,0)),0)</f>
        <v>0</v>
      </c>
      <c r="Z421" s="23" t="n">
        <f aca="false">IFERROR(INDEX(PODACI_PRODAJA!I:I,MATCH($A421,PODACI_PRODAJA!$A:$A,0)),0)</f>
        <v>0</v>
      </c>
      <c r="AA421" s="23" t="n">
        <f aca="false">IFERROR(INDEX(PODACI_PRODAJA!J:J,MATCH($A421,PODACI_PRODAJA!$A:$A,0)),0)</f>
        <v>0</v>
      </c>
      <c r="AB421" s="23" t="n">
        <f aca="false">IFERROR(INDEX(PODACI_PRODAJA!K:K,MATCH($A421,PODACI_PRODAJA!$A:$A,0)),0)</f>
        <v>0</v>
      </c>
      <c r="AC421" s="23" t="n">
        <f aca="false">IFERROR(INDEX(PODACI_PRODAJA!L:L,MATCH($A421,PODACI_PRODAJA!$A:$A,0)),0)</f>
        <v>0</v>
      </c>
      <c r="AD421" s="23" t="n">
        <f aca="false">IFERROR(INDEX(PODACI_PRODAJA!M:M,MATCH($A421,PODACI_PRODAJA!$A:$A,0)),0)</f>
        <v>0</v>
      </c>
    </row>
    <row r="422" customFormat="false" ht="15" hidden="false" customHeight="false" outlineLevel="0" collapsed="false">
      <c r="A422" s="11" t="str">
        <f aca="false">PODACI_ZALIHE!A419</f>
        <v>060650Y</v>
      </c>
      <c r="B422" s="8" t="str">
        <f aca="false">PODACI_ZALIHE!B419</f>
        <v>TKA80KV4S KVADRATNA TUŠ KABINA 80x80x185 cm</v>
      </c>
      <c r="C422" s="9" t="str">
        <f aca="false">PODACI_ZALIHE!C419</f>
        <v>5590</v>
      </c>
      <c r="D422" s="8" t="str">
        <f aca="false">PODACI_ZALIHE!D419</f>
        <v>PINGHU YINUO SANITARY WARE CO.,LTD</v>
      </c>
      <c r="E422" s="19" t="n">
        <f aca="false">IF(PODACI_ZALIHE!E419="","",PODACI_ZALIHE!E419)</f>
        <v>11</v>
      </c>
      <c r="F422" s="20" t="n">
        <f aca="false">PODACI_ZALIHE!F419</f>
        <v>11</v>
      </c>
      <c r="G422" s="19" t="n">
        <f aca="false">IF(E422="","",E422-F422)</f>
        <v>0</v>
      </c>
      <c r="H422" s="9" t="n">
        <f aca="false">PODACI_PRODAJA!N443</f>
        <v>0</v>
      </c>
      <c r="I422" s="21" t="n">
        <f aca="false">IF(H422&lt;=0,999,ROUND(F422/H422,1))</f>
        <v>999</v>
      </c>
      <c r="J422" s="9" t="n">
        <f aca="false">SUMIFS(ROBA_U_DOLASKU!$C$6:$C$95,ROBA_U_DOLASKU!$A$6:$A$95,A422,ROBA_U_DOLASKU!$H$6:$H$95,1)</f>
        <v>0</v>
      </c>
      <c r="K422" s="9" t="n">
        <f aca="false">SUMIFS(ROBA_U_DOLASKU!$B$6:$B$95,ROBA_U_DOLASKU!$A$6:$A$95,A422,ROBA_U_DOLASKU!$H$6:$H$95,1)</f>
        <v>0</v>
      </c>
      <c r="L422" s="9" t="n">
        <f aca="false">SUMIFS(ROBA_U_DOLASKU!$C$6:$C$95,ROBA_U_DOLASKU!$A$6:$A$95,A422,ROBA_U_DOLASKU!$H$6:$H$95,2)</f>
        <v>0</v>
      </c>
      <c r="M422" s="9" t="n">
        <f aca="false">SUMIFS(ROBA_U_DOLASKU!$B$6:$B$95,ROBA_U_DOLASKU!$A$6:$A$95,A422,ROBA_U_DOLASKU!$H$6:$H$95,2)</f>
        <v>0</v>
      </c>
      <c r="N422" s="9" t="n">
        <f aca="false">SUMIFS(ROBA_U_DOLASKU!$C$6:$C$95,ROBA_U_DOLASKU!$A$6:$A$95,A422,ROBA_U_DOLASKU!$H$6:$H$95,3)</f>
        <v>0</v>
      </c>
      <c r="O422" s="9" t="n">
        <f aca="false">SUMIFS(ROBA_U_DOLASKU!$B$6:$B$95,ROBA_U_DOLASKU!$A$6:$A$95,A422,ROBA_U_DOLASKU!$H$6:$H$95,3)</f>
        <v>0</v>
      </c>
      <c r="P422" s="9" t="n">
        <f aca="false">IF(H422&lt;=0,999,IF(O422&gt;0,ROUND((F422-H422*N422+K422+M422+O422)/H422,1),IF(M422&gt;0,ROUND((F422-H422*L422+K422+M422)/H422,1),IF(K422&gt;0,ROUND((F422-H422*J422+K422)/H422,1),I422))))</f>
        <v>999</v>
      </c>
      <c r="Q422" s="22" t="str">
        <f aca="false">IF(H422&lt;=0,"Nema prodaje",IF(AND(K422=0,M422=0,O422=0),IF(I422&lt;POSTAVKE!$B$6,"Naruči odmah","Sve u redu"),IF(F422-H422*J422&lt;0,"Rupa za ~"&amp;TEXT(I422,"0.0")&amp;" mj.",IF(AND(M422&gt;0,F422-H422*L422+K422&lt;0),"Rupa nakon 1. dolaska",IF(AND(O422&gt;0,F422-H422*N422+K422+M422&lt;0),"Rupa nakon 2. dolaska",IF(P422&lt;POSTAVKE!$B$6,"Količina nije dovoljna",IF(I422&gt;=POSTAVKE!$B$6,"Sve u redu","Stiže na vrijeme")))))))</f>
        <v>Nema prodaje</v>
      </c>
      <c r="S422" s="23" t="n">
        <f aca="false">IFERROR(INDEX(PODACI_PRODAJA!B:B,MATCH($A422,PODACI_PRODAJA!$A:$A,0)),0)</f>
        <v>0</v>
      </c>
      <c r="T422" s="23" t="n">
        <f aca="false">IFERROR(INDEX(PODACI_PRODAJA!C:C,MATCH($A422,PODACI_PRODAJA!$A:$A,0)),0)</f>
        <v>0</v>
      </c>
      <c r="U422" s="23" t="n">
        <f aca="false">IFERROR(INDEX(PODACI_PRODAJA!D:D,MATCH($A422,PODACI_PRODAJA!$A:$A,0)),0)</f>
        <v>0</v>
      </c>
      <c r="V422" s="23" t="n">
        <f aca="false">IFERROR(INDEX(PODACI_PRODAJA!E:E,MATCH($A422,PODACI_PRODAJA!$A:$A,0)),0)</f>
        <v>0</v>
      </c>
      <c r="W422" s="23" t="n">
        <f aca="false">IFERROR(INDEX(PODACI_PRODAJA!F:F,MATCH($A422,PODACI_PRODAJA!$A:$A,0)),0)</f>
        <v>0</v>
      </c>
      <c r="X422" s="23" t="n">
        <f aca="false">IFERROR(INDEX(PODACI_PRODAJA!G:G,MATCH($A422,PODACI_PRODAJA!$A:$A,0)),0)</f>
        <v>0</v>
      </c>
      <c r="Y422" s="23" t="n">
        <f aca="false">IFERROR(INDEX(PODACI_PRODAJA!H:H,MATCH($A422,PODACI_PRODAJA!$A:$A,0)),0)</f>
        <v>0</v>
      </c>
      <c r="Z422" s="23" t="n">
        <f aca="false">IFERROR(INDEX(PODACI_PRODAJA!I:I,MATCH($A422,PODACI_PRODAJA!$A:$A,0)),0)</f>
        <v>0</v>
      </c>
      <c r="AA422" s="23" t="n">
        <f aca="false">IFERROR(INDEX(PODACI_PRODAJA!J:J,MATCH($A422,PODACI_PRODAJA!$A:$A,0)),0)</f>
        <v>0</v>
      </c>
      <c r="AB422" s="23" t="n">
        <f aca="false">IFERROR(INDEX(PODACI_PRODAJA!K:K,MATCH($A422,PODACI_PRODAJA!$A:$A,0)),0)</f>
        <v>0</v>
      </c>
      <c r="AC422" s="23" t="n">
        <f aca="false">IFERROR(INDEX(PODACI_PRODAJA!L:L,MATCH($A422,PODACI_PRODAJA!$A:$A,0)),0)</f>
        <v>0</v>
      </c>
      <c r="AD422" s="23" t="n">
        <f aca="false">IFERROR(INDEX(PODACI_PRODAJA!M:M,MATCH($A422,PODACI_PRODAJA!$A:$A,0)),0)</f>
        <v>0</v>
      </c>
    </row>
    <row r="423" customFormat="false" ht="15" hidden="false" customHeight="false" outlineLevel="0" collapsed="false">
      <c r="A423" s="11" t="str">
        <f aca="false">PODACI_ZALIHE!A420</f>
        <v>15262</v>
      </c>
      <c r="B423" s="8" t="str">
        <f aca="false">PODACI_ZALIHE!B420</f>
        <v>TK MEIRA 90 POLUKRUŽNA TUŠ KABINA 90x90x195 cm</v>
      </c>
      <c r="C423" s="9" t="str">
        <f aca="false">PODACI_ZALIHE!C420</f>
        <v>4328</v>
      </c>
      <c r="D423" s="8" t="str">
        <f aca="false">PODACI_ZALIHE!D420</f>
        <v>HANGZHOU DUHUI IMPORT AND EXPORT CO.,LTD</v>
      </c>
      <c r="E423" s="19" t="n">
        <f aca="false">IF(PODACI_ZALIHE!E420="","",PODACI_ZALIHE!E420)</f>
        <v>11</v>
      </c>
      <c r="F423" s="20" t="n">
        <f aca="false">PODACI_ZALIHE!F420</f>
        <v>11</v>
      </c>
      <c r="G423" s="19" t="n">
        <f aca="false">IF(E423="","",E423-F423)</f>
        <v>0</v>
      </c>
      <c r="H423" s="9" t="n">
        <f aca="false">PODACI_PRODAJA!N145</f>
        <v>3.13</v>
      </c>
      <c r="I423" s="21" t="n">
        <f aca="false">IF(H423&lt;=0,999,ROUND(F423/H423,1))</f>
        <v>3.5</v>
      </c>
      <c r="J423" s="9" t="n">
        <f aca="false">SUMIFS(ROBA_U_DOLASKU!$C$6:$C$95,ROBA_U_DOLASKU!$A$6:$A$95,A423,ROBA_U_DOLASKU!$H$6:$H$95,1)</f>
        <v>0</v>
      </c>
      <c r="K423" s="9" t="n">
        <f aca="false">SUMIFS(ROBA_U_DOLASKU!$B$6:$B$95,ROBA_U_DOLASKU!$A$6:$A$95,A423,ROBA_U_DOLASKU!$H$6:$H$95,1)</f>
        <v>0</v>
      </c>
      <c r="L423" s="9" t="n">
        <f aca="false">SUMIFS(ROBA_U_DOLASKU!$C$6:$C$95,ROBA_U_DOLASKU!$A$6:$A$95,A423,ROBA_U_DOLASKU!$H$6:$H$95,2)</f>
        <v>0</v>
      </c>
      <c r="M423" s="9" t="n">
        <f aca="false">SUMIFS(ROBA_U_DOLASKU!$B$6:$B$95,ROBA_U_DOLASKU!$A$6:$A$95,A423,ROBA_U_DOLASKU!$H$6:$H$95,2)</f>
        <v>0</v>
      </c>
      <c r="N423" s="9" t="n">
        <f aca="false">SUMIFS(ROBA_U_DOLASKU!$C$6:$C$95,ROBA_U_DOLASKU!$A$6:$A$95,A423,ROBA_U_DOLASKU!$H$6:$H$95,3)</f>
        <v>0</v>
      </c>
      <c r="O423" s="9" t="n">
        <f aca="false">SUMIFS(ROBA_U_DOLASKU!$B$6:$B$95,ROBA_U_DOLASKU!$A$6:$A$95,A423,ROBA_U_DOLASKU!$H$6:$H$95,3)</f>
        <v>0</v>
      </c>
      <c r="P423" s="9" t="n">
        <f aca="false">IF(H423&lt;=0,999,IF(O423&gt;0,ROUND((F423-H423*N423+K423+M423+O423)/H423,1),IF(M423&gt;0,ROUND((F423-H423*L423+K423+M423)/H423,1),IF(K423&gt;0,ROUND((F423-H423*J423+K423)/H423,1),I423))))</f>
        <v>3.5</v>
      </c>
      <c r="Q423" s="22" t="str">
        <f aca="false">IF(H423&lt;=0,"Nema prodaje",IF(AND(K423=0,M423=0,O423=0),IF(I423&lt;POSTAVKE!$B$6,"Naruči odmah","Sve u redu"),IF(F423-H423*J423&lt;0,"Rupa za ~"&amp;TEXT(I423,"0.0")&amp;" mj.",IF(AND(M423&gt;0,F423-H423*L423+K423&lt;0),"Rupa nakon 1. dolaska",IF(AND(O423&gt;0,F423-H423*N423+K423+M423&lt;0),"Rupa nakon 2. dolaska",IF(P423&lt;POSTAVKE!$B$6,"Količina nije dovoljna",IF(I423&gt;=POSTAVKE!$B$6,"Sve u redu","Stiže na vrijeme")))))))</f>
        <v>Naruči odmah</v>
      </c>
      <c r="S423" s="23" t="n">
        <f aca="false">IFERROR(INDEX(PODACI_PRODAJA!B:B,MATCH($A423,PODACI_PRODAJA!$A:$A,0)),0)</f>
        <v>3</v>
      </c>
      <c r="T423" s="23" t="n">
        <f aca="false">IFERROR(INDEX(PODACI_PRODAJA!C:C,MATCH($A423,PODACI_PRODAJA!$A:$A,0)),0)</f>
        <v>4</v>
      </c>
      <c r="U423" s="23" t="n">
        <f aca="false">IFERROR(INDEX(PODACI_PRODAJA!D:D,MATCH($A423,PODACI_PRODAJA!$A:$A,0)),0)</f>
        <v>3</v>
      </c>
      <c r="V423" s="23" t="n">
        <f aca="false">IFERROR(INDEX(PODACI_PRODAJA!E:E,MATCH($A423,PODACI_PRODAJA!$A:$A,0)),0)</f>
        <v>2</v>
      </c>
      <c r="W423" s="23" t="n">
        <f aca="false">IFERROR(INDEX(PODACI_PRODAJA!F:F,MATCH($A423,PODACI_PRODAJA!$A:$A,0)),0)</f>
        <v>5</v>
      </c>
      <c r="X423" s="23" t="n">
        <f aca="false">IFERROR(INDEX(PODACI_PRODAJA!G:G,MATCH($A423,PODACI_PRODAJA!$A:$A,0)),0)</f>
        <v>3</v>
      </c>
      <c r="Y423" s="23" t="n">
        <f aca="false">IFERROR(INDEX(PODACI_PRODAJA!H:H,MATCH($A423,PODACI_PRODAJA!$A:$A,0)),0)</f>
        <v>3</v>
      </c>
      <c r="Z423" s="23" t="n">
        <f aca="false">IFERROR(INDEX(PODACI_PRODAJA!I:I,MATCH($A423,PODACI_PRODAJA!$A:$A,0)),0)</f>
        <v>2</v>
      </c>
      <c r="AA423" s="23" t="n">
        <f aca="false">IFERROR(INDEX(PODACI_PRODAJA!J:J,MATCH($A423,PODACI_PRODAJA!$A:$A,0)),0)</f>
        <v>0</v>
      </c>
      <c r="AB423" s="23" t="n">
        <f aca="false">IFERROR(INDEX(PODACI_PRODAJA!K:K,MATCH($A423,PODACI_PRODAJA!$A:$A,0)),0)</f>
        <v>0</v>
      </c>
      <c r="AC423" s="23" t="n">
        <f aca="false">IFERROR(INDEX(PODACI_PRODAJA!L:L,MATCH($A423,PODACI_PRODAJA!$A:$A,0)),0)</f>
        <v>0</v>
      </c>
      <c r="AD423" s="23" t="n">
        <f aca="false">IFERROR(INDEX(PODACI_PRODAJA!M:M,MATCH($A423,PODACI_PRODAJA!$A:$A,0)),0)</f>
        <v>0</v>
      </c>
    </row>
    <row r="424" customFormat="false" ht="15" hidden="false" customHeight="false" outlineLevel="0" collapsed="false">
      <c r="A424" s="11" t="str">
        <f aca="false">PODACI_ZALIHE!A421</f>
        <v>15270</v>
      </c>
      <c r="B424" s="8" t="str">
        <f aca="false">PODACI_ZALIHE!B421</f>
        <v>ALINA 80 HIDROMASAŽNA TUŠ KABINA 80x80x225 cm</v>
      </c>
      <c r="C424" s="9" t="str">
        <f aca="false">PODACI_ZALIHE!C421</f>
        <v>3933</v>
      </c>
      <c r="D424" s="8" t="str">
        <f aca="false">PODACI_ZALIHE!D421</f>
        <v>PINGHU AONISI SANITARY WARE CO.,LTD</v>
      </c>
      <c r="E424" s="19" t="n">
        <f aca="false">IF(PODACI_ZALIHE!E421="","",PODACI_ZALIHE!E421)</f>
        <v>11</v>
      </c>
      <c r="F424" s="20" t="n">
        <f aca="false">PODACI_ZALIHE!F421</f>
        <v>11</v>
      </c>
      <c r="G424" s="19" t="n">
        <f aca="false">IF(E424="","",E424-F424)</f>
        <v>0</v>
      </c>
      <c r="H424" s="9" t="n">
        <f aca="false">PODACI_PRODAJA!N234</f>
        <v>1.38</v>
      </c>
      <c r="I424" s="21" t="n">
        <f aca="false">IF(H424&lt;=0,999,ROUND(F424/H424,1))</f>
        <v>8</v>
      </c>
      <c r="J424" s="9" t="n">
        <f aca="false">SUMIFS(ROBA_U_DOLASKU!$C$6:$C$95,ROBA_U_DOLASKU!$A$6:$A$95,A424,ROBA_U_DOLASKU!$H$6:$H$95,1)</f>
        <v>0</v>
      </c>
      <c r="K424" s="9" t="n">
        <f aca="false">SUMIFS(ROBA_U_DOLASKU!$B$6:$B$95,ROBA_U_DOLASKU!$A$6:$A$95,A424,ROBA_U_DOLASKU!$H$6:$H$95,1)</f>
        <v>0</v>
      </c>
      <c r="L424" s="9" t="n">
        <f aca="false">SUMIFS(ROBA_U_DOLASKU!$C$6:$C$95,ROBA_U_DOLASKU!$A$6:$A$95,A424,ROBA_U_DOLASKU!$H$6:$H$95,2)</f>
        <v>0</v>
      </c>
      <c r="M424" s="9" t="n">
        <f aca="false">SUMIFS(ROBA_U_DOLASKU!$B$6:$B$95,ROBA_U_DOLASKU!$A$6:$A$95,A424,ROBA_U_DOLASKU!$H$6:$H$95,2)</f>
        <v>0</v>
      </c>
      <c r="N424" s="9" t="n">
        <f aca="false">SUMIFS(ROBA_U_DOLASKU!$C$6:$C$95,ROBA_U_DOLASKU!$A$6:$A$95,A424,ROBA_U_DOLASKU!$H$6:$H$95,3)</f>
        <v>0</v>
      </c>
      <c r="O424" s="9" t="n">
        <f aca="false">SUMIFS(ROBA_U_DOLASKU!$B$6:$B$95,ROBA_U_DOLASKU!$A$6:$A$95,A424,ROBA_U_DOLASKU!$H$6:$H$95,3)</f>
        <v>0</v>
      </c>
      <c r="P424" s="9" t="n">
        <f aca="false">IF(H424&lt;=0,999,IF(O424&gt;0,ROUND((F424-H424*N424+K424+M424+O424)/H424,1),IF(M424&gt;0,ROUND((F424-H424*L424+K424+M424)/H424,1),IF(K424&gt;0,ROUND((F424-H424*J424+K424)/H424,1),I424))))</f>
        <v>8</v>
      </c>
      <c r="Q424" s="22" t="str">
        <f aca="false">IF(H424&lt;=0,"Nema prodaje",IF(AND(K424=0,M424=0,O424=0),IF(I424&lt;POSTAVKE!$B$6,"Naruči odmah","Sve u redu"),IF(F424-H424*J424&lt;0,"Rupa za ~"&amp;TEXT(I424,"0.0")&amp;" mj.",IF(AND(M424&gt;0,F424-H424*L424+K424&lt;0),"Rupa nakon 1. dolaska",IF(AND(O424&gt;0,F424-H424*N424+K424+M424&lt;0),"Rupa nakon 2. dolaska",IF(P424&lt;POSTAVKE!$B$6,"Količina nije dovoljna",IF(I424&gt;=POSTAVKE!$B$6,"Sve u redu","Stiže na vrijeme")))))))</f>
        <v>Sve u redu</v>
      </c>
      <c r="S424" s="23" t="n">
        <f aca="false">IFERROR(INDEX(PODACI_PRODAJA!B:B,MATCH($A424,PODACI_PRODAJA!$A:$A,0)),0)</f>
        <v>1</v>
      </c>
      <c r="T424" s="23" t="n">
        <f aca="false">IFERROR(INDEX(PODACI_PRODAJA!C:C,MATCH($A424,PODACI_PRODAJA!$A:$A,0)),0)</f>
        <v>1</v>
      </c>
      <c r="U424" s="23" t="n">
        <f aca="false">IFERROR(INDEX(PODACI_PRODAJA!D:D,MATCH($A424,PODACI_PRODAJA!$A:$A,0)),0)</f>
        <v>1</v>
      </c>
      <c r="V424" s="23" t="n">
        <f aca="false">IFERROR(INDEX(PODACI_PRODAJA!E:E,MATCH($A424,PODACI_PRODAJA!$A:$A,0)),0)</f>
        <v>1</v>
      </c>
      <c r="W424" s="23" t="n">
        <f aca="false">IFERROR(INDEX(PODACI_PRODAJA!F:F,MATCH($A424,PODACI_PRODAJA!$A:$A,0)),0)</f>
        <v>1</v>
      </c>
      <c r="X424" s="23" t="n">
        <f aca="false">IFERROR(INDEX(PODACI_PRODAJA!G:G,MATCH($A424,PODACI_PRODAJA!$A:$A,0)),0)</f>
        <v>2</v>
      </c>
      <c r="Y424" s="23" t="n">
        <f aca="false">IFERROR(INDEX(PODACI_PRODAJA!H:H,MATCH($A424,PODACI_PRODAJA!$A:$A,0)),0)</f>
        <v>1</v>
      </c>
      <c r="Z424" s="23" t="n">
        <f aca="false">IFERROR(INDEX(PODACI_PRODAJA!I:I,MATCH($A424,PODACI_PRODAJA!$A:$A,0)),0)</f>
        <v>3</v>
      </c>
      <c r="AA424" s="23" t="n">
        <f aca="false">IFERROR(INDEX(PODACI_PRODAJA!J:J,MATCH($A424,PODACI_PRODAJA!$A:$A,0)),0)</f>
        <v>0</v>
      </c>
      <c r="AB424" s="23" t="n">
        <f aca="false">IFERROR(INDEX(PODACI_PRODAJA!K:K,MATCH($A424,PODACI_PRODAJA!$A:$A,0)),0)</f>
        <v>0</v>
      </c>
      <c r="AC424" s="23" t="n">
        <f aca="false">IFERROR(INDEX(PODACI_PRODAJA!L:L,MATCH($A424,PODACI_PRODAJA!$A:$A,0)),0)</f>
        <v>0</v>
      </c>
      <c r="AD424" s="23" t="n">
        <f aca="false">IFERROR(INDEX(PODACI_PRODAJA!M:M,MATCH($A424,PODACI_PRODAJA!$A:$A,0)),0)</f>
        <v>0</v>
      </c>
    </row>
    <row r="425" customFormat="false" ht="15" hidden="false" customHeight="false" outlineLevel="0" collapsed="false">
      <c r="A425" s="11" t="str">
        <f aca="false">PODACI_ZALIHE!A422</f>
        <v>171430</v>
      </c>
      <c r="B425" s="8" t="str">
        <f aca="false">PODACI_ZALIHE!B422</f>
        <v>VETRO GOLD TRS 110 TUŠ STIJENA 110x200 cm</v>
      </c>
      <c r="C425" s="9" t="n">
        <f aca="false">PODACI_ZALIHE!C422</f>
        <v>0</v>
      </c>
      <c r="D425" s="8" t="n">
        <f aca="false">PODACI_ZALIHE!D422</f>
        <v>0</v>
      </c>
      <c r="E425" s="19" t="n">
        <f aca="false">IF(PODACI_ZALIHE!E422="","",PODACI_ZALIHE!E422)</f>
        <v>11</v>
      </c>
      <c r="F425" s="20" t="n">
        <f aca="false">PODACI_ZALIHE!F422</f>
        <v>11</v>
      </c>
      <c r="G425" s="19" t="n">
        <f aca="false">IF(E425="","",E425-F425)</f>
        <v>0</v>
      </c>
      <c r="H425" s="9" t="n">
        <f aca="false">PODACI_PRODAJA!N588</f>
        <v>0.5</v>
      </c>
      <c r="I425" s="21" t="n">
        <f aca="false">IF(H425&lt;=0,999,ROUND(F425/H425,1))</f>
        <v>22</v>
      </c>
      <c r="J425" s="9" t="n">
        <f aca="false">SUMIFS(ROBA_U_DOLASKU!$C$6:$C$95,ROBA_U_DOLASKU!$A$6:$A$95,A425,ROBA_U_DOLASKU!$H$6:$H$95,1)</f>
        <v>0</v>
      </c>
      <c r="K425" s="9" t="n">
        <f aca="false">SUMIFS(ROBA_U_DOLASKU!$B$6:$B$95,ROBA_U_DOLASKU!$A$6:$A$95,A425,ROBA_U_DOLASKU!$H$6:$H$95,1)</f>
        <v>0</v>
      </c>
      <c r="L425" s="9" t="n">
        <f aca="false">SUMIFS(ROBA_U_DOLASKU!$C$6:$C$95,ROBA_U_DOLASKU!$A$6:$A$95,A425,ROBA_U_DOLASKU!$H$6:$H$95,2)</f>
        <v>0</v>
      </c>
      <c r="M425" s="9" t="n">
        <f aca="false">SUMIFS(ROBA_U_DOLASKU!$B$6:$B$95,ROBA_U_DOLASKU!$A$6:$A$95,A425,ROBA_U_DOLASKU!$H$6:$H$95,2)</f>
        <v>0</v>
      </c>
      <c r="N425" s="9" t="n">
        <f aca="false">SUMIFS(ROBA_U_DOLASKU!$C$6:$C$95,ROBA_U_DOLASKU!$A$6:$A$95,A425,ROBA_U_DOLASKU!$H$6:$H$95,3)</f>
        <v>0</v>
      </c>
      <c r="O425" s="9" t="n">
        <f aca="false">SUMIFS(ROBA_U_DOLASKU!$B$6:$B$95,ROBA_U_DOLASKU!$A$6:$A$95,A425,ROBA_U_DOLASKU!$H$6:$H$95,3)</f>
        <v>0</v>
      </c>
      <c r="P425" s="9" t="n">
        <f aca="false">IF(H425&lt;=0,999,IF(O425&gt;0,ROUND((F425-H425*N425+K425+M425+O425)/H425,1),IF(M425&gt;0,ROUND((F425-H425*L425+K425+M425)/H425,1),IF(K425&gt;0,ROUND((F425-H425*J425+K425)/H425,1),I425))))</f>
        <v>22</v>
      </c>
      <c r="Q425" s="22" t="str">
        <f aca="false">IF(H425&lt;=0,"Nema prodaje",IF(AND(K425=0,M425=0,O425=0),IF(I425&lt;POSTAVKE!$B$6,"Naruči odmah","Sve u redu"),IF(F425-H425*J425&lt;0,"Rupa za ~"&amp;TEXT(I425,"0.0")&amp;" mj.",IF(AND(M425&gt;0,F425-H425*L425+K425&lt;0),"Rupa nakon 1. dolaska",IF(AND(O425&gt;0,F425-H425*N425+K425+M425&lt;0),"Rupa nakon 2. dolaska",IF(P425&lt;POSTAVKE!$B$6,"Količina nije dovoljna",IF(I425&gt;=POSTAVKE!$B$6,"Sve u redu","Stiže na vrijeme")))))))</f>
        <v>Sve u redu</v>
      </c>
      <c r="S425" s="23" t="n">
        <f aca="false">IFERROR(INDEX(PODACI_PRODAJA!B:B,MATCH($A425,PODACI_PRODAJA!$A:$A,0)),0)</f>
        <v>0</v>
      </c>
      <c r="T425" s="23" t="n">
        <f aca="false">IFERROR(INDEX(PODACI_PRODAJA!C:C,MATCH($A425,PODACI_PRODAJA!$A:$A,0)),0)</f>
        <v>1</v>
      </c>
      <c r="U425" s="23" t="n">
        <f aca="false">IFERROR(INDEX(PODACI_PRODAJA!D:D,MATCH($A425,PODACI_PRODAJA!$A:$A,0)),0)</f>
        <v>0</v>
      </c>
      <c r="V425" s="23" t="n">
        <f aca="false">IFERROR(INDEX(PODACI_PRODAJA!E:E,MATCH($A425,PODACI_PRODAJA!$A:$A,0)),0)</f>
        <v>0</v>
      </c>
      <c r="W425" s="23" t="n">
        <f aca="false">IFERROR(INDEX(PODACI_PRODAJA!F:F,MATCH($A425,PODACI_PRODAJA!$A:$A,0)),0)</f>
        <v>1</v>
      </c>
      <c r="X425" s="23" t="n">
        <f aca="false">IFERROR(INDEX(PODACI_PRODAJA!G:G,MATCH($A425,PODACI_PRODAJA!$A:$A,0)),0)</f>
        <v>2</v>
      </c>
      <c r="Y425" s="23" t="n">
        <f aca="false">IFERROR(INDEX(PODACI_PRODAJA!H:H,MATCH($A425,PODACI_PRODAJA!$A:$A,0)),0)</f>
        <v>0</v>
      </c>
      <c r="Z425" s="23" t="n">
        <f aca="false">IFERROR(INDEX(PODACI_PRODAJA!I:I,MATCH($A425,PODACI_PRODAJA!$A:$A,0)),0)</f>
        <v>0</v>
      </c>
      <c r="AA425" s="23" t="n">
        <f aca="false">IFERROR(INDEX(PODACI_PRODAJA!J:J,MATCH($A425,PODACI_PRODAJA!$A:$A,0)),0)</f>
        <v>0</v>
      </c>
      <c r="AB425" s="23" t="n">
        <f aca="false">IFERROR(INDEX(PODACI_PRODAJA!K:K,MATCH($A425,PODACI_PRODAJA!$A:$A,0)),0)</f>
        <v>0</v>
      </c>
      <c r="AC425" s="23" t="n">
        <f aca="false">IFERROR(INDEX(PODACI_PRODAJA!L:L,MATCH($A425,PODACI_PRODAJA!$A:$A,0)),0)</f>
        <v>0</v>
      </c>
      <c r="AD425" s="23" t="n">
        <f aca="false">IFERROR(INDEX(PODACI_PRODAJA!M:M,MATCH($A425,PODACI_PRODAJA!$A:$A,0)),0)</f>
        <v>0</v>
      </c>
    </row>
    <row r="426" customFormat="false" ht="15" hidden="false" customHeight="false" outlineLevel="0" collapsed="false">
      <c r="A426" s="11" t="str">
        <f aca="false">PODACI_ZALIHE!A423</f>
        <v>18662</v>
      </c>
      <c r="B426" s="8" t="str">
        <f aca="false">PODACI_ZALIHE!B423</f>
        <v>VETRO SLIDE 120 BLACK TRS TUŠ STIJENA 120x195 cm</v>
      </c>
      <c r="C426" s="9" t="str">
        <f aca="false">PODACI_ZALIHE!C423</f>
        <v>6762</v>
      </c>
      <c r="D426" s="8" t="str">
        <f aca="false">PODACI_ZALIHE!D423</f>
        <v>ZHEJIANG QUICKLINE SHOWERING CO., LTD.</v>
      </c>
      <c r="E426" s="19" t="n">
        <f aca="false">IF(PODACI_ZALIHE!E423="","",PODACI_ZALIHE!E423)</f>
        <v>11</v>
      </c>
      <c r="F426" s="20" t="n">
        <f aca="false">PODACI_ZALIHE!F423</f>
        <v>11</v>
      </c>
      <c r="G426" s="19" t="n">
        <f aca="false">IF(E426="","",E426-F426)</f>
        <v>0</v>
      </c>
      <c r="H426" s="9" t="n">
        <f aca="false">PODACI_PRODAJA!N685</f>
        <v>0.5</v>
      </c>
      <c r="I426" s="21" t="n">
        <f aca="false">IF(H426&lt;=0,999,ROUND(F426/H426,1))</f>
        <v>22</v>
      </c>
      <c r="J426" s="9" t="n">
        <f aca="false">SUMIFS(ROBA_U_DOLASKU!$C$6:$C$95,ROBA_U_DOLASKU!$A$6:$A$95,A426,ROBA_U_DOLASKU!$H$6:$H$95,1)</f>
        <v>0</v>
      </c>
      <c r="K426" s="9" t="n">
        <f aca="false">SUMIFS(ROBA_U_DOLASKU!$B$6:$B$95,ROBA_U_DOLASKU!$A$6:$A$95,A426,ROBA_U_DOLASKU!$H$6:$H$95,1)</f>
        <v>0</v>
      </c>
      <c r="L426" s="9" t="n">
        <f aca="false">SUMIFS(ROBA_U_DOLASKU!$C$6:$C$95,ROBA_U_DOLASKU!$A$6:$A$95,A426,ROBA_U_DOLASKU!$H$6:$H$95,2)</f>
        <v>0</v>
      </c>
      <c r="M426" s="9" t="n">
        <f aca="false">SUMIFS(ROBA_U_DOLASKU!$B$6:$B$95,ROBA_U_DOLASKU!$A$6:$A$95,A426,ROBA_U_DOLASKU!$H$6:$H$95,2)</f>
        <v>0</v>
      </c>
      <c r="N426" s="9" t="n">
        <f aca="false">SUMIFS(ROBA_U_DOLASKU!$C$6:$C$95,ROBA_U_DOLASKU!$A$6:$A$95,A426,ROBA_U_DOLASKU!$H$6:$H$95,3)</f>
        <v>0</v>
      </c>
      <c r="O426" s="9" t="n">
        <f aca="false">SUMIFS(ROBA_U_DOLASKU!$B$6:$B$95,ROBA_U_DOLASKU!$A$6:$A$95,A426,ROBA_U_DOLASKU!$H$6:$H$95,3)</f>
        <v>0</v>
      </c>
      <c r="P426" s="9" t="n">
        <f aca="false">IF(H426&lt;=0,999,IF(O426&gt;0,ROUND((F426-H426*N426+K426+M426+O426)/H426,1),IF(M426&gt;0,ROUND((F426-H426*L426+K426+M426)/H426,1),IF(K426&gt;0,ROUND((F426-H426*J426+K426)/H426,1),I426))))</f>
        <v>22</v>
      </c>
      <c r="Q426" s="22" t="str">
        <f aca="false">IF(H426&lt;=0,"Nema prodaje",IF(AND(K426=0,M426=0,O426=0),IF(I426&lt;POSTAVKE!$B$6,"Naruči odmah","Sve u redu"),IF(F426-H426*J426&lt;0,"Rupa za ~"&amp;TEXT(I426,"0.0")&amp;" mj.",IF(AND(M426&gt;0,F426-H426*L426+K426&lt;0),"Rupa nakon 1. dolaska",IF(AND(O426&gt;0,F426-H426*N426+K426+M426&lt;0),"Rupa nakon 2. dolaska",IF(P426&lt;POSTAVKE!$B$6,"Količina nije dovoljna",IF(I426&gt;=POSTAVKE!$B$6,"Sve u redu","Stiže na vrijeme")))))))</f>
        <v>Sve u redu</v>
      </c>
      <c r="S426" s="23" t="n">
        <f aca="false">IFERROR(INDEX(PODACI_PRODAJA!B:B,MATCH($A426,PODACI_PRODAJA!$A:$A,0)),0)</f>
        <v>0</v>
      </c>
      <c r="T426" s="23" t="n">
        <f aca="false">IFERROR(INDEX(PODACI_PRODAJA!C:C,MATCH($A426,PODACI_PRODAJA!$A:$A,0)),0)</f>
        <v>0</v>
      </c>
      <c r="U426" s="23" t="n">
        <f aca="false">IFERROR(INDEX(PODACI_PRODAJA!D:D,MATCH($A426,PODACI_PRODAJA!$A:$A,0)),0)</f>
        <v>0</v>
      </c>
      <c r="V426" s="23" t="n">
        <f aca="false">IFERROR(INDEX(PODACI_PRODAJA!E:E,MATCH($A426,PODACI_PRODAJA!$A:$A,0)),0)</f>
        <v>0</v>
      </c>
      <c r="W426" s="23" t="n">
        <f aca="false">IFERROR(INDEX(PODACI_PRODAJA!F:F,MATCH($A426,PODACI_PRODAJA!$A:$A,0)),0)</f>
        <v>0</v>
      </c>
      <c r="X426" s="23" t="n">
        <f aca="false">IFERROR(INDEX(PODACI_PRODAJA!G:G,MATCH($A426,PODACI_PRODAJA!$A:$A,0)),0)</f>
        <v>2</v>
      </c>
      <c r="Y426" s="23" t="n">
        <f aca="false">IFERROR(INDEX(PODACI_PRODAJA!H:H,MATCH($A426,PODACI_PRODAJA!$A:$A,0)),0)</f>
        <v>1</v>
      </c>
      <c r="Z426" s="23" t="n">
        <f aca="false">IFERROR(INDEX(PODACI_PRODAJA!I:I,MATCH($A426,PODACI_PRODAJA!$A:$A,0)),0)</f>
        <v>1</v>
      </c>
      <c r="AA426" s="23" t="n">
        <f aca="false">IFERROR(INDEX(PODACI_PRODAJA!J:J,MATCH($A426,PODACI_PRODAJA!$A:$A,0)),0)</f>
        <v>0</v>
      </c>
      <c r="AB426" s="23" t="n">
        <f aca="false">IFERROR(INDEX(PODACI_PRODAJA!K:K,MATCH($A426,PODACI_PRODAJA!$A:$A,0)),0)</f>
        <v>0</v>
      </c>
      <c r="AC426" s="23" t="n">
        <f aca="false">IFERROR(INDEX(PODACI_PRODAJA!L:L,MATCH($A426,PODACI_PRODAJA!$A:$A,0)),0)</f>
        <v>0</v>
      </c>
      <c r="AD426" s="23" t="n">
        <f aca="false">IFERROR(INDEX(PODACI_PRODAJA!M:M,MATCH($A426,PODACI_PRODAJA!$A:$A,0)),0)</f>
        <v>0</v>
      </c>
    </row>
    <row r="427" customFormat="false" ht="15" hidden="false" customHeight="false" outlineLevel="0" collapsed="false">
      <c r="A427" s="11" t="str">
        <f aca="false">PODACI_ZALIHE!A424</f>
        <v>23322003</v>
      </c>
      <c r="B427" s="8" t="str">
        <f aca="false">PODACI_ZALIHE!B424</f>
        <v>GROHE EUROSMART MIJEŠALICA ZA UMIVAONIK M, KROM</v>
      </c>
      <c r="C427" s="9" t="str">
        <f aca="false">PODACI_ZALIHE!C424</f>
        <v>4499</v>
      </c>
      <c r="D427" s="8" t="str">
        <f aca="false">PODACI_ZALIHE!D424</f>
        <v>THS D.O.O.</v>
      </c>
      <c r="E427" s="19" t="n">
        <f aca="false">IF(PODACI_ZALIHE!E424="","",PODACI_ZALIHE!E424)</f>
        <v>12</v>
      </c>
      <c r="F427" s="20" t="n">
        <f aca="false">PODACI_ZALIHE!F424</f>
        <v>11</v>
      </c>
      <c r="G427" s="19" t="n">
        <f aca="false">IF(E427="","",E427-F427)</f>
        <v>1</v>
      </c>
      <c r="H427" s="9" t="n">
        <f aca="false">PODACI_PRODAJA!N727</f>
        <v>0</v>
      </c>
      <c r="I427" s="21" t="n">
        <f aca="false">IF(H427&lt;=0,999,ROUND(F427/H427,1))</f>
        <v>999</v>
      </c>
      <c r="J427" s="9" t="n">
        <f aca="false">SUMIFS(ROBA_U_DOLASKU!$C$6:$C$95,ROBA_U_DOLASKU!$A$6:$A$95,A427,ROBA_U_DOLASKU!$H$6:$H$95,1)</f>
        <v>0</v>
      </c>
      <c r="K427" s="9" t="n">
        <f aca="false">SUMIFS(ROBA_U_DOLASKU!$B$6:$B$95,ROBA_U_DOLASKU!$A$6:$A$95,A427,ROBA_U_DOLASKU!$H$6:$H$95,1)</f>
        <v>0</v>
      </c>
      <c r="L427" s="9" t="n">
        <f aca="false">SUMIFS(ROBA_U_DOLASKU!$C$6:$C$95,ROBA_U_DOLASKU!$A$6:$A$95,A427,ROBA_U_DOLASKU!$H$6:$H$95,2)</f>
        <v>0</v>
      </c>
      <c r="M427" s="9" t="n">
        <f aca="false">SUMIFS(ROBA_U_DOLASKU!$B$6:$B$95,ROBA_U_DOLASKU!$A$6:$A$95,A427,ROBA_U_DOLASKU!$H$6:$H$95,2)</f>
        <v>0</v>
      </c>
      <c r="N427" s="9" t="n">
        <f aca="false">SUMIFS(ROBA_U_DOLASKU!$C$6:$C$95,ROBA_U_DOLASKU!$A$6:$A$95,A427,ROBA_U_DOLASKU!$H$6:$H$95,3)</f>
        <v>0</v>
      </c>
      <c r="O427" s="9" t="n">
        <f aca="false">SUMIFS(ROBA_U_DOLASKU!$B$6:$B$95,ROBA_U_DOLASKU!$A$6:$A$95,A427,ROBA_U_DOLASKU!$H$6:$H$95,3)</f>
        <v>0</v>
      </c>
      <c r="P427" s="9" t="n">
        <f aca="false">IF(H427&lt;=0,999,IF(O427&gt;0,ROUND((F427-H427*N427+K427+M427+O427)/H427,1),IF(M427&gt;0,ROUND((F427-H427*L427+K427+M427)/H427,1),IF(K427&gt;0,ROUND((F427-H427*J427+K427)/H427,1),I427))))</f>
        <v>999</v>
      </c>
      <c r="Q427" s="22" t="str">
        <f aca="false">IF(H427&lt;=0,"Nema prodaje",IF(AND(K427=0,M427=0,O427=0),IF(I427&lt;POSTAVKE!$B$6,"Naruči odmah","Sve u redu"),IF(F427-H427*J427&lt;0,"Rupa za ~"&amp;TEXT(I427,"0.0")&amp;" mj.",IF(AND(M427&gt;0,F427-H427*L427+K427&lt;0),"Rupa nakon 1. dolaska",IF(AND(O427&gt;0,F427-H427*N427+K427+M427&lt;0),"Rupa nakon 2. dolaska",IF(P427&lt;POSTAVKE!$B$6,"Količina nije dovoljna",IF(I427&gt;=POSTAVKE!$B$6,"Sve u redu","Stiže na vrijeme")))))))</f>
        <v>Nema prodaje</v>
      </c>
      <c r="S427" s="23" t="n">
        <f aca="false">IFERROR(INDEX(PODACI_PRODAJA!B:B,MATCH($A427,PODACI_PRODAJA!$A:$A,0)),0)</f>
        <v>0</v>
      </c>
      <c r="T427" s="23" t="n">
        <f aca="false">IFERROR(INDEX(PODACI_PRODAJA!C:C,MATCH($A427,PODACI_PRODAJA!$A:$A,0)),0)</f>
        <v>0</v>
      </c>
      <c r="U427" s="23" t="n">
        <f aca="false">IFERROR(INDEX(PODACI_PRODAJA!D:D,MATCH($A427,PODACI_PRODAJA!$A:$A,0)),0)</f>
        <v>0</v>
      </c>
      <c r="V427" s="23" t="n">
        <f aca="false">IFERROR(INDEX(PODACI_PRODAJA!E:E,MATCH($A427,PODACI_PRODAJA!$A:$A,0)),0)</f>
        <v>0</v>
      </c>
      <c r="W427" s="23" t="n">
        <f aca="false">IFERROR(INDEX(PODACI_PRODAJA!F:F,MATCH($A427,PODACI_PRODAJA!$A:$A,0)),0)</f>
        <v>0</v>
      </c>
      <c r="X427" s="23" t="n">
        <f aca="false">IFERROR(INDEX(PODACI_PRODAJA!G:G,MATCH($A427,PODACI_PRODAJA!$A:$A,0)),0)</f>
        <v>0</v>
      </c>
      <c r="Y427" s="23" t="n">
        <f aca="false">IFERROR(INDEX(PODACI_PRODAJA!H:H,MATCH($A427,PODACI_PRODAJA!$A:$A,0)),0)</f>
        <v>0</v>
      </c>
      <c r="Z427" s="23" t="n">
        <f aca="false">IFERROR(INDEX(PODACI_PRODAJA!I:I,MATCH($A427,PODACI_PRODAJA!$A:$A,0)),0)</f>
        <v>0</v>
      </c>
      <c r="AA427" s="23" t="n">
        <f aca="false">IFERROR(INDEX(PODACI_PRODAJA!J:J,MATCH($A427,PODACI_PRODAJA!$A:$A,0)),0)</f>
        <v>0</v>
      </c>
      <c r="AB427" s="23" t="n">
        <f aca="false">IFERROR(INDEX(PODACI_PRODAJA!K:K,MATCH($A427,PODACI_PRODAJA!$A:$A,0)),0)</f>
        <v>0</v>
      </c>
      <c r="AC427" s="23" t="n">
        <f aca="false">IFERROR(INDEX(PODACI_PRODAJA!L:L,MATCH($A427,PODACI_PRODAJA!$A:$A,0)),0)</f>
        <v>0</v>
      </c>
      <c r="AD427" s="23" t="n">
        <f aca="false">IFERROR(INDEX(PODACI_PRODAJA!M:M,MATCH($A427,PODACI_PRODAJA!$A:$A,0)),0)</f>
        <v>0</v>
      </c>
    </row>
    <row r="428" customFormat="false" ht="15" hidden="false" customHeight="false" outlineLevel="0" collapsed="false">
      <c r="A428" s="11" t="str">
        <f aca="false">PODACI_ZALIHE!A425</f>
        <v>23328001</v>
      </c>
      <c r="B428" s="8" t="str">
        <f aca="false">PODACI_ZALIHE!B425</f>
        <v>GROHE BAUEDGE MIJEŠALICA ZA UMIVAONIK S, KROM</v>
      </c>
      <c r="C428" s="9" t="str">
        <f aca="false">PODACI_ZALIHE!C425</f>
        <v>4499</v>
      </c>
      <c r="D428" s="8" t="str">
        <f aca="false">PODACI_ZALIHE!D425</f>
        <v>THS D.O.O.</v>
      </c>
      <c r="E428" s="19" t="n">
        <f aca="false">IF(PODACI_ZALIHE!E425="","",PODACI_ZALIHE!E425)</f>
        <v>12</v>
      </c>
      <c r="F428" s="20" t="n">
        <f aca="false">PODACI_ZALIHE!F425</f>
        <v>11</v>
      </c>
      <c r="G428" s="19" t="n">
        <f aca="false">IF(E428="","",E428-F428)</f>
        <v>1</v>
      </c>
      <c r="H428" s="9" t="n">
        <f aca="false">PODACI_PRODAJA!N728</f>
        <v>0</v>
      </c>
      <c r="I428" s="21" t="n">
        <f aca="false">IF(H428&lt;=0,999,ROUND(F428/H428,1))</f>
        <v>999</v>
      </c>
      <c r="J428" s="9" t="n">
        <f aca="false">SUMIFS(ROBA_U_DOLASKU!$C$6:$C$95,ROBA_U_DOLASKU!$A$6:$A$95,A428,ROBA_U_DOLASKU!$H$6:$H$95,1)</f>
        <v>0</v>
      </c>
      <c r="K428" s="9" t="n">
        <f aca="false">SUMIFS(ROBA_U_DOLASKU!$B$6:$B$95,ROBA_U_DOLASKU!$A$6:$A$95,A428,ROBA_U_DOLASKU!$H$6:$H$95,1)</f>
        <v>0</v>
      </c>
      <c r="L428" s="9" t="n">
        <f aca="false">SUMIFS(ROBA_U_DOLASKU!$C$6:$C$95,ROBA_U_DOLASKU!$A$6:$A$95,A428,ROBA_U_DOLASKU!$H$6:$H$95,2)</f>
        <v>0</v>
      </c>
      <c r="M428" s="9" t="n">
        <f aca="false">SUMIFS(ROBA_U_DOLASKU!$B$6:$B$95,ROBA_U_DOLASKU!$A$6:$A$95,A428,ROBA_U_DOLASKU!$H$6:$H$95,2)</f>
        <v>0</v>
      </c>
      <c r="N428" s="9" t="n">
        <f aca="false">SUMIFS(ROBA_U_DOLASKU!$C$6:$C$95,ROBA_U_DOLASKU!$A$6:$A$95,A428,ROBA_U_DOLASKU!$H$6:$H$95,3)</f>
        <v>0</v>
      </c>
      <c r="O428" s="9" t="n">
        <f aca="false">SUMIFS(ROBA_U_DOLASKU!$B$6:$B$95,ROBA_U_DOLASKU!$A$6:$A$95,A428,ROBA_U_DOLASKU!$H$6:$H$95,3)</f>
        <v>0</v>
      </c>
      <c r="P428" s="9" t="n">
        <f aca="false">IF(H428&lt;=0,999,IF(O428&gt;0,ROUND((F428-H428*N428+K428+M428+O428)/H428,1),IF(M428&gt;0,ROUND((F428-H428*L428+K428+M428)/H428,1),IF(K428&gt;0,ROUND((F428-H428*J428+K428)/H428,1),I428))))</f>
        <v>999</v>
      </c>
      <c r="Q428" s="22" t="str">
        <f aca="false">IF(H428&lt;=0,"Nema prodaje",IF(AND(K428=0,M428=0,O428=0),IF(I428&lt;POSTAVKE!$B$6,"Naruči odmah","Sve u redu"),IF(F428-H428*J428&lt;0,"Rupa za ~"&amp;TEXT(I428,"0.0")&amp;" mj.",IF(AND(M428&gt;0,F428-H428*L428+K428&lt;0),"Rupa nakon 1. dolaska",IF(AND(O428&gt;0,F428-H428*N428+K428+M428&lt;0),"Rupa nakon 2. dolaska",IF(P428&lt;POSTAVKE!$B$6,"Količina nije dovoljna",IF(I428&gt;=POSTAVKE!$B$6,"Sve u redu","Stiže na vrijeme")))))))</f>
        <v>Nema prodaje</v>
      </c>
      <c r="S428" s="23" t="n">
        <f aca="false">IFERROR(INDEX(PODACI_PRODAJA!B:B,MATCH($A428,PODACI_PRODAJA!$A:$A,0)),0)</f>
        <v>0</v>
      </c>
      <c r="T428" s="23" t="n">
        <f aca="false">IFERROR(INDEX(PODACI_PRODAJA!C:C,MATCH($A428,PODACI_PRODAJA!$A:$A,0)),0)</f>
        <v>0</v>
      </c>
      <c r="U428" s="23" t="n">
        <f aca="false">IFERROR(INDEX(PODACI_PRODAJA!D:D,MATCH($A428,PODACI_PRODAJA!$A:$A,0)),0)</f>
        <v>0</v>
      </c>
      <c r="V428" s="23" t="n">
        <f aca="false">IFERROR(INDEX(PODACI_PRODAJA!E:E,MATCH($A428,PODACI_PRODAJA!$A:$A,0)),0)</f>
        <v>0</v>
      </c>
      <c r="W428" s="23" t="n">
        <f aca="false">IFERROR(INDEX(PODACI_PRODAJA!F:F,MATCH($A428,PODACI_PRODAJA!$A:$A,0)),0)</f>
        <v>0</v>
      </c>
      <c r="X428" s="23" t="n">
        <f aca="false">IFERROR(INDEX(PODACI_PRODAJA!G:G,MATCH($A428,PODACI_PRODAJA!$A:$A,0)),0)</f>
        <v>0</v>
      </c>
      <c r="Y428" s="23" t="n">
        <f aca="false">IFERROR(INDEX(PODACI_PRODAJA!H:H,MATCH($A428,PODACI_PRODAJA!$A:$A,0)),0)</f>
        <v>0</v>
      </c>
      <c r="Z428" s="23" t="n">
        <f aca="false">IFERROR(INDEX(PODACI_PRODAJA!I:I,MATCH($A428,PODACI_PRODAJA!$A:$A,0)),0)</f>
        <v>0</v>
      </c>
      <c r="AA428" s="23" t="n">
        <f aca="false">IFERROR(INDEX(PODACI_PRODAJA!J:J,MATCH($A428,PODACI_PRODAJA!$A:$A,0)),0)</f>
        <v>0</v>
      </c>
      <c r="AB428" s="23" t="n">
        <f aca="false">IFERROR(INDEX(PODACI_PRODAJA!K:K,MATCH($A428,PODACI_PRODAJA!$A:$A,0)),0)</f>
        <v>0</v>
      </c>
      <c r="AC428" s="23" t="n">
        <f aca="false">IFERROR(INDEX(PODACI_PRODAJA!L:L,MATCH($A428,PODACI_PRODAJA!$A:$A,0)),0)</f>
        <v>0</v>
      </c>
      <c r="AD428" s="23" t="n">
        <f aca="false">IFERROR(INDEX(PODACI_PRODAJA!M:M,MATCH($A428,PODACI_PRODAJA!$A:$A,0)),0)</f>
        <v>0</v>
      </c>
    </row>
    <row r="429" customFormat="false" ht="15" hidden="false" customHeight="false" outlineLevel="0" collapsed="false">
      <c r="A429" s="11" t="str">
        <f aca="false">PODACI_ZALIHE!A426</f>
        <v>23605001</v>
      </c>
      <c r="B429" s="8" t="str">
        <f aca="false">PODACI_ZALIHE!B426</f>
        <v>GROHE BAUEDGE MIJEŠALICA ZA KADU, KROM</v>
      </c>
      <c r="C429" s="9" t="str">
        <f aca="false">PODACI_ZALIHE!C426</f>
        <v>4499</v>
      </c>
      <c r="D429" s="8" t="str">
        <f aca="false">PODACI_ZALIHE!D426</f>
        <v>THS D.O.O.</v>
      </c>
      <c r="E429" s="19" t="n">
        <f aca="false">IF(PODACI_ZALIHE!E426="","",PODACI_ZALIHE!E426)</f>
        <v>12</v>
      </c>
      <c r="F429" s="20" t="n">
        <f aca="false">PODACI_ZALIHE!F426</f>
        <v>11</v>
      </c>
      <c r="G429" s="19" t="n">
        <f aca="false">IF(E429="","",E429-F429)</f>
        <v>1</v>
      </c>
      <c r="H429" s="9" t="n">
        <f aca="false">PODACI_PRODAJA!N730</f>
        <v>0</v>
      </c>
      <c r="I429" s="21" t="n">
        <f aca="false">IF(H429&lt;=0,999,ROUND(F429/H429,1))</f>
        <v>999</v>
      </c>
      <c r="J429" s="9" t="n">
        <f aca="false">SUMIFS(ROBA_U_DOLASKU!$C$6:$C$95,ROBA_U_DOLASKU!$A$6:$A$95,A429,ROBA_U_DOLASKU!$H$6:$H$95,1)</f>
        <v>0</v>
      </c>
      <c r="K429" s="9" t="n">
        <f aca="false">SUMIFS(ROBA_U_DOLASKU!$B$6:$B$95,ROBA_U_DOLASKU!$A$6:$A$95,A429,ROBA_U_DOLASKU!$H$6:$H$95,1)</f>
        <v>0</v>
      </c>
      <c r="L429" s="9" t="n">
        <f aca="false">SUMIFS(ROBA_U_DOLASKU!$C$6:$C$95,ROBA_U_DOLASKU!$A$6:$A$95,A429,ROBA_U_DOLASKU!$H$6:$H$95,2)</f>
        <v>0</v>
      </c>
      <c r="M429" s="9" t="n">
        <f aca="false">SUMIFS(ROBA_U_DOLASKU!$B$6:$B$95,ROBA_U_DOLASKU!$A$6:$A$95,A429,ROBA_U_DOLASKU!$H$6:$H$95,2)</f>
        <v>0</v>
      </c>
      <c r="N429" s="9" t="n">
        <f aca="false">SUMIFS(ROBA_U_DOLASKU!$C$6:$C$95,ROBA_U_DOLASKU!$A$6:$A$95,A429,ROBA_U_DOLASKU!$H$6:$H$95,3)</f>
        <v>0</v>
      </c>
      <c r="O429" s="9" t="n">
        <f aca="false">SUMIFS(ROBA_U_DOLASKU!$B$6:$B$95,ROBA_U_DOLASKU!$A$6:$A$95,A429,ROBA_U_DOLASKU!$H$6:$H$95,3)</f>
        <v>0</v>
      </c>
      <c r="P429" s="9" t="n">
        <f aca="false">IF(H429&lt;=0,999,IF(O429&gt;0,ROUND((F429-H429*N429+K429+M429+O429)/H429,1),IF(M429&gt;0,ROUND((F429-H429*L429+K429+M429)/H429,1),IF(K429&gt;0,ROUND((F429-H429*J429+K429)/H429,1),I429))))</f>
        <v>999</v>
      </c>
      <c r="Q429" s="22" t="str">
        <f aca="false">IF(H429&lt;=0,"Nema prodaje",IF(AND(K429=0,M429=0,O429=0),IF(I429&lt;POSTAVKE!$B$6,"Naruči odmah","Sve u redu"),IF(F429-H429*J429&lt;0,"Rupa za ~"&amp;TEXT(I429,"0.0")&amp;" mj.",IF(AND(M429&gt;0,F429-H429*L429+K429&lt;0),"Rupa nakon 1. dolaska",IF(AND(O429&gt;0,F429-H429*N429+K429+M429&lt;0),"Rupa nakon 2. dolaska",IF(P429&lt;POSTAVKE!$B$6,"Količina nije dovoljna",IF(I429&gt;=POSTAVKE!$B$6,"Sve u redu","Stiže na vrijeme")))))))</f>
        <v>Nema prodaje</v>
      </c>
      <c r="S429" s="23" t="n">
        <f aca="false">IFERROR(INDEX(PODACI_PRODAJA!B:B,MATCH($A429,PODACI_PRODAJA!$A:$A,0)),0)</f>
        <v>0</v>
      </c>
      <c r="T429" s="23" t="n">
        <f aca="false">IFERROR(INDEX(PODACI_PRODAJA!C:C,MATCH($A429,PODACI_PRODAJA!$A:$A,0)),0)</f>
        <v>0</v>
      </c>
      <c r="U429" s="23" t="n">
        <f aca="false">IFERROR(INDEX(PODACI_PRODAJA!D:D,MATCH($A429,PODACI_PRODAJA!$A:$A,0)),0)</f>
        <v>0</v>
      </c>
      <c r="V429" s="23" t="n">
        <f aca="false">IFERROR(INDEX(PODACI_PRODAJA!E:E,MATCH($A429,PODACI_PRODAJA!$A:$A,0)),0)</f>
        <v>0</v>
      </c>
      <c r="W429" s="23" t="n">
        <f aca="false">IFERROR(INDEX(PODACI_PRODAJA!F:F,MATCH($A429,PODACI_PRODAJA!$A:$A,0)),0)</f>
        <v>0</v>
      </c>
      <c r="X429" s="23" t="n">
        <f aca="false">IFERROR(INDEX(PODACI_PRODAJA!G:G,MATCH($A429,PODACI_PRODAJA!$A:$A,0)),0)</f>
        <v>0</v>
      </c>
      <c r="Y429" s="23" t="n">
        <f aca="false">IFERROR(INDEX(PODACI_PRODAJA!H:H,MATCH($A429,PODACI_PRODAJA!$A:$A,0)),0)</f>
        <v>0</v>
      </c>
      <c r="Z429" s="23" t="n">
        <f aca="false">IFERROR(INDEX(PODACI_PRODAJA!I:I,MATCH($A429,PODACI_PRODAJA!$A:$A,0)),0)</f>
        <v>0</v>
      </c>
      <c r="AA429" s="23" t="n">
        <f aca="false">IFERROR(INDEX(PODACI_PRODAJA!J:J,MATCH($A429,PODACI_PRODAJA!$A:$A,0)),0)</f>
        <v>0</v>
      </c>
      <c r="AB429" s="23" t="n">
        <f aca="false">IFERROR(INDEX(PODACI_PRODAJA!K:K,MATCH($A429,PODACI_PRODAJA!$A:$A,0)),0)</f>
        <v>0</v>
      </c>
      <c r="AC429" s="23" t="n">
        <f aca="false">IFERROR(INDEX(PODACI_PRODAJA!L:L,MATCH($A429,PODACI_PRODAJA!$A:$A,0)),0)</f>
        <v>0</v>
      </c>
      <c r="AD429" s="23" t="n">
        <f aca="false">IFERROR(INDEX(PODACI_PRODAJA!M:M,MATCH($A429,PODACI_PRODAJA!$A:$A,0)),0)</f>
        <v>0</v>
      </c>
    </row>
    <row r="430" customFormat="false" ht="15" hidden="false" customHeight="false" outlineLevel="0" collapsed="false">
      <c r="A430" s="11" t="str">
        <f aca="false">PODACI_ZALIHE!A427</f>
        <v>23635001</v>
      </c>
      <c r="B430" s="8" t="str">
        <f aca="false">PODACI_ZALIHE!B427</f>
        <v>GROHE BAUEDGE MIJEŠALICA ZA TUŠ, KROM</v>
      </c>
      <c r="C430" s="9" t="str">
        <f aca="false">PODACI_ZALIHE!C427</f>
        <v>4499</v>
      </c>
      <c r="D430" s="8" t="str">
        <f aca="false">PODACI_ZALIHE!D427</f>
        <v>THS D.O.O.</v>
      </c>
      <c r="E430" s="19" t="n">
        <f aca="false">IF(PODACI_ZALIHE!E427="","",PODACI_ZALIHE!E427)</f>
        <v>12</v>
      </c>
      <c r="F430" s="20" t="n">
        <f aca="false">PODACI_ZALIHE!F427</f>
        <v>11</v>
      </c>
      <c r="G430" s="19" t="n">
        <f aca="false">IF(E430="","",E430-F430)</f>
        <v>1</v>
      </c>
      <c r="H430" s="9" t="n">
        <f aca="false">PODACI_PRODAJA!N731</f>
        <v>0</v>
      </c>
      <c r="I430" s="21" t="n">
        <f aca="false">IF(H430&lt;=0,999,ROUND(F430/H430,1))</f>
        <v>999</v>
      </c>
      <c r="J430" s="9" t="n">
        <f aca="false">SUMIFS(ROBA_U_DOLASKU!$C$6:$C$95,ROBA_U_DOLASKU!$A$6:$A$95,A430,ROBA_U_DOLASKU!$H$6:$H$95,1)</f>
        <v>0</v>
      </c>
      <c r="K430" s="9" t="n">
        <f aca="false">SUMIFS(ROBA_U_DOLASKU!$B$6:$B$95,ROBA_U_DOLASKU!$A$6:$A$95,A430,ROBA_U_DOLASKU!$H$6:$H$95,1)</f>
        <v>0</v>
      </c>
      <c r="L430" s="9" t="n">
        <f aca="false">SUMIFS(ROBA_U_DOLASKU!$C$6:$C$95,ROBA_U_DOLASKU!$A$6:$A$95,A430,ROBA_U_DOLASKU!$H$6:$H$95,2)</f>
        <v>0</v>
      </c>
      <c r="M430" s="9" t="n">
        <f aca="false">SUMIFS(ROBA_U_DOLASKU!$B$6:$B$95,ROBA_U_DOLASKU!$A$6:$A$95,A430,ROBA_U_DOLASKU!$H$6:$H$95,2)</f>
        <v>0</v>
      </c>
      <c r="N430" s="9" t="n">
        <f aca="false">SUMIFS(ROBA_U_DOLASKU!$C$6:$C$95,ROBA_U_DOLASKU!$A$6:$A$95,A430,ROBA_U_DOLASKU!$H$6:$H$95,3)</f>
        <v>0</v>
      </c>
      <c r="O430" s="9" t="n">
        <f aca="false">SUMIFS(ROBA_U_DOLASKU!$B$6:$B$95,ROBA_U_DOLASKU!$A$6:$A$95,A430,ROBA_U_DOLASKU!$H$6:$H$95,3)</f>
        <v>0</v>
      </c>
      <c r="P430" s="9" t="n">
        <f aca="false">IF(H430&lt;=0,999,IF(O430&gt;0,ROUND((F430-H430*N430+K430+M430+O430)/H430,1),IF(M430&gt;0,ROUND((F430-H430*L430+K430+M430)/H430,1),IF(K430&gt;0,ROUND((F430-H430*J430+K430)/H430,1),I430))))</f>
        <v>999</v>
      </c>
      <c r="Q430" s="22" t="str">
        <f aca="false">IF(H430&lt;=0,"Nema prodaje",IF(AND(K430=0,M430=0,O430=0),IF(I430&lt;POSTAVKE!$B$6,"Naruči odmah","Sve u redu"),IF(F430-H430*J430&lt;0,"Rupa za ~"&amp;TEXT(I430,"0.0")&amp;" mj.",IF(AND(M430&gt;0,F430-H430*L430+K430&lt;0),"Rupa nakon 1. dolaska",IF(AND(O430&gt;0,F430-H430*N430+K430+M430&lt;0),"Rupa nakon 2. dolaska",IF(P430&lt;POSTAVKE!$B$6,"Količina nije dovoljna",IF(I430&gt;=POSTAVKE!$B$6,"Sve u redu","Stiže na vrijeme")))))))</f>
        <v>Nema prodaje</v>
      </c>
      <c r="S430" s="23" t="n">
        <f aca="false">IFERROR(INDEX(PODACI_PRODAJA!B:B,MATCH($A430,PODACI_PRODAJA!$A:$A,0)),0)</f>
        <v>0</v>
      </c>
      <c r="T430" s="23" t="n">
        <f aca="false">IFERROR(INDEX(PODACI_PRODAJA!C:C,MATCH($A430,PODACI_PRODAJA!$A:$A,0)),0)</f>
        <v>0</v>
      </c>
      <c r="U430" s="23" t="n">
        <f aca="false">IFERROR(INDEX(PODACI_PRODAJA!D:D,MATCH($A430,PODACI_PRODAJA!$A:$A,0)),0)</f>
        <v>0</v>
      </c>
      <c r="V430" s="23" t="n">
        <f aca="false">IFERROR(INDEX(PODACI_PRODAJA!E:E,MATCH($A430,PODACI_PRODAJA!$A:$A,0)),0)</f>
        <v>0</v>
      </c>
      <c r="W430" s="23" t="n">
        <f aca="false">IFERROR(INDEX(PODACI_PRODAJA!F:F,MATCH($A430,PODACI_PRODAJA!$A:$A,0)),0)</f>
        <v>0</v>
      </c>
      <c r="X430" s="23" t="n">
        <f aca="false">IFERROR(INDEX(PODACI_PRODAJA!G:G,MATCH($A430,PODACI_PRODAJA!$A:$A,0)),0)</f>
        <v>0</v>
      </c>
      <c r="Y430" s="23" t="n">
        <f aca="false">IFERROR(INDEX(PODACI_PRODAJA!H:H,MATCH($A430,PODACI_PRODAJA!$A:$A,0)),0)</f>
        <v>0</v>
      </c>
      <c r="Z430" s="23" t="n">
        <f aca="false">IFERROR(INDEX(PODACI_PRODAJA!I:I,MATCH($A430,PODACI_PRODAJA!$A:$A,0)),0)</f>
        <v>0</v>
      </c>
      <c r="AA430" s="23" t="n">
        <f aca="false">IFERROR(INDEX(PODACI_PRODAJA!J:J,MATCH($A430,PODACI_PRODAJA!$A:$A,0)),0)</f>
        <v>0</v>
      </c>
      <c r="AB430" s="23" t="n">
        <f aca="false">IFERROR(INDEX(PODACI_PRODAJA!K:K,MATCH($A430,PODACI_PRODAJA!$A:$A,0)),0)</f>
        <v>0</v>
      </c>
      <c r="AC430" s="23" t="n">
        <f aca="false">IFERROR(INDEX(PODACI_PRODAJA!L:L,MATCH($A430,PODACI_PRODAJA!$A:$A,0)),0)</f>
        <v>0</v>
      </c>
      <c r="AD430" s="23" t="n">
        <f aca="false">IFERROR(INDEX(PODACI_PRODAJA!M:M,MATCH($A430,PODACI_PRODAJA!$A:$A,0)),0)</f>
        <v>0</v>
      </c>
    </row>
    <row r="431" customFormat="false" ht="15" hidden="false" customHeight="false" outlineLevel="0" collapsed="false">
      <c r="A431" s="11" t="str">
        <f aca="false">PODACI_ZALIHE!A428</f>
        <v>6881005-00</v>
      </c>
      <c r="B431" s="8" t="str">
        <f aca="false">PODACI_ZALIHE!B428</f>
        <v>KLUDI DIVE TUŠ SLUŠALICA, 1 MLAZ, KROM</v>
      </c>
      <c r="C431" s="9" t="str">
        <f aca="false">PODACI_ZALIHE!C428</f>
        <v>7485</v>
      </c>
      <c r="D431" s="8" t="str">
        <f aca="false">PODACI_ZALIHE!D428</f>
        <v>KLUDI GmbH &amp; Co. KG.,</v>
      </c>
      <c r="E431" s="19" t="n">
        <f aca="false">IF(PODACI_ZALIHE!E428="","",PODACI_ZALIHE!E428)</f>
        <v>11</v>
      </c>
      <c r="F431" s="20" t="n">
        <f aca="false">PODACI_ZALIHE!F428</f>
        <v>11</v>
      </c>
      <c r="G431" s="19" t="n">
        <f aca="false">IF(E431="","",E431-F431)</f>
        <v>0</v>
      </c>
      <c r="H431" s="9" t="n">
        <f aca="false">PODACI_PRODAJA!N813</f>
        <v>0</v>
      </c>
      <c r="I431" s="21" t="n">
        <f aca="false">IF(H431&lt;=0,999,ROUND(F431/H431,1))</f>
        <v>999</v>
      </c>
      <c r="J431" s="9" t="n">
        <f aca="false">SUMIFS(ROBA_U_DOLASKU!$C$6:$C$95,ROBA_U_DOLASKU!$A$6:$A$95,A431,ROBA_U_DOLASKU!$H$6:$H$95,1)</f>
        <v>0</v>
      </c>
      <c r="K431" s="9" t="n">
        <f aca="false">SUMIFS(ROBA_U_DOLASKU!$B$6:$B$95,ROBA_U_DOLASKU!$A$6:$A$95,A431,ROBA_U_DOLASKU!$H$6:$H$95,1)</f>
        <v>0</v>
      </c>
      <c r="L431" s="9" t="n">
        <f aca="false">SUMIFS(ROBA_U_DOLASKU!$C$6:$C$95,ROBA_U_DOLASKU!$A$6:$A$95,A431,ROBA_U_DOLASKU!$H$6:$H$95,2)</f>
        <v>0</v>
      </c>
      <c r="M431" s="9" t="n">
        <f aca="false">SUMIFS(ROBA_U_DOLASKU!$B$6:$B$95,ROBA_U_DOLASKU!$A$6:$A$95,A431,ROBA_U_DOLASKU!$H$6:$H$95,2)</f>
        <v>0</v>
      </c>
      <c r="N431" s="9" t="n">
        <f aca="false">SUMIFS(ROBA_U_DOLASKU!$C$6:$C$95,ROBA_U_DOLASKU!$A$6:$A$95,A431,ROBA_U_DOLASKU!$H$6:$H$95,3)</f>
        <v>0</v>
      </c>
      <c r="O431" s="9" t="n">
        <f aca="false">SUMIFS(ROBA_U_DOLASKU!$B$6:$B$95,ROBA_U_DOLASKU!$A$6:$A$95,A431,ROBA_U_DOLASKU!$H$6:$H$95,3)</f>
        <v>0</v>
      </c>
      <c r="P431" s="9" t="n">
        <f aca="false">IF(H431&lt;=0,999,IF(O431&gt;0,ROUND((F431-H431*N431+K431+M431+O431)/H431,1),IF(M431&gt;0,ROUND((F431-H431*L431+K431+M431)/H431,1),IF(K431&gt;0,ROUND((F431-H431*J431+K431)/H431,1),I431))))</f>
        <v>999</v>
      </c>
      <c r="Q431" s="22" t="str">
        <f aca="false">IF(H431&lt;=0,"Nema prodaje",IF(AND(K431=0,M431=0,O431=0),IF(I431&lt;POSTAVKE!$B$6,"Naruči odmah","Sve u redu"),IF(F431-H431*J431&lt;0,"Rupa za ~"&amp;TEXT(I431,"0.0")&amp;" mj.",IF(AND(M431&gt;0,F431-H431*L431+K431&lt;0),"Rupa nakon 1. dolaska",IF(AND(O431&gt;0,F431-H431*N431+K431+M431&lt;0),"Rupa nakon 2. dolaska",IF(P431&lt;POSTAVKE!$B$6,"Količina nije dovoljna",IF(I431&gt;=POSTAVKE!$B$6,"Sve u redu","Stiže na vrijeme")))))))</f>
        <v>Nema prodaje</v>
      </c>
      <c r="S431" s="23" t="n">
        <f aca="false">IFERROR(INDEX(PODACI_PRODAJA!B:B,MATCH($A431,PODACI_PRODAJA!$A:$A,0)),0)</f>
        <v>0</v>
      </c>
      <c r="T431" s="23" t="n">
        <f aca="false">IFERROR(INDEX(PODACI_PRODAJA!C:C,MATCH($A431,PODACI_PRODAJA!$A:$A,0)),0)</f>
        <v>0</v>
      </c>
      <c r="U431" s="23" t="n">
        <f aca="false">IFERROR(INDEX(PODACI_PRODAJA!D:D,MATCH($A431,PODACI_PRODAJA!$A:$A,0)),0)</f>
        <v>0</v>
      </c>
      <c r="V431" s="23" t="n">
        <f aca="false">IFERROR(INDEX(PODACI_PRODAJA!E:E,MATCH($A431,PODACI_PRODAJA!$A:$A,0)),0)</f>
        <v>0</v>
      </c>
      <c r="W431" s="23" t="n">
        <f aca="false">IFERROR(INDEX(PODACI_PRODAJA!F:F,MATCH($A431,PODACI_PRODAJA!$A:$A,0)),0)</f>
        <v>0</v>
      </c>
      <c r="X431" s="23" t="n">
        <f aca="false">IFERROR(INDEX(PODACI_PRODAJA!G:G,MATCH($A431,PODACI_PRODAJA!$A:$A,0)),0)</f>
        <v>0</v>
      </c>
      <c r="Y431" s="23" t="n">
        <f aca="false">IFERROR(INDEX(PODACI_PRODAJA!H:H,MATCH($A431,PODACI_PRODAJA!$A:$A,0)),0)</f>
        <v>0</v>
      </c>
      <c r="Z431" s="23" t="n">
        <f aca="false">IFERROR(INDEX(PODACI_PRODAJA!I:I,MATCH($A431,PODACI_PRODAJA!$A:$A,0)),0)</f>
        <v>0</v>
      </c>
      <c r="AA431" s="23" t="n">
        <f aca="false">IFERROR(INDEX(PODACI_PRODAJA!J:J,MATCH($A431,PODACI_PRODAJA!$A:$A,0)),0)</f>
        <v>0</v>
      </c>
      <c r="AB431" s="23" t="n">
        <f aca="false">IFERROR(INDEX(PODACI_PRODAJA!K:K,MATCH($A431,PODACI_PRODAJA!$A:$A,0)),0)</f>
        <v>0</v>
      </c>
      <c r="AC431" s="23" t="n">
        <f aca="false">IFERROR(INDEX(PODACI_PRODAJA!L:L,MATCH($A431,PODACI_PRODAJA!$A:$A,0)),0)</f>
        <v>0</v>
      </c>
      <c r="AD431" s="23" t="n">
        <f aca="false">IFERROR(INDEX(PODACI_PRODAJA!M:M,MATCH($A431,PODACI_PRODAJA!$A:$A,0)),0)</f>
        <v>0</v>
      </c>
    </row>
    <row r="432" customFormat="false" ht="15" hidden="false" customHeight="false" outlineLevel="0" collapsed="false">
      <c r="A432" s="11" t="str">
        <f aca="false">PODACI_ZALIHE!A429</f>
        <v>AA02238</v>
      </c>
      <c r="B432" s="8" t="str">
        <f aca="false">PODACI_ZALIHE!B429</f>
        <v>EASY IN 80 TUŠ VRATA 80x195 cm</v>
      </c>
      <c r="C432" s="9" t="str">
        <f aca="false">PODACI_ZALIHE!C429</f>
        <v>3933</v>
      </c>
      <c r="D432" s="8" t="str">
        <f aca="false">PODACI_ZALIHE!D429</f>
        <v>PINGHU AONISI SANITARY WARE CO.,LTD</v>
      </c>
      <c r="E432" s="19" t="n">
        <f aca="false">IF(PODACI_ZALIHE!E429="","",PODACI_ZALIHE!E429)</f>
        <v>15</v>
      </c>
      <c r="F432" s="20" t="n">
        <f aca="false">PODACI_ZALIHE!F429</f>
        <v>10</v>
      </c>
      <c r="G432" s="19" t="n">
        <f aca="false">IF(E432="","",E432-F432)</f>
        <v>5</v>
      </c>
      <c r="H432" s="9" t="n">
        <f aca="false">PODACI_PRODAJA!N219</f>
        <v>1.25</v>
      </c>
      <c r="I432" s="21" t="n">
        <f aca="false">IF(H432&lt;=0,999,ROUND(F432/H432,1))</f>
        <v>8</v>
      </c>
      <c r="J432" s="9" t="n">
        <f aca="false">SUMIFS(ROBA_U_DOLASKU!$C$6:$C$95,ROBA_U_DOLASKU!$A$6:$A$95,A432,ROBA_U_DOLASKU!$H$6:$H$95,1)</f>
        <v>0</v>
      </c>
      <c r="K432" s="9" t="n">
        <f aca="false">SUMIFS(ROBA_U_DOLASKU!$B$6:$B$95,ROBA_U_DOLASKU!$A$6:$A$95,A432,ROBA_U_DOLASKU!$H$6:$H$95,1)</f>
        <v>0</v>
      </c>
      <c r="L432" s="9" t="n">
        <f aca="false">SUMIFS(ROBA_U_DOLASKU!$C$6:$C$95,ROBA_U_DOLASKU!$A$6:$A$95,A432,ROBA_U_DOLASKU!$H$6:$H$95,2)</f>
        <v>0</v>
      </c>
      <c r="M432" s="9" t="n">
        <f aca="false">SUMIFS(ROBA_U_DOLASKU!$B$6:$B$95,ROBA_U_DOLASKU!$A$6:$A$95,A432,ROBA_U_DOLASKU!$H$6:$H$95,2)</f>
        <v>0</v>
      </c>
      <c r="N432" s="9" t="n">
        <f aca="false">SUMIFS(ROBA_U_DOLASKU!$C$6:$C$95,ROBA_U_DOLASKU!$A$6:$A$95,A432,ROBA_U_DOLASKU!$H$6:$H$95,3)</f>
        <v>0</v>
      </c>
      <c r="O432" s="9" t="n">
        <f aca="false">SUMIFS(ROBA_U_DOLASKU!$B$6:$B$95,ROBA_U_DOLASKU!$A$6:$A$95,A432,ROBA_U_DOLASKU!$H$6:$H$95,3)</f>
        <v>0</v>
      </c>
      <c r="P432" s="9" t="n">
        <f aca="false">IF(H432&lt;=0,999,IF(O432&gt;0,ROUND((F432-H432*N432+K432+M432+O432)/H432,1),IF(M432&gt;0,ROUND((F432-H432*L432+K432+M432)/H432,1),IF(K432&gt;0,ROUND((F432-H432*J432+K432)/H432,1),I432))))</f>
        <v>8</v>
      </c>
      <c r="Q432" s="22" t="str">
        <f aca="false">IF(H432&lt;=0,"Nema prodaje",IF(AND(K432=0,M432=0,O432=0),IF(I432&lt;POSTAVKE!$B$6,"Naruči odmah","Sve u redu"),IF(F432-H432*J432&lt;0,"Rupa za ~"&amp;TEXT(I432,"0.0")&amp;" mj.",IF(AND(M432&gt;0,F432-H432*L432+K432&lt;0),"Rupa nakon 1. dolaska",IF(AND(O432&gt;0,F432-H432*N432+K432+M432&lt;0),"Rupa nakon 2. dolaska",IF(P432&lt;POSTAVKE!$B$6,"Količina nije dovoljna",IF(I432&gt;=POSTAVKE!$B$6,"Sve u redu","Stiže na vrijeme")))))))</f>
        <v>Sve u redu</v>
      </c>
      <c r="S432" s="23" t="n">
        <f aca="false">IFERROR(INDEX(PODACI_PRODAJA!B:B,MATCH($A432,PODACI_PRODAJA!$A:$A,0)),0)</f>
        <v>1</v>
      </c>
      <c r="T432" s="23" t="n">
        <f aca="false">IFERROR(INDEX(PODACI_PRODAJA!C:C,MATCH($A432,PODACI_PRODAJA!$A:$A,0)),0)</f>
        <v>1</v>
      </c>
      <c r="U432" s="23" t="n">
        <f aca="false">IFERROR(INDEX(PODACI_PRODAJA!D:D,MATCH($A432,PODACI_PRODAJA!$A:$A,0)),0)</f>
        <v>2</v>
      </c>
      <c r="V432" s="23" t="n">
        <f aca="false">IFERROR(INDEX(PODACI_PRODAJA!E:E,MATCH($A432,PODACI_PRODAJA!$A:$A,0)),0)</f>
        <v>3</v>
      </c>
      <c r="W432" s="23" t="n">
        <f aca="false">IFERROR(INDEX(PODACI_PRODAJA!F:F,MATCH($A432,PODACI_PRODAJA!$A:$A,0)),0)</f>
        <v>0</v>
      </c>
      <c r="X432" s="23" t="n">
        <f aca="false">IFERROR(INDEX(PODACI_PRODAJA!G:G,MATCH($A432,PODACI_PRODAJA!$A:$A,0)),0)</f>
        <v>0</v>
      </c>
      <c r="Y432" s="23" t="n">
        <f aca="false">IFERROR(INDEX(PODACI_PRODAJA!H:H,MATCH($A432,PODACI_PRODAJA!$A:$A,0)),0)</f>
        <v>0</v>
      </c>
      <c r="Z432" s="23" t="n">
        <f aca="false">IFERROR(INDEX(PODACI_PRODAJA!I:I,MATCH($A432,PODACI_PRODAJA!$A:$A,0)),0)</f>
        <v>3</v>
      </c>
      <c r="AA432" s="23" t="n">
        <f aca="false">IFERROR(INDEX(PODACI_PRODAJA!J:J,MATCH($A432,PODACI_PRODAJA!$A:$A,0)),0)</f>
        <v>5</v>
      </c>
      <c r="AB432" s="23" t="n">
        <f aca="false">IFERROR(INDEX(PODACI_PRODAJA!K:K,MATCH($A432,PODACI_PRODAJA!$A:$A,0)),0)</f>
        <v>0</v>
      </c>
      <c r="AC432" s="23" t="n">
        <f aca="false">IFERROR(INDEX(PODACI_PRODAJA!L:L,MATCH($A432,PODACI_PRODAJA!$A:$A,0)),0)</f>
        <v>0</v>
      </c>
      <c r="AD432" s="23" t="n">
        <f aca="false">IFERROR(INDEX(PODACI_PRODAJA!M:M,MATCH($A432,PODACI_PRODAJA!$A:$A,0)),0)</f>
        <v>0</v>
      </c>
    </row>
    <row r="433" customFormat="false" ht="15" hidden="false" customHeight="false" outlineLevel="0" collapsed="false">
      <c r="A433" s="11" t="str">
        <f aca="false">PODACI_ZALIHE!A430</f>
        <v>006067</v>
      </c>
      <c r="B433" s="8" t="str">
        <f aca="false">PODACI_ZALIHE!B430</f>
        <v>TK-80100-15 TUŠ KABINA 80X100X190CM</v>
      </c>
      <c r="C433" s="9" t="str">
        <f aca="false">PODACI_ZALIHE!C430</f>
        <v>4328</v>
      </c>
      <c r="D433" s="8" t="str">
        <f aca="false">PODACI_ZALIHE!D430</f>
        <v>HANGZHOU DUHUI IMPORT AND EXPORT CO.,LTD</v>
      </c>
      <c r="E433" s="19" t="n">
        <f aca="false">IF(PODACI_ZALIHE!E430="","",PODACI_ZALIHE!E430)</f>
        <v>11</v>
      </c>
      <c r="F433" s="20" t="n">
        <f aca="false">PODACI_ZALIHE!F430</f>
        <v>10</v>
      </c>
      <c r="G433" s="19" t="n">
        <f aca="false">IF(E433="","",E433-F433)</f>
        <v>1</v>
      </c>
      <c r="H433" s="9" t="n">
        <f aca="false">PODACI_PRODAJA!N386</f>
        <v>0</v>
      </c>
      <c r="I433" s="21" t="n">
        <f aca="false">IF(H433&lt;=0,999,ROUND(F433/H433,1))</f>
        <v>999</v>
      </c>
      <c r="J433" s="9" t="n">
        <f aca="false">SUMIFS(ROBA_U_DOLASKU!$C$6:$C$95,ROBA_U_DOLASKU!$A$6:$A$95,A433,ROBA_U_DOLASKU!$H$6:$H$95,1)</f>
        <v>0</v>
      </c>
      <c r="K433" s="9" t="n">
        <f aca="false">SUMIFS(ROBA_U_DOLASKU!$B$6:$B$95,ROBA_U_DOLASKU!$A$6:$A$95,A433,ROBA_U_DOLASKU!$H$6:$H$95,1)</f>
        <v>0</v>
      </c>
      <c r="L433" s="9" t="n">
        <f aca="false">SUMIFS(ROBA_U_DOLASKU!$C$6:$C$95,ROBA_U_DOLASKU!$A$6:$A$95,A433,ROBA_U_DOLASKU!$H$6:$H$95,2)</f>
        <v>0</v>
      </c>
      <c r="M433" s="9" t="n">
        <f aca="false">SUMIFS(ROBA_U_DOLASKU!$B$6:$B$95,ROBA_U_DOLASKU!$A$6:$A$95,A433,ROBA_U_DOLASKU!$H$6:$H$95,2)</f>
        <v>0</v>
      </c>
      <c r="N433" s="9" t="n">
        <f aca="false">SUMIFS(ROBA_U_DOLASKU!$C$6:$C$95,ROBA_U_DOLASKU!$A$6:$A$95,A433,ROBA_U_DOLASKU!$H$6:$H$95,3)</f>
        <v>0</v>
      </c>
      <c r="O433" s="9" t="n">
        <f aca="false">SUMIFS(ROBA_U_DOLASKU!$B$6:$B$95,ROBA_U_DOLASKU!$A$6:$A$95,A433,ROBA_U_DOLASKU!$H$6:$H$95,3)</f>
        <v>0</v>
      </c>
      <c r="P433" s="9" t="n">
        <f aca="false">IF(H433&lt;=0,999,IF(O433&gt;0,ROUND((F433-H433*N433+K433+M433+O433)/H433,1),IF(M433&gt;0,ROUND((F433-H433*L433+K433+M433)/H433,1),IF(K433&gt;0,ROUND((F433-H433*J433+K433)/H433,1),I433))))</f>
        <v>999</v>
      </c>
      <c r="Q433" s="22" t="str">
        <f aca="false">IF(H433&lt;=0,"Nema prodaje",IF(AND(K433=0,M433=0,O433=0),IF(I433&lt;POSTAVKE!$B$6,"Naruči odmah","Sve u redu"),IF(F433-H433*J433&lt;0,"Rupa za ~"&amp;TEXT(I433,"0.0")&amp;" mj.",IF(AND(M433&gt;0,F433-H433*L433+K433&lt;0),"Rupa nakon 1. dolaska",IF(AND(O433&gt;0,F433-H433*N433+K433+M433&lt;0),"Rupa nakon 2. dolaska",IF(P433&lt;POSTAVKE!$B$6,"Količina nije dovoljna",IF(I433&gt;=POSTAVKE!$B$6,"Sve u redu","Stiže na vrijeme")))))))</f>
        <v>Nema prodaje</v>
      </c>
      <c r="S433" s="23" t="n">
        <f aca="false">IFERROR(INDEX(PODACI_PRODAJA!B:B,MATCH($A433,PODACI_PRODAJA!$A:$A,0)),0)</f>
        <v>0</v>
      </c>
      <c r="T433" s="23" t="n">
        <f aca="false">IFERROR(INDEX(PODACI_PRODAJA!C:C,MATCH($A433,PODACI_PRODAJA!$A:$A,0)),0)</f>
        <v>0</v>
      </c>
      <c r="U433" s="23" t="n">
        <f aca="false">IFERROR(INDEX(PODACI_PRODAJA!D:D,MATCH($A433,PODACI_PRODAJA!$A:$A,0)),0)</f>
        <v>0</v>
      </c>
      <c r="V433" s="23" t="n">
        <f aca="false">IFERROR(INDEX(PODACI_PRODAJA!E:E,MATCH($A433,PODACI_PRODAJA!$A:$A,0)),0)</f>
        <v>0</v>
      </c>
      <c r="W433" s="23" t="n">
        <f aca="false">IFERROR(INDEX(PODACI_PRODAJA!F:F,MATCH($A433,PODACI_PRODAJA!$A:$A,0)),0)</f>
        <v>0</v>
      </c>
      <c r="X433" s="23" t="n">
        <f aca="false">IFERROR(INDEX(PODACI_PRODAJA!G:G,MATCH($A433,PODACI_PRODAJA!$A:$A,0)),0)</f>
        <v>0</v>
      </c>
      <c r="Y433" s="23" t="n">
        <f aca="false">IFERROR(INDEX(PODACI_PRODAJA!H:H,MATCH($A433,PODACI_PRODAJA!$A:$A,0)),0)</f>
        <v>0</v>
      </c>
      <c r="Z433" s="23" t="n">
        <f aca="false">IFERROR(INDEX(PODACI_PRODAJA!I:I,MATCH($A433,PODACI_PRODAJA!$A:$A,0)),0)</f>
        <v>0</v>
      </c>
      <c r="AA433" s="23" t="n">
        <f aca="false">IFERROR(INDEX(PODACI_PRODAJA!J:J,MATCH($A433,PODACI_PRODAJA!$A:$A,0)),0)</f>
        <v>0</v>
      </c>
      <c r="AB433" s="23" t="n">
        <f aca="false">IFERROR(INDEX(PODACI_PRODAJA!K:K,MATCH($A433,PODACI_PRODAJA!$A:$A,0)),0)</f>
        <v>0</v>
      </c>
      <c r="AC433" s="23" t="n">
        <f aca="false">IFERROR(INDEX(PODACI_PRODAJA!L:L,MATCH($A433,PODACI_PRODAJA!$A:$A,0)),0)</f>
        <v>0</v>
      </c>
      <c r="AD433" s="23" t="n">
        <f aca="false">IFERROR(INDEX(PODACI_PRODAJA!M:M,MATCH($A433,PODACI_PRODAJA!$A:$A,0)),0)</f>
        <v>0</v>
      </c>
    </row>
    <row r="434" customFormat="false" ht="15" hidden="false" customHeight="false" outlineLevel="0" collapsed="false">
      <c r="A434" s="11" t="str">
        <f aca="false">PODACI_ZALIHE!A431</f>
        <v>042030</v>
      </c>
      <c r="B434" s="8" t="str">
        <f aca="false">PODACI_ZALIHE!B431</f>
        <v>TK MADERA 80100 PRAVOKUTNA TUŠ KABINA 80x100x185 cm</v>
      </c>
      <c r="C434" s="9" t="str">
        <f aca="false">PODACI_ZALIHE!C431</f>
        <v>4981</v>
      </c>
      <c r="D434" s="8" t="str">
        <f aca="false">PODACI_ZALIHE!D431</f>
        <v>HANGZHOU SUNLIGHT TRADE CO., LTD.</v>
      </c>
      <c r="E434" s="19" t="n">
        <f aca="false">IF(PODACI_ZALIHE!E431="","",PODACI_ZALIHE!E431)</f>
        <v>10</v>
      </c>
      <c r="F434" s="20" t="n">
        <f aca="false">PODACI_ZALIHE!F431</f>
        <v>10</v>
      </c>
      <c r="G434" s="19" t="n">
        <f aca="false">IF(E434="","",E434-F434)</f>
        <v>0</v>
      </c>
      <c r="H434" s="9" t="n">
        <f aca="false">PODACI_PRODAJA!N420</f>
        <v>1.38</v>
      </c>
      <c r="I434" s="21" t="n">
        <f aca="false">IF(H434&lt;=0,999,ROUND(F434/H434,1))</f>
        <v>7.2</v>
      </c>
      <c r="J434" s="9" t="n">
        <f aca="false">SUMIFS(ROBA_U_DOLASKU!$C$6:$C$95,ROBA_U_DOLASKU!$A$6:$A$95,A434,ROBA_U_DOLASKU!$H$6:$H$95,1)</f>
        <v>0</v>
      </c>
      <c r="K434" s="9" t="n">
        <f aca="false">SUMIFS(ROBA_U_DOLASKU!$B$6:$B$95,ROBA_U_DOLASKU!$A$6:$A$95,A434,ROBA_U_DOLASKU!$H$6:$H$95,1)</f>
        <v>0</v>
      </c>
      <c r="L434" s="9" t="n">
        <f aca="false">SUMIFS(ROBA_U_DOLASKU!$C$6:$C$95,ROBA_U_DOLASKU!$A$6:$A$95,A434,ROBA_U_DOLASKU!$H$6:$H$95,2)</f>
        <v>0</v>
      </c>
      <c r="M434" s="9" t="n">
        <f aca="false">SUMIFS(ROBA_U_DOLASKU!$B$6:$B$95,ROBA_U_DOLASKU!$A$6:$A$95,A434,ROBA_U_DOLASKU!$H$6:$H$95,2)</f>
        <v>0</v>
      </c>
      <c r="N434" s="9" t="n">
        <f aca="false">SUMIFS(ROBA_U_DOLASKU!$C$6:$C$95,ROBA_U_DOLASKU!$A$6:$A$95,A434,ROBA_U_DOLASKU!$H$6:$H$95,3)</f>
        <v>0</v>
      </c>
      <c r="O434" s="9" t="n">
        <f aca="false">SUMIFS(ROBA_U_DOLASKU!$B$6:$B$95,ROBA_U_DOLASKU!$A$6:$A$95,A434,ROBA_U_DOLASKU!$H$6:$H$95,3)</f>
        <v>0</v>
      </c>
      <c r="P434" s="9" t="n">
        <f aca="false">IF(H434&lt;=0,999,IF(O434&gt;0,ROUND((F434-H434*N434+K434+M434+O434)/H434,1),IF(M434&gt;0,ROUND((F434-H434*L434+K434+M434)/H434,1),IF(K434&gt;0,ROUND((F434-H434*J434+K434)/H434,1),I434))))</f>
        <v>7.2</v>
      </c>
      <c r="Q434" s="22" t="str">
        <f aca="false">IF(H434&lt;=0,"Nema prodaje",IF(AND(K434=0,M434=0,O434=0),IF(I434&lt;POSTAVKE!$B$6,"Naruči odmah","Sve u redu"),IF(F434-H434*J434&lt;0,"Rupa za ~"&amp;TEXT(I434,"0.0")&amp;" mj.",IF(AND(M434&gt;0,F434-H434*L434+K434&lt;0),"Rupa nakon 1. dolaska",IF(AND(O434&gt;0,F434-H434*N434+K434+M434&lt;0),"Rupa nakon 2. dolaska",IF(P434&lt;POSTAVKE!$B$6,"Količina nije dovoljna",IF(I434&gt;=POSTAVKE!$B$6,"Sve u redu","Stiže na vrijeme")))))))</f>
        <v>Sve u redu</v>
      </c>
      <c r="S434" s="23" t="n">
        <f aca="false">IFERROR(INDEX(PODACI_PRODAJA!B:B,MATCH($A434,PODACI_PRODAJA!$A:$A,0)),0)</f>
        <v>0</v>
      </c>
      <c r="T434" s="23" t="n">
        <f aca="false">IFERROR(INDEX(PODACI_PRODAJA!C:C,MATCH($A434,PODACI_PRODAJA!$A:$A,0)),0)</f>
        <v>0</v>
      </c>
      <c r="U434" s="23" t="n">
        <f aca="false">IFERROR(INDEX(PODACI_PRODAJA!D:D,MATCH($A434,PODACI_PRODAJA!$A:$A,0)),0)</f>
        <v>0</v>
      </c>
      <c r="V434" s="23" t="n">
        <f aca="false">IFERROR(INDEX(PODACI_PRODAJA!E:E,MATCH($A434,PODACI_PRODAJA!$A:$A,0)),0)</f>
        <v>4</v>
      </c>
      <c r="W434" s="23" t="n">
        <f aca="false">IFERROR(INDEX(PODACI_PRODAJA!F:F,MATCH($A434,PODACI_PRODAJA!$A:$A,0)),0)</f>
        <v>2</v>
      </c>
      <c r="X434" s="23" t="n">
        <f aca="false">IFERROR(INDEX(PODACI_PRODAJA!G:G,MATCH($A434,PODACI_PRODAJA!$A:$A,0)),0)</f>
        <v>2</v>
      </c>
      <c r="Y434" s="23" t="n">
        <f aca="false">IFERROR(INDEX(PODACI_PRODAJA!H:H,MATCH($A434,PODACI_PRODAJA!$A:$A,0)),0)</f>
        <v>2</v>
      </c>
      <c r="Z434" s="23" t="n">
        <f aca="false">IFERROR(INDEX(PODACI_PRODAJA!I:I,MATCH($A434,PODACI_PRODAJA!$A:$A,0)),0)</f>
        <v>1</v>
      </c>
      <c r="AA434" s="23" t="n">
        <f aca="false">IFERROR(INDEX(PODACI_PRODAJA!J:J,MATCH($A434,PODACI_PRODAJA!$A:$A,0)),0)</f>
        <v>0</v>
      </c>
      <c r="AB434" s="23" t="n">
        <f aca="false">IFERROR(INDEX(PODACI_PRODAJA!K:K,MATCH($A434,PODACI_PRODAJA!$A:$A,0)),0)</f>
        <v>0</v>
      </c>
      <c r="AC434" s="23" t="n">
        <f aca="false">IFERROR(INDEX(PODACI_PRODAJA!L:L,MATCH($A434,PODACI_PRODAJA!$A:$A,0)),0)</f>
        <v>0</v>
      </c>
      <c r="AD434" s="23" t="n">
        <f aca="false">IFERROR(INDEX(PODACI_PRODAJA!M:M,MATCH($A434,PODACI_PRODAJA!$A:$A,0)),0)</f>
        <v>0</v>
      </c>
    </row>
    <row r="435" customFormat="false" ht="15" hidden="false" customHeight="false" outlineLevel="0" collapsed="false">
      <c r="A435" s="11" t="str">
        <f aca="false">PODACI_ZALIHE!A432</f>
        <v>060651Y</v>
      </c>
      <c r="B435" s="8" t="str">
        <f aca="false">PODACI_ZALIHE!B432</f>
        <v>TK-A90KV-4S KVADRATNA TUŠ KABINA 90x90x185 cm</v>
      </c>
      <c r="C435" s="9" t="str">
        <f aca="false">PODACI_ZALIHE!C432</f>
        <v>5590</v>
      </c>
      <c r="D435" s="8" t="str">
        <f aca="false">PODACI_ZALIHE!D432</f>
        <v>PINGHU YINUO SANITARY WARE CO.,LTD</v>
      </c>
      <c r="E435" s="19" t="n">
        <f aca="false">IF(PODACI_ZALIHE!E432="","",PODACI_ZALIHE!E432)</f>
        <v>10</v>
      </c>
      <c r="F435" s="20" t="n">
        <f aca="false">PODACI_ZALIHE!F432</f>
        <v>10</v>
      </c>
      <c r="G435" s="19" t="n">
        <f aca="false">IF(E435="","",E435-F435)</f>
        <v>0</v>
      </c>
      <c r="H435" s="9" t="n">
        <v>0</v>
      </c>
      <c r="I435" s="21" t="n">
        <f aca="false">IF(H435&lt;=0,999,ROUND(F435/H435,1))</f>
        <v>999</v>
      </c>
      <c r="J435" s="9" t="n">
        <f aca="false">SUMIFS(ROBA_U_DOLASKU!$C$6:$C$95,ROBA_U_DOLASKU!$A$6:$A$95,A435,ROBA_U_DOLASKU!$H$6:$H$95,1)</f>
        <v>0</v>
      </c>
      <c r="K435" s="9" t="n">
        <f aca="false">SUMIFS(ROBA_U_DOLASKU!$B$6:$B$95,ROBA_U_DOLASKU!$A$6:$A$95,A435,ROBA_U_DOLASKU!$H$6:$H$95,1)</f>
        <v>0</v>
      </c>
      <c r="L435" s="9" t="n">
        <f aca="false">SUMIFS(ROBA_U_DOLASKU!$C$6:$C$95,ROBA_U_DOLASKU!$A$6:$A$95,A435,ROBA_U_DOLASKU!$H$6:$H$95,2)</f>
        <v>0</v>
      </c>
      <c r="M435" s="9" t="n">
        <f aca="false">SUMIFS(ROBA_U_DOLASKU!$B$6:$B$95,ROBA_U_DOLASKU!$A$6:$A$95,A435,ROBA_U_DOLASKU!$H$6:$H$95,2)</f>
        <v>0</v>
      </c>
      <c r="N435" s="9" t="n">
        <f aca="false">SUMIFS(ROBA_U_DOLASKU!$C$6:$C$95,ROBA_U_DOLASKU!$A$6:$A$95,A435,ROBA_U_DOLASKU!$H$6:$H$95,3)</f>
        <v>0</v>
      </c>
      <c r="O435" s="9" t="n">
        <f aca="false">SUMIFS(ROBA_U_DOLASKU!$B$6:$B$95,ROBA_U_DOLASKU!$A$6:$A$95,A435,ROBA_U_DOLASKU!$H$6:$H$95,3)</f>
        <v>0</v>
      </c>
      <c r="P435" s="9" t="n">
        <f aca="false">IF(H435&lt;=0,999,IF(O435&gt;0,ROUND((F435-H435*N435+K435+M435+O435)/H435,1),IF(M435&gt;0,ROUND((F435-H435*L435+K435+M435)/H435,1),IF(K435&gt;0,ROUND((F435-H435*J435+K435)/H435,1),I435))))</f>
        <v>999</v>
      </c>
      <c r="Q435" s="22" t="str">
        <f aca="false">IF(H435&lt;=0,"Nema prodaje",IF(AND(K435=0,M435=0,O435=0),IF(I435&lt;POSTAVKE!$B$6,"Naruči odmah","Sve u redu"),IF(F435-H435*J435&lt;0,"Rupa za ~"&amp;TEXT(I435,"0.0")&amp;" mj.",IF(AND(M435&gt;0,F435-H435*L435+K435&lt;0),"Rupa nakon 1. dolaska",IF(AND(O435&gt;0,F435-H435*N435+K435+M435&lt;0),"Rupa nakon 2. dolaska",IF(P435&lt;POSTAVKE!$B$6,"Količina nije dovoljna",IF(I435&gt;=POSTAVKE!$B$6,"Sve u redu","Stiže na vrijeme")))))))</f>
        <v>Nema prodaje</v>
      </c>
      <c r="S435" s="23" t="n">
        <f aca="false">IFERROR(INDEX(PODACI_PRODAJA!B:B,MATCH($A435,PODACI_PRODAJA!$A:$A,0)),0)</f>
        <v>0</v>
      </c>
      <c r="T435" s="23" t="n">
        <f aca="false">IFERROR(INDEX(PODACI_PRODAJA!C:C,MATCH($A435,PODACI_PRODAJA!$A:$A,0)),0)</f>
        <v>0</v>
      </c>
      <c r="U435" s="23" t="n">
        <f aca="false">IFERROR(INDEX(PODACI_PRODAJA!D:D,MATCH($A435,PODACI_PRODAJA!$A:$A,0)),0)</f>
        <v>0</v>
      </c>
      <c r="V435" s="23" t="n">
        <f aca="false">IFERROR(INDEX(PODACI_PRODAJA!E:E,MATCH($A435,PODACI_PRODAJA!$A:$A,0)),0)</f>
        <v>0</v>
      </c>
      <c r="W435" s="23" t="n">
        <f aca="false">IFERROR(INDEX(PODACI_PRODAJA!F:F,MATCH($A435,PODACI_PRODAJA!$A:$A,0)),0)</f>
        <v>0</v>
      </c>
      <c r="X435" s="23" t="n">
        <f aca="false">IFERROR(INDEX(PODACI_PRODAJA!G:G,MATCH($A435,PODACI_PRODAJA!$A:$A,0)),0)</f>
        <v>0</v>
      </c>
      <c r="Y435" s="23" t="n">
        <f aca="false">IFERROR(INDEX(PODACI_PRODAJA!H:H,MATCH($A435,PODACI_PRODAJA!$A:$A,0)),0)</f>
        <v>0</v>
      </c>
      <c r="Z435" s="23" t="n">
        <f aca="false">IFERROR(INDEX(PODACI_PRODAJA!I:I,MATCH($A435,PODACI_PRODAJA!$A:$A,0)),0)</f>
        <v>0</v>
      </c>
      <c r="AA435" s="23" t="n">
        <f aca="false">IFERROR(INDEX(PODACI_PRODAJA!J:J,MATCH($A435,PODACI_PRODAJA!$A:$A,0)),0)</f>
        <v>0</v>
      </c>
      <c r="AB435" s="23" t="n">
        <f aca="false">IFERROR(INDEX(PODACI_PRODAJA!K:K,MATCH($A435,PODACI_PRODAJA!$A:$A,0)),0)</f>
        <v>0</v>
      </c>
      <c r="AC435" s="23" t="n">
        <f aca="false">IFERROR(INDEX(PODACI_PRODAJA!L:L,MATCH($A435,PODACI_PRODAJA!$A:$A,0)),0)</f>
        <v>0</v>
      </c>
      <c r="AD435" s="23" t="n">
        <f aca="false">IFERROR(INDEX(PODACI_PRODAJA!M:M,MATCH($A435,PODACI_PRODAJA!$A:$A,0)),0)</f>
        <v>0</v>
      </c>
    </row>
    <row r="436" customFormat="false" ht="15" hidden="false" customHeight="false" outlineLevel="0" collapsed="false">
      <c r="A436" s="11" t="str">
        <f aca="false">PODACI_ZALIHE!A433</f>
        <v>1025005-00</v>
      </c>
      <c r="B436" s="8" t="str">
        <f aca="false">PODACI_ZALIHE!B433</f>
        <v>KLUDI SIFON STANDARD, KROM</v>
      </c>
      <c r="C436" s="9" t="str">
        <f aca="false">PODACI_ZALIHE!C433</f>
        <v>7485</v>
      </c>
      <c r="D436" s="8" t="str">
        <f aca="false">PODACI_ZALIHE!D433</f>
        <v>KLUDI GmbH &amp; Co. KG.,</v>
      </c>
      <c r="E436" s="19" t="n">
        <f aca="false">IF(PODACI_ZALIHE!E433="","",PODACI_ZALIHE!E433)</f>
        <v>10</v>
      </c>
      <c r="F436" s="20" t="n">
        <f aca="false">PODACI_ZALIHE!F433</f>
        <v>10</v>
      </c>
      <c r="G436" s="19" t="n">
        <f aca="false">IF(E436="","",E436-F436)</f>
        <v>0</v>
      </c>
      <c r="H436" s="9" t="n">
        <f aca="false">PODACI_PRODAJA!N453</f>
        <v>0</v>
      </c>
      <c r="I436" s="21" t="n">
        <f aca="false">IF(H436&lt;=0,999,ROUND(F436/H436,1))</f>
        <v>999</v>
      </c>
      <c r="J436" s="9" t="n">
        <f aca="false">SUMIFS(ROBA_U_DOLASKU!$C$6:$C$95,ROBA_U_DOLASKU!$A$6:$A$95,A436,ROBA_U_DOLASKU!$H$6:$H$95,1)</f>
        <v>0</v>
      </c>
      <c r="K436" s="9" t="n">
        <f aca="false">SUMIFS(ROBA_U_DOLASKU!$B$6:$B$95,ROBA_U_DOLASKU!$A$6:$A$95,A436,ROBA_U_DOLASKU!$H$6:$H$95,1)</f>
        <v>0</v>
      </c>
      <c r="L436" s="9" t="n">
        <f aca="false">SUMIFS(ROBA_U_DOLASKU!$C$6:$C$95,ROBA_U_DOLASKU!$A$6:$A$95,A436,ROBA_U_DOLASKU!$H$6:$H$95,2)</f>
        <v>0</v>
      </c>
      <c r="M436" s="9" t="n">
        <f aca="false">SUMIFS(ROBA_U_DOLASKU!$B$6:$B$95,ROBA_U_DOLASKU!$A$6:$A$95,A436,ROBA_U_DOLASKU!$H$6:$H$95,2)</f>
        <v>0</v>
      </c>
      <c r="N436" s="9" t="n">
        <f aca="false">SUMIFS(ROBA_U_DOLASKU!$C$6:$C$95,ROBA_U_DOLASKU!$A$6:$A$95,A436,ROBA_U_DOLASKU!$H$6:$H$95,3)</f>
        <v>0</v>
      </c>
      <c r="O436" s="9" t="n">
        <f aca="false">SUMIFS(ROBA_U_DOLASKU!$B$6:$B$95,ROBA_U_DOLASKU!$A$6:$A$95,A436,ROBA_U_DOLASKU!$H$6:$H$95,3)</f>
        <v>0</v>
      </c>
      <c r="P436" s="9" t="n">
        <f aca="false">IF(H436&lt;=0,999,IF(O436&gt;0,ROUND((F436-H436*N436+K436+M436+O436)/H436,1),IF(M436&gt;0,ROUND((F436-H436*L436+K436+M436)/H436,1),IF(K436&gt;0,ROUND((F436-H436*J436+K436)/H436,1),I436))))</f>
        <v>999</v>
      </c>
      <c r="Q436" s="22" t="str">
        <f aca="false">IF(H436&lt;=0,"Nema prodaje",IF(AND(K436=0,M436=0,O436=0),IF(I436&lt;POSTAVKE!$B$6,"Naruči odmah","Sve u redu"),IF(F436-H436*J436&lt;0,"Rupa za ~"&amp;TEXT(I436,"0.0")&amp;" mj.",IF(AND(M436&gt;0,F436-H436*L436+K436&lt;0),"Rupa nakon 1. dolaska",IF(AND(O436&gt;0,F436-H436*N436+K436+M436&lt;0),"Rupa nakon 2. dolaska",IF(P436&lt;POSTAVKE!$B$6,"Količina nije dovoljna",IF(I436&gt;=POSTAVKE!$B$6,"Sve u redu","Stiže na vrijeme")))))))</f>
        <v>Nema prodaje</v>
      </c>
      <c r="S436" s="23" t="n">
        <f aca="false">IFERROR(INDEX(PODACI_PRODAJA!B:B,MATCH($A436,PODACI_PRODAJA!$A:$A,0)),0)</f>
        <v>0</v>
      </c>
      <c r="T436" s="23" t="n">
        <f aca="false">IFERROR(INDEX(PODACI_PRODAJA!C:C,MATCH($A436,PODACI_PRODAJA!$A:$A,0)),0)</f>
        <v>0</v>
      </c>
      <c r="U436" s="23" t="n">
        <f aca="false">IFERROR(INDEX(PODACI_PRODAJA!D:D,MATCH($A436,PODACI_PRODAJA!$A:$A,0)),0)</f>
        <v>0</v>
      </c>
      <c r="V436" s="23" t="n">
        <f aca="false">IFERROR(INDEX(PODACI_PRODAJA!E:E,MATCH($A436,PODACI_PRODAJA!$A:$A,0)),0)</f>
        <v>0</v>
      </c>
      <c r="W436" s="23" t="n">
        <f aca="false">IFERROR(INDEX(PODACI_PRODAJA!F:F,MATCH($A436,PODACI_PRODAJA!$A:$A,0)),0)</f>
        <v>0</v>
      </c>
      <c r="X436" s="23" t="n">
        <f aca="false">IFERROR(INDEX(PODACI_PRODAJA!G:G,MATCH($A436,PODACI_PRODAJA!$A:$A,0)),0)</f>
        <v>0</v>
      </c>
      <c r="Y436" s="23" t="n">
        <f aca="false">IFERROR(INDEX(PODACI_PRODAJA!H:H,MATCH($A436,PODACI_PRODAJA!$A:$A,0)),0)</f>
        <v>0</v>
      </c>
      <c r="Z436" s="23" t="n">
        <f aca="false">IFERROR(INDEX(PODACI_PRODAJA!I:I,MATCH($A436,PODACI_PRODAJA!$A:$A,0)),0)</f>
        <v>0</v>
      </c>
      <c r="AA436" s="23" t="n">
        <f aca="false">IFERROR(INDEX(PODACI_PRODAJA!J:J,MATCH($A436,PODACI_PRODAJA!$A:$A,0)),0)</f>
        <v>0</v>
      </c>
      <c r="AB436" s="23" t="n">
        <f aca="false">IFERROR(INDEX(PODACI_PRODAJA!K:K,MATCH($A436,PODACI_PRODAJA!$A:$A,0)),0)</f>
        <v>0</v>
      </c>
      <c r="AC436" s="23" t="n">
        <f aca="false">IFERROR(INDEX(PODACI_PRODAJA!L:L,MATCH($A436,PODACI_PRODAJA!$A:$A,0)),0)</f>
        <v>0</v>
      </c>
      <c r="AD436" s="23" t="n">
        <f aca="false">IFERROR(INDEX(PODACI_PRODAJA!M:M,MATCH($A436,PODACI_PRODAJA!$A:$A,0)),0)</f>
        <v>0</v>
      </c>
    </row>
    <row r="437" customFormat="false" ht="15" hidden="false" customHeight="false" outlineLevel="0" collapsed="false">
      <c r="A437" s="11" t="str">
        <f aca="false">PODACI_ZALIHE!A434</f>
        <v>15012</v>
      </c>
      <c r="B437" s="8" t="str">
        <f aca="false">PODACI_ZALIHE!B434</f>
        <v>POVEZNI PROFIL ZA PANELE 5 mm</v>
      </c>
      <c r="C437" s="9" t="n">
        <f aca="false">PODACI_ZALIHE!C434</f>
        <v>0</v>
      </c>
      <c r="D437" s="8" t="n">
        <f aca="false">PODACI_ZALIHE!D434</f>
        <v>0</v>
      </c>
      <c r="E437" s="19" t="n">
        <f aca="false">IF(PODACI_ZALIHE!E434="","",PODACI_ZALIHE!E434)</f>
        <v>10</v>
      </c>
      <c r="F437" s="20" t="n">
        <f aca="false">PODACI_ZALIHE!F434</f>
        <v>10</v>
      </c>
      <c r="G437" s="19" t="n">
        <f aca="false">IF(E437="","",E437-F437)</f>
        <v>0</v>
      </c>
      <c r="H437" s="9" t="n">
        <v>0</v>
      </c>
      <c r="I437" s="21" t="n">
        <f aca="false">IF(H437&lt;=0,999,ROUND(F437/H437,1))</f>
        <v>999</v>
      </c>
      <c r="J437" s="9" t="n">
        <f aca="false">SUMIFS(ROBA_U_DOLASKU!$C$6:$C$95,ROBA_U_DOLASKU!$A$6:$A$95,A437,ROBA_U_DOLASKU!$H$6:$H$95,1)</f>
        <v>0</v>
      </c>
      <c r="K437" s="9" t="n">
        <f aca="false">SUMIFS(ROBA_U_DOLASKU!$B$6:$B$95,ROBA_U_DOLASKU!$A$6:$A$95,A437,ROBA_U_DOLASKU!$H$6:$H$95,1)</f>
        <v>0</v>
      </c>
      <c r="L437" s="9" t="n">
        <f aca="false">SUMIFS(ROBA_U_DOLASKU!$C$6:$C$95,ROBA_U_DOLASKU!$A$6:$A$95,A437,ROBA_U_DOLASKU!$H$6:$H$95,2)</f>
        <v>0</v>
      </c>
      <c r="M437" s="9" t="n">
        <f aca="false">SUMIFS(ROBA_U_DOLASKU!$B$6:$B$95,ROBA_U_DOLASKU!$A$6:$A$95,A437,ROBA_U_DOLASKU!$H$6:$H$95,2)</f>
        <v>0</v>
      </c>
      <c r="N437" s="9" t="n">
        <f aca="false">SUMIFS(ROBA_U_DOLASKU!$C$6:$C$95,ROBA_U_DOLASKU!$A$6:$A$95,A437,ROBA_U_DOLASKU!$H$6:$H$95,3)</f>
        <v>0</v>
      </c>
      <c r="O437" s="9" t="n">
        <f aca="false">SUMIFS(ROBA_U_DOLASKU!$B$6:$B$95,ROBA_U_DOLASKU!$A$6:$A$95,A437,ROBA_U_DOLASKU!$H$6:$H$95,3)</f>
        <v>0</v>
      </c>
      <c r="P437" s="9" t="n">
        <f aca="false">IF(H437&lt;=0,999,IF(O437&gt;0,ROUND((F437-H437*N437+K437+M437+O437)/H437,1),IF(M437&gt;0,ROUND((F437-H437*L437+K437+M437)/H437,1),IF(K437&gt;0,ROUND((F437-H437*J437+K437)/H437,1),I437))))</f>
        <v>999</v>
      </c>
      <c r="Q437" s="22" t="str">
        <f aca="false">IF(H437&lt;=0,"Nema prodaje",IF(AND(K437=0,M437=0,O437=0),IF(I437&lt;POSTAVKE!$B$6,"Naruči odmah","Sve u redu"),IF(F437-H437*J437&lt;0,"Rupa za ~"&amp;TEXT(I437,"0.0")&amp;" mj.",IF(AND(M437&gt;0,F437-H437*L437+K437&lt;0),"Rupa nakon 1. dolaska",IF(AND(O437&gt;0,F437-H437*N437+K437+M437&lt;0),"Rupa nakon 2. dolaska",IF(P437&lt;POSTAVKE!$B$6,"Količina nije dovoljna",IF(I437&gt;=POSTAVKE!$B$6,"Sve u redu","Stiže na vrijeme")))))))</f>
        <v>Nema prodaje</v>
      </c>
      <c r="S437" s="23" t="n">
        <f aca="false">IFERROR(INDEX(PODACI_PRODAJA!B:B,MATCH($A437,PODACI_PRODAJA!$A:$A,0)),0)</f>
        <v>0</v>
      </c>
      <c r="T437" s="23" t="n">
        <f aca="false">IFERROR(INDEX(PODACI_PRODAJA!C:C,MATCH($A437,PODACI_PRODAJA!$A:$A,0)),0)</f>
        <v>0</v>
      </c>
      <c r="U437" s="23" t="n">
        <f aca="false">IFERROR(INDEX(PODACI_PRODAJA!D:D,MATCH($A437,PODACI_PRODAJA!$A:$A,0)),0)</f>
        <v>0</v>
      </c>
      <c r="V437" s="23" t="n">
        <f aca="false">IFERROR(INDEX(PODACI_PRODAJA!E:E,MATCH($A437,PODACI_PRODAJA!$A:$A,0)),0)</f>
        <v>0</v>
      </c>
      <c r="W437" s="23" t="n">
        <f aca="false">IFERROR(INDEX(PODACI_PRODAJA!F:F,MATCH($A437,PODACI_PRODAJA!$A:$A,0)),0)</f>
        <v>0</v>
      </c>
      <c r="X437" s="23" t="n">
        <f aca="false">IFERROR(INDEX(PODACI_PRODAJA!G:G,MATCH($A437,PODACI_PRODAJA!$A:$A,0)),0)</f>
        <v>0</v>
      </c>
      <c r="Y437" s="23" t="n">
        <f aca="false">IFERROR(INDEX(PODACI_PRODAJA!H:H,MATCH($A437,PODACI_PRODAJA!$A:$A,0)),0)</f>
        <v>0</v>
      </c>
      <c r="Z437" s="23" t="n">
        <f aca="false">IFERROR(INDEX(PODACI_PRODAJA!I:I,MATCH($A437,PODACI_PRODAJA!$A:$A,0)),0)</f>
        <v>0</v>
      </c>
      <c r="AA437" s="23" t="n">
        <f aca="false">IFERROR(INDEX(PODACI_PRODAJA!J:J,MATCH($A437,PODACI_PRODAJA!$A:$A,0)),0)</f>
        <v>0</v>
      </c>
      <c r="AB437" s="23" t="n">
        <f aca="false">IFERROR(INDEX(PODACI_PRODAJA!K:K,MATCH($A437,PODACI_PRODAJA!$A:$A,0)),0)</f>
        <v>0</v>
      </c>
      <c r="AC437" s="23" t="n">
        <f aca="false">IFERROR(INDEX(PODACI_PRODAJA!L:L,MATCH($A437,PODACI_PRODAJA!$A:$A,0)),0)</f>
        <v>0</v>
      </c>
      <c r="AD437" s="23" t="n">
        <f aca="false">IFERROR(INDEX(PODACI_PRODAJA!M:M,MATCH($A437,PODACI_PRODAJA!$A:$A,0)),0)</f>
        <v>0</v>
      </c>
    </row>
    <row r="438" customFormat="false" ht="15" hidden="false" customHeight="false" outlineLevel="0" collapsed="false">
      <c r="A438" s="11" t="str">
        <f aca="false">PODACI_ZALIHE!A435</f>
        <v>1584605-00</v>
      </c>
      <c r="B438" s="8" t="str">
        <f aca="false">PODACI_ZALIHE!B435</f>
        <v>KLUDI KUTNI VENTIL STANDARDNA KARTUŠA 1/2" X 3/8"</v>
      </c>
      <c r="C438" s="9" t="str">
        <f aca="false">PODACI_ZALIHE!C435</f>
        <v>7485</v>
      </c>
      <c r="D438" s="8" t="str">
        <f aca="false">PODACI_ZALIHE!D435</f>
        <v>KLUDI GmbH &amp; Co. KG.,</v>
      </c>
      <c r="E438" s="19" t="n">
        <f aca="false">IF(PODACI_ZALIHE!E435="","",PODACI_ZALIHE!E435)</f>
        <v>10</v>
      </c>
      <c r="F438" s="20" t="n">
        <f aca="false">PODACI_ZALIHE!F435</f>
        <v>10</v>
      </c>
      <c r="G438" s="19" t="n">
        <f aca="false">IF(E438="","",E438-F438)</f>
        <v>0</v>
      </c>
      <c r="H438" s="9" t="n">
        <f aca="false">PODACI_PRODAJA!N543</f>
        <v>0</v>
      </c>
      <c r="I438" s="21" t="n">
        <f aca="false">IF(H438&lt;=0,999,ROUND(F438/H438,1))</f>
        <v>999</v>
      </c>
      <c r="J438" s="9" t="n">
        <f aca="false">SUMIFS(ROBA_U_DOLASKU!$C$6:$C$95,ROBA_U_DOLASKU!$A$6:$A$95,A438,ROBA_U_DOLASKU!$H$6:$H$95,1)</f>
        <v>0</v>
      </c>
      <c r="K438" s="9" t="n">
        <f aca="false">SUMIFS(ROBA_U_DOLASKU!$B$6:$B$95,ROBA_U_DOLASKU!$A$6:$A$95,A438,ROBA_U_DOLASKU!$H$6:$H$95,1)</f>
        <v>0</v>
      </c>
      <c r="L438" s="9" t="n">
        <f aca="false">SUMIFS(ROBA_U_DOLASKU!$C$6:$C$95,ROBA_U_DOLASKU!$A$6:$A$95,A438,ROBA_U_DOLASKU!$H$6:$H$95,2)</f>
        <v>0</v>
      </c>
      <c r="M438" s="9" t="n">
        <f aca="false">SUMIFS(ROBA_U_DOLASKU!$B$6:$B$95,ROBA_U_DOLASKU!$A$6:$A$95,A438,ROBA_U_DOLASKU!$H$6:$H$95,2)</f>
        <v>0</v>
      </c>
      <c r="N438" s="9" t="n">
        <f aca="false">SUMIFS(ROBA_U_DOLASKU!$C$6:$C$95,ROBA_U_DOLASKU!$A$6:$A$95,A438,ROBA_U_DOLASKU!$H$6:$H$95,3)</f>
        <v>0</v>
      </c>
      <c r="O438" s="9" t="n">
        <f aca="false">SUMIFS(ROBA_U_DOLASKU!$B$6:$B$95,ROBA_U_DOLASKU!$A$6:$A$95,A438,ROBA_U_DOLASKU!$H$6:$H$95,3)</f>
        <v>0</v>
      </c>
      <c r="P438" s="9" t="n">
        <f aca="false">IF(H438&lt;=0,999,IF(O438&gt;0,ROUND((F438-H438*N438+K438+M438+O438)/H438,1),IF(M438&gt;0,ROUND((F438-H438*L438+K438+M438)/H438,1),IF(K438&gt;0,ROUND((F438-H438*J438+K438)/H438,1),I438))))</f>
        <v>999</v>
      </c>
      <c r="Q438" s="22" t="str">
        <f aca="false">IF(H438&lt;=0,"Nema prodaje",IF(AND(K438=0,M438=0,O438=0),IF(I438&lt;POSTAVKE!$B$6,"Naruči odmah","Sve u redu"),IF(F438-H438*J438&lt;0,"Rupa za ~"&amp;TEXT(I438,"0.0")&amp;" mj.",IF(AND(M438&gt;0,F438-H438*L438+K438&lt;0),"Rupa nakon 1. dolaska",IF(AND(O438&gt;0,F438-H438*N438+K438+M438&lt;0),"Rupa nakon 2. dolaska",IF(P438&lt;POSTAVKE!$B$6,"Količina nije dovoljna",IF(I438&gt;=POSTAVKE!$B$6,"Sve u redu","Stiže na vrijeme")))))))</f>
        <v>Nema prodaje</v>
      </c>
      <c r="S438" s="23" t="n">
        <f aca="false">IFERROR(INDEX(PODACI_PRODAJA!B:B,MATCH($A438,PODACI_PRODAJA!$A:$A,0)),0)</f>
        <v>0</v>
      </c>
      <c r="T438" s="23" t="n">
        <f aca="false">IFERROR(INDEX(PODACI_PRODAJA!C:C,MATCH($A438,PODACI_PRODAJA!$A:$A,0)),0)</f>
        <v>0</v>
      </c>
      <c r="U438" s="23" t="n">
        <f aca="false">IFERROR(INDEX(PODACI_PRODAJA!D:D,MATCH($A438,PODACI_PRODAJA!$A:$A,0)),0)</f>
        <v>0</v>
      </c>
      <c r="V438" s="23" t="n">
        <f aca="false">IFERROR(INDEX(PODACI_PRODAJA!E:E,MATCH($A438,PODACI_PRODAJA!$A:$A,0)),0)</f>
        <v>0</v>
      </c>
      <c r="W438" s="23" t="n">
        <f aca="false">IFERROR(INDEX(PODACI_PRODAJA!F:F,MATCH($A438,PODACI_PRODAJA!$A:$A,0)),0)</f>
        <v>0</v>
      </c>
      <c r="X438" s="23" t="n">
        <f aca="false">IFERROR(INDEX(PODACI_PRODAJA!G:G,MATCH($A438,PODACI_PRODAJA!$A:$A,0)),0)</f>
        <v>0</v>
      </c>
      <c r="Y438" s="23" t="n">
        <f aca="false">IFERROR(INDEX(PODACI_PRODAJA!H:H,MATCH($A438,PODACI_PRODAJA!$A:$A,0)),0)</f>
        <v>0</v>
      </c>
      <c r="Z438" s="23" t="n">
        <f aca="false">IFERROR(INDEX(PODACI_PRODAJA!I:I,MATCH($A438,PODACI_PRODAJA!$A:$A,0)),0)</f>
        <v>0</v>
      </c>
      <c r="AA438" s="23" t="n">
        <f aca="false">IFERROR(INDEX(PODACI_PRODAJA!J:J,MATCH($A438,PODACI_PRODAJA!$A:$A,0)),0)</f>
        <v>0</v>
      </c>
      <c r="AB438" s="23" t="n">
        <f aca="false">IFERROR(INDEX(PODACI_PRODAJA!K:K,MATCH($A438,PODACI_PRODAJA!$A:$A,0)),0)</f>
        <v>0</v>
      </c>
      <c r="AC438" s="23" t="n">
        <f aca="false">IFERROR(INDEX(PODACI_PRODAJA!L:L,MATCH($A438,PODACI_PRODAJA!$A:$A,0)),0)</f>
        <v>0</v>
      </c>
      <c r="AD438" s="23" t="n">
        <f aca="false">IFERROR(INDEX(PODACI_PRODAJA!M:M,MATCH($A438,PODACI_PRODAJA!$A:$A,0)),0)</f>
        <v>0</v>
      </c>
    </row>
    <row r="439" customFormat="false" ht="15" hidden="false" customHeight="false" outlineLevel="0" collapsed="false">
      <c r="A439" s="11" t="str">
        <f aca="false">PODACI_ZALIHE!A436</f>
        <v>16043</v>
      </c>
      <c r="B439" s="8" t="str">
        <f aca="false">PODACI_ZALIHE!B436</f>
        <v>INOX POKROV SIFONA TUŠ KADE BOLD</v>
      </c>
      <c r="C439" s="9" t="n">
        <f aca="false">PODACI_ZALIHE!C436</f>
        <v>0</v>
      </c>
      <c r="D439" s="8" t="n">
        <f aca="false">PODACI_ZALIHE!D436</f>
        <v>0</v>
      </c>
      <c r="E439" s="19" t="n">
        <f aca="false">IF(PODACI_ZALIHE!E436="","",PODACI_ZALIHE!E436)</f>
        <v>10</v>
      </c>
      <c r="F439" s="20" t="n">
        <f aca="false">PODACI_ZALIHE!F436</f>
        <v>10</v>
      </c>
      <c r="G439" s="19" t="n">
        <f aca="false">IF(E439="","",E439-F439)</f>
        <v>0</v>
      </c>
      <c r="H439" s="9" t="n">
        <f aca="false">PODACI_PRODAJA!N156</f>
        <v>3</v>
      </c>
      <c r="I439" s="21" t="n">
        <f aca="false">IF(H439&lt;=0,999,ROUND(F439/H439,1))</f>
        <v>3.3</v>
      </c>
      <c r="J439" s="9" t="n">
        <f aca="false">SUMIFS(ROBA_U_DOLASKU!$C$6:$C$95,ROBA_U_DOLASKU!$A$6:$A$95,A439,ROBA_U_DOLASKU!$H$6:$H$95,1)</f>
        <v>0</v>
      </c>
      <c r="K439" s="9" t="n">
        <f aca="false">SUMIFS(ROBA_U_DOLASKU!$B$6:$B$95,ROBA_U_DOLASKU!$A$6:$A$95,A439,ROBA_U_DOLASKU!$H$6:$H$95,1)</f>
        <v>0</v>
      </c>
      <c r="L439" s="9" t="n">
        <f aca="false">SUMIFS(ROBA_U_DOLASKU!$C$6:$C$95,ROBA_U_DOLASKU!$A$6:$A$95,A439,ROBA_U_DOLASKU!$H$6:$H$95,2)</f>
        <v>0</v>
      </c>
      <c r="M439" s="9" t="n">
        <f aca="false">SUMIFS(ROBA_U_DOLASKU!$B$6:$B$95,ROBA_U_DOLASKU!$A$6:$A$95,A439,ROBA_U_DOLASKU!$H$6:$H$95,2)</f>
        <v>0</v>
      </c>
      <c r="N439" s="9" t="n">
        <f aca="false">SUMIFS(ROBA_U_DOLASKU!$C$6:$C$95,ROBA_U_DOLASKU!$A$6:$A$95,A439,ROBA_U_DOLASKU!$H$6:$H$95,3)</f>
        <v>0</v>
      </c>
      <c r="O439" s="9" t="n">
        <f aca="false">SUMIFS(ROBA_U_DOLASKU!$B$6:$B$95,ROBA_U_DOLASKU!$A$6:$A$95,A439,ROBA_U_DOLASKU!$H$6:$H$95,3)</f>
        <v>0</v>
      </c>
      <c r="P439" s="9" t="n">
        <f aca="false">IF(H439&lt;=0,999,IF(O439&gt;0,ROUND((F439-H439*N439+K439+M439+O439)/H439,1),IF(M439&gt;0,ROUND((F439-H439*L439+K439+M439)/H439,1),IF(K439&gt;0,ROUND((F439-H439*J439+K439)/H439,1),I439))))</f>
        <v>3.3</v>
      </c>
      <c r="Q439" s="22" t="str">
        <f aca="false">IF(H439&lt;=0,"Nema prodaje",IF(AND(K439=0,M439=0,O439=0),IF(I439&lt;POSTAVKE!$B$6,"Naruči odmah","Sve u redu"),IF(F439-H439*J439&lt;0,"Rupa za ~"&amp;TEXT(I439,"0.0")&amp;" mj.",IF(AND(M439&gt;0,F439-H439*L439+K439&lt;0),"Rupa nakon 1. dolaska",IF(AND(O439&gt;0,F439-H439*N439+K439+M439&lt;0),"Rupa nakon 2. dolaska",IF(P439&lt;POSTAVKE!$B$6,"Količina nije dovoljna",IF(I439&gt;=POSTAVKE!$B$6,"Sve u redu","Stiže na vrijeme")))))))</f>
        <v>Naruči odmah</v>
      </c>
      <c r="S439" s="23" t="n">
        <f aca="false">IFERROR(INDEX(PODACI_PRODAJA!B:B,MATCH($A439,PODACI_PRODAJA!$A:$A,0)),0)</f>
        <v>3</v>
      </c>
      <c r="T439" s="23" t="n">
        <f aca="false">IFERROR(INDEX(PODACI_PRODAJA!C:C,MATCH($A439,PODACI_PRODAJA!$A:$A,0)),0)</f>
        <v>5</v>
      </c>
      <c r="U439" s="23" t="n">
        <f aca="false">IFERROR(INDEX(PODACI_PRODAJA!D:D,MATCH($A439,PODACI_PRODAJA!$A:$A,0)),0)</f>
        <v>8</v>
      </c>
      <c r="V439" s="23" t="n">
        <f aca="false">IFERROR(INDEX(PODACI_PRODAJA!E:E,MATCH($A439,PODACI_PRODAJA!$A:$A,0)),0)</f>
        <v>0</v>
      </c>
      <c r="W439" s="23" t="n">
        <f aca="false">IFERROR(INDEX(PODACI_PRODAJA!F:F,MATCH($A439,PODACI_PRODAJA!$A:$A,0)),0)</f>
        <v>2</v>
      </c>
      <c r="X439" s="23" t="n">
        <f aca="false">IFERROR(INDEX(PODACI_PRODAJA!G:G,MATCH($A439,PODACI_PRODAJA!$A:$A,0)),0)</f>
        <v>3</v>
      </c>
      <c r="Y439" s="23" t="n">
        <f aca="false">IFERROR(INDEX(PODACI_PRODAJA!H:H,MATCH($A439,PODACI_PRODAJA!$A:$A,0)),0)</f>
        <v>0</v>
      </c>
      <c r="Z439" s="23" t="n">
        <f aca="false">IFERROR(INDEX(PODACI_PRODAJA!I:I,MATCH($A439,PODACI_PRODAJA!$A:$A,0)),0)</f>
        <v>3</v>
      </c>
      <c r="AA439" s="23" t="n">
        <f aca="false">IFERROR(INDEX(PODACI_PRODAJA!J:J,MATCH($A439,PODACI_PRODAJA!$A:$A,0)),0)</f>
        <v>0</v>
      </c>
      <c r="AB439" s="23" t="n">
        <f aca="false">IFERROR(INDEX(PODACI_PRODAJA!K:K,MATCH($A439,PODACI_PRODAJA!$A:$A,0)),0)</f>
        <v>0</v>
      </c>
      <c r="AC439" s="23" t="n">
        <f aca="false">IFERROR(INDEX(PODACI_PRODAJA!L:L,MATCH($A439,PODACI_PRODAJA!$A:$A,0)),0)</f>
        <v>0</v>
      </c>
      <c r="AD439" s="23" t="n">
        <f aca="false">IFERROR(INDEX(PODACI_PRODAJA!M:M,MATCH($A439,PODACI_PRODAJA!$A:$A,0)),0)</f>
        <v>0</v>
      </c>
    </row>
    <row r="440" customFormat="false" ht="15" hidden="false" customHeight="false" outlineLevel="0" collapsed="false">
      <c r="A440" s="11" t="str">
        <f aca="false">PODACI_ZALIHE!A437</f>
        <v>16976</v>
      </c>
      <c r="B440" s="8" t="str">
        <f aca="false">PODACI_ZALIHE!B437</f>
        <v>TK GRANADA 7090 PRAVOKUTNA TUŠ KABINA 70x90x195 cm</v>
      </c>
      <c r="C440" s="9" t="str">
        <f aca="false">PODACI_ZALIHE!C437</f>
        <v>4328</v>
      </c>
      <c r="D440" s="8" t="str">
        <f aca="false">PODACI_ZALIHE!D437</f>
        <v>HANGZHOU DUHUI IMPORT AND EXPORT CO.,LTD</v>
      </c>
      <c r="E440" s="19" t="n">
        <f aca="false">IF(PODACI_ZALIHE!E437="","",PODACI_ZALIHE!E437)</f>
        <v>10</v>
      </c>
      <c r="F440" s="20" t="n">
        <f aca="false">PODACI_ZALIHE!F437</f>
        <v>10</v>
      </c>
      <c r="G440" s="19" t="n">
        <f aca="false">IF(E440="","",E440-F440)</f>
        <v>0</v>
      </c>
      <c r="H440" s="9" t="n">
        <f aca="false">PODACI_PRODAJA!N587</f>
        <v>0</v>
      </c>
      <c r="I440" s="21" t="n">
        <f aca="false">IF(H440&lt;=0,999,ROUND(F440/H440,1))</f>
        <v>999</v>
      </c>
      <c r="J440" s="9" t="n">
        <f aca="false">SUMIFS(ROBA_U_DOLASKU!$C$6:$C$95,ROBA_U_DOLASKU!$A$6:$A$95,A440,ROBA_U_DOLASKU!$H$6:$H$95,1)</f>
        <v>0</v>
      </c>
      <c r="K440" s="9" t="n">
        <f aca="false">SUMIFS(ROBA_U_DOLASKU!$B$6:$B$95,ROBA_U_DOLASKU!$A$6:$A$95,A440,ROBA_U_DOLASKU!$H$6:$H$95,1)</f>
        <v>0</v>
      </c>
      <c r="L440" s="9" t="n">
        <f aca="false">SUMIFS(ROBA_U_DOLASKU!$C$6:$C$95,ROBA_U_DOLASKU!$A$6:$A$95,A440,ROBA_U_DOLASKU!$H$6:$H$95,2)</f>
        <v>0</v>
      </c>
      <c r="M440" s="9" t="n">
        <f aca="false">SUMIFS(ROBA_U_DOLASKU!$B$6:$B$95,ROBA_U_DOLASKU!$A$6:$A$95,A440,ROBA_U_DOLASKU!$H$6:$H$95,2)</f>
        <v>0</v>
      </c>
      <c r="N440" s="9" t="n">
        <f aca="false">SUMIFS(ROBA_U_DOLASKU!$C$6:$C$95,ROBA_U_DOLASKU!$A$6:$A$95,A440,ROBA_U_DOLASKU!$H$6:$H$95,3)</f>
        <v>0</v>
      </c>
      <c r="O440" s="9" t="n">
        <f aca="false">SUMIFS(ROBA_U_DOLASKU!$B$6:$B$95,ROBA_U_DOLASKU!$A$6:$A$95,A440,ROBA_U_DOLASKU!$H$6:$H$95,3)</f>
        <v>0</v>
      </c>
      <c r="P440" s="9" t="n">
        <f aca="false">IF(H440&lt;=0,999,IF(O440&gt;0,ROUND((F440-H440*N440+K440+M440+O440)/H440,1),IF(M440&gt;0,ROUND((F440-H440*L440+K440+M440)/H440,1),IF(K440&gt;0,ROUND((F440-H440*J440+K440)/H440,1),I440))))</f>
        <v>999</v>
      </c>
      <c r="Q440" s="22" t="str">
        <f aca="false">IF(H440&lt;=0,"Nema prodaje",IF(AND(K440=0,M440=0,O440=0),IF(I440&lt;POSTAVKE!$B$6,"Naruči odmah","Sve u redu"),IF(F440-H440*J440&lt;0,"Rupa za ~"&amp;TEXT(I440,"0.0")&amp;" mj.",IF(AND(M440&gt;0,F440-H440*L440+K440&lt;0),"Rupa nakon 1. dolaska",IF(AND(O440&gt;0,F440-H440*N440+K440+M440&lt;0),"Rupa nakon 2. dolaska",IF(P440&lt;POSTAVKE!$B$6,"Količina nije dovoljna",IF(I440&gt;=POSTAVKE!$B$6,"Sve u redu","Stiže na vrijeme")))))))</f>
        <v>Nema prodaje</v>
      </c>
      <c r="S440" s="23" t="n">
        <f aca="false">IFERROR(INDEX(PODACI_PRODAJA!B:B,MATCH($A440,PODACI_PRODAJA!$A:$A,0)),0)</f>
        <v>0</v>
      </c>
      <c r="T440" s="23" t="n">
        <f aca="false">IFERROR(INDEX(PODACI_PRODAJA!C:C,MATCH($A440,PODACI_PRODAJA!$A:$A,0)),0)</f>
        <v>0</v>
      </c>
      <c r="U440" s="23" t="n">
        <f aca="false">IFERROR(INDEX(PODACI_PRODAJA!D:D,MATCH($A440,PODACI_PRODAJA!$A:$A,0)),0)</f>
        <v>0</v>
      </c>
      <c r="V440" s="23" t="n">
        <f aca="false">IFERROR(INDEX(PODACI_PRODAJA!E:E,MATCH($A440,PODACI_PRODAJA!$A:$A,0)),0)</f>
        <v>0</v>
      </c>
      <c r="W440" s="23" t="n">
        <f aca="false">IFERROR(INDEX(PODACI_PRODAJA!F:F,MATCH($A440,PODACI_PRODAJA!$A:$A,0)),0)</f>
        <v>0</v>
      </c>
      <c r="X440" s="23" t="n">
        <f aca="false">IFERROR(INDEX(PODACI_PRODAJA!G:G,MATCH($A440,PODACI_PRODAJA!$A:$A,0)),0)</f>
        <v>0</v>
      </c>
      <c r="Y440" s="23" t="n">
        <f aca="false">IFERROR(INDEX(PODACI_PRODAJA!H:H,MATCH($A440,PODACI_PRODAJA!$A:$A,0)),0)</f>
        <v>0</v>
      </c>
      <c r="Z440" s="23" t="n">
        <f aca="false">IFERROR(INDEX(PODACI_PRODAJA!I:I,MATCH($A440,PODACI_PRODAJA!$A:$A,0)),0)</f>
        <v>0</v>
      </c>
      <c r="AA440" s="23" t="n">
        <f aca="false">IFERROR(INDEX(PODACI_PRODAJA!J:J,MATCH($A440,PODACI_PRODAJA!$A:$A,0)),0)</f>
        <v>0</v>
      </c>
      <c r="AB440" s="23" t="n">
        <f aca="false">IFERROR(INDEX(PODACI_PRODAJA!K:K,MATCH($A440,PODACI_PRODAJA!$A:$A,0)),0)</f>
        <v>0</v>
      </c>
      <c r="AC440" s="23" t="n">
        <f aca="false">IFERROR(INDEX(PODACI_PRODAJA!L:L,MATCH($A440,PODACI_PRODAJA!$A:$A,0)),0)</f>
        <v>0</v>
      </c>
      <c r="AD440" s="23" t="n">
        <f aca="false">IFERROR(INDEX(PODACI_PRODAJA!M:M,MATCH($A440,PODACI_PRODAJA!$A:$A,0)),0)</f>
        <v>0</v>
      </c>
    </row>
    <row r="441" customFormat="false" ht="15" hidden="false" customHeight="false" outlineLevel="0" collapsed="false">
      <c r="A441" s="11" t="str">
        <f aca="false">PODACI_ZALIHE!A438</f>
        <v>17228</v>
      </c>
      <c r="B441" s="8" t="str">
        <f aca="false">PODACI_ZALIHE!B438</f>
        <v>TK MALAGA 90120 BLACK PRAVOKUTNA TUŠ KABINA 90X120X195 cm</v>
      </c>
      <c r="C441" s="9" t="str">
        <f aca="false">PODACI_ZALIHE!C438</f>
        <v>6762</v>
      </c>
      <c r="D441" s="8" t="str">
        <f aca="false">PODACI_ZALIHE!D438</f>
        <v>ZHEJIANG QUICKLINE SHOWERING CO., LTD.</v>
      </c>
      <c r="E441" s="19" t="n">
        <f aca="false">IF(PODACI_ZALIHE!E438="","",PODACI_ZALIHE!E438)</f>
        <v>10</v>
      </c>
      <c r="F441" s="20" t="n">
        <f aca="false">PODACI_ZALIHE!F438</f>
        <v>10</v>
      </c>
      <c r="G441" s="19" t="n">
        <f aca="false">IF(E441="","",E441-F441)</f>
        <v>0</v>
      </c>
      <c r="H441" s="9" t="n">
        <f aca="false">PODACI_PRODAJA!N213</f>
        <v>1.38</v>
      </c>
      <c r="I441" s="21" t="n">
        <f aca="false">IF(H441&lt;=0,999,ROUND(F441/H441,1))</f>
        <v>7.2</v>
      </c>
      <c r="J441" s="9" t="n">
        <f aca="false">SUMIFS(ROBA_U_DOLASKU!$C$6:$C$95,ROBA_U_DOLASKU!$A$6:$A$95,A441,ROBA_U_DOLASKU!$H$6:$H$95,1)</f>
        <v>0</v>
      </c>
      <c r="K441" s="9" t="n">
        <f aca="false">SUMIFS(ROBA_U_DOLASKU!$B$6:$B$95,ROBA_U_DOLASKU!$A$6:$A$95,A441,ROBA_U_DOLASKU!$H$6:$H$95,1)</f>
        <v>0</v>
      </c>
      <c r="L441" s="9" t="n">
        <f aca="false">SUMIFS(ROBA_U_DOLASKU!$C$6:$C$95,ROBA_U_DOLASKU!$A$6:$A$95,A441,ROBA_U_DOLASKU!$H$6:$H$95,2)</f>
        <v>0</v>
      </c>
      <c r="M441" s="9" t="n">
        <f aca="false">SUMIFS(ROBA_U_DOLASKU!$B$6:$B$95,ROBA_U_DOLASKU!$A$6:$A$95,A441,ROBA_U_DOLASKU!$H$6:$H$95,2)</f>
        <v>0</v>
      </c>
      <c r="N441" s="9" t="n">
        <f aca="false">SUMIFS(ROBA_U_DOLASKU!$C$6:$C$95,ROBA_U_DOLASKU!$A$6:$A$95,A441,ROBA_U_DOLASKU!$H$6:$H$95,3)</f>
        <v>0</v>
      </c>
      <c r="O441" s="9" t="n">
        <f aca="false">SUMIFS(ROBA_U_DOLASKU!$B$6:$B$95,ROBA_U_DOLASKU!$A$6:$A$95,A441,ROBA_U_DOLASKU!$H$6:$H$95,3)</f>
        <v>0</v>
      </c>
      <c r="P441" s="9" t="n">
        <f aca="false">IF(H441&lt;=0,999,IF(O441&gt;0,ROUND((F441-H441*N441+K441+M441+O441)/H441,1),IF(M441&gt;0,ROUND((F441-H441*L441+K441+M441)/H441,1),IF(K441&gt;0,ROUND((F441-H441*J441+K441)/H441,1),I441))))</f>
        <v>7.2</v>
      </c>
      <c r="Q441" s="22" t="str">
        <f aca="false">IF(H441&lt;=0,"Nema prodaje",IF(AND(K441=0,M441=0,O441=0),IF(I441&lt;POSTAVKE!$B$6,"Naruči odmah","Sve u redu"),IF(F441-H441*J441&lt;0,"Rupa za ~"&amp;TEXT(I441,"0.0")&amp;" mj.",IF(AND(M441&gt;0,F441-H441*L441+K441&lt;0),"Rupa nakon 1. dolaska",IF(AND(O441&gt;0,F441-H441*N441+K441+M441&lt;0),"Rupa nakon 2. dolaska",IF(P441&lt;POSTAVKE!$B$6,"Količina nije dovoljna",IF(I441&gt;=POSTAVKE!$B$6,"Sve u redu","Stiže na vrijeme")))))))</f>
        <v>Sve u redu</v>
      </c>
      <c r="S441" s="23" t="n">
        <f aca="false">IFERROR(INDEX(PODACI_PRODAJA!B:B,MATCH($A441,PODACI_PRODAJA!$A:$A,0)),0)</f>
        <v>2</v>
      </c>
      <c r="T441" s="23" t="n">
        <f aca="false">IFERROR(INDEX(PODACI_PRODAJA!C:C,MATCH($A441,PODACI_PRODAJA!$A:$A,0)),0)</f>
        <v>1</v>
      </c>
      <c r="U441" s="23" t="n">
        <f aca="false">IFERROR(INDEX(PODACI_PRODAJA!D:D,MATCH($A441,PODACI_PRODAJA!$A:$A,0)),0)</f>
        <v>1</v>
      </c>
      <c r="V441" s="23" t="n">
        <f aca="false">IFERROR(INDEX(PODACI_PRODAJA!E:E,MATCH($A441,PODACI_PRODAJA!$A:$A,0)),0)</f>
        <v>0</v>
      </c>
      <c r="W441" s="23" t="n">
        <f aca="false">IFERROR(INDEX(PODACI_PRODAJA!F:F,MATCH($A441,PODACI_PRODAJA!$A:$A,0)),0)</f>
        <v>4</v>
      </c>
      <c r="X441" s="23" t="n">
        <f aca="false">IFERROR(INDEX(PODACI_PRODAJA!G:G,MATCH($A441,PODACI_PRODAJA!$A:$A,0)),0)</f>
        <v>2</v>
      </c>
      <c r="Y441" s="23" t="n">
        <f aca="false">IFERROR(INDEX(PODACI_PRODAJA!H:H,MATCH($A441,PODACI_PRODAJA!$A:$A,0)),0)</f>
        <v>1</v>
      </c>
      <c r="Z441" s="23" t="n">
        <f aca="false">IFERROR(INDEX(PODACI_PRODAJA!I:I,MATCH($A441,PODACI_PRODAJA!$A:$A,0)),0)</f>
        <v>0</v>
      </c>
      <c r="AA441" s="23" t="n">
        <f aca="false">IFERROR(INDEX(PODACI_PRODAJA!J:J,MATCH($A441,PODACI_PRODAJA!$A:$A,0)),0)</f>
        <v>0</v>
      </c>
      <c r="AB441" s="23" t="n">
        <f aca="false">IFERROR(INDEX(PODACI_PRODAJA!K:K,MATCH($A441,PODACI_PRODAJA!$A:$A,0)),0)</f>
        <v>0</v>
      </c>
      <c r="AC441" s="23" t="n">
        <f aca="false">IFERROR(INDEX(PODACI_PRODAJA!L:L,MATCH($A441,PODACI_PRODAJA!$A:$A,0)),0)</f>
        <v>0</v>
      </c>
      <c r="AD441" s="23" t="n">
        <f aca="false">IFERROR(INDEX(PODACI_PRODAJA!M:M,MATCH($A441,PODACI_PRODAJA!$A:$A,0)),0)</f>
        <v>0</v>
      </c>
    </row>
    <row r="442" customFormat="false" ht="15" hidden="false" customHeight="false" outlineLevel="0" collapsed="false">
      <c r="A442" s="11" t="str">
        <f aca="false">PODACI_ZALIHE!A439</f>
        <v>17249</v>
      </c>
      <c r="B442" s="8" t="str">
        <f aca="false">PODACI_ZALIHE!B439</f>
        <v>ALUMINIJSKI PROFIL ZA VETRO SLIDE BRUSHED GOLD 120X195 cm</v>
      </c>
      <c r="C442" s="9" t="n">
        <f aca="false">PODACI_ZALIHE!C439</f>
        <v>0</v>
      </c>
      <c r="D442" s="8" t="n">
        <f aca="false">PODACI_ZALIHE!D439</f>
        <v>0</v>
      </c>
      <c r="E442" s="19" t="n">
        <f aca="false">IF(PODACI_ZALIHE!E439="","",PODACI_ZALIHE!E439)</f>
        <v>10</v>
      </c>
      <c r="F442" s="20" t="n">
        <f aca="false">PODACI_ZALIHE!F439</f>
        <v>10</v>
      </c>
      <c r="G442" s="19" t="n">
        <f aca="false">IF(E442="","",E442-F442)</f>
        <v>0</v>
      </c>
      <c r="H442" s="9" t="n">
        <f aca="false">PODACI_PRODAJA!N624</f>
        <v>0.38</v>
      </c>
      <c r="I442" s="21" t="n">
        <f aca="false">IF(H442&lt;=0,999,ROUND(F442/H442,1))</f>
        <v>26.3</v>
      </c>
      <c r="J442" s="9" t="n">
        <f aca="false">SUMIFS(ROBA_U_DOLASKU!$C$6:$C$95,ROBA_U_DOLASKU!$A$6:$A$95,A442,ROBA_U_DOLASKU!$H$6:$H$95,1)</f>
        <v>0</v>
      </c>
      <c r="K442" s="9" t="n">
        <f aca="false">SUMIFS(ROBA_U_DOLASKU!$B$6:$B$95,ROBA_U_DOLASKU!$A$6:$A$95,A442,ROBA_U_DOLASKU!$H$6:$H$95,1)</f>
        <v>0</v>
      </c>
      <c r="L442" s="9" t="n">
        <f aca="false">SUMIFS(ROBA_U_DOLASKU!$C$6:$C$95,ROBA_U_DOLASKU!$A$6:$A$95,A442,ROBA_U_DOLASKU!$H$6:$H$95,2)</f>
        <v>0</v>
      </c>
      <c r="M442" s="9" t="n">
        <f aca="false">SUMIFS(ROBA_U_DOLASKU!$B$6:$B$95,ROBA_U_DOLASKU!$A$6:$A$95,A442,ROBA_U_DOLASKU!$H$6:$H$95,2)</f>
        <v>0</v>
      </c>
      <c r="N442" s="9" t="n">
        <f aca="false">SUMIFS(ROBA_U_DOLASKU!$C$6:$C$95,ROBA_U_DOLASKU!$A$6:$A$95,A442,ROBA_U_DOLASKU!$H$6:$H$95,3)</f>
        <v>0</v>
      </c>
      <c r="O442" s="9" t="n">
        <f aca="false">SUMIFS(ROBA_U_DOLASKU!$B$6:$B$95,ROBA_U_DOLASKU!$A$6:$A$95,A442,ROBA_U_DOLASKU!$H$6:$H$95,3)</f>
        <v>0</v>
      </c>
      <c r="P442" s="9" t="n">
        <f aca="false">IF(H442&lt;=0,999,IF(O442&gt;0,ROUND((F442-H442*N442+K442+M442+O442)/H442,1),IF(M442&gt;0,ROUND((F442-H442*L442+K442+M442)/H442,1),IF(K442&gt;0,ROUND((F442-H442*J442+K442)/H442,1),I442))))</f>
        <v>26.3</v>
      </c>
      <c r="Q442" s="22" t="str">
        <f aca="false">IF(H442&lt;=0,"Nema prodaje",IF(AND(K442=0,M442=0,O442=0),IF(I442&lt;POSTAVKE!$B$6,"Naruči odmah","Sve u redu"),IF(F442-H442*J442&lt;0,"Rupa za ~"&amp;TEXT(I442,"0.0")&amp;" mj.",IF(AND(M442&gt;0,F442-H442*L442+K442&lt;0),"Rupa nakon 1. dolaska",IF(AND(O442&gt;0,F442-H442*N442+K442+M442&lt;0),"Rupa nakon 2. dolaska",IF(P442&lt;POSTAVKE!$B$6,"Količina nije dovoljna",IF(I442&gt;=POSTAVKE!$B$6,"Sve u redu","Stiže na vrijeme")))))))</f>
        <v>Sve u redu</v>
      </c>
      <c r="S442" s="23" t="n">
        <f aca="false">IFERROR(INDEX(PODACI_PRODAJA!B:B,MATCH($A442,PODACI_PRODAJA!$A:$A,0)),0)</f>
        <v>0</v>
      </c>
      <c r="T442" s="23" t="n">
        <f aca="false">IFERROR(INDEX(PODACI_PRODAJA!C:C,MATCH($A442,PODACI_PRODAJA!$A:$A,0)),0)</f>
        <v>0</v>
      </c>
      <c r="U442" s="23" t="n">
        <f aca="false">IFERROR(INDEX(PODACI_PRODAJA!D:D,MATCH($A442,PODACI_PRODAJA!$A:$A,0)),0)</f>
        <v>0</v>
      </c>
      <c r="V442" s="23" t="n">
        <f aca="false">IFERROR(INDEX(PODACI_PRODAJA!E:E,MATCH($A442,PODACI_PRODAJA!$A:$A,0)),0)</f>
        <v>2</v>
      </c>
      <c r="W442" s="23" t="n">
        <f aca="false">IFERROR(INDEX(PODACI_PRODAJA!F:F,MATCH($A442,PODACI_PRODAJA!$A:$A,0)),0)</f>
        <v>0</v>
      </c>
      <c r="X442" s="23" t="n">
        <f aca="false">IFERROR(INDEX(PODACI_PRODAJA!G:G,MATCH($A442,PODACI_PRODAJA!$A:$A,0)),0)</f>
        <v>0</v>
      </c>
      <c r="Y442" s="23" t="n">
        <f aca="false">IFERROR(INDEX(PODACI_PRODAJA!H:H,MATCH($A442,PODACI_PRODAJA!$A:$A,0)),0)</f>
        <v>1</v>
      </c>
      <c r="Z442" s="23" t="n">
        <f aca="false">IFERROR(INDEX(PODACI_PRODAJA!I:I,MATCH($A442,PODACI_PRODAJA!$A:$A,0)),0)</f>
        <v>0</v>
      </c>
      <c r="AA442" s="23" t="n">
        <f aca="false">IFERROR(INDEX(PODACI_PRODAJA!J:J,MATCH($A442,PODACI_PRODAJA!$A:$A,0)),0)</f>
        <v>0</v>
      </c>
      <c r="AB442" s="23" t="n">
        <f aca="false">IFERROR(INDEX(PODACI_PRODAJA!K:K,MATCH($A442,PODACI_PRODAJA!$A:$A,0)),0)</f>
        <v>0</v>
      </c>
      <c r="AC442" s="23" t="n">
        <f aca="false">IFERROR(INDEX(PODACI_PRODAJA!L:L,MATCH($A442,PODACI_PRODAJA!$A:$A,0)),0)</f>
        <v>0</v>
      </c>
      <c r="AD442" s="23" t="n">
        <f aca="false">IFERROR(INDEX(PODACI_PRODAJA!M:M,MATCH($A442,PODACI_PRODAJA!$A:$A,0)),0)</f>
        <v>0</v>
      </c>
    </row>
    <row r="443" customFormat="false" ht="15" hidden="false" customHeight="false" outlineLevel="0" collapsed="false">
      <c r="A443" s="11" t="str">
        <f aca="false">PODACI_ZALIHE!A440</f>
        <v>17277</v>
      </c>
      <c r="B443" s="8" t="str">
        <f aca="false">PODACI_ZALIHE!B440</f>
        <v>COSY 170 SAMOSTOJEĆA KUPAONSKA KADA 1700X800X580 MM</v>
      </c>
      <c r="C443" s="9" t="n">
        <f aca="false">PODACI_ZALIHE!C440</f>
        <v>0</v>
      </c>
      <c r="D443" s="8" t="n">
        <f aca="false">PODACI_ZALIHE!D440</f>
        <v>0</v>
      </c>
      <c r="E443" s="19" t="n">
        <f aca="false">IF(PODACI_ZALIHE!E440="","",PODACI_ZALIHE!E440)</f>
        <v>10</v>
      </c>
      <c r="F443" s="20" t="n">
        <f aca="false">PODACI_ZALIHE!F440</f>
        <v>10</v>
      </c>
      <c r="G443" s="19" t="n">
        <f aca="false">IF(E443="","",E443-F443)</f>
        <v>0</v>
      </c>
      <c r="H443" s="9" t="n">
        <f aca="false">PODACI_PRODAJA!N639</f>
        <v>0.25</v>
      </c>
      <c r="I443" s="21" t="n">
        <f aca="false">IF(H443&lt;=0,999,ROUND(F443/H443,1))</f>
        <v>40</v>
      </c>
      <c r="J443" s="9" t="n">
        <f aca="false">SUMIFS(ROBA_U_DOLASKU!$C$6:$C$95,ROBA_U_DOLASKU!$A$6:$A$95,A443,ROBA_U_DOLASKU!$H$6:$H$95,1)</f>
        <v>0</v>
      </c>
      <c r="K443" s="9" t="n">
        <f aca="false">SUMIFS(ROBA_U_DOLASKU!$B$6:$B$95,ROBA_U_DOLASKU!$A$6:$A$95,A443,ROBA_U_DOLASKU!$H$6:$H$95,1)</f>
        <v>0</v>
      </c>
      <c r="L443" s="9" t="n">
        <f aca="false">SUMIFS(ROBA_U_DOLASKU!$C$6:$C$95,ROBA_U_DOLASKU!$A$6:$A$95,A443,ROBA_U_DOLASKU!$H$6:$H$95,2)</f>
        <v>0</v>
      </c>
      <c r="M443" s="9" t="n">
        <f aca="false">SUMIFS(ROBA_U_DOLASKU!$B$6:$B$95,ROBA_U_DOLASKU!$A$6:$A$95,A443,ROBA_U_DOLASKU!$H$6:$H$95,2)</f>
        <v>0</v>
      </c>
      <c r="N443" s="9" t="n">
        <f aca="false">SUMIFS(ROBA_U_DOLASKU!$C$6:$C$95,ROBA_U_DOLASKU!$A$6:$A$95,A443,ROBA_U_DOLASKU!$H$6:$H$95,3)</f>
        <v>0</v>
      </c>
      <c r="O443" s="9" t="n">
        <f aca="false">SUMIFS(ROBA_U_DOLASKU!$B$6:$B$95,ROBA_U_DOLASKU!$A$6:$A$95,A443,ROBA_U_DOLASKU!$H$6:$H$95,3)</f>
        <v>0</v>
      </c>
      <c r="P443" s="9" t="n">
        <f aca="false">IF(H443&lt;=0,999,IF(O443&gt;0,ROUND((F443-H443*N443+K443+M443+O443)/H443,1),IF(M443&gt;0,ROUND((F443-H443*L443+K443+M443)/H443,1),IF(K443&gt;0,ROUND((F443-H443*J443+K443)/H443,1),I443))))</f>
        <v>40</v>
      </c>
      <c r="Q443" s="22" t="str">
        <f aca="false">IF(H443&lt;=0,"Nema prodaje",IF(AND(K443=0,M443=0,O443=0),IF(I443&lt;POSTAVKE!$B$6,"Naruči odmah","Sve u redu"),IF(F443-H443*J443&lt;0,"Rupa za ~"&amp;TEXT(I443,"0.0")&amp;" mj.",IF(AND(M443&gt;0,F443-H443*L443+K443&lt;0),"Rupa nakon 1. dolaska",IF(AND(O443&gt;0,F443-H443*N443+K443+M443&lt;0),"Rupa nakon 2. dolaska",IF(P443&lt;POSTAVKE!$B$6,"Količina nije dovoljna",IF(I443&gt;=POSTAVKE!$B$6,"Sve u redu","Stiže na vrijeme")))))))</f>
        <v>Sve u redu</v>
      </c>
      <c r="S443" s="23" t="n">
        <f aca="false">IFERROR(INDEX(PODACI_PRODAJA!B:B,MATCH($A443,PODACI_PRODAJA!$A:$A,0)),0)</f>
        <v>0</v>
      </c>
      <c r="T443" s="23" t="n">
        <f aca="false">IFERROR(INDEX(PODACI_PRODAJA!C:C,MATCH($A443,PODACI_PRODAJA!$A:$A,0)),0)</f>
        <v>1</v>
      </c>
      <c r="U443" s="23" t="n">
        <f aca="false">IFERROR(INDEX(PODACI_PRODAJA!D:D,MATCH($A443,PODACI_PRODAJA!$A:$A,0)),0)</f>
        <v>0</v>
      </c>
      <c r="V443" s="23" t="n">
        <f aca="false">IFERROR(INDEX(PODACI_PRODAJA!E:E,MATCH($A443,PODACI_PRODAJA!$A:$A,0)),0)</f>
        <v>0</v>
      </c>
      <c r="W443" s="23" t="n">
        <f aca="false">IFERROR(INDEX(PODACI_PRODAJA!F:F,MATCH($A443,PODACI_PRODAJA!$A:$A,0)),0)</f>
        <v>1</v>
      </c>
      <c r="X443" s="23" t="n">
        <f aca="false">IFERROR(INDEX(PODACI_PRODAJA!G:G,MATCH($A443,PODACI_PRODAJA!$A:$A,0)),0)</f>
        <v>0</v>
      </c>
      <c r="Y443" s="23" t="n">
        <f aca="false">IFERROR(INDEX(PODACI_PRODAJA!H:H,MATCH($A443,PODACI_PRODAJA!$A:$A,0)),0)</f>
        <v>0</v>
      </c>
      <c r="Z443" s="23" t="n">
        <f aca="false">IFERROR(INDEX(PODACI_PRODAJA!I:I,MATCH($A443,PODACI_PRODAJA!$A:$A,0)),0)</f>
        <v>0</v>
      </c>
      <c r="AA443" s="23" t="n">
        <f aca="false">IFERROR(INDEX(PODACI_PRODAJA!J:J,MATCH($A443,PODACI_PRODAJA!$A:$A,0)),0)</f>
        <v>0</v>
      </c>
      <c r="AB443" s="23" t="n">
        <f aca="false">IFERROR(INDEX(PODACI_PRODAJA!K:K,MATCH($A443,PODACI_PRODAJA!$A:$A,0)),0)</f>
        <v>0</v>
      </c>
      <c r="AC443" s="23" t="n">
        <f aca="false">IFERROR(INDEX(PODACI_PRODAJA!L:L,MATCH($A443,PODACI_PRODAJA!$A:$A,0)),0)</f>
        <v>0</v>
      </c>
      <c r="AD443" s="23" t="n">
        <f aca="false">IFERROR(INDEX(PODACI_PRODAJA!M:M,MATCH($A443,PODACI_PRODAJA!$A:$A,0)),0)</f>
        <v>0</v>
      </c>
    </row>
    <row r="444" customFormat="false" ht="15" hidden="false" customHeight="false" outlineLevel="0" collapsed="false">
      <c r="A444" s="11" t="str">
        <f aca="false">PODACI_ZALIHE!A441</f>
        <v>18000</v>
      </c>
      <c r="B444" s="8" t="str">
        <f aca="false">PODACI_ZALIHE!B441</f>
        <v>VETRO CR TRS 6mm ECO TUŠ STIJENA 80x200</v>
      </c>
      <c r="C444" s="9" t="str">
        <f aca="false">PODACI_ZALIHE!C441</f>
        <v>6762</v>
      </c>
      <c r="D444" s="8" t="str">
        <f aca="false">PODACI_ZALIHE!D441</f>
        <v>ZHEJIANG QUICKLINE SHOWERING CO., LTD.</v>
      </c>
      <c r="E444" s="19" t="n">
        <f aca="false">IF(PODACI_ZALIHE!E441="","",PODACI_ZALIHE!E441)</f>
        <v>10</v>
      </c>
      <c r="F444" s="20" t="n">
        <f aca="false">PODACI_ZALIHE!F441</f>
        <v>10</v>
      </c>
      <c r="G444" s="19" t="n">
        <f aca="false">IF(E444="","",E444-F444)</f>
        <v>0</v>
      </c>
      <c r="H444" s="9" t="n">
        <f aca="false">PODACI_PRODAJA!N641</f>
        <v>7.88</v>
      </c>
      <c r="I444" s="21" t="n">
        <f aca="false">IF(H444&lt;=0,999,ROUND(F444/H444,1))</f>
        <v>1.3</v>
      </c>
      <c r="J444" s="9" t="n">
        <f aca="false">SUMIFS(ROBA_U_DOLASKU!$C$6:$C$95,ROBA_U_DOLASKU!$A$6:$A$95,A444,ROBA_U_DOLASKU!$H$6:$H$95,1)</f>
        <v>0</v>
      </c>
      <c r="K444" s="9" t="n">
        <f aca="false">SUMIFS(ROBA_U_DOLASKU!$B$6:$B$95,ROBA_U_DOLASKU!$A$6:$A$95,A444,ROBA_U_DOLASKU!$H$6:$H$95,1)</f>
        <v>0</v>
      </c>
      <c r="L444" s="9" t="n">
        <f aca="false">SUMIFS(ROBA_U_DOLASKU!$C$6:$C$95,ROBA_U_DOLASKU!$A$6:$A$95,A444,ROBA_U_DOLASKU!$H$6:$H$95,2)</f>
        <v>0</v>
      </c>
      <c r="M444" s="9" t="n">
        <f aca="false">SUMIFS(ROBA_U_DOLASKU!$B$6:$B$95,ROBA_U_DOLASKU!$A$6:$A$95,A444,ROBA_U_DOLASKU!$H$6:$H$95,2)</f>
        <v>0</v>
      </c>
      <c r="N444" s="9" t="n">
        <f aca="false">SUMIFS(ROBA_U_DOLASKU!$C$6:$C$95,ROBA_U_DOLASKU!$A$6:$A$95,A444,ROBA_U_DOLASKU!$H$6:$H$95,3)</f>
        <v>0</v>
      </c>
      <c r="O444" s="9" t="n">
        <f aca="false">SUMIFS(ROBA_U_DOLASKU!$B$6:$B$95,ROBA_U_DOLASKU!$A$6:$A$95,A444,ROBA_U_DOLASKU!$H$6:$H$95,3)</f>
        <v>0</v>
      </c>
      <c r="P444" s="9" t="n">
        <f aca="false">IF(H444&lt;=0,999,IF(O444&gt;0,ROUND((F444-H444*N444+K444+M444+O444)/H444,1),IF(M444&gt;0,ROUND((F444-H444*L444+K444+M444)/H444,1),IF(K444&gt;0,ROUND((F444-H444*J444+K444)/H444,1),I444))))</f>
        <v>1.3</v>
      </c>
      <c r="Q444" s="22" t="str">
        <f aca="false">IF(H444&lt;=0,"Nema prodaje",IF(AND(K444=0,M444=0,O444=0),IF(I444&lt;POSTAVKE!$B$6,"Naruči odmah","Sve u redu"),IF(F444-H444*J444&lt;0,"Rupa za ~"&amp;TEXT(I444,"0.0")&amp;" mj.",IF(AND(M444&gt;0,F444-H444*L444+K444&lt;0),"Rupa nakon 1. dolaska",IF(AND(O444&gt;0,F444-H444*N444+K444+M444&lt;0),"Rupa nakon 2. dolaska",IF(P444&lt;POSTAVKE!$B$6,"Količina nije dovoljna",IF(I444&gt;=POSTAVKE!$B$6,"Sve u redu","Stiže na vrijeme")))))))</f>
        <v>Naruči odmah</v>
      </c>
      <c r="S444" s="23" t="n">
        <f aca="false">IFERROR(INDEX(PODACI_PRODAJA!B:B,MATCH($A444,PODACI_PRODAJA!$A:$A,0)),0)</f>
        <v>0</v>
      </c>
      <c r="T444" s="23" t="n">
        <f aca="false">IFERROR(INDEX(PODACI_PRODAJA!C:C,MATCH($A444,PODACI_PRODAJA!$A:$A,0)),0)</f>
        <v>8</v>
      </c>
      <c r="U444" s="23" t="n">
        <f aca="false">IFERROR(INDEX(PODACI_PRODAJA!D:D,MATCH($A444,PODACI_PRODAJA!$A:$A,0)),0)</f>
        <v>25</v>
      </c>
      <c r="V444" s="23" t="n">
        <f aca="false">IFERROR(INDEX(PODACI_PRODAJA!E:E,MATCH($A444,PODACI_PRODAJA!$A:$A,0)),0)</f>
        <v>0</v>
      </c>
      <c r="W444" s="23" t="n">
        <f aca="false">IFERROR(INDEX(PODACI_PRODAJA!F:F,MATCH($A444,PODACI_PRODAJA!$A:$A,0)),0)</f>
        <v>10</v>
      </c>
      <c r="X444" s="23" t="n">
        <f aca="false">IFERROR(INDEX(PODACI_PRODAJA!G:G,MATCH($A444,PODACI_PRODAJA!$A:$A,0)),0)</f>
        <v>0</v>
      </c>
      <c r="Y444" s="23" t="n">
        <f aca="false">IFERROR(INDEX(PODACI_PRODAJA!H:H,MATCH($A444,PODACI_PRODAJA!$A:$A,0)),0)</f>
        <v>0</v>
      </c>
      <c r="Z444" s="23" t="n">
        <f aca="false">IFERROR(INDEX(PODACI_PRODAJA!I:I,MATCH($A444,PODACI_PRODAJA!$A:$A,0)),0)</f>
        <v>20</v>
      </c>
      <c r="AA444" s="23" t="n">
        <f aca="false">IFERROR(INDEX(PODACI_PRODAJA!J:J,MATCH($A444,PODACI_PRODAJA!$A:$A,0)),0)</f>
        <v>0</v>
      </c>
      <c r="AB444" s="23" t="n">
        <f aca="false">IFERROR(INDEX(PODACI_PRODAJA!K:K,MATCH($A444,PODACI_PRODAJA!$A:$A,0)),0)</f>
        <v>0</v>
      </c>
      <c r="AC444" s="23" t="n">
        <f aca="false">IFERROR(INDEX(PODACI_PRODAJA!L:L,MATCH($A444,PODACI_PRODAJA!$A:$A,0)),0)</f>
        <v>0</v>
      </c>
      <c r="AD444" s="23" t="n">
        <f aca="false">IFERROR(INDEX(PODACI_PRODAJA!M:M,MATCH($A444,PODACI_PRODAJA!$A:$A,0)),0)</f>
        <v>0</v>
      </c>
    </row>
    <row r="445" customFormat="false" ht="15" hidden="false" customHeight="false" outlineLevel="0" collapsed="false">
      <c r="A445" s="11" t="str">
        <f aca="false">PODACI_ZALIHE!A442</f>
        <v>18028</v>
      </c>
      <c r="B445" s="8" t="str">
        <f aca="false">PODACI_ZALIHE!B442</f>
        <v>MARBELLA 150 TUŠ VRATA 150-160X200CM</v>
      </c>
      <c r="C445" s="9" t="str">
        <f aca="false">PODACI_ZALIHE!C442</f>
        <v>6762</v>
      </c>
      <c r="D445" s="8" t="str">
        <f aca="false">PODACI_ZALIHE!D442</f>
        <v>ZHEJIANG QUICKLINE SHOWERING CO., LTD.</v>
      </c>
      <c r="E445" s="19" t="n">
        <f aca="false">IF(PODACI_ZALIHE!E442="","",PODACI_ZALIHE!E442)</f>
        <v>10</v>
      </c>
      <c r="F445" s="20" t="n">
        <f aca="false">PODACI_ZALIHE!F442</f>
        <v>10</v>
      </c>
      <c r="G445" s="19" t="n">
        <f aca="false">IF(E445="","",E445-F445)</f>
        <v>0</v>
      </c>
      <c r="H445" s="9" t="n">
        <f aca="false">PODACI_PRODAJA!N664</f>
        <v>1.38</v>
      </c>
      <c r="I445" s="21" t="n">
        <f aca="false">IF(H445&lt;=0,999,ROUND(F445/H445,1))</f>
        <v>7.2</v>
      </c>
      <c r="J445" s="9" t="n">
        <f aca="false">SUMIFS(ROBA_U_DOLASKU!$C$6:$C$95,ROBA_U_DOLASKU!$A$6:$A$95,A445,ROBA_U_DOLASKU!$H$6:$H$95,1)</f>
        <v>0</v>
      </c>
      <c r="K445" s="9" t="n">
        <f aca="false">SUMIFS(ROBA_U_DOLASKU!$B$6:$B$95,ROBA_U_DOLASKU!$A$6:$A$95,A445,ROBA_U_DOLASKU!$H$6:$H$95,1)</f>
        <v>0</v>
      </c>
      <c r="L445" s="9" t="n">
        <f aca="false">SUMIFS(ROBA_U_DOLASKU!$C$6:$C$95,ROBA_U_DOLASKU!$A$6:$A$95,A445,ROBA_U_DOLASKU!$H$6:$H$95,2)</f>
        <v>0</v>
      </c>
      <c r="M445" s="9" t="n">
        <f aca="false">SUMIFS(ROBA_U_DOLASKU!$B$6:$B$95,ROBA_U_DOLASKU!$A$6:$A$95,A445,ROBA_U_DOLASKU!$H$6:$H$95,2)</f>
        <v>0</v>
      </c>
      <c r="N445" s="9" t="n">
        <f aca="false">SUMIFS(ROBA_U_DOLASKU!$C$6:$C$95,ROBA_U_DOLASKU!$A$6:$A$95,A445,ROBA_U_DOLASKU!$H$6:$H$95,3)</f>
        <v>0</v>
      </c>
      <c r="O445" s="9" t="n">
        <f aca="false">SUMIFS(ROBA_U_DOLASKU!$B$6:$B$95,ROBA_U_DOLASKU!$A$6:$A$95,A445,ROBA_U_DOLASKU!$H$6:$H$95,3)</f>
        <v>0</v>
      </c>
      <c r="P445" s="9" t="n">
        <f aca="false">IF(H445&lt;=0,999,IF(O445&gt;0,ROUND((F445-H445*N445+K445+M445+O445)/H445,1),IF(M445&gt;0,ROUND((F445-H445*L445+K445+M445)/H445,1),IF(K445&gt;0,ROUND((F445-H445*J445+K445)/H445,1),I445))))</f>
        <v>7.2</v>
      </c>
      <c r="Q445" s="22" t="str">
        <f aca="false">IF(H445&lt;=0,"Nema prodaje",IF(AND(K445=0,M445=0,O445=0),IF(I445&lt;POSTAVKE!$B$6,"Naruči odmah","Sve u redu"),IF(F445-H445*J445&lt;0,"Rupa za ~"&amp;TEXT(I445,"0.0")&amp;" mj.",IF(AND(M445&gt;0,F445-H445*L445+K445&lt;0),"Rupa nakon 1. dolaska",IF(AND(O445&gt;0,F445-H445*N445+K445+M445&lt;0),"Rupa nakon 2. dolaska",IF(P445&lt;POSTAVKE!$B$6,"Količina nije dovoljna",IF(I445&gt;=POSTAVKE!$B$6,"Sve u redu","Stiže na vrijeme")))))))</f>
        <v>Sve u redu</v>
      </c>
      <c r="S445" s="23" t="n">
        <f aca="false">IFERROR(INDEX(PODACI_PRODAJA!B:B,MATCH($A445,PODACI_PRODAJA!$A:$A,0)),0)</f>
        <v>0</v>
      </c>
      <c r="T445" s="23" t="n">
        <f aca="false">IFERROR(INDEX(PODACI_PRODAJA!C:C,MATCH($A445,PODACI_PRODAJA!$A:$A,0)),0)</f>
        <v>2</v>
      </c>
      <c r="U445" s="23" t="n">
        <f aca="false">IFERROR(INDEX(PODACI_PRODAJA!D:D,MATCH($A445,PODACI_PRODAJA!$A:$A,0)),0)</f>
        <v>0</v>
      </c>
      <c r="V445" s="23" t="n">
        <f aca="false">IFERROR(INDEX(PODACI_PRODAJA!E:E,MATCH($A445,PODACI_PRODAJA!$A:$A,0)),0)</f>
        <v>2</v>
      </c>
      <c r="W445" s="23" t="n">
        <f aca="false">IFERROR(INDEX(PODACI_PRODAJA!F:F,MATCH($A445,PODACI_PRODAJA!$A:$A,0)),0)</f>
        <v>1</v>
      </c>
      <c r="X445" s="23" t="n">
        <f aca="false">IFERROR(INDEX(PODACI_PRODAJA!G:G,MATCH($A445,PODACI_PRODAJA!$A:$A,0)),0)</f>
        <v>4</v>
      </c>
      <c r="Y445" s="23" t="n">
        <f aca="false">IFERROR(INDEX(PODACI_PRODAJA!H:H,MATCH($A445,PODACI_PRODAJA!$A:$A,0)),0)</f>
        <v>0</v>
      </c>
      <c r="Z445" s="23" t="n">
        <f aca="false">IFERROR(INDEX(PODACI_PRODAJA!I:I,MATCH($A445,PODACI_PRODAJA!$A:$A,0)),0)</f>
        <v>2</v>
      </c>
      <c r="AA445" s="23" t="n">
        <f aca="false">IFERROR(INDEX(PODACI_PRODAJA!J:J,MATCH($A445,PODACI_PRODAJA!$A:$A,0)),0)</f>
        <v>0</v>
      </c>
      <c r="AB445" s="23" t="n">
        <f aca="false">IFERROR(INDEX(PODACI_PRODAJA!K:K,MATCH($A445,PODACI_PRODAJA!$A:$A,0)),0)</f>
        <v>0</v>
      </c>
      <c r="AC445" s="23" t="n">
        <f aca="false">IFERROR(INDEX(PODACI_PRODAJA!L:L,MATCH($A445,PODACI_PRODAJA!$A:$A,0)),0)</f>
        <v>0</v>
      </c>
      <c r="AD445" s="23" t="n">
        <f aca="false">IFERROR(INDEX(PODACI_PRODAJA!M:M,MATCH($A445,PODACI_PRODAJA!$A:$A,0)),0)</f>
        <v>0</v>
      </c>
    </row>
    <row r="446" customFormat="false" ht="15" hidden="false" customHeight="false" outlineLevel="0" collapsed="false">
      <c r="A446" s="11" t="str">
        <f aca="false">PODACI_ZALIHE!A443</f>
        <v>18664</v>
      </c>
      <c r="B446" s="8" t="str">
        <f aca="false">PODACI_ZALIHE!B443</f>
        <v>VETRO SLIDE 120 CHROME TRS TUŠ STIJENA 120x195 cm</v>
      </c>
      <c r="C446" s="9" t="str">
        <f aca="false">PODACI_ZALIHE!C443</f>
        <v>6762</v>
      </c>
      <c r="D446" s="8" t="str">
        <f aca="false">PODACI_ZALIHE!D443</f>
        <v>ZHEJIANG QUICKLINE SHOWERING CO., LTD.</v>
      </c>
      <c r="E446" s="19" t="n">
        <f aca="false">IF(PODACI_ZALIHE!E443="","",PODACI_ZALIHE!E443)</f>
        <v>10</v>
      </c>
      <c r="F446" s="20" t="n">
        <f aca="false">PODACI_ZALIHE!F443</f>
        <v>10</v>
      </c>
      <c r="G446" s="19" t="n">
        <f aca="false">IF(E446="","",E446-F446)</f>
        <v>0</v>
      </c>
      <c r="H446" s="9" t="n">
        <f aca="false">PODACI_PRODAJA!N687</f>
        <v>0.63</v>
      </c>
      <c r="I446" s="21" t="n">
        <f aca="false">IF(H446&lt;=0,999,ROUND(F446/H446,1))</f>
        <v>15.9</v>
      </c>
      <c r="J446" s="9" t="n">
        <f aca="false">SUMIFS(ROBA_U_DOLASKU!$C$6:$C$95,ROBA_U_DOLASKU!$A$6:$A$95,A446,ROBA_U_DOLASKU!$H$6:$H$95,1)</f>
        <v>0</v>
      </c>
      <c r="K446" s="9" t="n">
        <f aca="false">SUMIFS(ROBA_U_DOLASKU!$B$6:$B$95,ROBA_U_DOLASKU!$A$6:$A$95,A446,ROBA_U_DOLASKU!$H$6:$H$95,1)</f>
        <v>0</v>
      </c>
      <c r="L446" s="9" t="n">
        <f aca="false">SUMIFS(ROBA_U_DOLASKU!$C$6:$C$95,ROBA_U_DOLASKU!$A$6:$A$95,A446,ROBA_U_DOLASKU!$H$6:$H$95,2)</f>
        <v>0</v>
      </c>
      <c r="M446" s="9" t="n">
        <f aca="false">SUMIFS(ROBA_U_DOLASKU!$B$6:$B$95,ROBA_U_DOLASKU!$A$6:$A$95,A446,ROBA_U_DOLASKU!$H$6:$H$95,2)</f>
        <v>0</v>
      </c>
      <c r="N446" s="9" t="n">
        <f aca="false">SUMIFS(ROBA_U_DOLASKU!$C$6:$C$95,ROBA_U_DOLASKU!$A$6:$A$95,A446,ROBA_U_DOLASKU!$H$6:$H$95,3)</f>
        <v>0</v>
      </c>
      <c r="O446" s="9" t="n">
        <f aca="false">SUMIFS(ROBA_U_DOLASKU!$B$6:$B$95,ROBA_U_DOLASKU!$A$6:$A$95,A446,ROBA_U_DOLASKU!$H$6:$H$95,3)</f>
        <v>0</v>
      </c>
      <c r="P446" s="9" t="n">
        <f aca="false">IF(H446&lt;=0,999,IF(O446&gt;0,ROUND((F446-H446*N446+K446+M446+O446)/H446,1),IF(M446&gt;0,ROUND((F446-H446*L446+K446+M446)/H446,1),IF(K446&gt;0,ROUND((F446-H446*J446+K446)/H446,1),I446))))</f>
        <v>15.9</v>
      </c>
      <c r="Q446" s="22" t="str">
        <f aca="false">IF(H446&lt;=0,"Nema prodaje",IF(AND(K446=0,M446=0,O446=0),IF(I446&lt;POSTAVKE!$B$6,"Naruči odmah","Sve u redu"),IF(F446-H446*J446&lt;0,"Rupa za ~"&amp;TEXT(I446,"0.0")&amp;" mj.",IF(AND(M446&gt;0,F446-H446*L446+K446&lt;0),"Rupa nakon 1. dolaska",IF(AND(O446&gt;0,F446-H446*N446+K446+M446&lt;0),"Rupa nakon 2. dolaska",IF(P446&lt;POSTAVKE!$B$6,"Količina nije dovoljna",IF(I446&gt;=POSTAVKE!$B$6,"Sve u redu","Stiže na vrijeme")))))))</f>
        <v>Sve u redu</v>
      </c>
      <c r="S446" s="23" t="n">
        <f aca="false">IFERROR(INDEX(PODACI_PRODAJA!B:B,MATCH($A446,PODACI_PRODAJA!$A:$A,0)),0)</f>
        <v>0</v>
      </c>
      <c r="T446" s="23" t="n">
        <f aca="false">IFERROR(INDEX(PODACI_PRODAJA!C:C,MATCH($A446,PODACI_PRODAJA!$A:$A,0)),0)</f>
        <v>0</v>
      </c>
      <c r="U446" s="23" t="n">
        <f aca="false">IFERROR(INDEX(PODACI_PRODAJA!D:D,MATCH($A446,PODACI_PRODAJA!$A:$A,0)),0)</f>
        <v>0</v>
      </c>
      <c r="V446" s="23" t="n">
        <f aca="false">IFERROR(INDEX(PODACI_PRODAJA!E:E,MATCH($A446,PODACI_PRODAJA!$A:$A,0)),0)</f>
        <v>0</v>
      </c>
      <c r="W446" s="23" t="n">
        <f aca="false">IFERROR(INDEX(PODACI_PRODAJA!F:F,MATCH($A446,PODACI_PRODAJA!$A:$A,0)),0)</f>
        <v>0</v>
      </c>
      <c r="X446" s="23" t="n">
        <f aca="false">IFERROR(INDEX(PODACI_PRODAJA!G:G,MATCH($A446,PODACI_PRODAJA!$A:$A,0)),0)</f>
        <v>1</v>
      </c>
      <c r="Y446" s="23" t="n">
        <f aca="false">IFERROR(INDEX(PODACI_PRODAJA!H:H,MATCH($A446,PODACI_PRODAJA!$A:$A,0)),0)</f>
        <v>3</v>
      </c>
      <c r="Z446" s="23" t="n">
        <f aca="false">IFERROR(INDEX(PODACI_PRODAJA!I:I,MATCH($A446,PODACI_PRODAJA!$A:$A,0)),0)</f>
        <v>1</v>
      </c>
      <c r="AA446" s="23" t="n">
        <f aca="false">IFERROR(INDEX(PODACI_PRODAJA!J:J,MATCH($A446,PODACI_PRODAJA!$A:$A,0)),0)</f>
        <v>0</v>
      </c>
      <c r="AB446" s="23" t="n">
        <f aca="false">IFERROR(INDEX(PODACI_PRODAJA!K:K,MATCH($A446,PODACI_PRODAJA!$A:$A,0)),0)</f>
        <v>0</v>
      </c>
      <c r="AC446" s="23" t="n">
        <f aca="false">IFERROR(INDEX(PODACI_PRODAJA!L:L,MATCH($A446,PODACI_PRODAJA!$A:$A,0)),0)</f>
        <v>0</v>
      </c>
      <c r="AD446" s="23" t="n">
        <f aca="false">IFERROR(INDEX(PODACI_PRODAJA!M:M,MATCH($A446,PODACI_PRODAJA!$A:$A,0)),0)</f>
        <v>0</v>
      </c>
    </row>
    <row r="447" customFormat="false" ht="15" hidden="false" customHeight="false" outlineLevel="0" collapsed="false">
      <c r="A447" s="11" t="str">
        <f aca="false">PODACI_ZALIHE!A444</f>
        <v>18700</v>
      </c>
      <c r="B447" s="8" t="str">
        <f aca="false">PODACI_ZALIHE!B444</f>
        <v>VETRO MIRROR 80 BLACK TUŠ STIJENA 80x200 cm</v>
      </c>
      <c r="C447" s="9" t="str">
        <f aca="false">PODACI_ZALIHE!C444</f>
        <v>3933</v>
      </c>
      <c r="D447" s="8" t="str">
        <f aca="false">PODACI_ZALIHE!D444</f>
        <v>PINGHU AONISI SANITARY WARE CO.,LTD</v>
      </c>
      <c r="E447" s="19" t="n">
        <f aca="false">IF(PODACI_ZALIHE!E444="","",PODACI_ZALIHE!E444)</f>
        <v>10</v>
      </c>
      <c r="F447" s="20" t="n">
        <f aca="false">PODACI_ZALIHE!F444</f>
        <v>10</v>
      </c>
      <c r="G447" s="19" t="n">
        <f aca="false">IF(E447="","",E447-F447)</f>
        <v>0</v>
      </c>
      <c r="H447" s="9" t="n">
        <f aca="false">PODACI_PRODAJA!N692</f>
        <v>0</v>
      </c>
      <c r="I447" s="21" t="n">
        <f aca="false">IF(H447&lt;=0,999,ROUND(F447/H447,1))</f>
        <v>999</v>
      </c>
      <c r="J447" s="9" t="n">
        <f aca="false">SUMIFS(ROBA_U_DOLASKU!$C$6:$C$95,ROBA_U_DOLASKU!$A$6:$A$95,A447,ROBA_U_DOLASKU!$H$6:$H$95,1)</f>
        <v>0</v>
      </c>
      <c r="K447" s="9" t="n">
        <f aca="false">SUMIFS(ROBA_U_DOLASKU!$B$6:$B$95,ROBA_U_DOLASKU!$A$6:$A$95,A447,ROBA_U_DOLASKU!$H$6:$H$95,1)</f>
        <v>0</v>
      </c>
      <c r="L447" s="9" t="n">
        <f aca="false">SUMIFS(ROBA_U_DOLASKU!$C$6:$C$95,ROBA_U_DOLASKU!$A$6:$A$95,A447,ROBA_U_DOLASKU!$H$6:$H$95,2)</f>
        <v>0</v>
      </c>
      <c r="M447" s="9" t="n">
        <f aca="false">SUMIFS(ROBA_U_DOLASKU!$B$6:$B$95,ROBA_U_DOLASKU!$A$6:$A$95,A447,ROBA_U_DOLASKU!$H$6:$H$95,2)</f>
        <v>0</v>
      </c>
      <c r="N447" s="9" t="n">
        <f aca="false">SUMIFS(ROBA_U_DOLASKU!$C$6:$C$95,ROBA_U_DOLASKU!$A$6:$A$95,A447,ROBA_U_DOLASKU!$H$6:$H$95,3)</f>
        <v>0</v>
      </c>
      <c r="O447" s="9" t="n">
        <f aca="false">SUMIFS(ROBA_U_DOLASKU!$B$6:$B$95,ROBA_U_DOLASKU!$A$6:$A$95,A447,ROBA_U_DOLASKU!$H$6:$H$95,3)</f>
        <v>0</v>
      </c>
      <c r="P447" s="9" t="n">
        <f aca="false">IF(H447&lt;=0,999,IF(O447&gt;0,ROUND((F447-H447*N447+K447+M447+O447)/H447,1),IF(M447&gt;0,ROUND((F447-H447*L447+K447+M447)/H447,1),IF(K447&gt;0,ROUND((F447-H447*J447+K447)/H447,1),I447))))</f>
        <v>999</v>
      </c>
      <c r="Q447" s="22" t="str">
        <f aca="false">IF(H447&lt;=0,"Nema prodaje",IF(AND(K447=0,M447=0,O447=0),IF(I447&lt;POSTAVKE!$B$6,"Naruči odmah","Sve u redu"),IF(F447-H447*J447&lt;0,"Rupa za ~"&amp;TEXT(I447,"0.0")&amp;" mj.",IF(AND(M447&gt;0,F447-H447*L447+K447&lt;0),"Rupa nakon 1. dolaska",IF(AND(O447&gt;0,F447-H447*N447+K447+M447&lt;0),"Rupa nakon 2. dolaska",IF(P447&lt;POSTAVKE!$B$6,"Količina nije dovoljna",IF(I447&gt;=POSTAVKE!$B$6,"Sve u redu","Stiže na vrijeme")))))))</f>
        <v>Nema prodaje</v>
      </c>
      <c r="S447" s="23" t="n">
        <f aca="false">IFERROR(INDEX(PODACI_PRODAJA!B:B,MATCH($A447,PODACI_PRODAJA!$A:$A,0)),0)</f>
        <v>0</v>
      </c>
      <c r="T447" s="23" t="n">
        <f aca="false">IFERROR(INDEX(PODACI_PRODAJA!C:C,MATCH($A447,PODACI_PRODAJA!$A:$A,0)),0)</f>
        <v>0</v>
      </c>
      <c r="U447" s="23" t="n">
        <f aca="false">IFERROR(INDEX(PODACI_PRODAJA!D:D,MATCH($A447,PODACI_PRODAJA!$A:$A,0)),0)</f>
        <v>0</v>
      </c>
      <c r="V447" s="23" t="n">
        <f aca="false">IFERROR(INDEX(PODACI_PRODAJA!E:E,MATCH($A447,PODACI_PRODAJA!$A:$A,0)),0)</f>
        <v>0</v>
      </c>
      <c r="W447" s="23" t="n">
        <f aca="false">IFERROR(INDEX(PODACI_PRODAJA!F:F,MATCH($A447,PODACI_PRODAJA!$A:$A,0)),0)</f>
        <v>0</v>
      </c>
      <c r="X447" s="23" t="n">
        <f aca="false">IFERROR(INDEX(PODACI_PRODAJA!G:G,MATCH($A447,PODACI_PRODAJA!$A:$A,0)),0)</f>
        <v>0</v>
      </c>
      <c r="Y447" s="23" t="n">
        <f aca="false">IFERROR(INDEX(PODACI_PRODAJA!H:H,MATCH($A447,PODACI_PRODAJA!$A:$A,0)),0)</f>
        <v>0</v>
      </c>
      <c r="Z447" s="23" t="n">
        <f aca="false">IFERROR(INDEX(PODACI_PRODAJA!I:I,MATCH($A447,PODACI_PRODAJA!$A:$A,0)),0)</f>
        <v>0</v>
      </c>
      <c r="AA447" s="23" t="n">
        <f aca="false">IFERROR(INDEX(PODACI_PRODAJA!J:J,MATCH($A447,PODACI_PRODAJA!$A:$A,0)),0)</f>
        <v>0</v>
      </c>
      <c r="AB447" s="23" t="n">
        <f aca="false">IFERROR(INDEX(PODACI_PRODAJA!K:K,MATCH($A447,PODACI_PRODAJA!$A:$A,0)),0)</f>
        <v>0</v>
      </c>
      <c r="AC447" s="23" t="n">
        <f aca="false">IFERROR(INDEX(PODACI_PRODAJA!L:L,MATCH($A447,PODACI_PRODAJA!$A:$A,0)),0)</f>
        <v>0</v>
      </c>
      <c r="AD447" s="23" t="n">
        <f aca="false">IFERROR(INDEX(PODACI_PRODAJA!M:M,MATCH($A447,PODACI_PRODAJA!$A:$A,0)),0)</f>
        <v>0</v>
      </c>
    </row>
    <row r="448" customFormat="false" ht="15" hidden="false" customHeight="false" outlineLevel="0" collapsed="false">
      <c r="A448" s="11" t="str">
        <f aca="false">PODACI_ZALIHE!A445</f>
        <v>18704</v>
      </c>
      <c r="B448" s="8" t="str">
        <f aca="false">PODACI_ZALIHE!B445</f>
        <v>VETRO MIRROR 100 BLACK TUŠ STIJENA 100x200 cm</v>
      </c>
      <c r="C448" s="9" t="str">
        <f aca="false">PODACI_ZALIHE!C445</f>
        <v>3933</v>
      </c>
      <c r="D448" s="8" t="str">
        <f aca="false">PODACI_ZALIHE!D445</f>
        <v>PINGHU AONISI SANITARY WARE CO.,LTD</v>
      </c>
      <c r="E448" s="19" t="n">
        <f aca="false">IF(PODACI_ZALIHE!E445="","",PODACI_ZALIHE!E445)</f>
        <v>10</v>
      </c>
      <c r="F448" s="20" t="n">
        <f aca="false">PODACI_ZALIHE!F445</f>
        <v>10</v>
      </c>
      <c r="G448" s="19" t="n">
        <f aca="false">IF(E448="","",E448-F448)</f>
        <v>0</v>
      </c>
      <c r="H448" s="9" t="n">
        <f aca="false">PODACI_PRODAJA!N696</f>
        <v>0</v>
      </c>
      <c r="I448" s="21" t="n">
        <f aca="false">IF(H448&lt;=0,999,ROUND(F448/H448,1))</f>
        <v>999</v>
      </c>
      <c r="J448" s="9" t="n">
        <f aca="false">SUMIFS(ROBA_U_DOLASKU!$C$6:$C$95,ROBA_U_DOLASKU!$A$6:$A$95,A448,ROBA_U_DOLASKU!$H$6:$H$95,1)</f>
        <v>0</v>
      </c>
      <c r="K448" s="9" t="n">
        <f aca="false">SUMIFS(ROBA_U_DOLASKU!$B$6:$B$95,ROBA_U_DOLASKU!$A$6:$A$95,A448,ROBA_U_DOLASKU!$H$6:$H$95,1)</f>
        <v>0</v>
      </c>
      <c r="L448" s="9" t="n">
        <f aca="false">SUMIFS(ROBA_U_DOLASKU!$C$6:$C$95,ROBA_U_DOLASKU!$A$6:$A$95,A448,ROBA_U_DOLASKU!$H$6:$H$95,2)</f>
        <v>0</v>
      </c>
      <c r="M448" s="9" t="n">
        <f aca="false">SUMIFS(ROBA_U_DOLASKU!$B$6:$B$95,ROBA_U_DOLASKU!$A$6:$A$95,A448,ROBA_U_DOLASKU!$H$6:$H$95,2)</f>
        <v>0</v>
      </c>
      <c r="N448" s="9" t="n">
        <f aca="false">SUMIFS(ROBA_U_DOLASKU!$C$6:$C$95,ROBA_U_DOLASKU!$A$6:$A$95,A448,ROBA_U_DOLASKU!$H$6:$H$95,3)</f>
        <v>0</v>
      </c>
      <c r="O448" s="9" t="n">
        <f aca="false">SUMIFS(ROBA_U_DOLASKU!$B$6:$B$95,ROBA_U_DOLASKU!$A$6:$A$95,A448,ROBA_U_DOLASKU!$H$6:$H$95,3)</f>
        <v>0</v>
      </c>
      <c r="P448" s="9" t="n">
        <f aca="false">IF(H448&lt;=0,999,IF(O448&gt;0,ROUND((F448-H448*N448+K448+M448+O448)/H448,1),IF(M448&gt;0,ROUND((F448-H448*L448+K448+M448)/H448,1),IF(K448&gt;0,ROUND((F448-H448*J448+K448)/H448,1),I448))))</f>
        <v>999</v>
      </c>
      <c r="Q448" s="22" t="str">
        <f aca="false">IF(H448&lt;=0,"Nema prodaje",IF(AND(K448=0,M448=0,O448=0),IF(I448&lt;POSTAVKE!$B$6,"Naruči odmah","Sve u redu"),IF(F448-H448*J448&lt;0,"Rupa za ~"&amp;TEXT(I448,"0.0")&amp;" mj.",IF(AND(M448&gt;0,F448-H448*L448+K448&lt;0),"Rupa nakon 1. dolaska",IF(AND(O448&gt;0,F448-H448*N448+K448+M448&lt;0),"Rupa nakon 2. dolaska",IF(P448&lt;POSTAVKE!$B$6,"Količina nije dovoljna",IF(I448&gt;=POSTAVKE!$B$6,"Sve u redu","Stiže na vrijeme")))))))</f>
        <v>Nema prodaje</v>
      </c>
      <c r="S448" s="23" t="n">
        <f aca="false">IFERROR(INDEX(PODACI_PRODAJA!B:B,MATCH($A448,PODACI_PRODAJA!$A:$A,0)),0)</f>
        <v>0</v>
      </c>
      <c r="T448" s="23" t="n">
        <f aca="false">IFERROR(INDEX(PODACI_PRODAJA!C:C,MATCH($A448,PODACI_PRODAJA!$A:$A,0)),0)</f>
        <v>0</v>
      </c>
      <c r="U448" s="23" t="n">
        <f aca="false">IFERROR(INDEX(PODACI_PRODAJA!D:D,MATCH($A448,PODACI_PRODAJA!$A:$A,0)),0)</f>
        <v>0</v>
      </c>
      <c r="V448" s="23" t="n">
        <f aca="false">IFERROR(INDEX(PODACI_PRODAJA!E:E,MATCH($A448,PODACI_PRODAJA!$A:$A,0)),0)</f>
        <v>0</v>
      </c>
      <c r="W448" s="23" t="n">
        <f aca="false">IFERROR(INDEX(PODACI_PRODAJA!F:F,MATCH($A448,PODACI_PRODAJA!$A:$A,0)),0)</f>
        <v>0</v>
      </c>
      <c r="X448" s="23" t="n">
        <f aca="false">IFERROR(INDEX(PODACI_PRODAJA!G:G,MATCH($A448,PODACI_PRODAJA!$A:$A,0)),0)</f>
        <v>0</v>
      </c>
      <c r="Y448" s="23" t="n">
        <f aca="false">IFERROR(INDEX(PODACI_PRODAJA!H:H,MATCH($A448,PODACI_PRODAJA!$A:$A,0)),0)</f>
        <v>0</v>
      </c>
      <c r="Z448" s="23" t="n">
        <f aca="false">IFERROR(INDEX(PODACI_PRODAJA!I:I,MATCH($A448,PODACI_PRODAJA!$A:$A,0)),0)</f>
        <v>0</v>
      </c>
      <c r="AA448" s="23" t="n">
        <f aca="false">IFERROR(INDEX(PODACI_PRODAJA!J:J,MATCH($A448,PODACI_PRODAJA!$A:$A,0)),0)</f>
        <v>0</v>
      </c>
      <c r="AB448" s="23" t="n">
        <f aca="false">IFERROR(INDEX(PODACI_PRODAJA!K:K,MATCH($A448,PODACI_PRODAJA!$A:$A,0)),0)</f>
        <v>0</v>
      </c>
      <c r="AC448" s="23" t="n">
        <f aca="false">IFERROR(INDEX(PODACI_PRODAJA!L:L,MATCH($A448,PODACI_PRODAJA!$A:$A,0)),0)</f>
        <v>0</v>
      </c>
      <c r="AD448" s="23" t="n">
        <f aca="false">IFERROR(INDEX(PODACI_PRODAJA!M:M,MATCH($A448,PODACI_PRODAJA!$A:$A,0)),0)</f>
        <v>0</v>
      </c>
    </row>
    <row r="449" customFormat="false" ht="15" hidden="false" customHeight="false" outlineLevel="0" collapsed="false">
      <c r="A449" s="11" t="str">
        <f aca="false">PODACI_ZALIHE!A446</f>
        <v>322820575</v>
      </c>
      <c r="B449" s="8" t="str">
        <f aca="false">PODACI_ZALIHE!B446</f>
        <v>KLUDI X1 MIJEŠALICA ZA UMIVAONIK, 100 MM, KROM</v>
      </c>
      <c r="C449" s="9" t="str">
        <f aca="false">PODACI_ZALIHE!C446</f>
        <v>7485</v>
      </c>
      <c r="D449" s="8" t="str">
        <f aca="false">PODACI_ZALIHE!D446</f>
        <v>KLUDI GmbH &amp; Co. KG.,</v>
      </c>
      <c r="E449" s="19" t="n">
        <f aca="false">IF(PODACI_ZALIHE!E446="","",PODACI_ZALIHE!E446)</f>
        <v>10</v>
      </c>
      <c r="F449" s="20" t="n">
        <f aca="false">PODACI_ZALIHE!F446</f>
        <v>10</v>
      </c>
      <c r="G449" s="19" t="n">
        <f aca="false">IF(E449="","",E449-F449)</f>
        <v>0</v>
      </c>
      <c r="H449" s="9" t="n">
        <f aca="false">PODACI_PRODAJA!N751</f>
        <v>0</v>
      </c>
      <c r="I449" s="21" t="n">
        <f aca="false">IF(H449&lt;=0,999,ROUND(F449/H449,1))</f>
        <v>999</v>
      </c>
      <c r="J449" s="9" t="n">
        <f aca="false">SUMIFS(ROBA_U_DOLASKU!$C$6:$C$95,ROBA_U_DOLASKU!$A$6:$A$95,A449,ROBA_U_DOLASKU!$H$6:$H$95,1)</f>
        <v>0</v>
      </c>
      <c r="K449" s="9" t="n">
        <f aca="false">SUMIFS(ROBA_U_DOLASKU!$B$6:$B$95,ROBA_U_DOLASKU!$A$6:$A$95,A449,ROBA_U_DOLASKU!$H$6:$H$95,1)</f>
        <v>0</v>
      </c>
      <c r="L449" s="9" t="n">
        <f aca="false">SUMIFS(ROBA_U_DOLASKU!$C$6:$C$95,ROBA_U_DOLASKU!$A$6:$A$95,A449,ROBA_U_DOLASKU!$H$6:$H$95,2)</f>
        <v>0</v>
      </c>
      <c r="M449" s="9" t="n">
        <f aca="false">SUMIFS(ROBA_U_DOLASKU!$B$6:$B$95,ROBA_U_DOLASKU!$A$6:$A$95,A449,ROBA_U_DOLASKU!$H$6:$H$95,2)</f>
        <v>0</v>
      </c>
      <c r="N449" s="9" t="n">
        <f aca="false">SUMIFS(ROBA_U_DOLASKU!$C$6:$C$95,ROBA_U_DOLASKU!$A$6:$A$95,A449,ROBA_U_DOLASKU!$H$6:$H$95,3)</f>
        <v>0</v>
      </c>
      <c r="O449" s="9" t="n">
        <f aca="false">SUMIFS(ROBA_U_DOLASKU!$B$6:$B$95,ROBA_U_DOLASKU!$A$6:$A$95,A449,ROBA_U_DOLASKU!$H$6:$H$95,3)</f>
        <v>0</v>
      </c>
      <c r="P449" s="9" t="n">
        <f aca="false">IF(H449&lt;=0,999,IF(O449&gt;0,ROUND((F449-H449*N449+K449+M449+O449)/H449,1),IF(M449&gt;0,ROUND((F449-H449*L449+K449+M449)/H449,1),IF(K449&gt;0,ROUND((F449-H449*J449+K449)/H449,1),I449))))</f>
        <v>999</v>
      </c>
      <c r="Q449" s="22" t="str">
        <f aca="false">IF(H449&lt;=0,"Nema prodaje",IF(AND(K449=0,M449=0,O449=0),IF(I449&lt;POSTAVKE!$B$6,"Naruči odmah","Sve u redu"),IF(F449-H449*J449&lt;0,"Rupa za ~"&amp;TEXT(I449,"0.0")&amp;" mj.",IF(AND(M449&gt;0,F449-H449*L449+K449&lt;0),"Rupa nakon 1. dolaska",IF(AND(O449&gt;0,F449-H449*N449+K449+M449&lt;0),"Rupa nakon 2. dolaska",IF(P449&lt;POSTAVKE!$B$6,"Količina nije dovoljna",IF(I449&gt;=POSTAVKE!$B$6,"Sve u redu","Stiže na vrijeme")))))))</f>
        <v>Nema prodaje</v>
      </c>
      <c r="S449" s="23" t="n">
        <f aca="false">IFERROR(INDEX(PODACI_PRODAJA!B:B,MATCH($A449,PODACI_PRODAJA!$A:$A,0)),0)</f>
        <v>0</v>
      </c>
      <c r="T449" s="23" t="n">
        <f aca="false">IFERROR(INDEX(PODACI_PRODAJA!C:C,MATCH($A449,PODACI_PRODAJA!$A:$A,0)),0)</f>
        <v>0</v>
      </c>
      <c r="U449" s="23" t="n">
        <f aca="false">IFERROR(INDEX(PODACI_PRODAJA!D:D,MATCH($A449,PODACI_PRODAJA!$A:$A,0)),0)</f>
        <v>0</v>
      </c>
      <c r="V449" s="23" t="n">
        <f aca="false">IFERROR(INDEX(PODACI_PRODAJA!E:E,MATCH($A449,PODACI_PRODAJA!$A:$A,0)),0)</f>
        <v>0</v>
      </c>
      <c r="W449" s="23" t="n">
        <f aca="false">IFERROR(INDEX(PODACI_PRODAJA!F:F,MATCH($A449,PODACI_PRODAJA!$A:$A,0)),0)</f>
        <v>0</v>
      </c>
      <c r="X449" s="23" t="n">
        <f aca="false">IFERROR(INDEX(PODACI_PRODAJA!G:G,MATCH($A449,PODACI_PRODAJA!$A:$A,0)),0)</f>
        <v>0</v>
      </c>
      <c r="Y449" s="23" t="n">
        <f aca="false">IFERROR(INDEX(PODACI_PRODAJA!H:H,MATCH($A449,PODACI_PRODAJA!$A:$A,0)),0)</f>
        <v>0</v>
      </c>
      <c r="Z449" s="23" t="n">
        <f aca="false">IFERROR(INDEX(PODACI_PRODAJA!I:I,MATCH($A449,PODACI_PRODAJA!$A:$A,0)),0)</f>
        <v>0</v>
      </c>
      <c r="AA449" s="23" t="n">
        <f aca="false">IFERROR(INDEX(PODACI_PRODAJA!J:J,MATCH($A449,PODACI_PRODAJA!$A:$A,0)),0)</f>
        <v>0</v>
      </c>
      <c r="AB449" s="23" t="n">
        <f aca="false">IFERROR(INDEX(PODACI_PRODAJA!K:K,MATCH($A449,PODACI_PRODAJA!$A:$A,0)),0)</f>
        <v>0</v>
      </c>
      <c r="AC449" s="23" t="n">
        <f aca="false">IFERROR(INDEX(PODACI_PRODAJA!L:L,MATCH($A449,PODACI_PRODAJA!$A:$A,0)),0)</f>
        <v>0</v>
      </c>
      <c r="AD449" s="23" t="n">
        <f aca="false">IFERROR(INDEX(PODACI_PRODAJA!M:M,MATCH($A449,PODACI_PRODAJA!$A:$A,0)),0)</f>
        <v>0</v>
      </c>
    </row>
    <row r="450" customFormat="false" ht="15" hidden="false" customHeight="false" outlineLevel="0" collapsed="false">
      <c r="A450" s="11" t="str">
        <f aca="false">PODACI_ZALIHE!A447</f>
        <v>6105605-00</v>
      </c>
      <c r="B450" s="8" t="str">
        <f aca="false">PODACI_ZALIHE!B447</f>
        <v>KLUDI TUŠ CRIJEVO LOGOFLEX, 1,60 M</v>
      </c>
      <c r="C450" s="9" t="str">
        <f aca="false">PODACI_ZALIHE!C447</f>
        <v>7485</v>
      </c>
      <c r="D450" s="8" t="str">
        <f aca="false">PODACI_ZALIHE!D447</f>
        <v>KLUDI GmbH &amp; Co. KG.,</v>
      </c>
      <c r="E450" s="19" t="n">
        <f aca="false">IF(PODACI_ZALIHE!E447="","",PODACI_ZALIHE!E447)</f>
        <v>10</v>
      </c>
      <c r="F450" s="20" t="n">
        <f aca="false">PODACI_ZALIHE!F447</f>
        <v>10</v>
      </c>
      <c r="G450" s="19" t="n">
        <f aca="false">IF(E450="","",E450-F450)</f>
        <v>0</v>
      </c>
      <c r="H450" s="9" t="n">
        <f aca="false">PODACI_PRODAJA!N798</f>
        <v>0</v>
      </c>
      <c r="I450" s="21" t="n">
        <f aca="false">IF(H450&lt;=0,999,ROUND(F450/H450,1))</f>
        <v>999</v>
      </c>
      <c r="J450" s="9" t="n">
        <f aca="false">SUMIFS(ROBA_U_DOLASKU!$C$6:$C$95,ROBA_U_DOLASKU!$A$6:$A$95,A450,ROBA_U_DOLASKU!$H$6:$H$95,1)</f>
        <v>0</v>
      </c>
      <c r="K450" s="9" t="n">
        <f aca="false">SUMIFS(ROBA_U_DOLASKU!$B$6:$B$95,ROBA_U_DOLASKU!$A$6:$A$95,A450,ROBA_U_DOLASKU!$H$6:$H$95,1)</f>
        <v>0</v>
      </c>
      <c r="L450" s="9" t="n">
        <f aca="false">SUMIFS(ROBA_U_DOLASKU!$C$6:$C$95,ROBA_U_DOLASKU!$A$6:$A$95,A450,ROBA_U_DOLASKU!$H$6:$H$95,2)</f>
        <v>0</v>
      </c>
      <c r="M450" s="9" t="n">
        <f aca="false">SUMIFS(ROBA_U_DOLASKU!$B$6:$B$95,ROBA_U_DOLASKU!$A$6:$A$95,A450,ROBA_U_DOLASKU!$H$6:$H$95,2)</f>
        <v>0</v>
      </c>
      <c r="N450" s="9" t="n">
        <f aca="false">SUMIFS(ROBA_U_DOLASKU!$C$6:$C$95,ROBA_U_DOLASKU!$A$6:$A$95,A450,ROBA_U_DOLASKU!$H$6:$H$95,3)</f>
        <v>0</v>
      </c>
      <c r="O450" s="9" t="n">
        <f aca="false">SUMIFS(ROBA_U_DOLASKU!$B$6:$B$95,ROBA_U_DOLASKU!$A$6:$A$95,A450,ROBA_U_DOLASKU!$H$6:$H$95,3)</f>
        <v>0</v>
      </c>
      <c r="P450" s="9" t="n">
        <f aca="false">IF(H450&lt;=0,999,IF(O450&gt;0,ROUND((F450-H450*N450+K450+M450+O450)/H450,1),IF(M450&gt;0,ROUND((F450-H450*L450+K450+M450)/H450,1),IF(K450&gt;0,ROUND((F450-H450*J450+K450)/H450,1),I450))))</f>
        <v>999</v>
      </c>
      <c r="Q450" s="22" t="str">
        <f aca="false">IF(H450&lt;=0,"Nema prodaje",IF(AND(K450=0,M450=0,O450=0),IF(I450&lt;POSTAVKE!$B$6,"Naruči odmah","Sve u redu"),IF(F450-H450*J450&lt;0,"Rupa za ~"&amp;TEXT(I450,"0.0")&amp;" mj.",IF(AND(M450&gt;0,F450-H450*L450+K450&lt;0),"Rupa nakon 1. dolaska",IF(AND(O450&gt;0,F450-H450*N450+K450+M450&lt;0),"Rupa nakon 2. dolaska",IF(P450&lt;POSTAVKE!$B$6,"Količina nije dovoljna",IF(I450&gt;=POSTAVKE!$B$6,"Sve u redu","Stiže na vrijeme")))))))</f>
        <v>Nema prodaje</v>
      </c>
      <c r="S450" s="23" t="n">
        <f aca="false">IFERROR(INDEX(PODACI_PRODAJA!B:B,MATCH($A450,PODACI_PRODAJA!$A:$A,0)),0)</f>
        <v>0</v>
      </c>
      <c r="T450" s="23" t="n">
        <f aca="false">IFERROR(INDEX(PODACI_PRODAJA!C:C,MATCH($A450,PODACI_PRODAJA!$A:$A,0)),0)</f>
        <v>0</v>
      </c>
      <c r="U450" s="23" t="n">
        <f aca="false">IFERROR(INDEX(PODACI_PRODAJA!D:D,MATCH($A450,PODACI_PRODAJA!$A:$A,0)),0)</f>
        <v>0</v>
      </c>
      <c r="V450" s="23" t="n">
        <f aca="false">IFERROR(INDEX(PODACI_PRODAJA!E:E,MATCH($A450,PODACI_PRODAJA!$A:$A,0)),0)</f>
        <v>0</v>
      </c>
      <c r="W450" s="23" t="n">
        <f aca="false">IFERROR(INDEX(PODACI_PRODAJA!F:F,MATCH($A450,PODACI_PRODAJA!$A:$A,0)),0)</f>
        <v>0</v>
      </c>
      <c r="X450" s="23" t="n">
        <f aca="false">IFERROR(INDEX(PODACI_PRODAJA!G:G,MATCH($A450,PODACI_PRODAJA!$A:$A,0)),0)</f>
        <v>0</v>
      </c>
      <c r="Y450" s="23" t="n">
        <f aca="false">IFERROR(INDEX(PODACI_PRODAJA!H:H,MATCH($A450,PODACI_PRODAJA!$A:$A,0)),0)</f>
        <v>0</v>
      </c>
      <c r="Z450" s="23" t="n">
        <f aca="false">IFERROR(INDEX(PODACI_PRODAJA!I:I,MATCH($A450,PODACI_PRODAJA!$A:$A,0)),0)</f>
        <v>0</v>
      </c>
      <c r="AA450" s="23" t="n">
        <f aca="false">IFERROR(INDEX(PODACI_PRODAJA!J:J,MATCH($A450,PODACI_PRODAJA!$A:$A,0)),0)</f>
        <v>0</v>
      </c>
      <c r="AB450" s="23" t="n">
        <f aca="false">IFERROR(INDEX(PODACI_PRODAJA!K:K,MATCH($A450,PODACI_PRODAJA!$A:$A,0)),0)</f>
        <v>0</v>
      </c>
      <c r="AC450" s="23" t="n">
        <f aca="false">IFERROR(INDEX(PODACI_PRODAJA!L:L,MATCH($A450,PODACI_PRODAJA!$A:$A,0)),0)</f>
        <v>0</v>
      </c>
      <c r="AD450" s="23" t="n">
        <f aca="false">IFERROR(INDEX(PODACI_PRODAJA!M:M,MATCH($A450,PODACI_PRODAJA!$A:$A,0)),0)</f>
        <v>0</v>
      </c>
    </row>
    <row r="451" customFormat="false" ht="15" hidden="false" customHeight="false" outlineLevel="0" collapsed="false">
      <c r="A451" s="11" t="str">
        <f aca="false">PODACI_ZALIHE!A448</f>
        <v>6107205-00</v>
      </c>
      <c r="B451" s="8" t="str">
        <f aca="false">PODACI_ZALIHE!B448</f>
        <v>KLUDI TUŠ CRIJEVO SUPARAFLEX SILVER 1,60 M</v>
      </c>
      <c r="C451" s="9" t="str">
        <f aca="false">PODACI_ZALIHE!C448</f>
        <v>7485</v>
      </c>
      <c r="D451" s="8" t="str">
        <f aca="false">PODACI_ZALIHE!D448</f>
        <v>KLUDI GmbH &amp; Co. KG.,</v>
      </c>
      <c r="E451" s="19" t="n">
        <f aca="false">IF(PODACI_ZALIHE!E448="","",PODACI_ZALIHE!E448)</f>
        <v>10</v>
      </c>
      <c r="F451" s="20" t="n">
        <f aca="false">PODACI_ZALIHE!F448</f>
        <v>10</v>
      </c>
      <c r="G451" s="19" t="n">
        <f aca="false">IF(E451="","",E451-F451)</f>
        <v>0</v>
      </c>
      <c r="H451" s="9" t="n">
        <f aca="false">PODACI_PRODAJA!N800</f>
        <v>0</v>
      </c>
      <c r="I451" s="21" t="n">
        <f aca="false">IF(H451&lt;=0,999,ROUND(F451/H451,1))</f>
        <v>999</v>
      </c>
      <c r="J451" s="9" t="n">
        <f aca="false">SUMIFS(ROBA_U_DOLASKU!$C$6:$C$95,ROBA_U_DOLASKU!$A$6:$A$95,A451,ROBA_U_DOLASKU!$H$6:$H$95,1)</f>
        <v>0</v>
      </c>
      <c r="K451" s="9" t="n">
        <f aca="false">SUMIFS(ROBA_U_DOLASKU!$B$6:$B$95,ROBA_U_DOLASKU!$A$6:$A$95,A451,ROBA_U_DOLASKU!$H$6:$H$95,1)</f>
        <v>0</v>
      </c>
      <c r="L451" s="9" t="n">
        <f aca="false">SUMIFS(ROBA_U_DOLASKU!$C$6:$C$95,ROBA_U_DOLASKU!$A$6:$A$95,A451,ROBA_U_DOLASKU!$H$6:$H$95,2)</f>
        <v>0</v>
      </c>
      <c r="M451" s="9" t="n">
        <f aca="false">SUMIFS(ROBA_U_DOLASKU!$B$6:$B$95,ROBA_U_DOLASKU!$A$6:$A$95,A451,ROBA_U_DOLASKU!$H$6:$H$95,2)</f>
        <v>0</v>
      </c>
      <c r="N451" s="9" t="n">
        <f aca="false">SUMIFS(ROBA_U_DOLASKU!$C$6:$C$95,ROBA_U_DOLASKU!$A$6:$A$95,A451,ROBA_U_DOLASKU!$H$6:$H$95,3)</f>
        <v>0</v>
      </c>
      <c r="O451" s="9" t="n">
        <f aca="false">SUMIFS(ROBA_U_DOLASKU!$B$6:$B$95,ROBA_U_DOLASKU!$A$6:$A$95,A451,ROBA_U_DOLASKU!$H$6:$H$95,3)</f>
        <v>0</v>
      </c>
      <c r="P451" s="9" t="n">
        <f aca="false">IF(H451&lt;=0,999,IF(O451&gt;0,ROUND((F451-H451*N451+K451+M451+O451)/H451,1),IF(M451&gt;0,ROUND((F451-H451*L451+K451+M451)/H451,1),IF(K451&gt;0,ROUND((F451-H451*J451+K451)/H451,1),I451))))</f>
        <v>999</v>
      </c>
      <c r="Q451" s="22" t="str">
        <f aca="false">IF(H451&lt;=0,"Nema prodaje",IF(AND(K451=0,M451=0,O451=0),IF(I451&lt;POSTAVKE!$B$6,"Naruči odmah","Sve u redu"),IF(F451-H451*J451&lt;0,"Rupa za ~"&amp;TEXT(I451,"0.0")&amp;" mj.",IF(AND(M451&gt;0,F451-H451*L451+K451&lt;0),"Rupa nakon 1. dolaska",IF(AND(O451&gt;0,F451-H451*N451+K451+M451&lt;0),"Rupa nakon 2. dolaska",IF(P451&lt;POSTAVKE!$B$6,"Količina nije dovoljna",IF(I451&gt;=POSTAVKE!$B$6,"Sve u redu","Stiže na vrijeme")))))))</f>
        <v>Nema prodaje</v>
      </c>
      <c r="S451" s="23" t="n">
        <f aca="false">IFERROR(INDEX(PODACI_PRODAJA!B:B,MATCH($A451,PODACI_PRODAJA!$A:$A,0)),0)</f>
        <v>0</v>
      </c>
      <c r="T451" s="23" t="n">
        <f aca="false">IFERROR(INDEX(PODACI_PRODAJA!C:C,MATCH($A451,PODACI_PRODAJA!$A:$A,0)),0)</f>
        <v>0</v>
      </c>
      <c r="U451" s="23" t="n">
        <f aca="false">IFERROR(INDEX(PODACI_PRODAJA!D:D,MATCH($A451,PODACI_PRODAJA!$A:$A,0)),0)</f>
        <v>0</v>
      </c>
      <c r="V451" s="23" t="n">
        <f aca="false">IFERROR(INDEX(PODACI_PRODAJA!E:E,MATCH($A451,PODACI_PRODAJA!$A:$A,0)),0)</f>
        <v>0</v>
      </c>
      <c r="W451" s="23" t="n">
        <f aca="false">IFERROR(INDEX(PODACI_PRODAJA!F:F,MATCH($A451,PODACI_PRODAJA!$A:$A,0)),0)</f>
        <v>0</v>
      </c>
      <c r="X451" s="23" t="n">
        <f aca="false">IFERROR(INDEX(PODACI_PRODAJA!G:G,MATCH($A451,PODACI_PRODAJA!$A:$A,0)),0)</f>
        <v>0</v>
      </c>
      <c r="Y451" s="23" t="n">
        <f aca="false">IFERROR(INDEX(PODACI_PRODAJA!H:H,MATCH($A451,PODACI_PRODAJA!$A:$A,0)),0)</f>
        <v>0</v>
      </c>
      <c r="Z451" s="23" t="n">
        <f aca="false">IFERROR(INDEX(PODACI_PRODAJA!I:I,MATCH($A451,PODACI_PRODAJA!$A:$A,0)),0)</f>
        <v>0</v>
      </c>
      <c r="AA451" s="23" t="n">
        <f aca="false">IFERROR(INDEX(PODACI_PRODAJA!J:J,MATCH($A451,PODACI_PRODAJA!$A:$A,0)),0)</f>
        <v>0</v>
      </c>
      <c r="AB451" s="23" t="n">
        <f aca="false">IFERROR(INDEX(PODACI_PRODAJA!K:K,MATCH($A451,PODACI_PRODAJA!$A:$A,0)),0)</f>
        <v>0</v>
      </c>
      <c r="AC451" s="23" t="n">
        <f aca="false">IFERROR(INDEX(PODACI_PRODAJA!L:L,MATCH($A451,PODACI_PRODAJA!$A:$A,0)),0)</f>
        <v>0</v>
      </c>
      <c r="AD451" s="23" t="n">
        <f aca="false">IFERROR(INDEX(PODACI_PRODAJA!M:M,MATCH($A451,PODACI_PRODAJA!$A:$A,0)),0)</f>
        <v>0</v>
      </c>
    </row>
    <row r="452" customFormat="false" ht="15" hidden="false" customHeight="false" outlineLevel="0" collapsed="false">
      <c r="A452" s="11" t="str">
        <f aca="false">PODACI_ZALIHE!A449</f>
        <v>6883005-00</v>
      </c>
      <c r="B452" s="8" t="str">
        <f aca="false">PODACI_ZALIHE!B449</f>
        <v>KLUDI DIVE TUŠ SLUŠALICA, 3 MLAZA, KROM</v>
      </c>
      <c r="C452" s="9" t="str">
        <f aca="false">PODACI_ZALIHE!C449</f>
        <v>7485</v>
      </c>
      <c r="D452" s="8" t="str">
        <f aca="false">PODACI_ZALIHE!D449</f>
        <v>KLUDI GmbH &amp; Co. KG.,</v>
      </c>
      <c r="E452" s="19" t="n">
        <f aca="false">IF(PODACI_ZALIHE!E449="","",PODACI_ZALIHE!E449)</f>
        <v>10</v>
      </c>
      <c r="F452" s="20" t="n">
        <f aca="false">PODACI_ZALIHE!F449</f>
        <v>10</v>
      </c>
      <c r="G452" s="19" t="n">
        <f aca="false">IF(E452="","",E452-F452)</f>
        <v>0</v>
      </c>
      <c r="H452" s="9" t="n">
        <f aca="false">PODACI_PRODAJA!N814</f>
        <v>0</v>
      </c>
      <c r="I452" s="21" t="n">
        <f aca="false">IF(H452&lt;=0,999,ROUND(F452/H452,1))</f>
        <v>999</v>
      </c>
      <c r="J452" s="9" t="n">
        <f aca="false">SUMIFS(ROBA_U_DOLASKU!$C$6:$C$95,ROBA_U_DOLASKU!$A$6:$A$95,A452,ROBA_U_DOLASKU!$H$6:$H$95,1)</f>
        <v>0</v>
      </c>
      <c r="K452" s="9" t="n">
        <f aca="false">SUMIFS(ROBA_U_DOLASKU!$B$6:$B$95,ROBA_U_DOLASKU!$A$6:$A$95,A452,ROBA_U_DOLASKU!$H$6:$H$95,1)</f>
        <v>0</v>
      </c>
      <c r="L452" s="9" t="n">
        <f aca="false">SUMIFS(ROBA_U_DOLASKU!$C$6:$C$95,ROBA_U_DOLASKU!$A$6:$A$95,A452,ROBA_U_DOLASKU!$H$6:$H$95,2)</f>
        <v>0</v>
      </c>
      <c r="M452" s="9" t="n">
        <f aca="false">SUMIFS(ROBA_U_DOLASKU!$B$6:$B$95,ROBA_U_DOLASKU!$A$6:$A$95,A452,ROBA_U_DOLASKU!$H$6:$H$95,2)</f>
        <v>0</v>
      </c>
      <c r="N452" s="9" t="n">
        <f aca="false">SUMIFS(ROBA_U_DOLASKU!$C$6:$C$95,ROBA_U_DOLASKU!$A$6:$A$95,A452,ROBA_U_DOLASKU!$H$6:$H$95,3)</f>
        <v>0</v>
      </c>
      <c r="O452" s="9" t="n">
        <f aca="false">SUMIFS(ROBA_U_DOLASKU!$B$6:$B$95,ROBA_U_DOLASKU!$A$6:$A$95,A452,ROBA_U_DOLASKU!$H$6:$H$95,3)</f>
        <v>0</v>
      </c>
      <c r="P452" s="9" t="n">
        <f aca="false">IF(H452&lt;=0,999,IF(O452&gt;0,ROUND((F452-H452*N452+K452+M452+O452)/H452,1),IF(M452&gt;0,ROUND((F452-H452*L452+K452+M452)/H452,1),IF(K452&gt;0,ROUND((F452-H452*J452+K452)/H452,1),I452))))</f>
        <v>999</v>
      </c>
      <c r="Q452" s="22" t="str">
        <f aca="false">IF(H452&lt;=0,"Nema prodaje",IF(AND(K452=0,M452=0,O452=0),IF(I452&lt;POSTAVKE!$B$6,"Naruči odmah","Sve u redu"),IF(F452-H452*J452&lt;0,"Rupa za ~"&amp;TEXT(I452,"0.0")&amp;" mj.",IF(AND(M452&gt;0,F452-H452*L452+K452&lt;0),"Rupa nakon 1. dolaska",IF(AND(O452&gt;0,F452-H452*N452+K452+M452&lt;0),"Rupa nakon 2. dolaska",IF(P452&lt;POSTAVKE!$B$6,"Količina nije dovoljna",IF(I452&gt;=POSTAVKE!$B$6,"Sve u redu","Stiže na vrijeme")))))))</f>
        <v>Nema prodaje</v>
      </c>
      <c r="S452" s="23" t="n">
        <f aca="false">IFERROR(INDEX(PODACI_PRODAJA!B:B,MATCH($A452,PODACI_PRODAJA!$A:$A,0)),0)</f>
        <v>0</v>
      </c>
      <c r="T452" s="23" t="n">
        <f aca="false">IFERROR(INDEX(PODACI_PRODAJA!C:C,MATCH($A452,PODACI_PRODAJA!$A:$A,0)),0)</f>
        <v>0</v>
      </c>
      <c r="U452" s="23" t="n">
        <f aca="false">IFERROR(INDEX(PODACI_PRODAJA!D:D,MATCH($A452,PODACI_PRODAJA!$A:$A,0)),0)</f>
        <v>0</v>
      </c>
      <c r="V452" s="23" t="n">
        <f aca="false">IFERROR(INDEX(PODACI_PRODAJA!E:E,MATCH($A452,PODACI_PRODAJA!$A:$A,0)),0)</f>
        <v>0</v>
      </c>
      <c r="W452" s="23" t="n">
        <f aca="false">IFERROR(INDEX(PODACI_PRODAJA!F:F,MATCH($A452,PODACI_PRODAJA!$A:$A,0)),0)</f>
        <v>0</v>
      </c>
      <c r="X452" s="23" t="n">
        <f aca="false">IFERROR(INDEX(PODACI_PRODAJA!G:G,MATCH($A452,PODACI_PRODAJA!$A:$A,0)),0)</f>
        <v>0</v>
      </c>
      <c r="Y452" s="23" t="n">
        <f aca="false">IFERROR(INDEX(PODACI_PRODAJA!H:H,MATCH($A452,PODACI_PRODAJA!$A:$A,0)),0)</f>
        <v>0</v>
      </c>
      <c r="Z452" s="23" t="n">
        <f aca="false">IFERROR(INDEX(PODACI_PRODAJA!I:I,MATCH($A452,PODACI_PRODAJA!$A:$A,0)),0)</f>
        <v>0</v>
      </c>
      <c r="AA452" s="23" t="n">
        <f aca="false">IFERROR(INDEX(PODACI_PRODAJA!J:J,MATCH($A452,PODACI_PRODAJA!$A:$A,0)),0)</f>
        <v>0</v>
      </c>
      <c r="AB452" s="23" t="n">
        <f aca="false">IFERROR(INDEX(PODACI_PRODAJA!K:K,MATCH($A452,PODACI_PRODAJA!$A:$A,0)),0)</f>
        <v>0</v>
      </c>
      <c r="AC452" s="23" t="n">
        <f aca="false">IFERROR(INDEX(PODACI_PRODAJA!L:L,MATCH($A452,PODACI_PRODAJA!$A:$A,0)),0)</f>
        <v>0</v>
      </c>
      <c r="AD452" s="23" t="n">
        <f aca="false">IFERROR(INDEX(PODACI_PRODAJA!M:M,MATCH($A452,PODACI_PRODAJA!$A:$A,0)),0)</f>
        <v>0</v>
      </c>
    </row>
    <row r="453" customFormat="false" ht="15" hidden="false" customHeight="false" outlineLevel="0" collapsed="false">
      <c r="A453" s="11" t="str">
        <f aca="false">PODACI_ZALIHE!A450</f>
        <v>6983005-00</v>
      </c>
      <c r="B453" s="8" t="str">
        <f aca="false">PODACI_ZALIHE!B450</f>
        <v>KLUDI XDIVE TUŠ SLUŠALICA, 3 MLAZA, KROM</v>
      </c>
      <c r="C453" s="9" t="str">
        <f aca="false">PODACI_ZALIHE!C450</f>
        <v>7485</v>
      </c>
      <c r="D453" s="8" t="str">
        <f aca="false">PODACI_ZALIHE!D450</f>
        <v>KLUDI GmbH &amp; Co. KG.,</v>
      </c>
      <c r="E453" s="19" t="n">
        <f aca="false">IF(PODACI_ZALIHE!E450="","",PODACI_ZALIHE!E450)</f>
        <v>10</v>
      </c>
      <c r="F453" s="20" t="n">
        <f aca="false">PODACI_ZALIHE!F450</f>
        <v>10</v>
      </c>
      <c r="G453" s="19" t="n">
        <f aca="false">IF(E453="","",E453-F453)</f>
        <v>0</v>
      </c>
      <c r="H453" s="9" t="n">
        <f aca="false">PODACI_PRODAJA!N817</f>
        <v>0</v>
      </c>
      <c r="I453" s="21" t="n">
        <f aca="false">IF(H453&lt;=0,999,ROUND(F453/H453,1))</f>
        <v>999</v>
      </c>
      <c r="J453" s="9" t="n">
        <f aca="false">SUMIFS(ROBA_U_DOLASKU!$C$6:$C$95,ROBA_U_DOLASKU!$A$6:$A$95,A453,ROBA_U_DOLASKU!$H$6:$H$95,1)</f>
        <v>0</v>
      </c>
      <c r="K453" s="9" t="n">
        <f aca="false">SUMIFS(ROBA_U_DOLASKU!$B$6:$B$95,ROBA_U_DOLASKU!$A$6:$A$95,A453,ROBA_U_DOLASKU!$H$6:$H$95,1)</f>
        <v>0</v>
      </c>
      <c r="L453" s="9" t="n">
        <f aca="false">SUMIFS(ROBA_U_DOLASKU!$C$6:$C$95,ROBA_U_DOLASKU!$A$6:$A$95,A453,ROBA_U_DOLASKU!$H$6:$H$95,2)</f>
        <v>0</v>
      </c>
      <c r="M453" s="9" t="n">
        <f aca="false">SUMIFS(ROBA_U_DOLASKU!$B$6:$B$95,ROBA_U_DOLASKU!$A$6:$A$95,A453,ROBA_U_DOLASKU!$H$6:$H$95,2)</f>
        <v>0</v>
      </c>
      <c r="N453" s="9" t="n">
        <f aca="false">SUMIFS(ROBA_U_DOLASKU!$C$6:$C$95,ROBA_U_DOLASKU!$A$6:$A$95,A453,ROBA_U_DOLASKU!$H$6:$H$95,3)</f>
        <v>0</v>
      </c>
      <c r="O453" s="9" t="n">
        <f aca="false">SUMIFS(ROBA_U_DOLASKU!$B$6:$B$95,ROBA_U_DOLASKU!$A$6:$A$95,A453,ROBA_U_DOLASKU!$H$6:$H$95,3)</f>
        <v>0</v>
      </c>
      <c r="P453" s="9" t="n">
        <f aca="false">IF(H453&lt;=0,999,IF(O453&gt;0,ROUND((F453-H453*N453+K453+M453+O453)/H453,1),IF(M453&gt;0,ROUND((F453-H453*L453+K453+M453)/H453,1),IF(K453&gt;0,ROUND((F453-H453*J453+K453)/H453,1),I453))))</f>
        <v>999</v>
      </c>
      <c r="Q453" s="22" t="str">
        <f aca="false">IF(H453&lt;=0,"Nema prodaje",IF(AND(K453=0,M453=0,O453=0),IF(I453&lt;POSTAVKE!$B$6,"Naruči odmah","Sve u redu"),IF(F453-H453*J453&lt;0,"Rupa za ~"&amp;TEXT(I453,"0.0")&amp;" mj.",IF(AND(M453&gt;0,F453-H453*L453+K453&lt;0),"Rupa nakon 1. dolaska",IF(AND(O453&gt;0,F453-H453*N453+K453+M453&lt;0),"Rupa nakon 2. dolaska",IF(P453&lt;POSTAVKE!$B$6,"Količina nije dovoljna",IF(I453&gt;=POSTAVKE!$B$6,"Sve u redu","Stiže na vrijeme")))))))</f>
        <v>Nema prodaje</v>
      </c>
      <c r="S453" s="23" t="n">
        <f aca="false">IFERROR(INDEX(PODACI_PRODAJA!B:B,MATCH($A453,PODACI_PRODAJA!$A:$A,0)),0)</f>
        <v>0</v>
      </c>
      <c r="T453" s="23" t="n">
        <f aca="false">IFERROR(INDEX(PODACI_PRODAJA!C:C,MATCH($A453,PODACI_PRODAJA!$A:$A,0)),0)</f>
        <v>0</v>
      </c>
      <c r="U453" s="23" t="n">
        <f aca="false">IFERROR(INDEX(PODACI_PRODAJA!D:D,MATCH($A453,PODACI_PRODAJA!$A:$A,0)),0)</f>
        <v>0</v>
      </c>
      <c r="V453" s="23" t="n">
        <f aca="false">IFERROR(INDEX(PODACI_PRODAJA!E:E,MATCH($A453,PODACI_PRODAJA!$A:$A,0)),0)</f>
        <v>0</v>
      </c>
      <c r="W453" s="23" t="n">
        <f aca="false">IFERROR(INDEX(PODACI_PRODAJA!F:F,MATCH($A453,PODACI_PRODAJA!$A:$A,0)),0)</f>
        <v>0</v>
      </c>
      <c r="X453" s="23" t="n">
        <f aca="false">IFERROR(INDEX(PODACI_PRODAJA!G:G,MATCH($A453,PODACI_PRODAJA!$A:$A,0)),0)</f>
        <v>0</v>
      </c>
      <c r="Y453" s="23" t="n">
        <f aca="false">IFERROR(INDEX(PODACI_PRODAJA!H:H,MATCH($A453,PODACI_PRODAJA!$A:$A,0)),0)</f>
        <v>0</v>
      </c>
      <c r="Z453" s="23" t="n">
        <f aca="false">IFERROR(INDEX(PODACI_PRODAJA!I:I,MATCH($A453,PODACI_PRODAJA!$A:$A,0)),0)</f>
        <v>0</v>
      </c>
      <c r="AA453" s="23" t="n">
        <f aca="false">IFERROR(INDEX(PODACI_PRODAJA!J:J,MATCH($A453,PODACI_PRODAJA!$A:$A,0)),0)</f>
        <v>0</v>
      </c>
      <c r="AB453" s="23" t="n">
        <f aca="false">IFERROR(INDEX(PODACI_PRODAJA!K:K,MATCH($A453,PODACI_PRODAJA!$A:$A,0)),0)</f>
        <v>0</v>
      </c>
      <c r="AC453" s="23" t="n">
        <f aca="false">IFERROR(INDEX(PODACI_PRODAJA!L:L,MATCH($A453,PODACI_PRODAJA!$A:$A,0)),0)</f>
        <v>0</v>
      </c>
      <c r="AD453" s="23" t="n">
        <f aca="false">IFERROR(INDEX(PODACI_PRODAJA!M:M,MATCH($A453,PODACI_PRODAJA!$A:$A,0)),0)</f>
        <v>0</v>
      </c>
    </row>
    <row r="454" customFormat="false" ht="15" hidden="false" customHeight="false" outlineLevel="0" collapsed="false">
      <c r="A454" s="11" t="str">
        <f aca="false">PODACI_ZALIHE!A451</f>
        <v>88022.</v>
      </c>
      <c r="B454" s="8" t="str">
        <f aca="false">PODACI_ZALIHE!B451</f>
        <v>KLUDI SLIM BOXX UGRADBENI ELEMENT</v>
      </c>
      <c r="C454" s="9" t="str">
        <f aca="false">PODACI_ZALIHE!C451</f>
        <v>7485</v>
      </c>
      <c r="D454" s="8" t="str">
        <f aca="false">PODACI_ZALIHE!D451</f>
        <v>KLUDI GmbH &amp; Co. KG.,</v>
      </c>
      <c r="E454" s="19" t="n">
        <f aca="false">IF(PODACI_ZALIHE!E451="","",PODACI_ZALIHE!E451)</f>
        <v>10</v>
      </c>
      <c r="F454" s="20" t="n">
        <f aca="false">PODACI_ZALIHE!F451</f>
        <v>10</v>
      </c>
      <c r="G454" s="19" t="n">
        <f aca="false">IF(E454="","",E454-F454)</f>
        <v>0</v>
      </c>
      <c r="H454" s="9" t="n">
        <f aca="false">PODACI_PRODAJA!N819</f>
        <v>0</v>
      </c>
      <c r="I454" s="21" t="n">
        <f aca="false">IF(H454&lt;=0,999,ROUND(F454/H454,1))</f>
        <v>999</v>
      </c>
      <c r="J454" s="9" t="n">
        <f aca="false">SUMIFS(ROBA_U_DOLASKU!$C$6:$C$95,ROBA_U_DOLASKU!$A$6:$A$95,A454,ROBA_U_DOLASKU!$H$6:$H$95,1)</f>
        <v>0</v>
      </c>
      <c r="K454" s="9" t="n">
        <f aca="false">SUMIFS(ROBA_U_DOLASKU!$B$6:$B$95,ROBA_U_DOLASKU!$A$6:$A$95,A454,ROBA_U_DOLASKU!$H$6:$H$95,1)</f>
        <v>0</v>
      </c>
      <c r="L454" s="9" t="n">
        <f aca="false">SUMIFS(ROBA_U_DOLASKU!$C$6:$C$95,ROBA_U_DOLASKU!$A$6:$A$95,A454,ROBA_U_DOLASKU!$H$6:$H$95,2)</f>
        <v>0</v>
      </c>
      <c r="M454" s="9" t="n">
        <f aca="false">SUMIFS(ROBA_U_DOLASKU!$B$6:$B$95,ROBA_U_DOLASKU!$A$6:$A$95,A454,ROBA_U_DOLASKU!$H$6:$H$95,2)</f>
        <v>0</v>
      </c>
      <c r="N454" s="9" t="n">
        <f aca="false">SUMIFS(ROBA_U_DOLASKU!$C$6:$C$95,ROBA_U_DOLASKU!$A$6:$A$95,A454,ROBA_U_DOLASKU!$H$6:$H$95,3)</f>
        <v>0</v>
      </c>
      <c r="O454" s="9" t="n">
        <f aca="false">SUMIFS(ROBA_U_DOLASKU!$B$6:$B$95,ROBA_U_DOLASKU!$A$6:$A$95,A454,ROBA_U_DOLASKU!$H$6:$H$95,3)</f>
        <v>0</v>
      </c>
      <c r="P454" s="9" t="n">
        <f aca="false">IF(H454&lt;=0,999,IF(O454&gt;0,ROUND((F454-H454*N454+K454+M454+O454)/H454,1),IF(M454&gt;0,ROUND((F454-H454*L454+K454+M454)/H454,1),IF(K454&gt;0,ROUND((F454-H454*J454+K454)/H454,1),I454))))</f>
        <v>999</v>
      </c>
      <c r="Q454" s="22" t="str">
        <f aca="false">IF(H454&lt;=0,"Nema prodaje",IF(AND(K454=0,M454=0,O454=0),IF(I454&lt;POSTAVKE!$B$6,"Naruči odmah","Sve u redu"),IF(F454-H454*J454&lt;0,"Rupa za ~"&amp;TEXT(I454,"0.0")&amp;" mj.",IF(AND(M454&gt;0,F454-H454*L454+K454&lt;0),"Rupa nakon 1. dolaska",IF(AND(O454&gt;0,F454-H454*N454+K454+M454&lt;0),"Rupa nakon 2. dolaska",IF(P454&lt;POSTAVKE!$B$6,"Količina nije dovoljna",IF(I454&gt;=POSTAVKE!$B$6,"Sve u redu","Stiže na vrijeme")))))))</f>
        <v>Nema prodaje</v>
      </c>
      <c r="S454" s="23" t="n">
        <f aca="false">IFERROR(INDEX(PODACI_PRODAJA!B:B,MATCH($A454,PODACI_PRODAJA!$A:$A,0)),0)</f>
        <v>0</v>
      </c>
      <c r="T454" s="23" t="n">
        <f aca="false">IFERROR(INDEX(PODACI_PRODAJA!C:C,MATCH($A454,PODACI_PRODAJA!$A:$A,0)),0)</f>
        <v>0</v>
      </c>
      <c r="U454" s="23" t="n">
        <f aca="false">IFERROR(INDEX(PODACI_PRODAJA!D:D,MATCH($A454,PODACI_PRODAJA!$A:$A,0)),0)</f>
        <v>0</v>
      </c>
      <c r="V454" s="23" t="n">
        <f aca="false">IFERROR(INDEX(PODACI_PRODAJA!E:E,MATCH($A454,PODACI_PRODAJA!$A:$A,0)),0)</f>
        <v>0</v>
      </c>
      <c r="W454" s="23" t="n">
        <f aca="false">IFERROR(INDEX(PODACI_PRODAJA!F:F,MATCH($A454,PODACI_PRODAJA!$A:$A,0)),0)</f>
        <v>0</v>
      </c>
      <c r="X454" s="23" t="n">
        <f aca="false">IFERROR(INDEX(PODACI_PRODAJA!G:G,MATCH($A454,PODACI_PRODAJA!$A:$A,0)),0)</f>
        <v>0</v>
      </c>
      <c r="Y454" s="23" t="n">
        <f aca="false">IFERROR(INDEX(PODACI_PRODAJA!H:H,MATCH($A454,PODACI_PRODAJA!$A:$A,0)),0)</f>
        <v>0</v>
      </c>
      <c r="Z454" s="23" t="n">
        <f aca="false">IFERROR(INDEX(PODACI_PRODAJA!I:I,MATCH($A454,PODACI_PRODAJA!$A:$A,0)),0)</f>
        <v>0</v>
      </c>
      <c r="AA454" s="23" t="n">
        <f aca="false">IFERROR(INDEX(PODACI_PRODAJA!J:J,MATCH($A454,PODACI_PRODAJA!$A:$A,0)),0)</f>
        <v>0</v>
      </c>
      <c r="AB454" s="23" t="n">
        <f aca="false">IFERROR(INDEX(PODACI_PRODAJA!K:K,MATCH($A454,PODACI_PRODAJA!$A:$A,0)),0)</f>
        <v>0</v>
      </c>
      <c r="AC454" s="23" t="n">
        <f aca="false">IFERROR(INDEX(PODACI_PRODAJA!L:L,MATCH($A454,PODACI_PRODAJA!$A:$A,0)),0)</f>
        <v>0</v>
      </c>
      <c r="AD454" s="23" t="n">
        <f aca="false">IFERROR(INDEX(PODACI_PRODAJA!M:M,MATCH($A454,PODACI_PRODAJA!$A:$A,0)),0)</f>
        <v>0</v>
      </c>
    </row>
    <row r="455" customFormat="false" ht="15" hidden="false" customHeight="false" outlineLevel="0" collapsed="false">
      <c r="A455" s="11" t="str">
        <f aca="false">PODACI_ZALIHE!A452</f>
        <v>16051</v>
      </c>
      <c r="B455" s="8" t="str">
        <f aca="false">PODACI_ZALIHE!B452</f>
        <v>CRNI POKROV SIFONA TUŠ KADE BOLD</v>
      </c>
      <c r="C455" s="9" t="str">
        <f aca="false">PODACI_ZALIHE!C452</f>
        <v>5517</v>
      </c>
      <c r="D455" s="8" t="str">
        <f aca="false">PODACI_ZALIHE!D452</f>
        <v>NICOS INTERNATIONAL S.P.A.</v>
      </c>
      <c r="E455" s="19" t="n">
        <f aca="false">IF(PODACI_ZALIHE!E452="","",PODACI_ZALIHE!E452)</f>
        <v>9</v>
      </c>
      <c r="F455" s="20" t="n">
        <f aca="false">PODACI_ZALIHE!F452</f>
        <v>9</v>
      </c>
      <c r="G455" s="19" t="n">
        <f aca="false">IF(E455="","",E455-F455)</f>
        <v>0</v>
      </c>
      <c r="H455" s="9" t="n">
        <f aca="false">PODACI_PRODAJA!N249</f>
        <v>0.5</v>
      </c>
      <c r="I455" s="21" t="n">
        <f aca="false">IF(H455&lt;=0,999,ROUND(F455/H455,1))</f>
        <v>18</v>
      </c>
      <c r="J455" s="9" t="n">
        <f aca="false">SUMIFS(ROBA_U_DOLASKU!$C$6:$C$95,ROBA_U_DOLASKU!$A$6:$A$95,A455,ROBA_U_DOLASKU!$H$6:$H$95,1)</f>
        <v>0</v>
      </c>
      <c r="K455" s="9" t="n">
        <f aca="false">SUMIFS(ROBA_U_DOLASKU!$B$6:$B$95,ROBA_U_DOLASKU!$A$6:$A$95,A455,ROBA_U_DOLASKU!$H$6:$H$95,1)</f>
        <v>0</v>
      </c>
      <c r="L455" s="9" t="n">
        <f aca="false">SUMIFS(ROBA_U_DOLASKU!$C$6:$C$95,ROBA_U_DOLASKU!$A$6:$A$95,A455,ROBA_U_DOLASKU!$H$6:$H$95,2)</f>
        <v>0</v>
      </c>
      <c r="M455" s="9" t="n">
        <f aca="false">SUMIFS(ROBA_U_DOLASKU!$B$6:$B$95,ROBA_U_DOLASKU!$A$6:$A$95,A455,ROBA_U_DOLASKU!$H$6:$H$95,2)</f>
        <v>0</v>
      </c>
      <c r="N455" s="9" t="n">
        <f aca="false">SUMIFS(ROBA_U_DOLASKU!$C$6:$C$95,ROBA_U_DOLASKU!$A$6:$A$95,A455,ROBA_U_DOLASKU!$H$6:$H$95,3)</f>
        <v>0</v>
      </c>
      <c r="O455" s="9" t="n">
        <f aca="false">SUMIFS(ROBA_U_DOLASKU!$B$6:$B$95,ROBA_U_DOLASKU!$A$6:$A$95,A455,ROBA_U_DOLASKU!$H$6:$H$95,3)</f>
        <v>0</v>
      </c>
      <c r="P455" s="9" t="n">
        <f aca="false">IF(H455&lt;=0,999,IF(O455&gt;0,ROUND((F455-H455*N455+K455+M455+O455)/H455,1),IF(M455&gt;0,ROUND((F455-H455*L455+K455+M455)/H455,1),IF(K455&gt;0,ROUND((F455-H455*J455+K455)/H455,1),I455))))</f>
        <v>18</v>
      </c>
      <c r="Q455" s="22" t="str">
        <f aca="false">IF(H455&lt;=0,"Nema prodaje",IF(AND(K455=0,M455=0,O455=0),IF(I455&lt;POSTAVKE!$B$6,"Naruči odmah","Sve u redu"),IF(F455-H455*J455&lt;0,"Rupa za ~"&amp;TEXT(I455,"0.0")&amp;" mj.",IF(AND(M455&gt;0,F455-H455*L455+K455&lt;0),"Rupa nakon 1. dolaska",IF(AND(O455&gt;0,F455-H455*N455+K455+M455&lt;0),"Rupa nakon 2. dolaska",IF(P455&lt;POSTAVKE!$B$6,"Količina nije dovoljna",IF(I455&gt;=POSTAVKE!$B$6,"Sve u redu","Stiže na vrijeme")))))))</f>
        <v>Sve u redu</v>
      </c>
      <c r="S455" s="23" t="n">
        <f aca="false">IFERROR(INDEX(PODACI_PRODAJA!B:B,MATCH($A455,PODACI_PRODAJA!$A:$A,0)),0)</f>
        <v>1</v>
      </c>
      <c r="T455" s="23" t="n">
        <f aca="false">IFERROR(INDEX(PODACI_PRODAJA!C:C,MATCH($A455,PODACI_PRODAJA!$A:$A,0)),0)</f>
        <v>1</v>
      </c>
      <c r="U455" s="23" t="n">
        <f aca="false">IFERROR(INDEX(PODACI_PRODAJA!D:D,MATCH($A455,PODACI_PRODAJA!$A:$A,0)),0)</f>
        <v>0</v>
      </c>
      <c r="V455" s="23" t="n">
        <f aca="false">IFERROR(INDEX(PODACI_PRODAJA!E:E,MATCH($A455,PODACI_PRODAJA!$A:$A,0)),0)</f>
        <v>1</v>
      </c>
      <c r="W455" s="23" t="n">
        <f aca="false">IFERROR(INDEX(PODACI_PRODAJA!F:F,MATCH($A455,PODACI_PRODAJA!$A:$A,0)),0)</f>
        <v>0</v>
      </c>
      <c r="X455" s="23" t="n">
        <f aca="false">IFERROR(INDEX(PODACI_PRODAJA!G:G,MATCH($A455,PODACI_PRODAJA!$A:$A,0)),0)</f>
        <v>0</v>
      </c>
      <c r="Y455" s="23" t="n">
        <f aca="false">IFERROR(INDEX(PODACI_PRODAJA!H:H,MATCH($A455,PODACI_PRODAJA!$A:$A,0)),0)</f>
        <v>0</v>
      </c>
      <c r="Z455" s="23" t="n">
        <f aca="false">IFERROR(INDEX(PODACI_PRODAJA!I:I,MATCH($A455,PODACI_PRODAJA!$A:$A,0)),0)</f>
        <v>1</v>
      </c>
      <c r="AA455" s="23" t="n">
        <f aca="false">IFERROR(INDEX(PODACI_PRODAJA!J:J,MATCH($A455,PODACI_PRODAJA!$A:$A,0)),0)</f>
        <v>0</v>
      </c>
      <c r="AB455" s="23" t="n">
        <f aca="false">IFERROR(INDEX(PODACI_PRODAJA!K:K,MATCH($A455,PODACI_PRODAJA!$A:$A,0)),0)</f>
        <v>0</v>
      </c>
      <c r="AC455" s="23" t="n">
        <f aca="false">IFERROR(INDEX(PODACI_PRODAJA!L:L,MATCH($A455,PODACI_PRODAJA!$A:$A,0)),0)</f>
        <v>0</v>
      </c>
      <c r="AD455" s="23" t="n">
        <f aca="false">IFERROR(INDEX(PODACI_PRODAJA!M:M,MATCH($A455,PODACI_PRODAJA!$A:$A,0)),0)</f>
        <v>0</v>
      </c>
    </row>
    <row r="456" customFormat="false" ht="15" hidden="false" customHeight="false" outlineLevel="0" collapsed="false">
      <c r="A456" s="11" t="str">
        <f aca="false">PODACI_ZALIHE!A453</f>
        <v>16963</v>
      </c>
      <c r="B456" s="8" t="str">
        <f aca="false">PODACI_ZALIHE!B453</f>
        <v>CLEAR SIDE 80 BLACK STAKLENA STRANICA 800x1950 mm</v>
      </c>
      <c r="C456" s="9" t="str">
        <f aca="false">PODACI_ZALIHE!C453</f>
        <v>6163</v>
      </c>
      <c r="D456" s="8" t="str">
        <f aca="false">PODACI_ZALIHE!D453</f>
        <v>HANGZHOU TIANMEI INDUSTRY CO.,LTD</v>
      </c>
      <c r="E456" s="19" t="n">
        <f aca="false">IF(PODACI_ZALIHE!E453="","",PODACI_ZALIHE!E453)</f>
        <v>9</v>
      </c>
      <c r="F456" s="20" t="n">
        <f aca="false">PODACI_ZALIHE!F453</f>
        <v>9</v>
      </c>
      <c r="G456" s="19" t="n">
        <f aca="false">IF(E456="","",E456-F456)</f>
        <v>0</v>
      </c>
      <c r="H456" s="9" t="n">
        <f aca="false">PODACI_PRODAJA!N122</f>
        <v>4.38</v>
      </c>
      <c r="I456" s="21" t="n">
        <f aca="false">IF(H456&lt;=0,999,ROUND(F456/H456,1))</f>
        <v>2.1</v>
      </c>
      <c r="J456" s="9" t="n">
        <f aca="false">SUMIFS(ROBA_U_DOLASKU!$C$6:$C$95,ROBA_U_DOLASKU!$A$6:$A$95,A456,ROBA_U_DOLASKU!$H$6:$H$95,1)</f>
        <v>2.4</v>
      </c>
      <c r="K456" s="9" t="n">
        <f aca="false">SUMIFS(ROBA_U_DOLASKU!$B$6:$B$95,ROBA_U_DOLASKU!$A$6:$A$95,A456,ROBA_U_DOLASKU!$H$6:$H$95,1)</f>
        <v>20</v>
      </c>
      <c r="L456" s="9" t="n">
        <f aca="false">SUMIFS(ROBA_U_DOLASKU!$C$6:$C$95,ROBA_U_DOLASKU!$A$6:$A$95,A456,ROBA_U_DOLASKU!$H$6:$H$95,2)</f>
        <v>0</v>
      </c>
      <c r="M456" s="9" t="n">
        <f aca="false">SUMIFS(ROBA_U_DOLASKU!$B$6:$B$95,ROBA_U_DOLASKU!$A$6:$A$95,A456,ROBA_U_DOLASKU!$H$6:$H$95,2)</f>
        <v>0</v>
      </c>
      <c r="N456" s="9" t="n">
        <f aca="false">SUMIFS(ROBA_U_DOLASKU!$C$6:$C$95,ROBA_U_DOLASKU!$A$6:$A$95,A456,ROBA_U_DOLASKU!$H$6:$H$95,3)</f>
        <v>0</v>
      </c>
      <c r="O456" s="9" t="n">
        <f aca="false">SUMIFS(ROBA_U_DOLASKU!$B$6:$B$95,ROBA_U_DOLASKU!$A$6:$A$95,A456,ROBA_U_DOLASKU!$H$6:$H$95,3)</f>
        <v>0</v>
      </c>
      <c r="P456" s="9" t="n">
        <f aca="false">IF(H456&lt;=0,999,IF(O456&gt;0,ROUND((F456-H456*N456+K456+M456+O456)/H456,1),IF(M456&gt;0,ROUND((F456-H456*L456+K456+M456)/H456,1),IF(K456&gt;0,ROUND((F456-H456*J456+K456)/H456,1),I456))))</f>
        <v>4.2</v>
      </c>
      <c r="Q456" s="22" t="str">
        <f aca="false">IF(H456&lt;=0,"Nema prodaje",IF(AND(K456=0,M456=0,O456=0),IF(I456&lt;POSTAVKE!$B$6,"Naruči odmah","Sve u redu"),IF(F456-H456*J456&lt;0,"Rupa za ~"&amp;TEXT(I456,"0.0")&amp;" mj.",IF(AND(M456&gt;0,F456-H456*L456+K456&lt;0),"Rupa nakon 1. dolaska",IF(AND(O456&gt;0,F456-H456*N456+K456+M456&lt;0),"Rupa nakon 2. dolaska",IF(P456&lt;POSTAVKE!$B$6,"Količina nije dovoljna",IF(I456&gt;=POSTAVKE!$B$6,"Sve u redu","Stiže na vrijeme")))))))</f>
        <v>Rupa za ~2.1 mj.</v>
      </c>
      <c r="S456" s="23" t="n">
        <f aca="false">IFERROR(INDEX(PODACI_PRODAJA!B:B,MATCH($A456,PODACI_PRODAJA!$A:$A,0)),0)</f>
        <v>5</v>
      </c>
      <c r="T456" s="23" t="n">
        <f aca="false">IFERROR(INDEX(PODACI_PRODAJA!C:C,MATCH($A456,PODACI_PRODAJA!$A:$A,0)),0)</f>
        <v>2</v>
      </c>
      <c r="U456" s="23" t="n">
        <f aca="false">IFERROR(INDEX(PODACI_PRODAJA!D:D,MATCH($A456,PODACI_PRODAJA!$A:$A,0)),0)</f>
        <v>0</v>
      </c>
      <c r="V456" s="23" t="n">
        <f aca="false">IFERROR(INDEX(PODACI_PRODAJA!E:E,MATCH($A456,PODACI_PRODAJA!$A:$A,0)),0)</f>
        <v>9</v>
      </c>
      <c r="W456" s="23" t="n">
        <f aca="false">IFERROR(INDEX(PODACI_PRODAJA!F:F,MATCH($A456,PODACI_PRODAJA!$A:$A,0)),0)</f>
        <v>3</v>
      </c>
      <c r="X456" s="23" t="n">
        <f aca="false">IFERROR(INDEX(PODACI_PRODAJA!G:G,MATCH($A456,PODACI_PRODAJA!$A:$A,0)),0)</f>
        <v>7</v>
      </c>
      <c r="Y456" s="23" t="n">
        <f aca="false">IFERROR(INDEX(PODACI_PRODAJA!H:H,MATCH($A456,PODACI_PRODAJA!$A:$A,0)),0)</f>
        <v>6</v>
      </c>
      <c r="Z456" s="23" t="n">
        <f aca="false">IFERROR(INDEX(PODACI_PRODAJA!I:I,MATCH($A456,PODACI_PRODAJA!$A:$A,0)),0)</f>
        <v>3</v>
      </c>
      <c r="AA456" s="23" t="n">
        <f aca="false">IFERROR(INDEX(PODACI_PRODAJA!J:J,MATCH($A456,PODACI_PRODAJA!$A:$A,0)),0)</f>
        <v>0</v>
      </c>
      <c r="AB456" s="23" t="n">
        <f aca="false">IFERROR(INDEX(PODACI_PRODAJA!K:K,MATCH($A456,PODACI_PRODAJA!$A:$A,0)),0)</f>
        <v>0</v>
      </c>
      <c r="AC456" s="23" t="n">
        <f aca="false">IFERROR(INDEX(PODACI_PRODAJA!L:L,MATCH($A456,PODACI_PRODAJA!$A:$A,0)),0)</f>
        <v>0</v>
      </c>
      <c r="AD456" s="23" t="n">
        <f aca="false">IFERROR(INDEX(PODACI_PRODAJA!M:M,MATCH($A456,PODACI_PRODAJA!$A:$A,0)),0)</f>
        <v>0</v>
      </c>
    </row>
    <row r="457" customFormat="false" ht="15" hidden="false" customHeight="false" outlineLevel="0" collapsed="false">
      <c r="A457" s="11" t="str">
        <f aca="false">PODACI_ZALIHE!A454</f>
        <v>16971</v>
      </c>
      <c r="B457" s="8" t="str">
        <f aca="false">PODACI_ZALIHE!B454</f>
        <v>CLEAR SIDE 100 CHROME STAKLENA STRANICA 1000x1950 mm</v>
      </c>
      <c r="C457" s="9" t="str">
        <f aca="false">PODACI_ZALIHE!C454</f>
        <v>6163</v>
      </c>
      <c r="D457" s="8" t="str">
        <f aca="false">PODACI_ZALIHE!D454</f>
        <v>HANGZHOU TIANMEI INDUSTRY CO.,LTD</v>
      </c>
      <c r="E457" s="19" t="n">
        <f aca="false">IF(PODACI_ZALIHE!E454="","",PODACI_ZALIHE!E454)</f>
        <v>9</v>
      </c>
      <c r="F457" s="20" t="n">
        <f aca="false">PODACI_ZALIHE!F454</f>
        <v>9</v>
      </c>
      <c r="G457" s="19" t="n">
        <f aca="false">IF(E457="","",E457-F457)</f>
        <v>0</v>
      </c>
      <c r="H457" s="9" t="n">
        <f aca="false">PODACI_PRODAJA!N584</f>
        <v>0.13</v>
      </c>
      <c r="I457" s="21" t="n">
        <f aca="false">IF(H457&lt;=0,999,ROUND(F457/H457,1))</f>
        <v>69.2</v>
      </c>
      <c r="J457" s="9" t="n">
        <f aca="false">SUMIFS(ROBA_U_DOLASKU!$C$6:$C$95,ROBA_U_DOLASKU!$A$6:$A$95,A457,ROBA_U_DOLASKU!$H$6:$H$95,1)</f>
        <v>0</v>
      </c>
      <c r="K457" s="9" t="n">
        <f aca="false">SUMIFS(ROBA_U_DOLASKU!$B$6:$B$95,ROBA_U_DOLASKU!$A$6:$A$95,A457,ROBA_U_DOLASKU!$H$6:$H$95,1)</f>
        <v>0</v>
      </c>
      <c r="L457" s="9" t="n">
        <f aca="false">SUMIFS(ROBA_U_DOLASKU!$C$6:$C$95,ROBA_U_DOLASKU!$A$6:$A$95,A457,ROBA_U_DOLASKU!$H$6:$H$95,2)</f>
        <v>0</v>
      </c>
      <c r="M457" s="9" t="n">
        <f aca="false">SUMIFS(ROBA_U_DOLASKU!$B$6:$B$95,ROBA_U_DOLASKU!$A$6:$A$95,A457,ROBA_U_DOLASKU!$H$6:$H$95,2)</f>
        <v>0</v>
      </c>
      <c r="N457" s="9" t="n">
        <f aca="false">SUMIFS(ROBA_U_DOLASKU!$C$6:$C$95,ROBA_U_DOLASKU!$A$6:$A$95,A457,ROBA_U_DOLASKU!$H$6:$H$95,3)</f>
        <v>0</v>
      </c>
      <c r="O457" s="9" t="n">
        <f aca="false">SUMIFS(ROBA_U_DOLASKU!$B$6:$B$95,ROBA_U_DOLASKU!$A$6:$A$95,A457,ROBA_U_DOLASKU!$H$6:$H$95,3)</f>
        <v>0</v>
      </c>
      <c r="P457" s="9" t="n">
        <f aca="false">IF(H457&lt;=0,999,IF(O457&gt;0,ROUND((F457-H457*N457+K457+M457+O457)/H457,1),IF(M457&gt;0,ROUND((F457-H457*L457+K457+M457)/H457,1),IF(K457&gt;0,ROUND((F457-H457*J457+K457)/H457,1),I457))))</f>
        <v>69.2</v>
      </c>
      <c r="Q457" s="22" t="str">
        <f aca="false">IF(H457&lt;=0,"Nema prodaje",IF(AND(K457=0,M457=0,O457=0),IF(I457&lt;POSTAVKE!$B$6,"Naruči odmah","Sve u redu"),IF(F457-H457*J457&lt;0,"Rupa za ~"&amp;TEXT(I457,"0.0")&amp;" mj.",IF(AND(M457&gt;0,F457-H457*L457+K457&lt;0),"Rupa nakon 1. dolaska",IF(AND(O457&gt;0,F457-H457*N457+K457+M457&lt;0),"Rupa nakon 2. dolaska",IF(P457&lt;POSTAVKE!$B$6,"Količina nije dovoljna",IF(I457&gt;=POSTAVKE!$B$6,"Sve u redu","Stiže na vrijeme")))))))</f>
        <v>Sve u redu</v>
      </c>
      <c r="S457" s="23" t="n">
        <f aca="false">IFERROR(INDEX(PODACI_PRODAJA!B:B,MATCH($A457,PODACI_PRODAJA!$A:$A,0)),0)</f>
        <v>0</v>
      </c>
      <c r="T457" s="23" t="n">
        <f aca="false">IFERROR(INDEX(PODACI_PRODAJA!C:C,MATCH($A457,PODACI_PRODAJA!$A:$A,0)),0)</f>
        <v>0</v>
      </c>
      <c r="U457" s="23" t="n">
        <f aca="false">IFERROR(INDEX(PODACI_PRODAJA!D:D,MATCH($A457,PODACI_PRODAJA!$A:$A,0)),0)</f>
        <v>0</v>
      </c>
      <c r="V457" s="23" t="n">
        <f aca="false">IFERROR(INDEX(PODACI_PRODAJA!E:E,MATCH($A457,PODACI_PRODAJA!$A:$A,0)),0)</f>
        <v>0</v>
      </c>
      <c r="W457" s="23" t="n">
        <f aca="false">IFERROR(INDEX(PODACI_PRODAJA!F:F,MATCH($A457,PODACI_PRODAJA!$A:$A,0)),0)</f>
        <v>1</v>
      </c>
      <c r="X457" s="23" t="n">
        <f aca="false">IFERROR(INDEX(PODACI_PRODAJA!G:G,MATCH($A457,PODACI_PRODAJA!$A:$A,0)),0)</f>
        <v>0</v>
      </c>
      <c r="Y457" s="23" t="n">
        <f aca="false">IFERROR(INDEX(PODACI_PRODAJA!H:H,MATCH($A457,PODACI_PRODAJA!$A:$A,0)),0)</f>
        <v>0</v>
      </c>
      <c r="Z457" s="23" t="n">
        <f aca="false">IFERROR(INDEX(PODACI_PRODAJA!I:I,MATCH($A457,PODACI_PRODAJA!$A:$A,0)),0)</f>
        <v>0</v>
      </c>
      <c r="AA457" s="23" t="n">
        <f aca="false">IFERROR(INDEX(PODACI_PRODAJA!J:J,MATCH($A457,PODACI_PRODAJA!$A:$A,0)),0)</f>
        <v>0</v>
      </c>
      <c r="AB457" s="23" t="n">
        <f aca="false">IFERROR(INDEX(PODACI_PRODAJA!K:K,MATCH($A457,PODACI_PRODAJA!$A:$A,0)),0)</f>
        <v>0</v>
      </c>
      <c r="AC457" s="23" t="n">
        <f aca="false">IFERROR(INDEX(PODACI_PRODAJA!L:L,MATCH($A457,PODACI_PRODAJA!$A:$A,0)),0)</f>
        <v>0</v>
      </c>
      <c r="AD457" s="23" t="n">
        <f aca="false">IFERROR(INDEX(PODACI_PRODAJA!M:M,MATCH($A457,PODACI_PRODAJA!$A:$A,0)),0)</f>
        <v>0</v>
      </c>
    </row>
    <row r="458" customFormat="false" ht="15" hidden="false" customHeight="false" outlineLevel="0" collapsed="false">
      <c r="A458" s="11" t="str">
        <f aca="false">PODACI_ZALIHE!A455</f>
        <v>17191</v>
      </c>
      <c r="B458" s="8" t="str">
        <f aca="false">PODACI_ZALIHE!B455</f>
        <v>VIVID VISEĆI BIDE 485x365x325 mm</v>
      </c>
      <c r="C458" s="9" t="n">
        <f aca="false">PODACI_ZALIHE!C455</f>
        <v>0</v>
      </c>
      <c r="D458" s="8" t="n">
        <f aca="false">PODACI_ZALIHE!D455</f>
        <v>0</v>
      </c>
      <c r="E458" s="19" t="n">
        <f aca="false">IF(PODACI_ZALIHE!E455="","",PODACI_ZALIHE!E455)</f>
        <v>9</v>
      </c>
      <c r="F458" s="20" t="n">
        <f aca="false">PODACI_ZALIHE!F455</f>
        <v>9</v>
      </c>
      <c r="G458" s="19" t="n">
        <f aca="false">IF(E458="","",E458-F458)</f>
        <v>0</v>
      </c>
      <c r="H458" s="9" t="n">
        <f aca="false">PODACI_PRODAJA!N266</f>
        <v>0.13</v>
      </c>
      <c r="I458" s="21" t="n">
        <f aca="false">IF(H458&lt;=0,999,ROUND(F458/H458,1))</f>
        <v>69.2</v>
      </c>
      <c r="J458" s="9" t="n">
        <f aca="false">SUMIFS(ROBA_U_DOLASKU!$C$6:$C$95,ROBA_U_DOLASKU!$A$6:$A$95,A458,ROBA_U_DOLASKU!$H$6:$H$95,1)</f>
        <v>0</v>
      </c>
      <c r="K458" s="9" t="n">
        <f aca="false">SUMIFS(ROBA_U_DOLASKU!$B$6:$B$95,ROBA_U_DOLASKU!$A$6:$A$95,A458,ROBA_U_DOLASKU!$H$6:$H$95,1)</f>
        <v>0</v>
      </c>
      <c r="L458" s="9" t="n">
        <f aca="false">SUMIFS(ROBA_U_DOLASKU!$C$6:$C$95,ROBA_U_DOLASKU!$A$6:$A$95,A458,ROBA_U_DOLASKU!$H$6:$H$95,2)</f>
        <v>0</v>
      </c>
      <c r="M458" s="9" t="n">
        <f aca="false">SUMIFS(ROBA_U_DOLASKU!$B$6:$B$95,ROBA_U_DOLASKU!$A$6:$A$95,A458,ROBA_U_DOLASKU!$H$6:$H$95,2)</f>
        <v>0</v>
      </c>
      <c r="N458" s="9" t="n">
        <f aca="false">SUMIFS(ROBA_U_DOLASKU!$C$6:$C$95,ROBA_U_DOLASKU!$A$6:$A$95,A458,ROBA_U_DOLASKU!$H$6:$H$95,3)</f>
        <v>0</v>
      </c>
      <c r="O458" s="9" t="n">
        <f aca="false">SUMIFS(ROBA_U_DOLASKU!$B$6:$B$95,ROBA_U_DOLASKU!$A$6:$A$95,A458,ROBA_U_DOLASKU!$H$6:$H$95,3)</f>
        <v>0</v>
      </c>
      <c r="P458" s="9" t="n">
        <f aca="false">IF(H458&lt;=0,999,IF(O458&gt;0,ROUND((F458-H458*N458+K458+M458+O458)/H458,1),IF(M458&gt;0,ROUND((F458-H458*L458+K458+M458)/H458,1),IF(K458&gt;0,ROUND((F458-H458*J458+K458)/H458,1),I458))))</f>
        <v>69.2</v>
      </c>
      <c r="Q458" s="22" t="str">
        <f aca="false">IF(H458&lt;=0,"Nema prodaje",IF(AND(K458=0,M458=0,O458=0),IF(I458&lt;POSTAVKE!$B$6,"Naruči odmah","Sve u redu"),IF(F458-H458*J458&lt;0,"Rupa za ~"&amp;TEXT(I458,"0.0")&amp;" mj.",IF(AND(M458&gt;0,F458-H458*L458+K458&lt;0),"Rupa nakon 1. dolaska",IF(AND(O458&gt;0,F458-H458*N458+K458+M458&lt;0),"Rupa nakon 2. dolaska",IF(P458&lt;POSTAVKE!$B$6,"Količina nije dovoljna",IF(I458&gt;=POSTAVKE!$B$6,"Sve u redu","Stiže na vrijeme")))))))</f>
        <v>Sve u redu</v>
      </c>
      <c r="S458" s="23" t="n">
        <f aca="false">IFERROR(INDEX(PODACI_PRODAJA!B:B,MATCH($A458,PODACI_PRODAJA!$A:$A,0)),0)</f>
        <v>1</v>
      </c>
      <c r="T458" s="23" t="n">
        <f aca="false">IFERROR(INDEX(PODACI_PRODAJA!C:C,MATCH($A458,PODACI_PRODAJA!$A:$A,0)),0)</f>
        <v>0</v>
      </c>
      <c r="U458" s="23" t="n">
        <f aca="false">IFERROR(INDEX(PODACI_PRODAJA!D:D,MATCH($A458,PODACI_PRODAJA!$A:$A,0)),0)</f>
        <v>0</v>
      </c>
      <c r="V458" s="23" t="n">
        <f aca="false">IFERROR(INDEX(PODACI_PRODAJA!E:E,MATCH($A458,PODACI_PRODAJA!$A:$A,0)),0)</f>
        <v>0</v>
      </c>
      <c r="W458" s="23" t="n">
        <f aca="false">IFERROR(INDEX(PODACI_PRODAJA!F:F,MATCH($A458,PODACI_PRODAJA!$A:$A,0)),0)</f>
        <v>0</v>
      </c>
      <c r="X458" s="23" t="n">
        <f aca="false">IFERROR(INDEX(PODACI_PRODAJA!G:G,MATCH($A458,PODACI_PRODAJA!$A:$A,0)),0)</f>
        <v>0</v>
      </c>
      <c r="Y458" s="23" t="n">
        <f aca="false">IFERROR(INDEX(PODACI_PRODAJA!H:H,MATCH($A458,PODACI_PRODAJA!$A:$A,0)),0)</f>
        <v>0</v>
      </c>
      <c r="Z458" s="23" t="n">
        <f aca="false">IFERROR(INDEX(PODACI_PRODAJA!I:I,MATCH($A458,PODACI_PRODAJA!$A:$A,0)),0)</f>
        <v>0</v>
      </c>
      <c r="AA458" s="23" t="n">
        <f aca="false">IFERROR(INDEX(PODACI_PRODAJA!J:J,MATCH($A458,PODACI_PRODAJA!$A:$A,0)),0)</f>
        <v>0</v>
      </c>
      <c r="AB458" s="23" t="n">
        <f aca="false">IFERROR(INDEX(PODACI_PRODAJA!K:K,MATCH($A458,PODACI_PRODAJA!$A:$A,0)),0)</f>
        <v>0</v>
      </c>
      <c r="AC458" s="23" t="n">
        <f aca="false">IFERROR(INDEX(PODACI_PRODAJA!L:L,MATCH($A458,PODACI_PRODAJA!$A:$A,0)),0)</f>
        <v>0</v>
      </c>
      <c r="AD458" s="23" t="n">
        <f aca="false">IFERROR(INDEX(PODACI_PRODAJA!M:M,MATCH($A458,PODACI_PRODAJA!$A:$A,0)),0)</f>
        <v>0</v>
      </c>
    </row>
    <row r="459" customFormat="false" ht="15" hidden="false" customHeight="false" outlineLevel="0" collapsed="false">
      <c r="A459" s="11" t="str">
        <f aca="false">PODACI_ZALIHE!A456</f>
        <v>18562</v>
      </c>
      <c r="B459" s="8" t="str">
        <f aca="false">PODACI_ZALIHE!B456</f>
        <v>VETRO BRILLIANCE LINE CHROME 120 TUŠ STIJENA 120x200cm</v>
      </c>
      <c r="C459" s="9" t="str">
        <f aca="false">PODACI_ZALIHE!C456</f>
        <v>6762</v>
      </c>
      <c r="D459" s="8" t="str">
        <f aca="false">PODACI_ZALIHE!D456</f>
        <v>ZHEJIANG QUICKLINE SHOWERING CO., LTD.</v>
      </c>
      <c r="E459" s="19" t="n">
        <f aca="false">IF(PODACI_ZALIHE!E456="","",PODACI_ZALIHE!E456)</f>
        <v>9</v>
      </c>
      <c r="F459" s="20" t="n">
        <f aca="false">PODACI_ZALIHE!F456</f>
        <v>9</v>
      </c>
      <c r="G459" s="19" t="n">
        <f aca="false">IF(E459="","",E459-F459)</f>
        <v>0</v>
      </c>
      <c r="H459" s="9" t="n">
        <f aca="false">PODACI_PRODAJA!N286</f>
        <v>2.38</v>
      </c>
      <c r="I459" s="21" t="n">
        <f aca="false">IF(H459&lt;=0,999,ROUND(F459/H459,1))</f>
        <v>3.8</v>
      </c>
      <c r="J459" s="9" t="n">
        <f aca="false">SUMIFS(ROBA_U_DOLASKU!$C$6:$C$95,ROBA_U_DOLASKU!$A$6:$A$95,A459,ROBA_U_DOLASKU!$H$6:$H$95,1)</f>
        <v>1</v>
      </c>
      <c r="K459" s="9" t="n">
        <f aca="false">SUMIFS(ROBA_U_DOLASKU!$B$6:$B$95,ROBA_U_DOLASKU!$A$6:$A$95,A459,ROBA_U_DOLASKU!$H$6:$H$95,1)</f>
        <v>20</v>
      </c>
      <c r="L459" s="9" t="n">
        <f aca="false">SUMIFS(ROBA_U_DOLASKU!$C$6:$C$95,ROBA_U_DOLASKU!$A$6:$A$95,A459,ROBA_U_DOLASKU!$H$6:$H$95,2)</f>
        <v>0</v>
      </c>
      <c r="M459" s="9" t="n">
        <f aca="false">SUMIFS(ROBA_U_DOLASKU!$B$6:$B$95,ROBA_U_DOLASKU!$A$6:$A$95,A459,ROBA_U_DOLASKU!$H$6:$H$95,2)</f>
        <v>0</v>
      </c>
      <c r="N459" s="9" t="n">
        <f aca="false">SUMIFS(ROBA_U_DOLASKU!$C$6:$C$95,ROBA_U_DOLASKU!$A$6:$A$95,A459,ROBA_U_DOLASKU!$H$6:$H$95,3)</f>
        <v>0</v>
      </c>
      <c r="O459" s="9" t="n">
        <f aca="false">SUMIFS(ROBA_U_DOLASKU!$B$6:$B$95,ROBA_U_DOLASKU!$A$6:$A$95,A459,ROBA_U_DOLASKU!$H$6:$H$95,3)</f>
        <v>0</v>
      </c>
      <c r="P459" s="9" t="n">
        <f aca="false">IF(H459&lt;=0,999,IF(O459&gt;0,ROUND((F459-H459*N459+K459+M459+O459)/H459,1),IF(M459&gt;0,ROUND((F459-H459*L459+K459+M459)/H459,1),IF(K459&gt;0,ROUND((F459-H459*J459+K459)/H459,1),I459))))</f>
        <v>11.2</v>
      </c>
      <c r="Q459" s="22" t="str">
        <f aca="false">IF(H459&lt;=0,"Nema prodaje",IF(AND(K459=0,M459=0,O459=0),IF(I459&lt;POSTAVKE!$B$6,"Naruči odmah","Sve u redu"),IF(F459-H459*J459&lt;0,"Rupa za ~"&amp;TEXT(I459,"0.0")&amp;" mj.",IF(AND(M459&gt;0,F459-H459*L459+K459&lt;0),"Rupa nakon 1. dolaska",IF(AND(O459&gt;0,F459-H459*N459+K459+M459&lt;0),"Rupa nakon 2. dolaska",IF(P459&lt;POSTAVKE!$B$6,"Količina nije dovoljna",IF(I459&gt;=POSTAVKE!$B$6,"Sve u redu","Stiže na vrijeme")))))))</f>
        <v>Stiže na vrijeme</v>
      </c>
      <c r="S459" s="23" t="n">
        <f aca="false">IFERROR(INDEX(PODACI_PRODAJA!B:B,MATCH($A459,PODACI_PRODAJA!$A:$A,0)),0)</f>
        <v>1</v>
      </c>
      <c r="T459" s="23" t="n">
        <f aca="false">IFERROR(INDEX(PODACI_PRODAJA!C:C,MATCH($A459,PODACI_PRODAJA!$A:$A,0)),0)</f>
        <v>0</v>
      </c>
      <c r="U459" s="23" t="n">
        <f aca="false">IFERROR(INDEX(PODACI_PRODAJA!D:D,MATCH($A459,PODACI_PRODAJA!$A:$A,0)),0)</f>
        <v>0</v>
      </c>
      <c r="V459" s="23" t="n">
        <f aca="false">IFERROR(INDEX(PODACI_PRODAJA!E:E,MATCH($A459,PODACI_PRODAJA!$A:$A,0)),0)</f>
        <v>2</v>
      </c>
      <c r="W459" s="23" t="n">
        <f aca="false">IFERROR(INDEX(PODACI_PRODAJA!F:F,MATCH($A459,PODACI_PRODAJA!$A:$A,0)),0)</f>
        <v>2</v>
      </c>
      <c r="X459" s="23" t="n">
        <f aca="false">IFERROR(INDEX(PODACI_PRODAJA!G:G,MATCH($A459,PODACI_PRODAJA!$A:$A,0)),0)</f>
        <v>4</v>
      </c>
      <c r="Y459" s="23" t="n">
        <f aca="false">IFERROR(INDEX(PODACI_PRODAJA!H:H,MATCH($A459,PODACI_PRODAJA!$A:$A,0)),0)</f>
        <v>3</v>
      </c>
      <c r="Z459" s="23" t="n">
        <f aca="false">IFERROR(INDEX(PODACI_PRODAJA!I:I,MATCH($A459,PODACI_PRODAJA!$A:$A,0)),0)</f>
        <v>7</v>
      </c>
      <c r="AA459" s="23" t="n">
        <f aca="false">IFERROR(INDEX(PODACI_PRODAJA!J:J,MATCH($A459,PODACI_PRODAJA!$A:$A,0)),0)</f>
        <v>0</v>
      </c>
      <c r="AB459" s="23" t="n">
        <f aca="false">IFERROR(INDEX(PODACI_PRODAJA!K:K,MATCH($A459,PODACI_PRODAJA!$A:$A,0)),0)</f>
        <v>0</v>
      </c>
      <c r="AC459" s="23" t="n">
        <f aca="false">IFERROR(INDEX(PODACI_PRODAJA!L:L,MATCH($A459,PODACI_PRODAJA!$A:$A,0)),0)</f>
        <v>0</v>
      </c>
      <c r="AD459" s="23" t="n">
        <f aca="false">IFERROR(INDEX(PODACI_PRODAJA!M:M,MATCH($A459,PODACI_PRODAJA!$A:$A,0)),0)</f>
        <v>0</v>
      </c>
    </row>
    <row r="460" customFormat="false" ht="15" hidden="false" customHeight="false" outlineLevel="0" collapsed="false">
      <c r="A460" s="11" t="str">
        <f aca="false">PODACI_ZALIHE!A457</f>
        <v>18702</v>
      </c>
      <c r="B460" s="8" t="str">
        <f aca="false">PODACI_ZALIHE!B457</f>
        <v>VETRO MIRROR 90 BLACK TUŠ STIJENA 90x200 cm</v>
      </c>
      <c r="C460" s="9" t="str">
        <f aca="false">PODACI_ZALIHE!C457</f>
        <v>3933</v>
      </c>
      <c r="D460" s="8" t="str">
        <f aca="false">PODACI_ZALIHE!D457</f>
        <v>PINGHU AONISI SANITARY WARE CO.,LTD</v>
      </c>
      <c r="E460" s="19" t="n">
        <f aca="false">IF(PODACI_ZALIHE!E457="","",PODACI_ZALIHE!E457)</f>
        <v>9</v>
      </c>
      <c r="F460" s="20" t="n">
        <f aca="false">PODACI_ZALIHE!F457</f>
        <v>9</v>
      </c>
      <c r="G460" s="19" t="n">
        <f aca="false">IF(E460="","",E460-F460)</f>
        <v>0</v>
      </c>
      <c r="H460" s="9" t="n">
        <f aca="false">PODACI_PRODAJA!N694</f>
        <v>0.13</v>
      </c>
      <c r="I460" s="21" t="n">
        <f aca="false">IF(H460&lt;=0,999,ROUND(F460/H460,1))</f>
        <v>69.2</v>
      </c>
      <c r="J460" s="9" t="n">
        <f aca="false">SUMIFS(ROBA_U_DOLASKU!$C$6:$C$95,ROBA_U_DOLASKU!$A$6:$A$95,A460,ROBA_U_DOLASKU!$H$6:$H$95,1)</f>
        <v>0</v>
      </c>
      <c r="K460" s="9" t="n">
        <f aca="false">SUMIFS(ROBA_U_DOLASKU!$B$6:$B$95,ROBA_U_DOLASKU!$A$6:$A$95,A460,ROBA_U_DOLASKU!$H$6:$H$95,1)</f>
        <v>0</v>
      </c>
      <c r="L460" s="9" t="n">
        <f aca="false">SUMIFS(ROBA_U_DOLASKU!$C$6:$C$95,ROBA_U_DOLASKU!$A$6:$A$95,A460,ROBA_U_DOLASKU!$H$6:$H$95,2)</f>
        <v>0</v>
      </c>
      <c r="M460" s="9" t="n">
        <f aca="false">SUMIFS(ROBA_U_DOLASKU!$B$6:$B$95,ROBA_U_DOLASKU!$A$6:$A$95,A460,ROBA_U_DOLASKU!$H$6:$H$95,2)</f>
        <v>0</v>
      </c>
      <c r="N460" s="9" t="n">
        <f aca="false">SUMIFS(ROBA_U_DOLASKU!$C$6:$C$95,ROBA_U_DOLASKU!$A$6:$A$95,A460,ROBA_U_DOLASKU!$H$6:$H$95,3)</f>
        <v>0</v>
      </c>
      <c r="O460" s="9" t="n">
        <f aca="false">SUMIFS(ROBA_U_DOLASKU!$B$6:$B$95,ROBA_U_DOLASKU!$A$6:$A$95,A460,ROBA_U_DOLASKU!$H$6:$H$95,3)</f>
        <v>0</v>
      </c>
      <c r="P460" s="9" t="n">
        <f aca="false">IF(H460&lt;=0,999,IF(O460&gt;0,ROUND((F460-H460*N460+K460+M460+O460)/H460,1),IF(M460&gt;0,ROUND((F460-H460*L460+K460+M460)/H460,1),IF(K460&gt;0,ROUND((F460-H460*J460+K460)/H460,1),I460))))</f>
        <v>69.2</v>
      </c>
      <c r="Q460" s="22" t="str">
        <f aca="false">IF(H460&lt;=0,"Nema prodaje",IF(AND(K460=0,M460=0,O460=0),IF(I460&lt;POSTAVKE!$B$6,"Naruči odmah","Sve u redu"),IF(F460-H460*J460&lt;0,"Rupa za ~"&amp;TEXT(I460,"0.0")&amp;" mj.",IF(AND(M460&gt;0,F460-H460*L460+K460&lt;0),"Rupa nakon 1. dolaska",IF(AND(O460&gt;0,F460-H460*N460+K460+M460&lt;0),"Rupa nakon 2. dolaska",IF(P460&lt;POSTAVKE!$B$6,"Količina nije dovoljna",IF(I460&gt;=POSTAVKE!$B$6,"Sve u redu","Stiže na vrijeme")))))))</f>
        <v>Sve u redu</v>
      </c>
      <c r="S460" s="23" t="n">
        <f aca="false">IFERROR(INDEX(PODACI_PRODAJA!B:B,MATCH($A460,PODACI_PRODAJA!$A:$A,0)),0)</f>
        <v>0</v>
      </c>
      <c r="T460" s="23" t="n">
        <f aca="false">IFERROR(INDEX(PODACI_PRODAJA!C:C,MATCH($A460,PODACI_PRODAJA!$A:$A,0)),0)</f>
        <v>0</v>
      </c>
      <c r="U460" s="23" t="n">
        <f aca="false">IFERROR(INDEX(PODACI_PRODAJA!D:D,MATCH($A460,PODACI_PRODAJA!$A:$A,0)),0)</f>
        <v>0</v>
      </c>
      <c r="V460" s="23" t="n">
        <f aca="false">IFERROR(INDEX(PODACI_PRODAJA!E:E,MATCH($A460,PODACI_PRODAJA!$A:$A,0)),0)</f>
        <v>1</v>
      </c>
      <c r="W460" s="23" t="n">
        <f aca="false">IFERROR(INDEX(PODACI_PRODAJA!F:F,MATCH($A460,PODACI_PRODAJA!$A:$A,0)),0)</f>
        <v>0</v>
      </c>
      <c r="X460" s="23" t="n">
        <f aca="false">IFERROR(INDEX(PODACI_PRODAJA!G:G,MATCH($A460,PODACI_PRODAJA!$A:$A,0)),0)</f>
        <v>0</v>
      </c>
      <c r="Y460" s="23" t="n">
        <f aca="false">IFERROR(INDEX(PODACI_PRODAJA!H:H,MATCH($A460,PODACI_PRODAJA!$A:$A,0)),0)</f>
        <v>0</v>
      </c>
      <c r="Z460" s="23" t="n">
        <f aca="false">IFERROR(INDEX(PODACI_PRODAJA!I:I,MATCH($A460,PODACI_PRODAJA!$A:$A,0)),0)</f>
        <v>0</v>
      </c>
      <c r="AA460" s="23" t="n">
        <f aca="false">IFERROR(INDEX(PODACI_PRODAJA!J:J,MATCH($A460,PODACI_PRODAJA!$A:$A,0)),0)</f>
        <v>0</v>
      </c>
      <c r="AB460" s="23" t="n">
        <f aca="false">IFERROR(INDEX(PODACI_PRODAJA!K:K,MATCH($A460,PODACI_PRODAJA!$A:$A,0)),0)</f>
        <v>0</v>
      </c>
      <c r="AC460" s="23" t="n">
        <f aca="false">IFERROR(INDEX(PODACI_PRODAJA!L:L,MATCH($A460,PODACI_PRODAJA!$A:$A,0)),0)</f>
        <v>0</v>
      </c>
      <c r="AD460" s="23" t="n">
        <f aca="false">IFERROR(INDEX(PODACI_PRODAJA!M:M,MATCH($A460,PODACI_PRODAJA!$A:$A,0)),0)</f>
        <v>0</v>
      </c>
    </row>
    <row r="461" customFormat="false" ht="15" hidden="false" customHeight="false" outlineLevel="0" collapsed="false">
      <c r="A461" s="11" t="str">
        <f aca="false">PODACI_ZALIHE!A458</f>
        <v>26670001</v>
      </c>
      <c r="B461" s="8" t="str">
        <f aca="false">PODACI_ZALIHE!B458</f>
        <v>GROHE TEMPESTA 250 TUŠ SISTEM, KROM</v>
      </c>
      <c r="C461" s="9" t="str">
        <f aca="false">PODACI_ZALIHE!C458</f>
        <v>4499</v>
      </c>
      <c r="D461" s="8" t="str">
        <f aca="false">PODACI_ZALIHE!D458</f>
        <v>THS D.O.O.</v>
      </c>
      <c r="E461" s="19" t="n">
        <f aca="false">IF(PODACI_ZALIHE!E458="","",PODACI_ZALIHE!E458)</f>
        <v>10</v>
      </c>
      <c r="F461" s="20" t="n">
        <f aca="false">PODACI_ZALIHE!F458</f>
        <v>9</v>
      </c>
      <c r="G461" s="19" t="n">
        <f aca="false">IF(E461="","",E461-F461)</f>
        <v>1</v>
      </c>
      <c r="H461" s="9" t="n">
        <f aca="false">PODACI_PRODAJA!N740</f>
        <v>0</v>
      </c>
      <c r="I461" s="21" t="n">
        <f aca="false">IF(H461&lt;=0,999,ROUND(F461/H461,1))</f>
        <v>999</v>
      </c>
      <c r="J461" s="9" t="n">
        <f aca="false">SUMIFS(ROBA_U_DOLASKU!$C$6:$C$95,ROBA_U_DOLASKU!$A$6:$A$95,A461,ROBA_U_DOLASKU!$H$6:$H$95,1)</f>
        <v>0</v>
      </c>
      <c r="K461" s="9" t="n">
        <f aca="false">SUMIFS(ROBA_U_DOLASKU!$B$6:$B$95,ROBA_U_DOLASKU!$A$6:$A$95,A461,ROBA_U_DOLASKU!$H$6:$H$95,1)</f>
        <v>0</v>
      </c>
      <c r="L461" s="9" t="n">
        <f aca="false">SUMIFS(ROBA_U_DOLASKU!$C$6:$C$95,ROBA_U_DOLASKU!$A$6:$A$95,A461,ROBA_U_DOLASKU!$H$6:$H$95,2)</f>
        <v>0</v>
      </c>
      <c r="M461" s="9" t="n">
        <f aca="false">SUMIFS(ROBA_U_DOLASKU!$B$6:$B$95,ROBA_U_DOLASKU!$A$6:$A$95,A461,ROBA_U_DOLASKU!$H$6:$H$95,2)</f>
        <v>0</v>
      </c>
      <c r="N461" s="9" t="n">
        <f aca="false">SUMIFS(ROBA_U_DOLASKU!$C$6:$C$95,ROBA_U_DOLASKU!$A$6:$A$95,A461,ROBA_U_DOLASKU!$H$6:$H$95,3)</f>
        <v>0</v>
      </c>
      <c r="O461" s="9" t="n">
        <f aca="false">SUMIFS(ROBA_U_DOLASKU!$B$6:$B$95,ROBA_U_DOLASKU!$A$6:$A$95,A461,ROBA_U_DOLASKU!$H$6:$H$95,3)</f>
        <v>0</v>
      </c>
      <c r="P461" s="9" t="n">
        <f aca="false">IF(H461&lt;=0,999,IF(O461&gt;0,ROUND((F461-H461*N461+K461+M461+O461)/H461,1),IF(M461&gt;0,ROUND((F461-H461*L461+K461+M461)/H461,1),IF(K461&gt;0,ROUND((F461-H461*J461+K461)/H461,1),I461))))</f>
        <v>999</v>
      </c>
      <c r="Q461" s="22" t="str">
        <f aca="false">IF(H461&lt;=0,"Nema prodaje",IF(AND(K461=0,M461=0,O461=0),IF(I461&lt;POSTAVKE!$B$6,"Naruči odmah","Sve u redu"),IF(F461-H461*J461&lt;0,"Rupa za ~"&amp;TEXT(I461,"0.0")&amp;" mj.",IF(AND(M461&gt;0,F461-H461*L461+K461&lt;0),"Rupa nakon 1. dolaska",IF(AND(O461&gt;0,F461-H461*N461+K461+M461&lt;0),"Rupa nakon 2. dolaska",IF(P461&lt;POSTAVKE!$B$6,"Količina nije dovoljna",IF(I461&gt;=POSTAVKE!$B$6,"Sve u redu","Stiže na vrijeme")))))))</f>
        <v>Nema prodaje</v>
      </c>
      <c r="S461" s="23" t="n">
        <f aca="false">IFERROR(INDEX(PODACI_PRODAJA!B:B,MATCH($A461,PODACI_PRODAJA!$A:$A,0)),0)</f>
        <v>0</v>
      </c>
      <c r="T461" s="23" t="n">
        <f aca="false">IFERROR(INDEX(PODACI_PRODAJA!C:C,MATCH($A461,PODACI_PRODAJA!$A:$A,0)),0)</f>
        <v>0</v>
      </c>
      <c r="U461" s="23" t="n">
        <f aca="false">IFERROR(INDEX(PODACI_PRODAJA!D:D,MATCH($A461,PODACI_PRODAJA!$A:$A,0)),0)</f>
        <v>0</v>
      </c>
      <c r="V461" s="23" t="n">
        <f aca="false">IFERROR(INDEX(PODACI_PRODAJA!E:E,MATCH($A461,PODACI_PRODAJA!$A:$A,0)),0)</f>
        <v>0</v>
      </c>
      <c r="W461" s="23" t="n">
        <f aca="false">IFERROR(INDEX(PODACI_PRODAJA!F:F,MATCH($A461,PODACI_PRODAJA!$A:$A,0)),0)</f>
        <v>0</v>
      </c>
      <c r="X461" s="23" t="n">
        <f aca="false">IFERROR(INDEX(PODACI_PRODAJA!G:G,MATCH($A461,PODACI_PRODAJA!$A:$A,0)),0)</f>
        <v>0</v>
      </c>
      <c r="Y461" s="23" t="n">
        <f aca="false">IFERROR(INDEX(PODACI_PRODAJA!H:H,MATCH($A461,PODACI_PRODAJA!$A:$A,0)),0)</f>
        <v>0</v>
      </c>
      <c r="Z461" s="23" t="n">
        <f aca="false">IFERROR(INDEX(PODACI_PRODAJA!I:I,MATCH($A461,PODACI_PRODAJA!$A:$A,0)),0)</f>
        <v>0</v>
      </c>
      <c r="AA461" s="23" t="n">
        <f aca="false">IFERROR(INDEX(PODACI_PRODAJA!J:J,MATCH($A461,PODACI_PRODAJA!$A:$A,0)),0)</f>
        <v>0</v>
      </c>
      <c r="AB461" s="23" t="n">
        <f aca="false">IFERROR(INDEX(PODACI_PRODAJA!K:K,MATCH($A461,PODACI_PRODAJA!$A:$A,0)),0)</f>
        <v>0</v>
      </c>
      <c r="AC461" s="23" t="n">
        <f aca="false">IFERROR(INDEX(PODACI_PRODAJA!L:L,MATCH($A461,PODACI_PRODAJA!$A:$A,0)),0)</f>
        <v>0</v>
      </c>
      <c r="AD461" s="23" t="n">
        <f aca="false">IFERROR(INDEX(PODACI_PRODAJA!M:M,MATCH($A461,PODACI_PRODAJA!$A:$A,0)),0)</f>
        <v>0</v>
      </c>
    </row>
    <row r="462" customFormat="false" ht="15" hidden="false" customHeight="false" outlineLevel="0" collapsed="false">
      <c r="A462" s="11" t="str">
        <f aca="false">PODACI_ZALIHE!A459</f>
        <v>326910575</v>
      </c>
      <c r="B462" s="8" t="str">
        <f aca="false">PODACI_ZALIHE!B459</f>
        <v>KLUDI X1 MIJEŠALICA ZA KADU, KROM</v>
      </c>
      <c r="C462" s="9" t="str">
        <f aca="false">PODACI_ZALIHE!C459</f>
        <v>7485</v>
      </c>
      <c r="D462" s="8" t="str">
        <f aca="false">PODACI_ZALIHE!D459</f>
        <v>KLUDI GmbH &amp; Co. KG.,</v>
      </c>
      <c r="E462" s="19" t="n">
        <f aca="false">IF(PODACI_ZALIHE!E459="","",PODACI_ZALIHE!E459)</f>
        <v>9</v>
      </c>
      <c r="F462" s="20" t="n">
        <f aca="false">PODACI_ZALIHE!F459</f>
        <v>9</v>
      </c>
      <c r="G462" s="19" t="n">
        <f aca="false">IF(E462="","",E462-F462)</f>
        <v>0</v>
      </c>
      <c r="H462" s="9" t="n">
        <f aca="false">PODACI_PRODAJA!N754</f>
        <v>0</v>
      </c>
      <c r="I462" s="21" t="n">
        <f aca="false">IF(H462&lt;=0,999,ROUND(F462/H462,1))</f>
        <v>999</v>
      </c>
      <c r="J462" s="9" t="n">
        <f aca="false">SUMIFS(ROBA_U_DOLASKU!$C$6:$C$95,ROBA_U_DOLASKU!$A$6:$A$95,A462,ROBA_U_DOLASKU!$H$6:$H$95,1)</f>
        <v>0</v>
      </c>
      <c r="K462" s="9" t="n">
        <f aca="false">SUMIFS(ROBA_U_DOLASKU!$B$6:$B$95,ROBA_U_DOLASKU!$A$6:$A$95,A462,ROBA_U_DOLASKU!$H$6:$H$95,1)</f>
        <v>0</v>
      </c>
      <c r="L462" s="9" t="n">
        <f aca="false">SUMIFS(ROBA_U_DOLASKU!$C$6:$C$95,ROBA_U_DOLASKU!$A$6:$A$95,A462,ROBA_U_DOLASKU!$H$6:$H$95,2)</f>
        <v>0</v>
      </c>
      <c r="M462" s="9" t="n">
        <f aca="false">SUMIFS(ROBA_U_DOLASKU!$B$6:$B$95,ROBA_U_DOLASKU!$A$6:$A$95,A462,ROBA_U_DOLASKU!$H$6:$H$95,2)</f>
        <v>0</v>
      </c>
      <c r="N462" s="9" t="n">
        <f aca="false">SUMIFS(ROBA_U_DOLASKU!$C$6:$C$95,ROBA_U_DOLASKU!$A$6:$A$95,A462,ROBA_U_DOLASKU!$H$6:$H$95,3)</f>
        <v>0</v>
      </c>
      <c r="O462" s="9" t="n">
        <f aca="false">SUMIFS(ROBA_U_DOLASKU!$B$6:$B$95,ROBA_U_DOLASKU!$A$6:$A$95,A462,ROBA_U_DOLASKU!$H$6:$H$95,3)</f>
        <v>0</v>
      </c>
      <c r="P462" s="9" t="n">
        <f aca="false">IF(H462&lt;=0,999,IF(O462&gt;0,ROUND((F462-H462*N462+K462+M462+O462)/H462,1),IF(M462&gt;0,ROUND((F462-H462*L462+K462+M462)/H462,1),IF(K462&gt;0,ROUND((F462-H462*J462+K462)/H462,1),I462))))</f>
        <v>999</v>
      </c>
      <c r="Q462" s="22" t="str">
        <f aca="false">IF(H462&lt;=0,"Nema prodaje",IF(AND(K462=0,M462=0,O462=0),IF(I462&lt;POSTAVKE!$B$6,"Naruči odmah","Sve u redu"),IF(F462-H462*J462&lt;0,"Rupa za ~"&amp;TEXT(I462,"0.0")&amp;" mj.",IF(AND(M462&gt;0,F462-H462*L462+K462&lt;0),"Rupa nakon 1. dolaska",IF(AND(O462&gt;0,F462-H462*N462+K462+M462&lt;0),"Rupa nakon 2. dolaska",IF(P462&lt;POSTAVKE!$B$6,"Količina nije dovoljna",IF(I462&gt;=POSTAVKE!$B$6,"Sve u redu","Stiže na vrijeme")))))))</f>
        <v>Nema prodaje</v>
      </c>
      <c r="S462" s="23" t="n">
        <f aca="false">IFERROR(INDEX(PODACI_PRODAJA!B:B,MATCH($A462,PODACI_PRODAJA!$A:$A,0)),0)</f>
        <v>0</v>
      </c>
      <c r="T462" s="23" t="n">
        <f aca="false">IFERROR(INDEX(PODACI_PRODAJA!C:C,MATCH($A462,PODACI_PRODAJA!$A:$A,0)),0)</f>
        <v>0</v>
      </c>
      <c r="U462" s="23" t="n">
        <f aca="false">IFERROR(INDEX(PODACI_PRODAJA!D:D,MATCH($A462,PODACI_PRODAJA!$A:$A,0)),0)</f>
        <v>0</v>
      </c>
      <c r="V462" s="23" t="n">
        <f aca="false">IFERROR(INDEX(PODACI_PRODAJA!E:E,MATCH($A462,PODACI_PRODAJA!$A:$A,0)),0)</f>
        <v>0</v>
      </c>
      <c r="W462" s="23" t="n">
        <f aca="false">IFERROR(INDEX(PODACI_PRODAJA!F:F,MATCH($A462,PODACI_PRODAJA!$A:$A,0)),0)</f>
        <v>0</v>
      </c>
      <c r="X462" s="23" t="n">
        <f aca="false">IFERROR(INDEX(PODACI_PRODAJA!G:G,MATCH($A462,PODACI_PRODAJA!$A:$A,0)),0)</f>
        <v>0</v>
      </c>
      <c r="Y462" s="23" t="n">
        <f aca="false">IFERROR(INDEX(PODACI_PRODAJA!H:H,MATCH($A462,PODACI_PRODAJA!$A:$A,0)),0)</f>
        <v>0</v>
      </c>
      <c r="Z462" s="23" t="n">
        <f aca="false">IFERROR(INDEX(PODACI_PRODAJA!I:I,MATCH($A462,PODACI_PRODAJA!$A:$A,0)),0)</f>
        <v>0</v>
      </c>
      <c r="AA462" s="23" t="n">
        <f aca="false">IFERROR(INDEX(PODACI_PRODAJA!J:J,MATCH($A462,PODACI_PRODAJA!$A:$A,0)),0)</f>
        <v>0</v>
      </c>
      <c r="AB462" s="23" t="n">
        <f aca="false">IFERROR(INDEX(PODACI_PRODAJA!K:K,MATCH($A462,PODACI_PRODAJA!$A:$A,0)),0)</f>
        <v>0</v>
      </c>
      <c r="AC462" s="23" t="n">
        <f aca="false">IFERROR(INDEX(PODACI_PRODAJA!L:L,MATCH($A462,PODACI_PRODAJA!$A:$A,0)),0)</f>
        <v>0</v>
      </c>
      <c r="AD462" s="23" t="n">
        <f aca="false">IFERROR(INDEX(PODACI_PRODAJA!M:M,MATCH($A462,PODACI_PRODAJA!$A:$A,0)),0)</f>
        <v>0</v>
      </c>
    </row>
    <row r="463" customFormat="false" ht="15" hidden="false" customHeight="false" outlineLevel="0" collapsed="false">
      <c r="A463" s="11" t="str">
        <f aca="false">PODACI_ZALIHE!A460</f>
        <v>35604000</v>
      </c>
      <c r="B463" s="8" t="str">
        <f aca="false">PODACI_ZALIHE!B460</f>
        <v>GROHE RAPIDO SMARTBOX UGRADBENA KUTIJA</v>
      </c>
      <c r="C463" s="9" t="str">
        <f aca="false">PODACI_ZALIHE!C460</f>
        <v>4499</v>
      </c>
      <c r="D463" s="8" t="str">
        <f aca="false">PODACI_ZALIHE!D460</f>
        <v>THS D.O.O.</v>
      </c>
      <c r="E463" s="19" t="n">
        <f aca="false">IF(PODACI_ZALIHE!E460="","",PODACI_ZALIHE!E460)</f>
        <v>10</v>
      </c>
      <c r="F463" s="20" t="n">
        <f aca="false">PODACI_ZALIHE!F460</f>
        <v>9</v>
      </c>
      <c r="G463" s="19" t="n">
        <f aca="false">IF(E463="","",E463-F463)</f>
        <v>1</v>
      </c>
      <c r="H463" s="9" t="n">
        <f aca="false">PODACI_PRODAJA!N762</f>
        <v>0</v>
      </c>
      <c r="I463" s="21" t="n">
        <f aca="false">IF(H463&lt;=0,999,ROUND(F463/H463,1))</f>
        <v>999</v>
      </c>
      <c r="J463" s="9" t="n">
        <f aca="false">SUMIFS(ROBA_U_DOLASKU!$C$6:$C$95,ROBA_U_DOLASKU!$A$6:$A$95,A463,ROBA_U_DOLASKU!$H$6:$H$95,1)</f>
        <v>0</v>
      </c>
      <c r="K463" s="9" t="n">
        <f aca="false">SUMIFS(ROBA_U_DOLASKU!$B$6:$B$95,ROBA_U_DOLASKU!$A$6:$A$95,A463,ROBA_U_DOLASKU!$H$6:$H$95,1)</f>
        <v>0</v>
      </c>
      <c r="L463" s="9" t="n">
        <f aca="false">SUMIFS(ROBA_U_DOLASKU!$C$6:$C$95,ROBA_U_DOLASKU!$A$6:$A$95,A463,ROBA_U_DOLASKU!$H$6:$H$95,2)</f>
        <v>0</v>
      </c>
      <c r="M463" s="9" t="n">
        <f aca="false">SUMIFS(ROBA_U_DOLASKU!$B$6:$B$95,ROBA_U_DOLASKU!$A$6:$A$95,A463,ROBA_U_DOLASKU!$H$6:$H$95,2)</f>
        <v>0</v>
      </c>
      <c r="N463" s="9" t="n">
        <f aca="false">SUMIFS(ROBA_U_DOLASKU!$C$6:$C$95,ROBA_U_DOLASKU!$A$6:$A$95,A463,ROBA_U_DOLASKU!$H$6:$H$95,3)</f>
        <v>0</v>
      </c>
      <c r="O463" s="9" t="n">
        <f aca="false">SUMIFS(ROBA_U_DOLASKU!$B$6:$B$95,ROBA_U_DOLASKU!$A$6:$A$95,A463,ROBA_U_DOLASKU!$H$6:$H$95,3)</f>
        <v>0</v>
      </c>
      <c r="P463" s="9" t="n">
        <f aca="false">IF(H463&lt;=0,999,IF(O463&gt;0,ROUND((F463-H463*N463+K463+M463+O463)/H463,1),IF(M463&gt;0,ROUND((F463-H463*L463+K463+M463)/H463,1),IF(K463&gt;0,ROUND((F463-H463*J463+K463)/H463,1),I463))))</f>
        <v>999</v>
      </c>
      <c r="Q463" s="22" t="str">
        <f aca="false">IF(H463&lt;=0,"Nema prodaje",IF(AND(K463=0,M463=0,O463=0),IF(I463&lt;POSTAVKE!$B$6,"Naruči odmah","Sve u redu"),IF(F463-H463*J463&lt;0,"Rupa za ~"&amp;TEXT(I463,"0.0")&amp;" mj.",IF(AND(M463&gt;0,F463-H463*L463+K463&lt;0),"Rupa nakon 1. dolaska",IF(AND(O463&gt;0,F463-H463*N463+K463+M463&lt;0),"Rupa nakon 2. dolaska",IF(P463&lt;POSTAVKE!$B$6,"Količina nije dovoljna",IF(I463&gt;=POSTAVKE!$B$6,"Sve u redu","Stiže na vrijeme")))))))</f>
        <v>Nema prodaje</v>
      </c>
      <c r="S463" s="23" t="n">
        <f aca="false">IFERROR(INDEX(PODACI_PRODAJA!B:B,MATCH($A463,PODACI_PRODAJA!$A:$A,0)),0)</f>
        <v>0</v>
      </c>
      <c r="T463" s="23" t="n">
        <f aca="false">IFERROR(INDEX(PODACI_PRODAJA!C:C,MATCH($A463,PODACI_PRODAJA!$A:$A,0)),0)</f>
        <v>0</v>
      </c>
      <c r="U463" s="23" t="n">
        <f aca="false">IFERROR(INDEX(PODACI_PRODAJA!D:D,MATCH($A463,PODACI_PRODAJA!$A:$A,0)),0)</f>
        <v>0</v>
      </c>
      <c r="V463" s="23" t="n">
        <f aca="false">IFERROR(INDEX(PODACI_PRODAJA!E:E,MATCH($A463,PODACI_PRODAJA!$A:$A,0)),0)</f>
        <v>0</v>
      </c>
      <c r="W463" s="23" t="n">
        <f aca="false">IFERROR(INDEX(PODACI_PRODAJA!F:F,MATCH($A463,PODACI_PRODAJA!$A:$A,0)),0)</f>
        <v>0</v>
      </c>
      <c r="X463" s="23" t="n">
        <f aca="false">IFERROR(INDEX(PODACI_PRODAJA!G:G,MATCH($A463,PODACI_PRODAJA!$A:$A,0)),0)</f>
        <v>0</v>
      </c>
      <c r="Y463" s="23" t="n">
        <f aca="false">IFERROR(INDEX(PODACI_PRODAJA!H:H,MATCH($A463,PODACI_PRODAJA!$A:$A,0)),0)</f>
        <v>0</v>
      </c>
      <c r="Z463" s="23" t="n">
        <f aca="false">IFERROR(INDEX(PODACI_PRODAJA!I:I,MATCH($A463,PODACI_PRODAJA!$A:$A,0)),0)</f>
        <v>0</v>
      </c>
      <c r="AA463" s="23" t="n">
        <f aca="false">IFERROR(INDEX(PODACI_PRODAJA!J:J,MATCH($A463,PODACI_PRODAJA!$A:$A,0)),0)</f>
        <v>0</v>
      </c>
      <c r="AB463" s="23" t="n">
        <f aca="false">IFERROR(INDEX(PODACI_PRODAJA!K:K,MATCH($A463,PODACI_PRODAJA!$A:$A,0)),0)</f>
        <v>0</v>
      </c>
      <c r="AC463" s="23" t="n">
        <f aca="false">IFERROR(INDEX(PODACI_PRODAJA!L:L,MATCH($A463,PODACI_PRODAJA!$A:$A,0)),0)</f>
        <v>0</v>
      </c>
      <c r="AD463" s="23" t="n">
        <f aca="false">IFERROR(INDEX(PODACI_PRODAJA!M:M,MATCH($A463,PODACI_PRODAJA!$A:$A,0)),0)</f>
        <v>0</v>
      </c>
    </row>
    <row r="464" customFormat="false" ht="15" hidden="false" customHeight="false" outlineLevel="0" collapsed="false">
      <c r="A464" s="11" t="str">
        <f aca="false">PODACI_ZALIHE!A461</f>
        <v>P15813</v>
      </c>
      <c r="B464" s="8" t="str">
        <f aca="false">PODACI_ZALIHE!B461</f>
        <v>BOLD LUX 80100 MINERALSOLID TUŠ KADA BIJELA SJAJNA 800x1000x30 mm</v>
      </c>
      <c r="C464" s="9" t="str">
        <f aca="false">PODACI_ZALIHE!C461</f>
        <v>5140</v>
      </c>
      <c r="D464" s="8" t="str">
        <f aca="false">PODACI_ZALIHE!D461</f>
        <v>GUANGDONG OCEAN SANITARY WARE CO., LTD.</v>
      </c>
      <c r="E464" s="19" t="n">
        <f aca="false">IF(PODACI_ZALIHE!E461="","",PODACI_ZALIHE!E461)</f>
        <v>8</v>
      </c>
      <c r="F464" s="20" t="n">
        <f aca="false">PODACI_ZALIHE!F461</f>
        <v>8</v>
      </c>
      <c r="G464" s="19" t="n">
        <f aca="false">IF(E464="","",E464-F464)</f>
        <v>0</v>
      </c>
      <c r="H464" s="9" t="n">
        <f aca="false">PODACI_PRODAJA!N314</f>
        <v>3.25</v>
      </c>
      <c r="I464" s="21" t="n">
        <f aca="false">IF(H464&lt;=0,999,ROUND(F464/H464,1))</f>
        <v>2.5</v>
      </c>
      <c r="J464" s="9" t="n">
        <f aca="false">SUMIFS(ROBA_U_DOLASKU!$C$6:$C$95,ROBA_U_DOLASKU!$A$6:$A$95,A464,ROBA_U_DOLASKU!$H$6:$H$95,1)</f>
        <v>0</v>
      </c>
      <c r="K464" s="9" t="n">
        <f aca="false">SUMIFS(ROBA_U_DOLASKU!$B$6:$B$95,ROBA_U_DOLASKU!$A$6:$A$95,A464,ROBA_U_DOLASKU!$H$6:$H$95,1)</f>
        <v>0</v>
      </c>
      <c r="L464" s="9" t="n">
        <f aca="false">SUMIFS(ROBA_U_DOLASKU!$C$6:$C$95,ROBA_U_DOLASKU!$A$6:$A$95,A464,ROBA_U_DOLASKU!$H$6:$H$95,2)</f>
        <v>0</v>
      </c>
      <c r="M464" s="9" t="n">
        <f aca="false">SUMIFS(ROBA_U_DOLASKU!$B$6:$B$95,ROBA_U_DOLASKU!$A$6:$A$95,A464,ROBA_U_DOLASKU!$H$6:$H$95,2)</f>
        <v>0</v>
      </c>
      <c r="N464" s="9" t="n">
        <f aca="false">SUMIFS(ROBA_U_DOLASKU!$C$6:$C$95,ROBA_U_DOLASKU!$A$6:$A$95,A464,ROBA_U_DOLASKU!$H$6:$H$95,3)</f>
        <v>0</v>
      </c>
      <c r="O464" s="9" t="n">
        <f aca="false">SUMIFS(ROBA_U_DOLASKU!$B$6:$B$95,ROBA_U_DOLASKU!$A$6:$A$95,A464,ROBA_U_DOLASKU!$H$6:$H$95,3)</f>
        <v>0</v>
      </c>
      <c r="P464" s="9" t="n">
        <f aca="false">IF(H464&lt;=0,999,IF(O464&gt;0,ROUND((F464-H464*N464+K464+M464+O464)/H464,1),IF(M464&gt;0,ROUND((F464-H464*L464+K464+M464)/H464,1),IF(K464&gt;0,ROUND((F464-H464*J464+K464)/H464,1),I464))))</f>
        <v>2.5</v>
      </c>
      <c r="Q464" s="22" t="str">
        <f aca="false">IF(H464&lt;=0,"Nema prodaje",IF(AND(K464=0,M464=0,O464=0),IF(I464&lt;POSTAVKE!$B$6,"Naruči odmah","Sve u redu"),IF(F464-H464*J464&lt;0,"Rupa za ~"&amp;TEXT(I464,"0.0")&amp;" mj.",IF(AND(M464&gt;0,F464-H464*L464+K464&lt;0),"Rupa nakon 1. dolaska",IF(AND(O464&gt;0,F464-H464*N464+K464+M464&lt;0),"Rupa nakon 2. dolaska",IF(P464&lt;POSTAVKE!$B$6,"Količina nije dovoljna",IF(I464&gt;=POSTAVKE!$B$6,"Sve u redu","Stiže na vrijeme")))))))</f>
        <v>Naruči odmah</v>
      </c>
      <c r="S464" s="23" t="n">
        <f aca="false">IFERROR(INDEX(PODACI_PRODAJA!B:B,MATCH($A464,PODACI_PRODAJA!$A:$A,0)),0)</f>
        <v>0</v>
      </c>
      <c r="T464" s="23" t="n">
        <f aca="false">IFERROR(INDEX(PODACI_PRODAJA!C:C,MATCH($A464,PODACI_PRODAJA!$A:$A,0)),0)</f>
        <v>0</v>
      </c>
      <c r="U464" s="23" t="n">
        <f aca="false">IFERROR(INDEX(PODACI_PRODAJA!D:D,MATCH($A464,PODACI_PRODAJA!$A:$A,0)),0)</f>
        <v>0</v>
      </c>
      <c r="V464" s="23" t="n">
        <f aca="false">IFERROR(INDEX(PODACI_PRODAJA!E:E,MATCH($A464,PODACI_PRODAJA!$A:$A,0)),0)</f>
        <v>0</v>
      </c>
      <c r="W464" s="23" t="n">
        <f aca="false">IFERROR(INDEX(PODACI_PRODAJA!F:F,MATCH($A464,PODACI_PRODAJA!$A:$A,0)),0)</f>
        <v>0</v>
      </c>
      <c r="X464" s="23" t="n">
        <f aca="false">IFERROR(INDEX(PODACI_PRODAJA!G:G,MATCH($A464,PODACI_PRODAJA!$A:$A,0)),0)</f>
        <v>19</v>
      </c>
      <c r="Y464" s="23" t="n">
        <f aca="false">IFERROR(INDEX(PODACI_PRODAJA!H:H,MATCH($A464,PODACI_PRODAJA!$A:$A,0)),0)</f>
        <v>6</v>
      </c>
      <c r="Z464" s="23" t="n">
        <f aca="false">IFERROR(INDEX(PODACI_PRODAJA!I:I,MATCH($A464,PODACI_PRODAJA!$A:$A,0)),0)</f>
        <v>1</v>
      </c>
      <c r="AA464" s="23" t="n">
        <f aca="false">IFERROR(INDEX(PODACI_PRODAJA!J:J,MATCH($A464,PODACI_PRODAJA!$A:$A,0)),0)</f>
        <v>0</v>
      </c>
      <c r="AB464" s="23" t="n">
        <f aca="false">IFERROR(INDEX(PODACI_PRODAJA!K:K,MATCH($A464,PODACI_PRODAJA!$A:$A,0)),0)</f>
        <v>0</v>
      </c>
      <c r="AC464" s="23" t="n">
        <f aca="false">IFERROR(INDEX(PODACI_PRODAJA!L:L,MATCH($A464,PODACI_PRODAJA!$A:$A,0)),0)</f>
        <v>0</v>
      </c>
      <c r="AD464" s="23" t="n">
        <f aca="false">IFERROR(INDEX(PODACI_PRODAJA!M:M,MATCH($A464,PODACI_PRODAJA!$A:$A,0)),0)</f>
        <v>0</v>
      </c>
    </row>
    <row r="465" customFormat="false" ht="15" hidden="false" customHeight="false" outlineLevel="0" collapsed="false">
      <c r="A465" s="11" t="str">
        <f aca="false">PODACI_ZALIHE!A462</f>
        <v>040720</v>
      </c>
      <c r="B465" s="8" t="str">
        <f aca="false">PODACI_ZALIHE!B462</f>
        <v>TK803D PLUS TUŠ PARAVAN 80x195 cm</v>
      </c>
      <c r="C465" s="9" t="str">
        <f aca="false">PODACI_ZALIHE!C462</f>
        <v>2426</v>
      </c>
      <c r="D465" s="8" t="str">
        <f aca="false">PODACI_ZALIHE!D462</f>
        <v>HANGZHOU ROYO IMPORT &amp; EXPORT CO., LTD.</v>
      </c>
      <c r="E465" s="19" t="n">
        <f aca="false">IF(PODACI_ZALIHE!E462="","",PODACI_ZALIHE!E462)</f>
        <v>8</v>
      </c>
      <c r="F465" s="20" t="n">
        <f aca="false">PODACI_ZALIHE!F462</f>
        <v>8</v>
      </c>
      <c r="G465" s="19" t="n">
        <f aca="false">IF(E465="","",E465-F465)</f>
        <v>0</v>
      </c>
      <c r="H465" s="9" t="n">
        <v>0</v>
      </c>
      <c r="I465" s="21" t="n">
        <f aca="false">IF(H465&lt;=0,999,ROUND(F465/H465,1))</f>
        <v>999</v>
      </c>
      <c r="J465" s="9" t="n">
        <f aca="false">SUMIFS(ROBA_U_DOLASKU!$C$6:$C$95,ROBA_U_DOLASKU!$A$6:$A$95,A465,ROBA_U_DOLASKU!$H$6:$H$95,1)</f>
        <v>0</v>
      </c>
      <c r="K465" s="9" t="n">
        <f aca="false">SUMIFS(ROBA_U_DOLASKU!$B$6:$B$95,ROBA_U_DOLASKU!$A$6:$A$95,A465,ROBA_U_DOLASKU!$H$6:$H$95,1)</f>
        <v>0</v>
      </c>
      <c r="L465" s="9" t="n">
        <f aca="false">SUMIFS(ROBA_U_DOLASKU!$C$6:$C$95,ROBA_U_DOLASKU!$A$6:$A$95,A465,ROBA_U_DOLASKU!$H$6:$H$95,2)</f>
        <v>0</v>
      </c>
      <c r="M465" s="9" t="n">
        <f aca="false">SUMIFS(ROBA_U_DOLASKU!$B$6:$B$95,ROBA_U_DOLASKU!$A$6:$A$95,A465,ROBA_U_DOLASKU!$H$6:$H$95,2)</f>
        <v>0</v>
      </c>
      <c r="N465" s="9" t="n">
        <f aca="false">SUMIFS(ROBA_U_DOLASKU!$C$6:$C$95,ROBA_U_DOLASKU!$A$6:$A$95,A465,ROBA_U_DOLASKU!$H$6:$H$95,3)</f>
        <v>0</v>
      </c>
      <c r="O465" s="9" t="n">
        <f aca="false">SUMIFS(ROBA_U_DOLASKU!$B$6:$B$95,ROBA_U_DOLASKU!$A$6:$A$95,A465,ROBA_U_DOLASKU!$H$6:$H$95,3)</f>
        <v>0</v>
      </c>
      <c r="P465" s="9" t="n">
        <f aca="false">IF(H465&lt;=0,999,IF(O465&gt;0,ROUND((F465-H465*N465+K465+M465+O465)/H465,1),IF(M465&gt;0,ROUND((F465-H465*L465+K465+M465)/H465,1),IF(K465&gt;0,ROUND((F465-H465*J465+K465)/H465,1),I465))))</f>
        <v>999</v>
      </c>
      <c r="Q465" s="22" t="str">
        <f aca="false">IF(H465&lt;=0,"Nema prodaje",IF(AND(K465=0,M465=0,O465=0),IF(I465&lt;POSTAVKE!$B$6,"Naruči odmah","Sve u redu"),IF(F465-H465*J465&lt;0,"Rupa za ~"&amp;TEXT(I465,"0.0")&amp;" mj.",IF(AND(M465&gt;0,F465-H465*L465+K465&lt;0),"Rupa nakon 1. dolaska",IF(AND(O465&gt;0,F465-H465*N465+K465+M465&lt;0),"Rupa nakon 2. dolaska",IF(P465&lt;POSTAVKE!$B$6,"Količina nije dovoljna",IF(I465&gt;=POSTAVKE!$B$6,"Sve u redu","Stiže na vrijeme")))))))</f>
        <v>Nema prodaje</v>
      </c>
      <c r="S465" s="23" t="n">
        <f aca="false">IFERROR(INDEX(PODACI_PRODAJA!B:B,MATCH($A465,PODACI_PRODAJA!$A:$A,0)),0)</f>
        <v>0</v>
      </c>
      <c r="T465" s="23" t="n">
        <f aca="false">IFERROR(INDEX(PODACI_PRODAJA!C:C,MATCH($A465,PODACI_PRODAJA!$A:$A,0)),0)</f>
        <v>0</v>
      </c>
      <c r="U465" s="23" t="n">
        <f aca="false">IFERROR(INDEX(PODACI_PRODAJA!D:D,MATCH($A465,PODACI_PRODAJA!$A:$A,0)),0)</f>
        <v>0</v>
      </c>
      <c r="V465" s="23" t="n">
        <f aca="false">IFERROR(INDEX(PODACI_PRODAJA!E:E,MATCH($A465,PODACI_PRODAJA!$A:$A,0)),0)</f>
        <v>0</v>
      </c>
      <c r="W465" s="23" t="n">
        <f aca="false">IFERROR(INDEX(PODACI_PRODAJA!F:F,MATCH($A465,PODACI_PRODAJA!$A:$A,0)),0)</f>
        <v>0</v>
      </c>
      <c r="X465" s="23" t="n">
        <f aca="false">IFERROR(INDEX(PODACI_PRODAJA!G:G,MATCH($A465,PODACI_PRODAJA!$A:$A,0)),0)</f>
        <v>0</v>
      </c>
      <c r="Y465" s="23" t="n">
        <f aca="false">IFERROR(INDEX(PODACI_PRODAJA!H:H,MATCH($A465,PODACI_PRODAJA!$A:$A,0)),0)</f>
        <v>0</v>
      </c>
      <c r="Z465" s="23" t="n">
        <f aca="false">IFERROR(INDEX(PODACI_PRODAJA!I:I,MATCH($A465,PODACI_PRODAJA!$A:$A,0)),0)</f>
        <v>0</v>
      </c>
      <c r="AA465" s="23" t="n">
        <f aca="false">IFERROR(INDEX(PODACI_PRODAJA!J:J,MATCH($A465,PODACI_PRODAJA!$A:$A,0)),0)</f>
        <v>0</v>
      </c>
      <c r="AB465" s="23" t="n">
        <f aca="false">IFERROR(INDEX(PODACI_PRODAJA!K:K,MATCH($A465,PODACI_PRODAJA!$A:$A,0)),0)</f>
        <v>0</v>
      </c>
      <c r="AC465" s="23" t="n">
        <f aca="false">IFERROR(INDEX(PODACI_PRODAJA!L:L,MATCH($A465,PODACI_PRODAJA!$A:$A,0)),0)</f>
        <v>0</v>
      </c>
      <c r="AD465" s="23" t="n">
        <f aca="false">IFERROR(INDEX(PODACI_PRODAJA!M:M,MATCH($A465,PODACI_PRODAJA!$A:$A,0)),0)</f>
        <v>0</v>
      </c>
    </row>
    <row r="466" customFormat="false" ht="15" hidden="false" customHeight="false" outlineLevel="0" collapsed="false">
      <c r="A466" s="11" t="str">
        <f aca="false">PODACI_ZALIHE!A463</f>
        <v>15950</v>
      </c>
      <c r="B466" s="8" t="str">
        <f aca="false">PODACI_ZALIHE!B463</f>
        <v>VETRO STYLE 140 TUŠ STIJENA 140x200 cm</v>
      </c>
      <c r="C466" s="9" t="str">
        <f aca="false">PODACI_ZALIHE!C463</f>
        <v>4328</v>
      </c>
      <c r="D466" s="8" t="str">
        <f aca="false">PODACI_ZALIHE!D463</f>
        <v>HANGZHOU DUHUI IMPORT AND EXPORT CO.,LTD</v>
      </c>
      <c r="E466" s="19" t="n">
        <f aca="false">IF(PODACI_ZALIHE!E463="","",PODACI_ZALIHE!E463)</f>
        <v>8</v>
      </c>
      <c r="F466" s="20" t="n">
        <f aca="false">PODACI_ZALIHE!F463</f>
        <v>8</v>
      </c>
      <c r="G466" s="19" t="n">
        <f aca="false">IF(E466="","",E466-F466)</f>
        <v>0</v>
      </c>
      <c r="H466" s="9" t="n">
        <f aca="false">PODACI_PRODAJA!N190</f>
        <v>0.75</v>
      </c>
      <c r="I466" s="21" t="n">
        <f aca="false">IF(H466&lt;=0,999,ROUND(F466/H466,1))</f>
        <v>10.7</v>
      </c>
      <c r="J466" s="9" t="n">
        <f aca="false">SUMIFS(ROBA_U_DOLASKU!$C$6:$C$95,ROBA_U_DOLASKU!$A$6:$A$95,A466,ROBA_U_DOLASKU!$H$6:$H$95,1)</f>
        <v>0</v>
      </c>
      <c r="K466" s="9" t="n">
        <f aca="false">SUMIFS(ROBA_U_DOLASKU!$B$6:$B$95,ROBA_U_DOLASKU!$A$6:$A$95,A466,ROBA_U_DOLASKU!$H$6:$H$95,1)</f>
        <v>0</v>
      </c>
      <c r="L466" s="9" t="n">
        <f aca="false">SUMIFS(ROBA_U_DOLASKU!$C$6:$C$95,ROBA_U_DOLASKU!$A$6:$A$95,A466,ROBA_U_DOLASKU!$H$6:$H$95,2)</f>
        <v>0</v>
      </c>
      <c r="M466" s="9" t="n">
        <f aca="false">SUMIFS(ROBA_U_DOLASKU!$B$6:$B$95,ROBA_U_DOLASKU!$A$6:$A$95,A466,ROBA_U_DOLASKU!$H$6:$H$95,2)</f>
        <v>0</v>
      </c>
      <c r="N466" s="9" t="n">
        <f aca="false">SUMIFS(ROBA_U_DOLASKU!$C$6:$C$95,ROBA_U_DOLASKU!$A$6:$A$95,A466,ROBA_U_DOLASKU!$H$6:$H$95,3)</f>
        <v>0</v>
      </c>
      <c r="O466" s="9" t="n">
        <f aca="false">SUMIFS(ROBA_U_DOLASKU!$B$6:$B$95,ROBA_U_DOLASKU!$A$6:$A$95,A466,ROBA_U_DOLASKU!$H$6:$H$95,3)</f>
        <v>0</v>
      </c>
      <c r="P466" s="9" t="n">
        <f aca="false">IF(H466&lt;=0,999,IF(O466&gt;0,ROUND((F466-H466*N466+K466+M466+O466)/H466,1),IF(M466&gt;0,ROUND((F466-H466*L466+K466+M466)/H466,1),IF(K466&gt;0,ROUND((F466-H466*J466+K466)/H466,1),I466))))</f>
        <v>10.7</v>
      </c>
      <c r="Q466" s="22" t="str">
        <f aca="false">IF(H466&lt;=0,"Nema prodaje",IF(AND(K466=0,M466=0,O466=0),IF(I466&lt;POSTAVKE!$B$6,"Naruči odmah","Sve u redu"),IF(F466-H466*J466&lt;0,"Rupa za ~"&amp;TEXT(I466,"0.0")&amp;" mj.",IF(AND(M466&gt;0,F466-H466*L466+K466&lt;0),"Rupa nakon 1. dolaska",IF(AND(O466&gt;0,F466-H466*N466+K466+M466&lt;0),"Rupa nakon 2. dolaska",IF(P466&lt;POSTAVKE!$B$6,"Količina nije dovoljna",IF(I466&gt;=POSTAVKE!$B$6,"Sve u redu","Stiže na vrijeme")))))))</f>
        <v>Sve u redu</v>
      </c>
      <c r="S466" s="23" t="n">
        <f aca="false">IFERROR(INDEX(PODACI_PRODAJA!B:B,MATCH($A466,PODACI_PRODAJA!$A:$A,0)),0)</f>
        <v>2</v>
      </c>
      <c r="T466" s="23" t="n">
        <f aca="false">IFERROR(INDEX(PODACI_PRODAJA!C:C,MATCH($A466,PODACI_PRODAJA!$A:$A,0)),0)</f>
        <v>1</v>
      </c>
      <c r="U466" s="23" t="n">
        <f aca="false">IFERROR(INDEX(PODACI_PRODAJA!D:D,MATCH($A466,PODACI_PRODAJA!$A:$A,0)),0)</f>
        <v>0</v>
      </c>
      <c r="V466" s="23" t="n">
        <f aca="false">IFERROR(INDEX(PODACI_PRODAJA!E:E,MATCH($A466,PODACI_PRODAJA!$A:$A,0)),0)</f>
        <v>1</v>
      </c>
      <c r="W466" s="23" t="n">
        <f aca="false">IFERROR(INDEX(PODACI_PRODAJA!F:F,MATCH($A466,PODACI_PRODAJA!$A:$A,0)),0)</f>
        <v>1</v>
      </c>
      <c r="X466" s="23" t="n">
        <f aca="false">IFERROR(INDEX(PODACI_PRODAJA!G:G,MATCH($A466,PODACI_PRODAJA!$A:$A,0)),0)</f>
        <v>1</v>
      </c>
      <c r="Y466" s="23" t="n">
        <f aca="false">IFERROR(INDEX(PODACI_PRODAJA!H:H,MATCH($A466,PODACI_PRODAJA!$A:$A,0)),0)</f>
        <v>0</v>
      </c>
      <c r="Z466" s="23" t="n">
        <f aca="false">IFERROR(INDEX(PODACI_PRODAJA!I:I,MATCH($A466,PODACI_PRODAJA!$A:$A,0)),0)</f>
        <v>0</v>
      </c>
      <c r="AA466" s="23" t="n">
        <f aca="false">IFERROR(INDEX(PODACI_PRODAJA!J:J,MATCH($A466,PODACI_PRODAJA!$A:$A,0)),0)</f>
        <v>0</v>
      </c>
      <c r="AB466" s="23" t="n">
        <f aca="false">IFERROR(INDEX(PODACI_PRODAJA!K:K,MATCH($A466,PODACI_PRODAJA!$A:$A,0)),0)</f>
        <v>0</v>
      </c>
      <c r="AC466" s="23" t="n">
        <f aca="false">IFERROR(INDEX(PODACI_PRODAJA!L:L,MATCH($A466,PODACI_PRODAJA!$A:$A,0)),0)</f>
        <v>0</v>
      </c>
      <c r="AD466" s="23" t="n">
        <f aca="false">IFERROR(INDEX(PODACI_PRODAJA!M:M,MATCH($A466,PODACI_PRODAJA!$A:$A,0)),0)</f>
        <v>0</v>
      </c>
    </row>
    <row r="467" customFormat="false" ht="15" hidden="false" customHeight="false" outlineLevel="0" collapsed="false">
      <c r="A467" s="11" t="str">
        <f aca="false">PODACI_ZALIHE!A464</f>
        <v>17186</v>
      </c>
      <c r="B467" s="8" t="str">
        <f aca="false">PODACI_ZALIHE!B464</f>
        <v>NERO DRŽAČ SUŠILA ZA KOSU - CRNI</v>
      </c>
      <c r="C467" s="9" t="str">
        <f aca="false">PODACI_ZALIHE!C464</f>
        <v>6458</v>
      </c>
      <c r="D467" s="8" t="str">
        <f aca="false">PODACI_ZALIHE!D464</f>
        <v>BOJIA TRADING LIMITED</v>
      </c>
      <c r="E467" s="19" t="n">
        <f aca="false">IF(PODACI_ZALIHE!E464="","",PODACI_ZALIHE!E464)</f>
        <v>8</v>
      </c>
      <c r="F467" s="20" t="n">
        <f aca="false">PODACI_ZALIHE!F464</f>
        <v>8</v>
      </c>
      <c r="G467" s="19" t="n">
        <f aca="false">IF(E467="","",E467-F467)</f>
        <v>0</v>
      </c>
      <c r="H467" s="9" t="n">
        <f aca="false">PODACI_PRODAJA!N599</f>
        <v>0.13</v>
      </c>
      <c r="I467" s="21" t="n">
        <f aca="false">IF(H467&lt;=0,999,ROUND(F467/H467,1))</f>
        <v>61.5</v>
      </c>
      <c r="J467" s="9" t="n">
        <f aca="false">SUMIFS(ROBA_U_DOLASKU!$C$6:$C$95,ROBA_U_DOLASKU!$A$6:$A$95,A467,ROBA_U_DOLASKU!$H$6:$H$95,1)</f>
        <v>0</v>
      </c>
      <c r="K467" s="9" t="n">
        <f aca="false">SUMIFS(ROBA_U_DOLASKU!$B$6:$B$95,ROBA_U_DOLASKU!$A$6:$A$95,A467,ROBA_U_DOLASKU!$H$6:$H$95,1)</f>
        <v>0</v>
      </c>
      <c r="L467" s="9" t="n">
        <f aca="false">SUMIFS(ROBA_U_DOLASKU!$C$6:$C$95,ROBA_U_DOLASKU!$A$6:$A$95,A467,ROBA_U_DOLASKU!$H$6:$H$95,2)</f>
        <v>0</v>
      </c>
      <c r="M467" s="9" t="n">
        <f aca="false">SUMIFS(ROBA_U_DOLASKU!$B$6:$B$95,ROBA_U_DOLASKU!$A$6:$A$95,A467,ROBA_U_DOLASKU!$H$6:$H$95,2)</f>
        <v>0</v>
      </c>
      <c r="N467" s="9" t="n">
        <f aca="false">SUMIFS(ROBA_U_DOLASKU!$C$6:$C$95,ROBA_U_DOLASKU!$A$6:$A$95,A467,ROBA_U_DOLASKU!$H$6:$H$95,3)</f>
        <v>0</v>
      </c>
      <c r="O467" s="9" t="n">
        <f aca="false">SUMIFS(ROBA_U_DOLASKU!$B$6:$B$95,ROBA_U_DOLASKU!$A$6:$A$95,A467,ROBA_U_DOLASKU!$H$6:$H$95,3)</f>
        <v>0</v>
      </c>
      <c r="P467" s="9" t="n">
        <f aca="false">IF(H467&lt;=0,999,IF(O467&gt;0,ROUND((F467-H467*N467+K467+M467+O467)/H467,1),IF(M467&gt;0,ROUND((F467-H467*L467+K467+M467)/H467,1),IF(K467&gt;0,ROUND((F467-H467*J467+K467)/H467,1),I467))))</f>
        <v>61.5</v>
      </c>
      <c r="Q467" s="22" t="str">
        <f aca="false">IF(H467&lt;=0,"Nema prodaje",IF(AND(K467=0,M467=0,O467=0),IF(I467&lt;POSTAVKE!$B$6,"Naruči odmah","Sve u redu"),IF(F467-H467*J467&lt;0,"Rupa za ~"&amp;TEXT(I467,"0.0")&amp;" mj.",IF(AND(M467&gt;0,F467-H467*L467+K467&lt;0),"Rupa nakon 1. dolaska",IF(AND(O467&gt;0,F467-H467*N467+K467+M467&lt;0),"Rupa nakon 2. dolaska",IF(P467&lt;POSTAVKE!$B$6,"Količina nije dovoljna",IF(I467&gt;=POSTAVKE!$B$6,"Sve u redu","Stiže na vrijeme")))))))</f>
        <v>Sve u redu</v>
      </c>
      <c r="S467" s="23" t="n">
        <f aca="false">IFERROR(INDEX(PODACI_PRODAJA!B:B,MATCH($A467,PODACI_PRODAJA!$A:$A,0)),0)</f>
        <v>0</v>
      </c>
      <c r="T467" s="23" t="n">
        <f aca="false">IFERROR(INDEX(PODACI_PRODAJA!C:C,MATCH($A467,PODACI_PRODAJA!$A:$A,0)),0)</f>
        <v>0</v>
      </c>
      <c r="U467" s="23" t="n">
        <f aca="false">IFERROR(INDEX(PODACI_PRODAJA!D:D,MATCH($A467,PODACI_PRODAJA!$A:$A,0)),0)</f>
        <v>1</v>
      </c>
      <c r="V467" s="23" t="n">
        <f aca="false">IFERROR(INDEX(PODACI_PRODAJA!E:E,MATCH($A467,PODACI_PRODAJA!$A:$A,0)),0)</f>
        <v>0</v>
      </c>
      <c r="W467" s="23" t="n">
        <f aca="false">IFERROR(INDEX(PODACI_PRODAJA!F:F,MATCH($A467,PODACI_PRODAJA!$A:$A,0)),0)</f>
        <v>0</v>
      </c>
      <c r="X467" s="23" t="n">
        <f aca="false">IFERROR(INDEX(PODACI_PRODAJA!G:G,MATCH($A467,PODACI_PRODAJA!$A:$A,0)),0)</f>
        <v>0</v>
      </c>
      <c r="Y467" s="23" t="n">
        <f aca="false">IFERROR(INDEX(PODACI_PRODAJA!H:H,MATCH($A467,PODACI_PRODAJA!$A:$A,0)),0)</f>
        <v>0</v>
      </c>
      <c r="Z467" s="23" t="n">
        <f aca="false">IFERROR(INDEX(PODACI_PRODAJA!I:I,MATCH($A467,PODACI_PRODAJA!$A:$A,0)),0)</f>
        <v>0</v>
      </c>
      <c r="AA467" s="23" t="n">
        <f aca="false">IFERROR(INDEX(PODACI_PRODAJA!J:J,MATCH($A467,PODACI_PRODAJA!$A:$A,0)),0)</f>
        <v>0</v>
      </c>
      <c r="AB467" s="23" t="n">
        <f aca="false">IFERROR(INDEX(PODACI_PRODAJA!K:K,MATCH($A467,PODACI_PRODAJA!$A:$A,0)),0)</f>
        <v>0</v>
      </c>
      <c r="AC467" s="23" t="n">
        <f aca="false">IFERROR(INDEX(PODACI_PRODAJA!L:L,MATCH($A467,PODACI_PRODAJA!$A:$A,0)),0)</f>
        <v>0</v>
      </c>
      <c r="AD467" s="23" t="n">
        <f aca="false">IFERROR(INDEX(PODACI_PRODAJA!M:M,MATCH($A467,PODACI_PRODAJA!$A:$A,0)),0)</f>
        <v>0</v>
      </c>
    </row>
    <row r="468" customFormat="false" ht="15" hidden="false" customHeight="false" outlineLevel="0" collapsed="false">
      <c r="A468" s="11" t="str">
        <f aca="false">PODACI_ZALIHE!A465</f>
        <v>18024</v>
      </c>
      <c r="B468" s="8" t="str">
        <f aca="false">PODACI_ZALIHE!B465</f>
        <v>MARBELLA 110  TUŠ VRATA 110-120X200CM</v>
      </c>
      <c r="C468" s="9" t="str">
        <f aca="false">PODACI_ZALIHE!C465</f>
        <v>6762</v>
      </c>
      <c r="D468" s="8" t="str">
        <f aca="false">PODACI_ZALIHE!D465</f>
        <v>ZHEJIANG QUICKLINE SHOWERING CO., LTD.</v>
      </c>
      <c r="E468" s="19" t="n">
        <f aca="false">IF(PODACI_ZALIHE!E465="","",PODACI_ZALIHE!E465)</f>
        <v>8</v>
      </c>
      <c r="F468" s="20" t="n">
        <f aca="false">PODACI_ZALIHE!F465</f>
        <v>8</v>
      </c>
      <c r="G468" s="19" t="n">
        <f aca="false">IF(E468="","",E468-F468)</f>
        <v>0</v>
      </c>
      <c r="H468" s="9" t="n">
        <f aca="false">PODACI_PRODAJA!N282</f>
        <v>6.38</v>
      </c>
      <c r="I468" s="21" t="n">
        <f aca="false">IF(H468&lt;=0,999,ROUND(F468/H468,1))</f>
        <v>1.3</v>
      </c>
      <c r="J468" s="9" t="n">
        <f aca="false">SUMIFS(ROBA_U_DOLASKU!$C$6:$C$95,ROBA_U_DOLASKU!$A$6:$A$95,A468,ROBA_U_DOLASKU!$H$6:$H$95,1)</f>
        <v>0.8</v>
      </c>
      <c r="K468" s="9" t="n">
        <f aca="false">SUMIFS(ROBA_U_DOLASKU!$B$6:$B$95,ROBA_U_DOLASKU!$A$6:$A$95,A468,ROBA_U_DOLASKU!$H$6:$H$95,1)</f>
        <v>50</v>
      </c>
      <c r="L468" s="9" t="n">
        <f aca="false">SUMIFS(ROBA_U_DOLASKU!$C$6:$C$95,ROBA_U_DOLASKU!$A$6:$A$95,A468,ROBA_U_DOLASKU!$H$6:$H$95,2)</f>
        <v>0</v>
      </c>
      <c r="M468" s="9" t="n">
        <f aca="false">SUMIFS(ROBA_U_DOLASKU!$B$6:$B$95,ROBA_U_DOLASKU!$A$6:$A$95,A468,ROBA_U_DOLASKU!$H$6:$H$95,2)</f>
        <v>0</v>
      </c>
      <c r="N468" s="9" t="n">
        <f aca="false">SUMIFS(ROBA_U_DOLASKU!$C$6:$C$95,ROBA_U_DOLASKU!$A$6:$A$95,A468,ROBA_U_DOLASKU!$H$6:$H$95,3)</f>
        <v>0</v>
      </c>
      <c r="O468" s="9" t="n">
        <f aca="false">SUMIFS(ROBA_U_DOLASKU!$B$6:$B$95,ROBA_U_DOLASKU!$A$6:$A$95,A468,ROBA_U_DOLASKU!$H$6:$H$95,3)</f>
        <v>0</v>
      </c>
      <c r="P468" s="9" t="n">
        <f aca="false">IF(H468&lt;=0,999,IF(O468&gt;0,ROUND((F468-H468*N468+K468+M468+O468)/H468,1),IF(M468&gt;0,ROUND((F468-H468*L468+K468+M468)/H468,1),IF(K468&gt;0,ROUND((F468-H468*J468+K468)/H468,1),I468))))</f>
        <v>8.3</v>
      </c>
      <c r="Q468" s="22" t="str">
        <f aca="false">IF(H468&lt;=0,"Nema prodaje",IF(AND(K468=0,M468=0,O468=0),IF(I468&lt;POSTAVKE!$B$6,"Naruči odmah","Sve u redu"),IF(F468-H468*J468&lt;0,"Rupa za ~"&amp;TEXT(I468,"0.0")&amp;" mj.",IF(AND(M468&gt;0,F468-H468*L468+K468&lt;0),"Rupa nakon 1. dolaska",IF(AND(O468&gt;0,F468-H468*N468+K468+M468&lt;0),"Rupa nakon 2. dolaska",IF(P468&lt;POSTAVKE!$B$6,"Količina nije dovoljna",IF(I468&gt;=POSTAVKE!$B$6,"Sve u redu","Stiže na vrijeme")))))))</f>
        <v>Stiže na vrijeme</v>
      </c>
      <c r="S468" s="23" t="n">
        <f aca="false">IFERROR(INDEX(PODACI_PRODAJA!B:B,MATCH($A468,PODACI_PRODAJA!$A:$A,0)),0)</f>
        <v>1</v>
      </c>
      <c r="T468" s="23" t="n">
        <f aca="false">IFERROR(INDEX(PODACI_PRODAJA!C:C,MATCH($A468,PODACI_PRODAJA!$A:$A,0)),0)</f>
        <v>1</v>
      </c>
      <c r="U468" s="23" t="n">
        <f aca="false">IFERROR(INDEX(PODACI_PRODAJA!D:D,MATCH($A468,PODACI_PRODAJA!$A:$A,0)),0)</f>
        <v>27</v>
      </c>
      <c r="V468" s="23" t="n">
        <f aca="false">IFERROR(INDEX(PODACI_PRODAJA!E:E,MATCH($A468,PODACI_PRODAJA!$A:$A,0)),0)</f>
        <v>10</v>
      </c>
      <c r="W468" s="23" t="n">
        <f aca="false">IFERROR(INDEX(PODACI_PRODAJA!F:F,MATCH($A468,PODACI_PRODAJA!$A:$A,0)),0)</f>
        <v>1</v>
      </c>
      <c r="X468" s="23" t="n">
        <f aca="false">IFERROR(INDEX(PODACI_PRODAJA!G:G,MATCH($A468,PODACI_PRODAJA!$A:$A,0)),0)</f>
        <v>8</v>
      </c>
      <c r="Y468" s="23" t="n">
        <f aca="false">IFERROR(INDEX(PODACI_PRODAJA!H:H,MATCH($A468,PODACI_PRODAJA!$A:$A,0)),0)</f>
        <v>1</v>
      </c>
      <c r="Z468" s="23" t="n">
        <f aca="false">IFERROR(INDEX(PODACI_PRODAJA!I:I,MATCH($A468,PODACI_PRODAJA!$A:$A,0)),0)</f>
        <v>2</v>
      </c>
      <c r="AA468" s="23" t="n">
        <f aca="false">IFERROR(INDEX(PODACI_PRODAJA!J:J,MATCH($A468,PODACI_PRODAJA!$A:$A,0)),0)</f>
        <v>0</v>
      </c>
      <c r="AB468" s="23" t="n">
        <f aca="false">IFERROR(INDEX(PODACI_PRODAJA!K:K,MATCH($A468,PODACI_PRODAJA!$A:$A,0)),0)</f>
        <v>0</v>
      </c>
      <c r="AC468" s="23" t="n">
        <f aca="false">IFERROR(INDEX(PODACI_PRODAJA!L:L,MATCH($A468,PODACI_PRODAJA!$A:$A,0)),0)</f>
        <v>0</v>
      </c>
      <c r="AD468" s="23" t="n">
        <f aca="false">IFERROR(INDEX(PODACI_PRODAJA!M:M,MATCH($A468,PODACI_PRODAJA!$A:$A,0)),0)</f>
        <v>0</v>
      </c>
    </row>
    <row r="469" customFormat="false" ht="15" hidden="false" customHeight="false" outlineLevel="0" collapsed="false">
      <c r="A469" s="11" t="str">
        <f aca="false">PODACI_ZALIHE!A466</f>
        <v>18706</v>
      </c>
      <c r="B469" s="8" t="str">
        <f aca="false">PODACI_ZALIHE!B466</f>
        <v>VETRO MIRROR 120 BLACK TUŠ STIJENA 120x200 cm</v>
      </c>
      <c r="C469" s="9" t="str">
        <f aca="false">PODACI_ZALIHE!C466</f>
        <v>3933</v>
      </c>
      <c r="D469" s="8" t="str">
        <f aca="false">PODACI_ZALIHE!D466</f>
        <v>PINGHU AONISI SANITARY WARE CO.,LTD</v>
      </c>
      <c r="E469" s="19" t="n">
        <f aca="false">IF(PODACI_ZALIHE!E466="","",PODACI_ZALIHE!E466)</f>
        <v>8</v>
      </c>
      <c r="F469" s="20" t="n">
        <f aca="false">PODACI_ZALIHE!F466</f>
        <v>8</v>
      </c>
      <c r="G469" s="19" t="n">
        <f aca="false">IF(E469="","",E469-F469)</f>
        <v>0</v>
      </c>
      <c r="H469" s="9" t="n">
        <f aca="false">PODACI_PRODAJA!N698</f>
        <v>0.25</v>
      </c>
      <c r="I469" s="21" t="n">
        <f aca="false">IF(H469&lt;=0,999,ROUND(F469/H469,1))</f>
        <v>32</v>
      </c>
      <c r="J469" s="9" t="n">
        <f aca="false">SUMIFS(ROBA_U_DOLASKU!$C$6:$C$95,ROBA_U_DOLASKU!$A$6:$A$95,A469,ROBA_U_DOLASKU!$H$6:$H$95,1)</f>
        <v>0</v>
      </c>
      <c r="K469" s="9" t="n">
        <f aca="false">SUMIFS(ROBA_U_DOLASKU!$B$6:$B$95,ROBA_U_DOLASKU!$A$6:$A$95,A469,ROBA_U_DOLASKU!$H$6:$H$95,1)</f>
        <v>0</v>
      </c>
      <c r="L469" s="9" t="n">
        <f aca="false">SUMIFS(ROBA_U_DOLASKU!$C$6:$C$95,ROBA_U_DOLASKU!$A$6:$A$95,A469,ROBA_U_DOLASKU!$H$6:$H$95,2)</f>
        <v>0</v>
      </c>
      <c r="M469" s="9" t="n">
        <f aca="false">SUMIFS(ROBA_U_DOLASKU!$B$6:$B$95,ROBA_U_DOLASKU!$A$6:$A$95,A469,ROBA_U_DOLASKU!$H$6:$H$95,2)</f>
        <v>0</v>
      </c>
      <c r="N469" s="9" t="n">
        <f aca="false">SUMIFS(ROBA_U_DOLASKU!$C$6:$C$95,ROBA_U_DOLASKU!$A$6:$A$95,A469,ROBA_U_DOLASKU!$H$6:$H$95,3)</f>
        <v>0</v>
      </c>
      <c r="O469" s="9" t="n">
        <f aca="false">SUMIFS(ROBA_U_DOLASKU!$B$6:$B$95,ROBA_U_DOLASKU!$A$6:$A$95,A469,ROBA_U_DOLASKU!$H$6:$H$95,3)</f>
        <v>0</v>
      </c>
      <c r="P469" s="9" t="n">
        <f aca="false">IF(H469&lt;=0,999,IF(O469&gt;0,ROUND((F469-H469*N469+K469+M469+O469)/H469,1),IF(M469&gt;0,ROUND((F469-H469*L469+K469+M469)/H469,1),IF(K469&gt;0,ROUND((F469-H469*J469+K469)/H469,1),I469))))</f>
        <v>32</v>
      </c>
      <c r="Q469" s="22" t="str">
        <f aca="false">IF(H469&lt;=0,"Nema prodaje",IF(AND(K469=0,M469=0,O469=0),IF(I469&lt;POSTAVKE!$B$6,"Naruči odmah","Sve u redu"),IF(F469-H469*J469&lt;0,"Rupa za ~"&amp;TEXT(I469,"0.0")&amp;" mj.",IF(AND(M469&gt;0,F469-H469*L469+K469&lt;0),"Rupa nakon 1. dolaska",IF(AND(O469&gt;0,F469-H469*N469+K469+M469&lt;0),"Rupa nakon 2. dolaska",IF(P469&lt;POSTAVKE!$B$6,"Količina nije dovoljna",IF(I469&gt;=POSTAVKE!$B$6,"Sve u redu","Stiže na vrijeme")))))))</f>
        <v>Sve u redu</v>
      </c>
      <c r="S469" s="23" t="n">
        <f aca="false">IFERROR(INDEX(PODACI_PRODAJA!B:B,MATCH($A469,PODACI_PRODAJA!$A:$A,0)),0)</f>
        <v>0</v>
      </c>
      <c r="T469" s="23" t="n">
        <f aca="false">IFERROR(INDEX(PODACI_PRODAJA!C:C,MATCH($A469,PODACI_PRODAJA!$A:$A,0)),0)</f>
        <v>0</v>
      </c>
      <c r="U469" s="23" t="n">
        <f aca="false">IFERROR(INDEX(PODACI_PRODAJA!D:D,MATCH($A469,PODACI_PRODAJA!$A:$A,0)),0)</f>
        <v>0</v>
      </c>
      <c r="V469" s="23" t="n">
        <f aca="false">IFERROR(INDEX(PODACI_PRODAJA!E:E,MATCH($A469,PODACI_PRODAJA!$A:$A,0)),0)</f>
        <v>0</v>
      </c>
      <c r="W469" s="23" t="n">
        <f aca="false">IFERROR(INDEX(PODACI_PRODAJA!F:F,MATCH($A469,PODACI_PRODAJA!$A:$A,0)),0)</f>
        <v>1</v>
      </c>
      <c r="X469" s="23" t="n">
        <f aca="false">IFERROR(INDEX(PODACI_PRODAJA!G:G,MATCH($A469,PODACI_PRODAJA!$A:$A,0)),0)</f>
        <v>0</v>
      </c>
      <c r="Y469" s="23" t="n">
        <f aca="false">IFERROR(INDEX(PODACI_PRODAJA!H:H,MATCH($A469,PODACI_PRODAJA!$A:$A,0)),0)</f>
        <v>1</v>
      </c>
      <c r="Z469" s="23" t="n">
        <f aca="false">IFERROR(INDEX(PODACI_PRODAJA!I:I,MATCH($A469,PODACI_PRODAJA!$A:$A,0)),0)</f>
        <v>0</v>
      </c>
      <c r="AA469" s="23" t="n">
        <f aca="false">IFERROR(INDEX(PODACI_PRODAJA!J:J,MATCH($A469,PODACI_PRODAJA!$A:$A,0)),0)</f>
        <v>0</v>
      </c>
      <c r="AB469" s="23" t="n">
        <f aca="false">IFERROR(INDEX(PODACI_PRODAJA!K:K,MATCH($A469,PODACI_PRODAJA!$A:$A,0)),0)</f>
        <v>0</v>
      </c>
      <c r="AC469" s="23" t="n">
        <f aca="false">IFERROR(INDEX(PODACI_PRODAJA!L:L,MATCH($A469,PODACI_PRODAJA!$A:$A,0)),0)</f>
        <v>0</v>
      </c>
      <c r="AD469" s="23" t="n">
        <f aca="false">IFERROR(INDEX(PODACI_PRODAJA!M:M,MATCH($A469,PODACI_PRODAJA!$A:$A,0)),0)</f>
        <v>0</v>
      </c>
    </row>
    <row r="470" customFormat="false" ht="15" hidden="false" customHeight="false" outlineLevel="0" collapsed="false">
      <c r="A470" s="11" t="str">
        <f aca="false">PODACI_ZALIHE!A467</f>
        <v>327590575</v>
      </c>
      <c r="B470" s="8" t="str">
        <f aca="false">PODACI_ZALIHE!B467</f>
        <v>KLUDI X1 MIJEŠALICA PODŽBUKNA ZA KADU I TUŠ, KROM</v>
      </c>
      <c r="C470" s="9" t="str">
        <f aca="false">PODACI_ZALIHE!C467</f>
        <v>7485</v>
      </c>
      <c r="D470" s="8" t="str">
        <f aca="false">PODACI_ZALIHE!D467</f>
        <v>KLUDI GmbH &amp; Co. KG.,</v>
      </c>
      <c r="E470" s="19" t="n">
        <f aca="false">IF(PODACI_ZALIHE!E467="","",PODACI_ZALIHE!E467)</f>
        <v>8</v>
      </c>
      <c r="F470" s="20" t="n">
        <f aca="false">PODACI_ZALIHE!F467</f>
        <v>8</v>
      </c>
      <c r="G470" s="19" t="n">
        <f aca="false">IF(E470="","",E470-F470)</f>
        <v>0</v>
      </c>
      <c r="H470" s="9" t="n">
        <f aca="false">PODACI_PRODAJA!N755</f>
        <v>0</v>
      </c>
      <c r="I470" s="21" t="n">
        <f aca="false">IF(H470&lt;=0,999,ROUND(F470/H470,1))</f>
        <v>999</v>
      </c>
      <c r="J470" s="9" t="n">
        <f aca="false">SUMIFS(ROBA_U_DOLASKU!$C$6:$C$95,ROBA_U_DOLASKU!$A$6:$A$95,A470,ROBA_U_DOLASKU!$H$6:$H$95,1)</f>
        <v>0</v>
      </c>
      <c r="K470" s="9" t="n">
        <f aca="false">SUMIFS(ROBA_U_DOLASKU!$B$6:$B$95,ROBA_U_DOLASKU!$A$6:$A$95,A470,ROBA_U_DOLASKU!$H$6:$H$95,1)</f>
        <v>0</v>
      </c>
      <c r="L470" s="9" t="n">
        <f aca="false">SUMIFS(ROBA_U_DOLASKU!$C$6:$C$95,ROBA_U_DOLASKU!$A$6:$A$95,A470,ROBA_U_DOLASKU!$H$6:$H$95,2)</f>
        <v>0</v>
      </c>
      <c r="M470" s="9" t="n">
        <f aca="false">SUMIFS(ROBA_U_DOLASKU!$B$6:$B$95,ROBA_U_DOLASKU!$A$6:$A$95,A470,ROBA_U_DOLASKU!$H$6:$H$95,2)</f>
        <v>0</v>
      </c>
      <c r="N470" s="9" t="n">
        <f aca="false">SUMIFS(ROBA_U_DOLASKU!$C$6:$C$95,ROBA_U_DOLASKU!$A$6:$A$95,A470,ROBA_U_DOLASKU!$H$6:$H$95,3)</f>
        <v>0</v>
      </c>
      <c r="O470" s="9" t="n">
        <f aca="false">SUMIFS(ROBA_U_DOLASKU!$B$6:$B$95,ROBA_U_DOLASKU!$A$6:$A$95,A470,ROBA_U_DOLASKU!$H$6:$H$95,3)</f>
        <v>0</v>
      </c>
      <c r="P470" s="9" t="n">
        <f aca="false">IF(H470&lt;=0,999,IF(O470&gt;0,ROUND((F470-H470*N470+K470+M470+O470)/H470,1),IF(M470&gt;0,ROUND((F470-H470*L470+K470+M470)/H470,1),IF(K470&gt;0,ROUND((F470-H470*J470+K470)/H470,1),I470))))</f>
        <v>999</v>
      </c>
      <c r="Q470" s="22" t="str">
        <f aca="false">IF(H470&lt;=0,"Nema prodaje",IF(AND(K470=0,M470=0,O470=0),IF(I470&lt;POSTAVKE!$B$6,"Naruči odmah","Sve u redu"),IF(F470-H470*J470&lt;0,"Rupa za ~"&amp;TEXT(I470,"0.0")&amp;" mj.",IF(AND(M470&gt;0,F470-H470*L470+K470&lt;0),"Rupa nakon 1. dolaska",IF(AND(O470&gt;0,F470-H470*N470+K470+M470&lt;0),"Rupa nakon 2. dolaska",IF(P470&lt;POSTAVKE!$B$6,"Količina nije dovoljna",IF(I470&gt;=POSTAVKE!$B$6,"Sve u redu","Stiže na vrijeme")))))))</f>
        <v>Nema prodaje</v>
      </c>
      <c r="S470" s="23" t="n">
        <f aca="false">IFERROR(INDEX(PODACI_PRODAJA!B:B,MATCH($A470,PODACI_PRODAJA!$A:$A,0)),0)</f>
        <v>0</v>
      </c>
      <c r="T470" s="23" t="n">
        <f aca="false">IFERROR(INDEX(PODACI_PRODAJA!C:C,MATCH($A470,PODACI_PRODAJA!$A:$A,0)),0)</f>
        <v>0</v>
      </c>
      <c r="U470" s="23" t="n">
        <f aca="false">IFERROR(INDEX(PODACI_PRODAJA!D:D,MATCH($A470,PODACI_PRODAJA!$A:$A,0)),0)</f>
        <v>0</v>
      </c>
      <c r="V470" s="23" t="n">
        <f aca="false">IFERROR(INDEX(PODACI_PRODAJA!E:E,MATCH($A470,PODACI_PRODAJA!$A:$A,0)),0)</f>
        <v>0</v>
      </c>
      <c r="W470" s="23" t="n">
        <f aca="false">IFERROR(INDEX(PODACI_PRODAJA!F:F,MATCH($A470,PODACI_PRODAJA!$A:$A,0)),0)</f>
        <v>0</v>
      </c>
      <c r="X470" s="23" t="n">
        <f aca="false">IFERROR(INDEX(PODACI_PRODAJA!G:G,MATCH($A470,PODACI_PRODAJA!$A:$A,0)),0)</f>
        <v>0</v>
      </c>
      <c r="Y470" s="23" t="n">
        <f aca="false">IFERROR(INDEX(PODACI_PRODAJA!H:H,MATCH($A470,PODACI_PRODAJA!$A:$A,0)),0)</f>
        <v>0</v>
      </c>
      <c r="Z470" s="23" t="n">
        <f aca="false">IFERROR(INDEX(PODACI_PRODAJA!I:I,MATCH($A470,PODACI_PRODAJA!$A:$A,0)),0)</f>
        <v>0</v>
      </c>
      <c r="AA470" s="23" t="n">
        <f aca="false">IFERROR(INDEX(PODACI_PRODAJA!J:J,MATCH($A470,PODACI_PRODAJA!$A:$A,0)),0)</f>
        <v>0</v>
      </c>
      <c r="AB470" s="23" t="n">
        <f aca="false">IFERROR(INDEX(PODACI_PRODAJA!K:K,MATCH($A470,PODACI_PRODAJA!$A:$A,0)),0)</f>
        <v>0</v>
      </c>
      <c r="AC470" s="23" t="n">
        <f aca="false">IFERROR(INDEX(PODACI_PRODAJA!L:L,MATCH($A470,PODACI_PRODAJA!$A:$A,0)),0)</f>
        <v>0</v>
      </c>
      <c r="AD470" s="23" t="n">
        <f aca="false">IFERROR(INDEX(PODACI_PRODAJA!M:M,MATCH($A470,PODACI_PRODAJA!$A:$A,0)),0)</f>
        <v>0</v>
      </c>
    </row>
    <row r="471" customFormat="false" ht="15" hidden="false" customHeight="false" outlineLevel="0" collapsed="false">
      <c r="A471" s="11" t="str">
        <f aca="false">PODACI_ZALIHE!A468</f>
        <v>328310575</v>
      </c>
      <c r="B471" s="8" t="str">
        <f aca="false">PODACI_ZALIHE!B468</f>
        <v>KLUDI X1 MIJEŠALICA ZA TUŠ, KROM</v>
      </c>
      <c r="C471" s="9" t="str">
        <f aca="false">PODACI_ZALIHE!C468</f>
        <v>7485</v>
      </c>
      <c r="D471" s="8" t="str">
        <f aca="false">PODACI_ZALIHE!D468</f>
        <v>KLUDI GmbH &amp; Co. KG.,</v>
      </c>
      <c r="E471" s="19" t="n">
        <f aca="false">IF(PODACI_ZALIHE!E468="","",PODACI_ZALIHE!E468)</f>
        <v>8</v>
      </c>
      <c r="F471" s="20" t="n">
        <f aca="false">PODACI_ZALIHE!F468</f>
        <v>8</v>
      </c>
      <c r="G471" s="19" t="n">
        <f aca="false">IF(E471="","",E471-F471)</f>
        <v>0</v>
      </c>
      <c r="H471" s="9" t="n">
        <f aca="false">PODACI_PRODAJA!N756</f>
        <v>0</v>
      </c>
      <c r="I471" s="21" t="n">
        <f aca="false">IF(H471&lt;=0,999,ROUND(F471/H471,1))</f>
        <v>999</v>
      </c>
      <c r="J471" s="9" t="n">
        <f aca="false">SUMIFS(ROBA_U_DOLASKU!$C$6:$C$95,ROBA_U_DOLASKU!$A$6:$A$95,A471,ROBA_U_DOLASKU!$H$6:$H$95,1)</f>
        <v>0</v>
      </c>
      <c r="K471" s="9" t="n">
        <f aca="false">SUMIFS(ROBA_U_DOLASKU!$B$6:$B$95,ROBA_U_DOLASKU!$A$6:$A$95,A471,ROBA_U_DOLASKU!$H$6:$H$95,1)</f>
        <v>0</v>
      </c>
      <c r="L471" s="9" t="n">
        <f aca="false">SUMIFS(ROBA_U_DOLASKU!$C$6:$C$95,ROBA_U_DOLASKU!$A$6:$A$95,A471,ROBA_U_DOLASKU!$H$6:$H$95,2)</f>
        <v>0</v>
      </c>
      <c r="M471" s="9" t="n">
        <f aca="false">SUMIFS(ROBA_U_DOLASKU!$B$6:$B$95,ROBA_U_DOLASKU!$A$6:$A$95,A471,ROBA_U_DOLASKU!$H$6:$H$95,2)</f>
        <v>0</v>
      </c>
      <c r="N471" s="9" t="n">
        <f aca="false">SUMIFS(ROBA_U_DOLASKU!$C$6:$C$95,ROBA_U_DOLASKU!$A$6:$A$95,A471,ROBA_U_DOLASKU!$H$6:$H$95,3)</f>
        <v>0</v>
      </c>
      <c r="O471" s="9" t="n">
        <f aca="false">SUMIFS(ROBA_U_DOLASKU!$B$6:$B$95,ROBA_U_DOLASKU!$A$6:$A$95,A471,ROBA_U_DOLASKU!$H$6:$H$95,3)</f>
        <v>0</v>
      </c>
      <c r="P471" s="9" t="n">
        <f aca="false">IF(H471&lt;=0,999,IF(O471&gt;0,ROUND((F471-H471*N471+K471+M471+O471)/H471,1),IF(M471&gt;0,ROUND((F471-H471*L471+K471+M471)/H471,1),IF(K471&gt;0,ROUND((F471-H471*J471+K471)/H471,1),I471))))</f>
        <v>999</v>
      </c>
      <c r="Q471" s="22" t="str">
        <f aca="false">IF(H471&lt;=0,"Nema prodaje",IF(AND(K471=0,M471=0,O471=0),IF(I471&lt;POSTAVKE!$B$6,"Naruči odmah","Sve u redu"),IF(F471-H471*J471&lt;0,"Rupa za ~"&amp;TEXT(I471,"0.0")&amp;" mj.",IF(AND(M471&gt;0,F471-H471*L471+K471&lt;0),"Rupa nakon 1. dolaska",IF(AND(O471&gt;0,F471-H471*N471+K471+M471&lt;0),"Rupa nakon 2. dolaska",IF(P471&lt;POSTAVKE!$B$6,"Količina nije dovoljna",IF(I471&gt;=POSTAVKE!$B$6,"Sve u redu","Stiže na vrijeme")))))))</f>
        <v>Nema prodaje</v>
      </c>
      <c r="S471" s="23" t="n">
        <f aca="false">IFERROR(INDEX(PODACI_PRODAJA!B:B,MATCH($A471,PODACI_PRODAJA!$A:$A,0)),0)</f>
        <v>0</v>
      </c>
      <c r="T471" s="23" t="n">
        <f aca="false">IFERROR(INDEX(PODACI_PRODAJA!C:C,MATCH($A471,PODACI_PRODAJA!$A:$A,0)),0)</f>
        <v>0</v>
      </c>
      <c r="U471" s="23" t="n">
        <f aca="false">IFERROR(INDEX(PODACI_PRODAJA!D:D,MATCH($A471,PODACI_PRODAJA!$A:$A,0)),0)</f>
        <v>0</v>
      </c>
      <c r="V471" s="23" t="n">
        <f aca="false">IFERROR(INDEX(PODACI_PRODAJA!E:E,MATCH($A471,PODACI_PRODAJA!$A:$A,0)),0)</f>
        <v>0</v>
      </c>
      <c r="W471" s="23" t="n">
        <f aca="false">IFERROR(INDEX(PODACI_PRODAJA!F:F,MATCH($A471,PODACI_PRODAJA!$A:$A,0)),0)</f>
        <v>0</v>
      </c>
      <c r="X471" s="23" t="n">
        <f aca="false">IFERROR(INDEX(PODACI_PRODAJA!G:G,MATCH($A471,PODACI_PRODAJA!$A:$A,0)),0)</f>
        <v>0</v>
      </c>
      <c r="Y471" s="23" t="n">
        <f aca="false">IFERROR(INDEX(PODACI_PRODAJA!H:H,MATCH($A471,PODACI_PRODAJA!$A:$A,0)),0)</f>
        <v>0</v>
      </c>
      <c r="Z471" s="23" t="n">
        <f aca="false">IFERROR(INDEX(PODACI_PRODAJA!I:I,MATCH($A471,PODACI_PRODAJA!$A:$A,0)),0)</f>
        <v>0</v>
      </c>
      <c r="AA471" s="23" t="n">
        <f aca="false">IFERROR(INDEX(PODACI_PRODAJA!J:J,MATCH($A471,PODACI_PRODAJA!$A:$A,0)),0)</f>
        <v>0</v>
      </c>
      <c r="AB471" s="23" t="n">
        <f aca="false">IFERROR(INDEX(PODACI_PRODAJA!K:K,MATCH($A471,PODACI_PRODAJA!$A:$A,0)),0)</f>
        <v>0</v>
      </c>
      <c r="AC471" s="23" t="n">
        <f aca="false">IFERROR(INDEX(PODACI_PRODAJA!L:L,MATCH($A471,PODACI_PRODAJA!$A:$A,0)),0)</f>
        <v>0</v>
      </c>
      <c r="AD471" s="23" t="n">
        <f aca="false">IFERROR(INDEX(PODACI_PRODAJA!M:M,MATCH($A471,PODACI_PRODAJA!$A:$A,0)),0)</f>
        <v>0</v>
      </c>
    </row>
    <row r="472" customFormat="false" ht="15" hidden="false" customHeight="false" outlineLevel="0" collapsed="false">
      <c r="A472" s="11" t="str">
        <f aca="false">PODACI_ZALIHE!A469</f>
        <v>P158143</v>
      </c>
      <c r="B472" s="8" t="str">
        <f aca="false">PODACI_ZALIHE!B469</f>
        <v>BOLD LUX 80120 MINERALSOLID TUŠ KADA BIJELA SJAJNA B</v>
      </c>
      <c r="C472" s="9" t="n">
        <f aca="false">PODACI_ZALIHE!C469</f>
        <v>0</v>
      </c>
      <c r="D472" s="8" t="n">
        <f aca="false">PODACI_ZALIHE!D469</f>
        <v>0</v>
      </c>
      <c r="E472" s="19" t="n">
        <f aca="false">IF(PODACI_ZALIHE!E469="","",PODACI_ZALIHE!E469)</f>
        <v>7</v>
      </c>
      <c r="F472" s="20" t="n">
        <f aca="false">PODACI_ZALIHE!F469</f>
        <v>7</v>
      </c>
      <c r="G472" s="19" t="n">
        <f aca="false">IF(E472="","",E472-F472)</f>
        <v>0</v>
      </c>
      <c r="H472" s="9" t="n">
        <f aca="false">PODACI_PRODAJA!N317</f>
        <v>0.5</v>
      </c>
      <c r="I472" s="21" t="n">
        <f aca="false">IF(H472&lt;=0,999,ROUND(F472/H472,1))</f>
        <v>14</v>
      </c>
      <c r="J472" s="9" t="n">
        <f aca="false">SUMIFS(ROBA_U_DOLASKU!$C$6:$C$95,ROBA_U_DOLASKU!$A$6:$A$95,A472,ROBA_U_DOLASKU!$H$6:$H$95,1)</f>
        <v>0</v>
      </c>
      <c r="K472" s="9" t="n">
        <f aca="false">SUMIFS(ROBA_U_DOLASKU!$B$6:$B$95,ROBA_U_DOLASKU!$A$6:$A$95,A472,ROBA_U_DOLASKU!$H$6:$H$95,1)</f>
        <v>0</v>
      </c>
      <c r="L472" s="9" t="n">
        <f aca="false">SUMIFS(ROBA_U_DOLASKU!$C$6:$C$95,ROBA_U_DOLASKU!$A$6:$A$95,A472,ROBA_U_DOLASKU!$H$6:$H$95,2)</f>
        <v>0</v>
      </c>
      <c r="M472" s="9" t="n">
        <f aca="false">SUMIFS(ROBA_U_DOLASKU!$B$6:$B$95,ROBA_U_DOLASKU!$A$6:$A$95,A472,ROBA_U_DOLASKU!$H$6:$H$95,2)</f>
        <v>0</v>
      </c>
      <c r="N472" s="9" t="n">
        <f aca="false">SUMIFS(ROBA_U_DOLASKU!$C$6:$C$95,ROBA_U_DOLASKU!$A$6:$A$95,A472,ROBA_U_DOLASKU!$H$6:$H$95,3)</f>
        <v>0</v>
      </c>
      <c r="O472" s="9" t="n">
        <f aca="false">SUMIFS(ROBA_U_DOLASKU!$B$6:$B$95,ROBA_U_DOLASKU!$A$6:$A$95,A472,ROBA_U_DOLASKU!$H$6:$H$95,3)</f>
        <v>0</v>
      </c>
      <c r="P472" s="9" t="n">
        <f aca="false">IF(H472&lt;=0,999,IF(O472&gt;0,ROUND((F472-H472*N472+K472+M472+O472)/H472,1),IF(M472&gt;0,ROUND((F472-H472*L472+K472+M472)/H472,1),IF(K472&gt;0,ROUND((F472-H472*J472+K472)/H472,1),I472))))</f>
        <v>14</v>
      </c>
      <c r="Q472" s="22" t="str">
        <f aca="false">IF(H472&lt;=0,"Nema prodaje",IF(AND(K472=0,M472=0,O472=0),IF(I472&lt;POSTAVKE!$B$6,"Naruči odmah","Sve u redu"),IF(F472-H472*J472&lt;0,"Rupa za ~"&amp;TEXT(I472,"0.0")&amp;" mj.",IF(AND(M472&gt;0,F472-H472*L472+K472&lt;0),"Rupa nakon 1. dolaska",IF(AND(O472&gt;0,F472-H472*N472+K472+M472&lt;0),"Rupa nakon 2. dolaska",IF(P472&lt;POSTAVKE!$B$6,"Količina nije dovoljna",IF(I472&gt;=POSTAVKE!$B$6,"Sve u redu","Stiže na vrijeme")))))))</f>
        <v>Sve u redu</v>
      </c>
      <c r="S472" s="23" t="n">
        <f aca="false">IFERROR(INDEX(PODACI_PRODAJA!B:B,MATCH($A472,PODACI_PRODAJA!$A:$A,0)),0)</f>
        <v>0</v>
      </c>
      <c r="T472" s="23" t="n">
        <f aca="false">IFERROR(INDEX(PODACI_PRODAJA!C:C,MATCH($A472,PODACI_PRODAJA!$A:$A,0)),0)</f>
        <v>0</v>
      </c>
      <c r="U472" s="23" t="n">
        <f aca="false">IFERROR(INDEX(PODACI_PRODAJA!D:D,MATCH($A472,PODACI_PRODAJA!$A:$A,0)),0)</f>
        <v>2</v>
      </c>
      <c r="V472" s="23" t="n">
        <f aca="false">IFERROR(INDEX(PODACI_PRODAJA!E:E,MATCH($A472,PODACI_PRODAJA!$A:$A,0)),0)</f>
        <v>1</v>
      </c>
      <c r="W472" s="23" t="n">
        <f aca="false">IFERROR(INDEX(PODACI_PRODAJA!F:F,MATCH($A472,PODACI_PRODAJA!$A:$A,0)),0)</f>
        <v>1</v>
      </c>
      <c r="X472" s="23" t="n">
        <f aca="false">IFERROR(INDEX(PODACI_PRODAJA!G:G,MATCH($A472,PODACI_PRODAJA!$A:$A,0)),0)</f>
        <v>0</v>
      </c>
      <c r="Y472" s="23" t="n">
        <f aca="false">IFERROR(INDEX(PODACI_PRODAJA!H:H,MATCH($A472,PODACI_PRODAJA!$A:$A,0)),0)</f>
        <v>0</v>
      </c>
      <c r="Z472" s="23" t="n">
        <f aca="false">IFERROR(INDEX(PODACI_PRODAJA!I:I,MATCH($A472,PODACI_PRODAJA!$A:$A,0)),0)</f>
        <v>0</v>
      </c>
      <c r="AA472" s="23" t="n">
        <f aca="false">IFERROR(INDEX(PODACI_PRODAJA!J:J,MATCH($A472,PODACI_PRODAJA!$A:$A,0)),0)</f>
        <v>0</v>
      </c>
      <c r="AB472" s="23" t="n">
        <f aca="false">IFERROR(INDEX(PODACI_PRODAJA!K:K,MATCH($A472,PODACI_PRODAJA!$A:$A,0)),0)</f>
        <v>0</v>
      </c>
      <c r="AC472" s="23" t="n">
        <f aca="false">IFERROR(INDEX(PODACI_PRODAJA!L:L,MATCH($A472,PODACI_PRODAJA!$A:$A,0)),0)</f>
        <v>0</v>
      </c>
      <c r="AD472" s="23" t="n">
        <f aca="false">IFERROR(INDEX(PODACI_PRODAJA!M:M,MATCH($A472,PODACI_PRODAJA!$A:$A,0)),0)</f>
        <v>0</v>
      </c>
    </row>
    <row r="473" customFormat="false" ht="15" hidden="false" customHeight="false" outlineLevel="0" collapsed="false">
      <c r="A473" s="11" t="str">
        <f aca="false">PODACI_ZALIHE!A470</f>
        <v>RDE320191</v>
      </c>
      <c r="B473" s="8" t="str">
        <f aca="false">PODACI_ZALIHE!B470</f>
        <v>DASKA ZA WC ŠKOLJKU QUADRA</v>
      </c>
      <c r="C473" s="9" t="n">
        <f aca="false">PODACI_ZALIHE!C470</f>
        <v>0</v>
      </c>
      <c r="D473" s="8" t="n">
        <f aca="false">PODACI_ZALIHE!D470</f>
        <v>0</v>
      </c>
      <c r="E473" s="19" t="n">
        <f aca="false">IF(PODACI_ZALIHE!E470="","",PODACI_ZALIHE!E470)</f>
        <v>7</v>
      </c>
      <c r="F473" s="20" t="n">
        <f aca="false">PODACI_ZALIHE!F470</f>
        <v>7</v>
      </c>
      <c r="G473" s="19" t="n">
        <f aca="false">IF(E473="","",E473-F473)</f>
        <v>0</v>
      </c>
      <c r="H473" s="9" t="n">
        <f aca="false">PODACI_PRODAJA!N353</f>
        <v>0.13</v>
      </c>
      <c r="I473" s="21" t="n">
        <f aca="false">IF(H473&lt;=0,999,ROUND(F473/H473,1))</f>
        <v>53.8</v>
      </c>
      <c r="J473" s="9" t="n">
        <f aca="false">SUMIFS(ROBA_U_DOLASKU!$C$6:$C$95,ROBA_U_DOLASKU!$A$6:$A$95,A473,ROBA_U_DOLASKU!$H$6:$H$95,1)</f>
        <v>0</v>
      </c>
      <c r="K473" s="9" t="n">
        <f aca="false">SUMIFS(ROBA_U_DOLASKU!$B$6:$B$95,ROBA_U_DOLASKU!$A$6:$A$95,A473,ROBA_U_DOLASKU!$H$6:$H$95,1)</f>
        <v>0</v>
      </c>
      <c r="L473" s="9" t="n">
        <f aca="false">SUMIFS(ROBA_U_DOLASKU!$C$6:$C$95,ROBA_U_DOLASKU!$A$6:$A$95,A473,ROBA_U_DOLASKU!$H$6:$H$95,2)</f>
        <v>0</v>
      </c>
      <c r="M473" s="9" t="n">
        <f aca="false">SUMIFS(ROBA_U_DOLASKU!$B$6:$B$95,ROBA_U_DOLASKU!$A$6:$A$95,A473,ROBA_U_DOLASKU!$H$6:$H$95,2)</f>
        <v>0</v>
      </c>
      <c r="N473" s="9" t="n">
        <f aca="false">SUMIFS(ROBA_U_DOLASKU!$C$6:$C$95,ROBA_U_DOLASKU!$A$6:$A$95,A473,ROBA_U_DOLASKU!$H$6:$H$95,3)</f>
        <v>0</v>
      </c>
      <c r="O473" s="9" t="n">
        <f aca="false">SUMIFS(ROBA_U_DOLASKU!$B$6:$B$95,ROBA_U_DOLASKU!$A$6:$A$95,A473,ROBA_U_DOLASKU!$H$6:$H$95,3)</f>
        <v>0</v>
      </c>
      <c r="P473" s="9" t="n">
        <f aca="false">IF(H473&lt;=0,999,IF(O473&gt;0,ROUND((F473-H473*N473+K473+M473+O473)/H473,1),IF(M473&gt;0,ROUND((F473-H473*L473+K473+M473)/H473,1),IF(K473&gt;0,ROUND((F473-H473*J473+K473)/H473,1),I473))))</f>
        <v>53.8</v>
      </c>
      <c r="Q473" s="22" t="str">
        <f aca="false">IF(H473&lt;=0,"Nema prodaje",IF(AND(K473=0,M473=0,O473=0),IF(I473&lt;POSTAVKE!$B$6,"Naruči odmah","Sve u redu"),IF(F473-H473*J473&lt;0,"Rupa za ~"&amp;TEXT(I473,"0.0")&amp;" mj.",IF(AND(M473&gt;0,F473-H473*L473+K473&lt;0),"Rupa nakon 1. dolaska",IF(AND(O473&gt;0,F473-H473*N473+K473+M473&lt;0),"Rupa nakon 2. dolaska",IF(P473&lt;POSTAVKE!$B$6,"Količina nije dovoljna",IF(I473&gt;=POSTAVKE!$B$6,"Sve u redu","Stiže na vrijeme")))))))</f>
        <v>Sve u redu</v>
      </c>
      <c r="S473" s="23" t="n">
        <f aca="false">IFERROR(INDEX(PODACI_PRODAJA!B:B,MATCH($A473,PODACI_PRODAJA!$A:$A,0)),0)</f>
        <v>0</v>
      </c>
      <c r="T473" s="23" t="n">
        <f aca="false">IFERROR(INDEX(PODACI_PRODAJA!C:C,MATCH($A473,PODACI_PRODAJA!$A:$A,0)),0)</f>
        <v>0</v>
      </c>
      <c r="U473" s="23" t="n">
        <f aca="false">IFERROR(INDEX(PODACI_PRODAJA!D:D,MATCH($A473,PODACI_PRODAJA!$A:$A,0)),0)</f>
        <v>0</v>
      </c>
      <c r="V473" s="23" t="n">
        <f aca="false">IFERROR(INDEX(PODACI_PRODAJA!E:E,MATCH($A473,PODACI_PRODAJA!$A:$A,0)),0)</f>
        <v>0</v>
      </c>
      <c r="W473" s="23" t="n">
        <f aca="false">IFERROR(INDEX(PODACI_PRODAJA!F:F,MATCH($A473,PODACI_PRODAJA!$A:$A,0)),0)</f>
        <v>1</v>
      </c>
      <c r="X473" s="23" t="n">
        <f aca="false">IFERROR(INDEX(PODACI_PRODAJA!G:G,MATCH($A473,PODACI_PRODAJA!$A:$A,0)),0)</f>
        <v>0</v>
      </c>
      <c r="Y473" s="23" t="n">
        <f aca="false">IFERROR(INDEX(PODACI_PRODAJA!H:H,MATCH($A473,PODACI_PRODAJA!$A:$A,0)),0)</f>
        <v>0</v>
      </c>
      <c r="Z473" s="23" t="n">
        <f aca="false">IFERROR(INDEX(PODACI_PRODAJA!I:I,MATCH($A473,PODACI_PRODAJA!$A:$A,0)),0)</f>
        <v>0</v>
      </c>
      <c r="AA473" s="23" t="n">
        <f aca="false">IFERROR(INDEX(PODACI_PRODAJA!J:J,MATCH($A473,PODACI_PRODAJA!$A:$A,0)),0)</f>
        <v>0</v>
      </c>
      <c r="AB473" s="23" t="n">
        <f aca="false">IFERROR(INDEX(PODACI_PRODAJA!K:K,MATCH($A473,PODACI_PRODAJA!$A:$A,0)),0)</f>
        <v>0</v>
      </c>
      <c r="AC473" s="23" t="n">
        <f aca="false">IFERROR(INDEX(PODACI_PRODAJA!L:L,MATCH($A473,PODACI_PRODAJA!$A:$A,0)),0)</f>
        <v>0</v>
      </c>
      <c r="AD473" s="23" t="n">
        <f aca="false">IFERROR(INDEX(PODACI_PRODAJA!M:M,MATCH($A473,PODACI_PRODAJA!$A:$A,0)),0)</f>
        <v>0</v>
      </c>
    </row>
    <row r="474" customFormat="false" ht="15" hidden="false" customHeight="false" outlineLevel="0" collapsed="false">
      <c r="A474" s="11" t="str">
        <f aca="false">PODACI_ZALIHE!A471</f>
        <v>01500180</v>
      </c>
      <c r="B474" s="8" t="str">
        <f aca="false">PODACI_ZALIHE!B471</f>
        <v>HANSGROHE IBOX2 PODŽBUKNO TIJELO ZA MIJEŠALICE</v>
      </c>
      <c r="C474" s="9" t="str">
        <f aca="false">PODACI_ZALIHE!C471</f>
        <v>7564</v>
      </c>
      <c r="D474" s="8" t="str">
        <f aca="false">PODACI_ZALIHE!D471</f>
        <v>MAVI d.o.o.</v>
      </c>
      <c r="E474" s="19" t="n">
        <f aca="false">IF(PODACI_ZALIHE!E471="","",PODACI_ZALIHE!E471)</f>
        <v>7</v>
      </c>
      <c r="F474" s="20" t="n">
        <f aca="false">PODACI_ZALIHE!F471</f>
        <v>7</v>
      </c>
      <c r="G474" s="19" t="n">
        <f aca="false">IF(E474="","",E474-F474)</f>
        <v>0</v>
      </c>
      <c r="H474" s="9" t="n">
        <f aca="false">PODACI_PRODAJA!N399</f>
        <v>0</v>
      </c>
      <c r="I474" s="21" t="n">
        <f aca="false">IF(H474&lt;=0,999,ROUND(F474/H474,1))</f>
        <v>999</v>
      </c>
      <c r="J474" s="9" t="n">
        <f aca="false">SUMIFS(ROBA_U_DOLASKU!$C$6:$C$95,ROBA_U_DOLASKU!$A$6:$A$95,A474,ROBA_U_DOLASKU!$H$6:$H$95,1)</f>
        <v>0</v>
      </c>
      <c r="K474" s="9" t="n">
        <f aca="false">SUMIFS(ROBA_U_DOLASKU!$B$6:$B$95,ROBA_U_DOLASKU!$A$6:$A$95,A474,ROBA_U_DOLASKU!$H$6:$H$95,1)</f>
        <v>0</v>
      </c>
      <c r="L474" s="9" t="n">
        <f aca="false">SUMIFS(ROBA_U_DOLASKU!$C$6:$C$95,ROBA_U_DOLASKU!$A$6:$A$95,A474,ROBA_U_DOLASKU!$H$6:$H$95,2)</f>
        <v>0</v>
      </c>
      <c r="M474" s="9" t="n">
        <f aca="false">SUMIFS(ROBA_U_DOLASKU!$B$6:$B$95,ROBA_U_DOLASKU!$A$6:$A$95,A474,ROBA_U_DOLASKU!$H$6:$H$95,2)</f>
        <v>0</v>
      </c>
      <c r="N474" s="9" t="n">
        <f aca="false">SUMIFS(ROBA_U_DOLASKU!$C$6:$C$95,ROBA_U_DOLASKU!$A$6:$A$95,A474,ROBA_U_DOLASKU!$H$6:$H$95,3)</f>
        <v>0</v>
      </c>
      <c r="O474" s="9" t="n">
        <f aca="false">SUMIFS(ROBA_U_DOLASKU!$B$6:$B$95,ROBA_U_DOLASKU!$A$6:$A$95,A474,ROBA_U_DOLASKU!$H$6:$H$95,3)</f>
        <v>0</v>
      </c>
      <c r="P474" s="9" t="n">
        <f aca="false">IF(H474&lt;=0,999,IF(O474&gt;0,ROUND((F474-H474*N474+K474+M474+O474)/H474,1),IF(M474&gt;0,ROUND((F474-H474*L474+K474+M474)/H474,1),IF(K474&gt;0,ROUND((F474-H474*J474+K474)/H474,1),I474))))</f>
        <v>999</v>
      </c>
      <c r="Q474" s="22" t="str">
        <f aca="false">IF(H474&lt;=0,"Nema prodaje",IF(AND(K474=0,M474=0,O474=0),IF(I474&lt;POSTAVKE!$B$6,"Naruči odmah","Sve u redu"),IF(F474-H474*J474&lt;0,"Rupa za ~"&amp;TEXT(I474,"0.0")&amp;" mj.",IF(AND(M474&gt;0,F474-H474*L474+K474&lt;0),"Rupa nakon 1. dolaska",IF(AND(O474&gt;0,F474-H474*N474+K474+M474&lt;0),"Rupa nakon 2. dolaska",IF(P474&lt;POSTAVKE!$B$6,"Količina nije dovoljna",IF(I474&gt;=POSTAVKE!$B$6,"Sve u redu","Stiže na vrijeme")))))))</f>
        <v>Nema prodaje</v>
      </c>
      <c r="S474" s="23" t="n">
        <f aca="false">IFERROR(INDEX(PODACI_PRODAJA!B:B,MATCH($A474,PODACI_PRODAJA!$A:$A,0)),0)</f>
        <v>0</v>
      </c>
      <c r="T474" s="23" t="n">
        <f aca="false">IFERROR(INDEX(PODACI_PRODAJA!C:C,MATCH($A474,PODACI_PRODAJA!$A:$A,0)),0)</f>
        <v>0</v>
      </c>
      <c r="U474" s="23" t="n">
        <f aca="false">IFERROR(INDEX(PODACI_PRODAJA!D:D,MATCH($A474,PODACI_PRODAJA!$A:$A,0)),0)</f>
        <v>0</v>
      </c>
      <c r="V474" s="23" t="n">
        <f aca="false">IFERROR(INDEX(PODACI_PRODAJA!E:E,MATCH($A474,PODACI_PRODAJA!$A:$A,0)),0)</f>
        <v>0</v>
      </c>
      <c r="W474" s="23" t="n">
        <f aca="false">IFERROR(INDEX(PODACI_PRODAJA!F:F,MATCH($A474,PODACI_PRODAJA!$A:$A,0)),0)</f>
        <v>0</v>
      </c>
      <c r="X474" s="23" t="n">
        <f aca="false">IFERROR(INDEX(PODACI_PRODAJA!G:G,MATCH($A474,PODACI_PRODAJA!$A:$A,0)),0)</f>
        <v>0</v>
      </c>
      <c r="Y474" s="23" t="n">
        <f aca="false">IFERROR(INDEX(PODACI_PRODAJA!H:H,MATCH($A474,PODACI_PRODAJA!$A:$A,0)),0)</f>
        <v>0</v>
      </c>
      <c r="Z474" s="23" t="n">
        <f aca="false">IFERROR(INDEX(PODACI_PRODAJA!I:I,MATCH($A474,PODACI_PRODAJA!$A:$A,0)),0)</f>
        <v>0</v>
      </c>
      <c r="AA474" s="23" t="n">
        <f aca="false">IFERROR(INDEX(PODACI_PRODAJA!J:J,MATCH($A474,PODACI_PRODAJA!$A:$A,0)),0)</f>
        <v>0</v>
      </c>
      <c r="AB474" s="23" t="n">
        <f aca="false">IFERROR(INDEX(PODACI_PRODAJA!K:K,MATCH($A474,PODACI_PRODAJA!$A:$A,0)),0)</f>
        <v>0</v>
      </c>
      <c r="AC474" s="23" t="n">
        <f aca="false">IFERROR(INDEX(PODACI_PRODAJA!L:L,MATCH($A474,PODACI_PRODAJA!$A:$A,0)),0)</f>
        <v>0</v>
      </c>
      <c r="AD474" s="23" t="n">
        <f aca="false">IFERROR(INDEX(PODACI_PRODAJA!M:M,MATCH($A474,PODACI_PRODAJA!$A:$A,0)),0)</f>
        <v>0</v>
      </c>
    </row>
    <row r="475" customFormat="false" ht="15" hidden="false" customHeight="false" outlineLevel="0" collapsed="false">
      <c r="A475" s="11" t="str">
        <f aca="false">PODACI_ZALIHE!A472</f>
        <v>1016942430</v>
      </c>
      <c r="B475" s="8" t="str">
        <f aca="false">PODACI_ZALIHE!B472</f>
        <v>GROHE CUBEO MIJEŠALICA ZA UMIVAONIK S, CRNA</v>
      </c>
      <c r="C475" s="9" t="str">
        <f aca="false">PODACI_ZALIHE!C472</f>
        <v>4499</v>
      </c>
      <c r="D475" s="8" t="str">
        <f aca="false">PODACI_ZALIHE!D472</f>
        <v>THS D.O.O.</v>
      </c>
      <c r="E475" s="19" t="n">
        <f aca="false">IF(PODACI_ZALIHE!E472="","",PODACI_ZALIHE!E472)</f>
        <v>8</v>
      </c>
      <c r="F475" s="20" t="n">
        <f aca="false">PODACI_ZALIHE!F472</f>
        <v>7</v>
      </c>
      <c r="G475" s="19" t="n">
        <f aca="false">IF(E475="","",E475-F475)</f>
        <v>1</v>
      </c>
      <c r="H475" s="9" t="n">
        <f aca="false">PODACI_PRODAJA!N449</f>
        <v>0</v>
      </c>
      <c r="I475" s="21" t="n">
        <f aca="false">IF(H475&lt;=0,999,ROUND(F475/H475,1))</f>
        <v>999</v>
      </c>
      <c r="J475" s="9" t="n">
        <f aca="false">SUMIFS(ROBA_U_DOLASKU!$C$6:$C$95,ROBA_U_DOLASKU!$A$6:$A$95,A475,ROBA_U_DOLASKU!$H$6:$H$95,1)</f>
        <v>0</v>
      </c>
      <c r="K475" s="9" t="n">
        <f aca="false">SUMIFS(ROBA_U_DOLASKU!$B$6:$B$95,ROBA_U_DOLASKU!$A$6:$A$95,A475,ROBA_U_DOLASKU!$H$6:$H$95,1)</f>
        <v>0</v>
      </c>
      <c r="L475" s="9" t="n">
        <f aca="false">SUMIFS(ROBA_U_DOLASKU!$C$6:$C$95,ROBA_U_DOLASKU!$A$6:$A$95,A475,ROBA_U_DOLASKU!$H$6:$H$95,2)</f>
        <v>0</v>
      </c>
      <c r="M475" s="9" t="n">
        <f aca="false">SUMIFS(ROBA_U_DOLASKU!$B$6:$B$95,ROBA_U_DOLASKU!$A$6:$A$95,A475,ROBA_U_DOLASKU!$H$6:$H$95,2)</f>
        <v>0</v>
      </c>
      <c r="N475" s="9" t="n">
        <f aca="false">SUMIFS(ROBA_U_DOLASKU!$C$6:$C$95,ROBA_U_DOLASKU!$A$6:$A$95,A475,ROBA_U_DOLASKU!$H$6:$H$95,3)</f>
        <v>0</v>
      </c>
      <c r="O475" s="9" t="n">
        <f aca="false">SUMIFS(ROBA_U_DOLASKU!$B$6:$B$95,ROBA_U_DOLASKU!$A$6:$A$95,A475,ROBA_U_DOLASKU!$H$6:$H$95,3)</f>
        <v>0</v>
      </c>
      <c r="P475" s="9" t="n">
        <f aca="false">IF(H475&lt;=0,999,IF(O475&gt;0,ROUND((F475-H475*N475+K475+M475+O475)/H475,1),IF(M475&gt;0,ROUND((F475-H475*L475+K475+M475)/H475,1),IF(K475&gt;0,ROUND((F475-H475*J475+K475)/H475,1),I475))))</f>
        <v>999</v>
      </c>
      <c r="Q475" s="22" t="str">
        <f aca="false">IF(H475&lt;=0,"Nema prodaje",IF(AND(K475=0,M475=0,O475=0),IF(I475&lt;POSTAVKE!$B$6,"Naruči odmah","Sve u redu"),IF(F475-H475*J475&lt;0,"Rupa za ~"&amp;TEXT(I475,"0.0")&amp;" mj.",IF(AND(M475&gt;0,F475-H475*L475+K475&lt;0),"Rupa nakon 1. dolaska",IF(AND(O475&gt;0,F475-H475*N475+K475+M475&lt;0),"Rupa nakon 2. dolaska",IF(P475&lt;POSTAVKE!$B$6,"Količina nije dovoljna",IF(I475&gt;=POSTAVKE!$B$6,"Sve u redu","Stiže na vrijeme")))))))</f>
        <v>Nema prodaje</v>
      </c>
      <c r="S475" s="23" t="n">
        <f aca="false">IFERROR(INDEX(PODACI_PRODAJA!B:B,MATCH($A475,PODACI_PRODAJA!$A:$A,0)),0)</f>
        <v>0</v>
      </c>
      <c r="T475" s="23" t="n">
        <f aca="false">IFERROR(INDEX(PODACI_PRODAJA!C:C,MATCH($A475,PODACI_PRODAJA!$A:$A,0)),0)</f>
        <v>0</v>
      </c>
      <c r="U475" s="23" t="n">
        <f aca="false">IFERROR(INDEX(PODACI_PRODAJA!D:D,MATCH($A475,PODACI_PRODAJA!$A:$A,0)),0)</f>
        <v>0</v>
      </c>
      <c r="V475" s="23" t="n">
        <f aca="false">IFERROR(INDEX(PODACI_PRODAJA!E:E,MATCH($A475,PODACI_PRODAJA!$A:$A,0)),0)</f>
        <v>0</v>
      </c>
      <c r="W475" s="23" t="n">
        <f aca="false">IFERROR(INDEX(PODACI_PRODAJA!F:F,MATCH($A475,PODACI_PRODAJA!$A:$A,0)),0)</f>
        <v>0</v>
      </c>
      <c r="X475" s="23" t="n">
        <f aca="false">IFERROR(INDEX(PODACI_PRODAJA!G:G,MATCH($A475,PODACI_PRODAJA!$A:$A,0)),0)</f>
        <v>0</v>
      </c>
      <c r="Y475" s="23" t="n">
        <f aca="false">IFERROR(INDEX(PODACI_PRODAJA!H:H,MATCH($A475,PODACI_PRODAJA!$A:$A,0)),0)</f>
        <v>0</v>
      </c>
      <c r="Z475" s="23" t="n">
        <f aca="false">IFERROR(INDEX(PODACI_PRODAJA!I:I,MATCH($A475,PODACI_PRODAJA!$A:$A,0)),0)</f>
        <v>0</v>
      </c>
      <c r="AA475" s="23" t="n">
        <f aca="false">IFERROR(INDEX(PODACI_PRODAJA!J:J,MATCH($A475,PODACI_PRODAJA!$A:$A,0)),0)</f>
        <v>0</v>
      </c>
      <c r="AB475" s="23" t="n">
        <f aca="false">IFERROR(INDEX(PODACI_PRODAJA!K:K,MATCH($A475,PODACI_PRODAJA!$A:$A,0)),0)</f>
        <v>0</v>
      </c>
      <c r="AC475" s="23" t="n">
        <f aca="false">IFERROR(INDEX(PODACI_PRODAJA!L:L,MATCH($A475,PODACI_PRODAJA!$A:$A,0)),0)</f>
        <v>0</v>
      </c>
      <c r="AD475" s="23" t="n">
        <f aca="false">IFERROR(INDEX(PODACI_PRODAJA!M:M,MATCH($A475,PODACI_PRODAJA!$A:$A,0)),0)</f>
        <v>0</v>
      </c>
    </row>
    <row r="476" customFormat="false" ht="15" hidden="false" customHeight="false" outlineLevel="0" collapsed="false">
      <c r="A476" s="11" t="str">
        <f aca="false">PODACI_ZALIHE!A473</f>
        <v>1017492430</v>
      </c>
      <c r="B476" s="8" t="str">
        <f aca="false">PODACI_ZALIHE!B473</f>
        <v>GROHE CUBEO MIJEŠALICA ZA UMIVAONIK M, CRNA</v>
      </c>
      <c r="C476" s="9" t="str">
        <f aca="false">PODACI_ZALIHE!C473</f>
        <v>4499</v>
      </c>
      <c r="D476" s="8" t="str">
        <f aca="false">PODACI_ZALIHE!D473</f>
        <v>THS D.O.O.</v>
      </c>
      <c r="E476" s="19" t="n">
        <f aca="false">IF(PODACI_ZALIHE!E473="","",PODACI_ZALIHE!E473)</f>
        <v>8</v>
      </c>
      <c r="F476" s="20" t="n">
        <f aca="false">PODACI_ZALIHE!F473</f>
        <v>7</v>
      </c>
      <c r="G476" s="19" t="n">
        <f aca="false">IF(E476="","",E476-F476)</f>
        <v>1</v>
      </c>
      <c r="H476" s="9" t="n">
        <f aca="false">PODACI_PRODAJA!N451</f>
        <v>0</v>
      </c>
      <c r="I476" s="21" t="n">
        <f aca="false">IF(H476&lt;=0,999,ROUND(F476/H476,1))</f>
        <v>999</v>
      </c>
      <c r="J476" s="9" t="n">
        <f aca="false">SUMIFS(ROBA_U_DOLASKU!$C$6:$C$95,ROBA_U_DOLASKU!$A$6:$A$95,A476,ROBA_U_DOLASKU!$H$6:$H$95,1)</f>
        <v>0</v>
      </c>
      <c r="K476" s="9" t="n">
        <f aca="false">SUMIFS(ROBA_U_DOLASKU!$B$6:$B$95,ROBA_U_DOLASKU!$A$6:$A$95,A476,ROBA_U_DOLASKU!$H$6:$H$95,1)</f>
        <v>0</v>
      </c>
      <c r="L476" s="9" t="n">
        <f aca="false">SUMIFS(ROBA_U_DOLASKU!$C$6:$C$95,ROBA_U_DOLASKU!$A$6:$A$95,A476,ROBA_U_DOLASKU!$H$6:$H$95,2)</f>
        <v>0</v>
      </c>
      <c r="M476" s="9" t="n">
        <f aca="false">SUMIFS(ROBA_U_DOLASKU!$B$6:$B$95,ROBA_U_DOLASKU!$A$6:$A$95,A476,ROBA_U_DOLASKU!$H$6:$H$95,2)</f>
        <v>0</v>
      </c>
      <c r="N476" s="9" t="n">
        <f aca="false">SUMIFS(ROBA_U_DOLASKU!$C$6:$C$95,ROBA_U_DOLASKU!$A$6:$A$95,A476,ROBA_U_DOLASKU!$H$6:$H$95,3)</f>
        <v>0</v>
      </c>
      <c r="O476" s="9" t="n">
        <f aca="false">SUMIFS(ROBA_U_DOLASKU!$B$6:$B$95,ROBA_U_DOLASKU!$A$6:$A$95,A476,ROBA_U_DOLASKU!$H$6:$H$95,3)</f>
        <v>0</v>
      </c>
      <c r="P476" s="9" t="n">
        <f aca="false">IF(H476&lt;=0,999,IF(O476&gt;0,ROUND((F476-H476*N476+K476+M476+O476)/H476,1),IF(M476&gt;0,ROUND((F476-H476*L476+K476+M476)/H476,1),IF(K476&gt;0,ROUND((F476-H476*J476+K476)/H476,1),I476))))</f>
        <v>999</v>
      </c>
      <c r="Q476" s="22" t="str">
        <f aca="false">IF(H476&lt;=0,"Nema prodaje",IF(AND(K476=0,M476=0,O476=0),IF(I476&lt;POSTAVKE!$B$6,"Naruči odmah","Sve u redu"),IF(F476-H476*J476&lt;0,"Rupa za ~"&amp;TEXT(I476,"0.0")&amp;" mj.",IF(AND(M476&gt;0,F476-H476*L476+K476&lt;0),"Rupa nakon 1. dolaska",IF(AND(O476&gt;0,F476-H476*N476+K476+M476&lt;0),"Rupa nakon 2. dolaska",IF(P476&lt;POSTAVKE!$B$6,"Količina nije dovoljna",IF(I476&gt;=POSTAVKE!$B$6,"Sve u redu","Stiže na vrijeme")))))))</f>
        <v>Nema prodaje</v>
      </c>
      <c r="S476" s="23" t="n">
        <f aca="false">IFERROR(INDEX(PODACI_PRODAJA!B:B,MATCH($A476,PODACI_PRODAJA!$A:$A,0)),0)</f>
        <v>0</v>
      </c>
      <c r="T476" s="23" t="n">
        <f aca="false">IFERROR(INDEX(PODACI_PRODAJA!C:C,MATCH($A476,PODACI_PRODAJA!$A:$A,0)),0)</f>
        <v>0</v>
      </c>
      <c r="U476" s="23" t="n">
        <f aca="false">IFERROR(INDEX(PODACI_PRODAJA!D:D,MATCH($A476,PODACI_PRODAJA!$A:$A,0)),0)</f>
        <v>0</v>
      </c>
      <c r="V476" s="23" t="n">
        <f aca="false">IFERROR(INDEX(PODACI_PRODAJA!E:E,MATCH($A476,PODACI_PRODAJA!$A:$A,0)),0)</f>
        <v>0</v>
      </c>
      <c r="W476" s="23" t="n">
        <f aca="false">IFERROR(INDEX(PODACI_PRODAJA!F:F,MATCH($A476,PODACI_PRODAJA!$A:$A,0)),0)</f>
        <v>0</v>
      </c>
      <c r="X476" s="23" t="n">
        <f aca="false">IFERROR(INDEX(PODACI_PRODAJA!G:G,MATCH($A476,PODACI_PRODAJA!$A:$A,0)),0)</f>
        <v>0</v>
      </c>
      <c r="Y476" s="23" t="n">
        <f aca="false">IFERROR(INDEX(PODACI_PRODAJA!H:H,MATCH($A476,PODACI_PRODAJA!$A:$A,0)),0)</f>
        <v>0</v>
      </c>
      <c r="Z476" s="23" t="n">
        <f aca="false">IFERROR(INDEX(PODACI_PRODAJA!I:I,MATCH($A476,PODACI_PRODAJA!$A:$A,0)),0)</f>
        <v>0</v>
      </c>
      <c r="AA476" s="23" t="n">
        <f aca="false">IFERROR(INDEX(PODACI_PRODAJA!J:J,MATCH($A476,PODACI_PRODAJA!$A:$A,0)),0)</f>
        <v>0</v>
      </c>
      <c r="AB476" s="23" t="n">
        <f aca="false">IFERROR(INDEX(PODACI_PRODAJA!K:K,MATCH($A476,PODACI_PRODAJA!$A:$A,0)),0)</f>
        <v>0</v>
      </c>
      <c r="AC476" s="23" t="n">
        <f aca="false">IFERROR(INDEX(PODACI_PRODAJA!L:L,MATCH($A476,PODACI_PRODAJA!$A:$A,0)),0)</f>
        <v>0</v>
      </c>
      <c r="AD476" s="23" t="n">
        <f aca="false">IFERROR(INDEX(PODACI_PRODAJA!M:M,MATCH($A476,PODACI_PRODAJA!$A:$A,0)),0)</f>
        <v>0</v>
      </c>
    </row>
    <row r="477" customFormat="false" ht="15" hidden="false" customHeight="false" outlineLevel="0" collapsed="false">
      <c r="A477" s="11" t="str">
        <f aca="false">PODACI_ZALIHE!A474</f>
        <v>1018132430</v>
      </c>
      <c r="B477" s="8" t="str">
        <f aca="false">PODACI_ZALIHE!B474</f>
        <v>GROHE CUBEO MIJEŠALICA ZA KADU, CRNA</v>
      </c>
      <c r="C477" s="9" t="str">
        <f aca="false">PODACI_ZALIHE!C474</f>
        <v>4499</v>
      </c>
      <c r="D477" s="8" t="str">
        <f aca="false">PODACI_ZALIHE!D474</f>
        <v>THS D.O.O.</v>
      </c>
      <c r="E477" s="19" t="n">
        <f aca="false">IF(PODACI_ZALIHE!E474="","",PODACI_ZALIHE!E474)</f>
        <v>8</v>
      </c>
      <c r="F477" s="20" t="n">
        <f aca="false">PODACI_ZALIHE!F474</f>
        <v>7</v>
      </c>
      <c r="G477" s="19" t="n">
        <f aca="false">IF(E477="","",E477-F477)</f>
        <v>1</v>
      </c>
      <c r="H477" s="9" t="n">
        <f aca="false">PODACI_PRODAJA!N452</f>
        <v>0</v>
      </c>
      <c r="I477" s="21" t="n">
        <f aca="false">IF(H477&lt;=0,999,ROUND(F477/H477,1))</f>
        <v>999</v>
      </c>
      <c r="J477" s="9" t="n">
        <f aca="false">SUMIFS(ROBA_U_DOLASKU!$C$6:$C$95,ROBA_U_DOLASKU!$A$6:$A$95,A477,ROBA_U_DOLASKU!$H$6:$H$95,1)</f>
        <v>0</v>
      </c>
      <c r="K477" s="9" t="n">
        <f aca="false">SUMIFS(ROBA_U_DOLASKU!$B$6:$B$95,ROBA_U_DOLASKU!$A$6:$A$95,A477,ROBA_U_DOLASKU!$H$6:$H$95,1)</f>
        <v>0</v>
      </c>
      <c r="L477" s="9" t="n">
        <f aca="false">SUMIFS(ROBA_U_DOLASKU!$C$6:$C$95,ROBA_U_DOLASKU!$A$6:$A$95,A477,ROBA_U_DOLASKU!$H$6:$H$95,2)</f>
        <v>0</v>
      </c>
      <c r="M477" s="9" t="n">
        <f aca="false">SUMIFS(ROBA_U_DOLASKU!$B$6:$B$95,ROBA_U_DOLASKU!$A$6:$A$95,A477,ROBA_U_DOLASKU!$H$6:$H$95,2)</f>
        <v>0</v>
      </c>
      <c r="N477" s="9" t="n">
        <f aca="false">SUMIFS(ROBA_U_DOLASKU!$C$6:$C$95,ROBA_U_DOLASKU!$A$6:$A$95,A477,ROBA_U_DOLASKU!$H$6:$H$95,3)</f>
        <v>0</v>
      </c>
      <c r="O477" s="9" t="n">
        <f aca="false">SUMIFS(ROBA_U_DOLASKU!$B$6:$B$95,ROBA_U_DOLASKU!$A$6:$A$95,A477,ROBA_U_DOLASKU!$H$6:$H$95,3)</f>
        <v>0</v>
      </c>
      <c r="P477" s="9" t="n">
        <f aca="false">IF(H477&lt;=0,999,IF(O477&gt;0,ROUND((F477-H477*N477+K477+M477+O477)/H477,1),IF(M477&gt;0,ROUND((F477-H477*L477+K477+M477)/H477,1),IF(K477&gt;0,ROUND((F477-H477*J477+K477)/H477,1),I477))))</f>
        <v>999</v>
      </c>
      <c r="Q477" s="22" t="str">
        <f aca="false">IF(H477&lt;=0,"Nema prodaje",IF(AND(K477=0,M477=0,O477=0),IF(I477&lt;POSTAVKE!$B$6,"Naruči odmah","Sve u redu"),IF(F477-H477*J477&lt;0,"Rupa za ~"&amp;TEXT(I477,"0.0")&amp;" mj.",IF(AND(M477&gt;0,F477-H477*L477+K477&lt;0),"Rupa nakon 1. dolaska",IF(AND(O477&gt;0,F477-H477*N477+K477+M477&lt;0),"Rupa nakon 2. dolaska",IF(P477&lt;POSTAVKE!$B$6,"Količina nije dovoljna",IF(I477&gt;=POSTAVKE!$B$6,"Sve u redu","Stiže na vrijeme")))))))</f>
        <v>Nema prodaje</v>
      </c>
      <c r="S477" s="23" t="n">
        <f aca="false">IFERROR(INDEX(PODACI_PRODAJA!B:B,MATCH($A477,PODACI_PRODAJA!$A:$A,0)),0)</f>
        <v>0</v>
      </c>
      <c r="T477" s="23" t="n">
        <f aca="false">IFERROR(INDEX(PODACI_PRODAJA!C:C,MATCH($A477,PODACI_PRODAJA!$A:$A,0)),0)</f>
        <v>0</v>
      </c>
      <c r="U477" s="23" t="n">
        <f aca="false">IFERROR(INDEX(PODACI_PRODAJA!D:D,MATCH($A477,PODACI_PRODAJA!$A:$A,0)),0)</f>
        <v>0</v>
      </c>
      <c r="V477" s="23" t="n">
        <f aca="false">IFERROR(INDEX(PODACI_PRODAJA!E:E,MATCH($A477,PODACI_PRODAJA!$A:$A,0)),0)</f>
        <v>0</v>
      </c>
      <c r="W477" s="23" t="n">
        <f aca="false">IFERROR(INDEX(PODACI_PRODAJA!F:F,MATCH($A477,PODACI_PRODAJA!$A:$A,0)),0)</f>
        <v>0</v>
      </c>
      <c r="X477" s="23" t="n">
        <f aca="false">IFERROR(INDEX(PODACI_PRODAJA!G:G,MATCH($A477,PODACI_PRODAJA!$A:$A,0)),0)</f>
        <v>0</v>
      </c>
      <c r="Y477" s="23" t="n">
        <f aca="false">IFERROR(INDEX(PODACI_PRODAJA!H:H,MATCH($A477,PODACI_PRODAJA!$A:$A,0)),0)</f>
        <v>0</v>
      </c>
      <c r="Z477" s="23" t="n">
        <f aca="false">IFERROR(INDEX(PODACI_PRODAJA!I:I,MATCH($A477,PODACI_PRODAJA!$A:$A,0)),0)</f>
        <v>0</v>
      </c>
      <c r="AA477" s="23" t="n">
        <f aca="false">IFERROR(INDEX(PODACI_PRODAJA!J:J,MATCH($A477,PODACI_PRODAJA!$A:$A,0)),0)</f>
        <v>0</v>
      </c>
      <c r="AB477" s="23" t="n">
        <f aca="false">IFERROR(INDEX(PODACI_PRODAJA!K:K,MATCH($A477,PODACI_PRODAJA!$A:$A,0)),0)</f>
        <v>0</v>
      </c>
      <c r="AC477" s="23" t="n">
        <f aca="false">IFERROR(INDEX(PODACI_PRODAJA!L:L,MATCH($A477,PODACI_PRODAJA!$A:$A,0)),0)</f>
        <v>0</v>
      </c>
      <c r="AD477" s="23" t="n">
        <f aca="false">IFERROR(INDEX(PODACI_PRODAJA!M:M,MATCH($A477,PODACI_PRODAJA!$A:$A,0)),0)</f>
        <v>0</v>
      </c>
    </row>
    <row r="478" customFormat="false" ht="15" hidden="false" customHeight="false" outlineLevel="0" collapsed="false">
      <c r="A478" s="11" t="str">
        <f aca="false">PODACI_ZALIHE!A475</f>
        <v>103860SH00</v>
      </c>
      <c r="B478" s="8" t="str">
        <f aca="false">PODACI_ZALIHE!B475</f>
        <v>GROHE BAU CERAMIC WC ŠKOLJKA VISEĆA + SOFT-CLOSE DASKA</v>
      </c>
      <c r="C478" s="9" t="str">
        <f aca="false">PODACI_ZALIHE!C475</f>
        <v>4499</v>
      </c>
      <c r="D478" s="8" t="str">
        <f aca="false">PODACI_ZALIHE!D475</f>
        <v>THS D.O.O.</v>
      </c>
      <c r="E478" s="19" t="n">
        <f aca="false">IF(PODACI_ZALIHE!E475="","",PODACI_ZALIHE!E475)</f>
        <v>8</v>
      </c>
      <c r="F478" s="20" t="n">
        <f aca="false">PODACI_ZALIHE!F475</f>
        <v>7</v>
      </c>
      <c r="G478" s="19" t="n">
        <f aca="false">IF(E478="","",E478-F478)</f>
        <v>1</v>
      </c>
      <c r="H478" s="9" t="n">
        <f aca="false">PODACI_PRODAJA!N454</f>
        <v>0</v>
      </c>
      <c r="I478" s="21" t="n">
        <f aca="false">IF(H478&lt;=0,999,ROUND(F478/H478,1))</f>
        <v>999</v>
      </c>
      <c r="J478" s="9" t="n">
        <f aca="false">SUMIFS(ROBA_U_DOLASKU!$C$6:$C$95,ROBA_U_DOLASKU!$A$6:$A$95,A478,ROBA_U_DOLASKU!$H$6:$H$95,1)</f>
        <v>0</v>
      </c>
      <c r="K478" s="9" t="n">
        <f aca="false">SUMIFS(ROBA_U_DOLASKU!$B$6:$B$95,ROBA_U_DOLASKU!$A$6:$A$95,A478,ROBA_U_DOLASKU!$H$6:$H$95,1)</f>
        <v>0</v>
      </c>
      <c r="L478" s="9" t="n">
        <f aca="false">SUMIFS(ROBA_U_DOLASKU!$C$6:$C$95,ROBA_U_DOLASKU!$A$6:$A$95,A478,ROBA_U_DOLASKU!$H$6:$H$95,2)</f>
        <v>0</v>
      </c>
      <c r="M478" s="9" t="n">
        <f aca="false">SUMIFS(ROBA_U_DOLASKU!$B$6:$B$95,ROBA_U_DOLASKU!$A$6:$A$95,A478,ROBA_U_DOLASKU!$H$6:$H$95,2)</f>
        <v>0</v>
      </c>
      <c r="N478" s="9" t="n">
        <f aca="false">SUMIFS(ROBA_U_DOLASKU!$C$6:$C$95,ROBA_U_DOLASKU!$A$6:$A$95,A478,ROBA_U_DOLASKU!$H$6:$H$95,3)</f>
        <v>0</v>
      </c>
      <c r="O478" s="9" t="n">
        <f aca="false">SUMIFS(ROBA_U_DOLASKU!$B$6:$B$95,ROBA_U_DOLASKU!$A$6:$A$95,A478,ROBA_U_DOLASKU!$H$6:$H$95,3)</f>
        <v>0</v>
      </c>
      <c r="P478" s="9" t="n">
        <f aca="false">IF(H478&lt;=0,999,IF(O478&gt;0,ROUND((F478-H478*N478+K478+M478+O478)/H478,1),IF(M478&gt;0,ROUND((F478-H478*L478+K478+M478)/H478,1),IF(K478&gt;0,ROUND((F478-H478*J478+K478)/H478,1),I478))))</f>
        <v>999</v>
      </c>
      <c r="Q478" s="22" t="str">
        <f aca="false">IF(H478&lt;=0,"Nema prodaje",IF(AND(K478=0,M478=0,O478=0),IF(I478&lt;POSTAVKE!$B$6,"Naruči odmah","Sve u redu"),IF(F478-H478*J478&lt;0,"Rupa za ~"&amp;TEXT(I478,"0.0")&amp;" mj.",IF(AND(M478&gt;0,F478-H478*L478+K478&lt;0),"Rupa nakon 1. dolaska",IF(AND(O478&gt;0,F478-H478*N478+K478+M478&lt;0),"Rupa nakon 2. dolaska",IF(P478&lt;POSTAVKE!$B$6,"Količina nije dovoljna",IF(I478&gt;=POSTAVKE!$B$6,"Sve u redu","Stiže na vrijeme")))))))</f>
        <v>Nema prodaje</v>
      </c>
      <c r="S478" s="23" t="n">
        <f aca="false">IFERROR(INDEX(PODACI_PRODAJA!B:B,MATCH($A478,PODACI_PRODAJA!$A:$A,0)),0)</f>
        <v>0</v>
      </c>
      <c r="T478" s="23" t="n">
        <f aca="false">IFERROR(INDEX(PODACI_PRODAJA!C:C,MATCH($A478,PODACI_PRODAJA!$A:$A,0)),0)</f>
        <v>0</v>
      </c>
      <c r="U478" s="23" t="n">
        <f aca="false">IFERROR(INDEX(PODACI_PRODAJA!D:D,MATCH($A478,PODACI_PRODAJA!$A:$A,0)),0)</f>
        <v>0</v>
      </c>
      <c r="V478" s="23" t="n">
        <f aca="false">IFERROR(INDEX(PODACI_PRODAJA!E:E,MATCH($A478,PODACI_PRODAJA!$A:$A,0)),0)</f>
        <v>0</v>
      </c>
      <c r="W478" s="23" t="n">
        <f aca="false">IFERROR(INDEX(PODACI_PRODAJA!F:F,MATCH($A478,PODACI_PRODAJA!$A:$A,0)),0)</f>
        <v>0</v>
      </c>
      <c r="X478" s="23" t="n">
        <f aca="false">IFERROR(INDEX(PODACI_PRODAJA!G:G,MATCH($A478,PODACI_PRODAJA!$A:$A,0)),0)</f>
        <v>0</v>
      </c>
      <c r="Y478" s="23" t="n">
        <f aca="false">IFERROR(INDEX(PODACI_PRODAJA!H:H,MATCH($A478,PODACI_PRODAJA!$A:$A,0)),0)</f>
        <v>0</v>
      </c>
      <c r="Z478" s="23" t="n">
        <f aca="false">IFERROR(INDEX(PODACI_PRODAJA!I:I,MATCH($A478,PODACI_PRODAJA!$A:$A,0)),0)</f>
        <v>0</v>
      </c>
      <c r="AA478" s="23" t="n">
        <f aca="false">IFERROR(INDEX(PODACI_PRODAJA!J:J,MATCH($A478,PODACI_PRODAJA!$A:$A,0)),0)</f>
        <v>0</v>
      </c>
      <c r="AB478" s="23" t="n">
        <f aca="false">IFERROR(INDEX(PODACI_PRODAJA!K:K,MATCH($A478,PODACI_PRODAJA!$A:$A,0)),0)</f>
        <v>0</v>
      </c>
      <c r="AC478" s="23" t="n">
        <f aca="false">IFERROR(INDEX(PODACI_PRODAJA!L:L,MATCH($A478,PODACI_PRODAJA!$A:$A,0)),0)</f>
        <v>0</v>
      </c>
      <c r="AD478" s="23" t="n">
        <f aca="false">IFERROR(INDEX(PODACI_PRODAJA!M:M,MATCH($A478,PODACI_PRODAJA!$A:$A,0)),0)</f>
        <v>0</v>
      </c>
    </row>
    <row r="479" customFormat="false" ht="15" hidden="false" customHeight="false" outlineLevel="0" collapsed="false">
      <c r="A479" s="11" t="str">
        <f aca="false">PODACI_ZALIHE!A476</f>
        <v>16095</v>
      </c>
      <c r="B479" s="8" t="str">
        <f aca="false">PODACI_ZALIHE!B476</f>
        <v>VETRO BLACK TRS 80 TUŠ STIJENA 80x200 cm</v>
      </c>
      <c r="C479" s="9" t="str">
        <f aca="false">PODACI_ZALIHE!C476</f>
        <v>4328</v>
      </c>
      <c r="D479" s="8" t="str">
        <f aca="false">PODACI_ZALIHE!D476</f>
        <v>HANGZHOU DUHUI IMPORT AND EXPORT CO.,LTD</v>
      </c>
      <c r="E479" s="19" t="n">
        <f aca="false">IF(PODACI_ZALIHE!E476="","",PODACI_ZALIHE!E476)</f>
        <v>7</v>
      </c>
      <c r="F479" s="20" t="n">
        <f aca="false">PODACI_ZALIHE!F476</f>
        <v>7</v>
      </c>
      <c r="G479" s="19" t="n">
        <f aca="false">IF(E479="","",E479-F479)</f>
        <v>0</v>
      </c>
      <c r="H479" s="9" t="n">
        <f aca="false">PODACI_PRODAJA!N195</f>
        <v>1.13</v>
      </c>
      <c r="I479" s="21" t="n">
        <f aca="false">IF(H479&lt;=0,999,ROUND(F479/H479,1))</f>
        <v>6.2</v>
      </c>
      <c r="J479" s="9" t="n">
        <f aca="false">SUMIFS(ROBA_U_DOLASKU!$C$6:$C$95,ROBA_U_DOLASKU!$A$6:$A$95,A479,ROBA_U_DOLASKU!$H$6:$H$95,1)</f>
        <v>0</v>
      </c>
      <c r="K479" s="9" t="n">
        <f aca="false">SUMIFS(ROBA_U_DOLASKU!$B$6:$B$95,ROBA_U_DOLASKU!$A$6:$A$95,A479,ROBA_U_DOLASKU!$H$6:$H$95,1)</f>
        <v>0</v>
      </c>
      <c r="L479" s="9" t="n">
        <f aca="false">SUMIFS(ROBA_U_DOLASKU!$C$6:$C$95,ROBA_U_DOLASKU!$A$6:$A$95,A479,ROBA_U_DOLASKU!$H$6:$H$95,2)</f>
        <v>0</v>
      </c>
      <c r="M479" s="9" t="n">
        <f aca="false">SUMIFS(ROBA_U_DOLASKU!$B$6:$B$95,ROBA_U_DOLASKU!$A$6:$A$95,A479,ROBA_U_DOLASKU!$H$6:$H$95,2)</f>
        <v>0</v>
      </c>
      <c r="N479" s="9" t="n">
        <f aca="false">SUMIFS(ROBA_U_DOLASKU!$C$6:$C$95,ROBA_U_DOLASKU!$A$6:$A$95,A479,ROBA_U_DOLASKU!$H$6:$H$95,3)</f>
        <v>0</v>
      </c>
      <c r="O479" s="9" t="n">
        <f aca="false">SUMIFS(ROBA_U_DOLASKU!$B$6:$B$95,ROBA_U_DOLASKU!$A$6:$A$95,A479,ROBA_U_DOLASKU!$H$6:$H$95,3)</f>
        <v>0</v>
      </c>
      <c r="P479" s="9" t="n">
        <f aca="false">IF(H479&lt;=0,999,IF(O479&gt;0,ROUND((F479-H479*N479+K479+M479+O479)/H479,1),IF(M479&gt;0,ROUND((F479-H479*L479+K479+M479)/H479,1),IF(K479&gt;0,ROUND((F479-H479*J479+K479)/H479,1),I479))))</f>
        <v>6.2</v>
      </c>
      <c r="Q479" s="22" t="str">
        <f aca="false">IF(H479&lt;=0,"Nema prodaje",IF(AND(K479=0,M479=0,O479=0),IF(I479&lt;POSTAVKE!$B$6,"Naruči odmah","Sve u redu"),IF(F479-H479*J479&lt;0,"Rupa za ~"&amp;TEXT(I479,"0.0")&amp;" mj.",IF(AND(M479&gt;0,F479-H479*L479+K479&lt;0),"Rupa nakon 1. dolaska",IF(AND(O479&gt;0,F479-H479*N479+K479+M479&lt;0),"Rupa nakon 2. dolaska",IF(P479&lt;POSTAVKE!$B$6,"Količina nije dovoljna",IF(I479&gt;=POSTAVKE!$B$6,"Sve u redu","Stiže na vrijeme")))))))</f>
        <v>Sve u redu</v>
      </c>
      <c r="S479" s="23" t="n">
        <f aca="false">IFERROR(INDEX(PODACI_PRODAJA!B:B,MATCH($A479,PODACI_PRODAJA!$A:$A,0)),0)</f>
        <v>2</v>
      </c>
      <c r="T479" s="23" t="n">
        <f aca="false">IFERROR(INDEX(PODACI_PRODAJA!C:C,MATCH($A479,PODACI_PRODAJA!$A:$A,0)),0)</f>
        <v>1</v>
      </c>
      <c r="U479" s="23" t="n">
        <f aca="false">IFERROR(INDEX(PODACI_PRODAJA!D:D,MATCH($A479,PODACI_PRODAJA!$A:$A,0)),0)</f>
        <v>2</v>
      </c>
      <c r="V479" s="23" t="n">
        <f aca="false">IFERROR(INDEX(PODACI_PRODAJA!E:E,MATCH($A479,PODACI_PRODAJA!$A:$A,0)),0)</f>
        <v>2</v>
      </c>
      <c r="W479" s="23" t="n">
        <f aca="false">IFERROR(INDEX(PODACI_PRODAJA!F:F,MATCH($A479,PODACI_PRODAJA!$A:$A,0)),0)</f>
        <v>2</v>
      </c>
      <c r="X479" s="23" t="n">
        <f aca="false">IFERROR(INDEX(PODACI_PRODAJA!G:G,MATCH($A479,PODACI_PRODAJA!$A:$A,0)),0)</f>
        <v>0</v>
      </c>
      <c r="Y479" s="23" t="n">
        <f aca="false">IFERROR(INDEX(PODACI_PRODAJA!H:H,MATCH($A479,PODACI_PRODAJA!$A:$A,0)),0)</f>
        <v>0</v>
      </c>
      <c r="Z479" s="23" t="n">
        <f aca="false">IFERROR(INDEX(PODACI_PRODAJA!I:I,MATCH($A479,PODACI_PRODAJA!$A:$A,0)),0)</f>
        <v>0</v>
      </c>
      <c r="AA479" s="23" t="n">
        <f aca="false">IFERROR(INDEX(PODACI_PRODAJA!J:J,MATCH($A479,PODACI_PRODAJA!$A:$A,0)),0)</f>
        <v>0</v>
      </c>
      <c r="AB479" s="23" t="n">
        <f aca="false">IFERROR(INDEX(PODACI_PRODAJA!K:K,MATCH($A479,PODACI_PRODAJA!$A:$A,0)),0)</f>
        <v>0</v>
      </c>
      <c r="AC479" s="23" t="n">
        <f aca="false">IFERROR(INDEX(PODACI_PRODAJA!L:L,MATCH($A479,PODACI_PRODAJA!$A:$A,0)),0)</f>
        <v>0</v>
      </c>
      <c r="AD479" s="23" t="n">
        <f aca="false">IFERROR(INDEX(PODACI_PRODAJA!M:M,MATCH($A479,PODACI_PRODAJA!$A:$A,0)),0)</f>
        <v>0</v>
      </c>
    </row>
    <row r="480" customFormat="false" ht="15" hidden="false" customHeight="false" outlineLevel="0" collapsed="false">
      <c r="A480" s="11" t="str">
        <f aca="false">PODACI_ZALIHE!A477</f>
        <v>16116</v>
      </c>
      <c r="B480" s="8" t="str">
        <f aca="false">PODACI_ZALIHE!B477</f>
        <v>CLEAR 120-6 PARAVAN ZA KADU 120X140 CM</v>
      </c>
      <c r="C480" s="9" t="n">
        <f aca="false">PODACI_ZALIHE!C477</f>
        <v>0</v>
      </c>
      <c r="D480" s="8" t="n">
        <f aca="false">PODACI_ZALIHE!D477</f>
        <v>0</v>
      </c>
      <c r="E480" s="19" t="n">
        <f aca="false">IF(PODACI_ZALIHE!E477="","",PODACI_ZALIHE!E477)</f>
        <v>7</v>
      </c>
      <c r="F480" s="20" t="n">
        <f aca="false">PODACI_ZALIHE!F477</f>
        <v>7</v>
      </c>
      <c r="G480" s="19" t="n">
        <f aca="false">IF(E480="","",E480-F480)</f>
        <v>0</v>
      </c>
      <c r="H480" s="9" t="n">
        <f aca="false">PODACI_PRODAJA!N119</f>
        <v>1.13</v>
      </c>
      <c r="I480" s="21" t="n">
        <f aca="false">IF(H480&lt;=0,999,ROUND(F480/H480,1))</f>
        <v>6.2</v>
      </c>
      <c r="J480" s="9" t="n">
        <f aca="false">SUMIFS(ROBA_U_DOLASKU!$C$6:$C$95,ROBA_U_DOLASKU!$A$6:$A$95,A480,ROBA_U_DOLASKU!$H$6:$H$95,1)</f>
        <v>0</v>
      </c>
      <c r="K480" s="9" t="n">
        <f aca="false">SUMIFS(ROBA_U_DOLASKU!$B$6:$B$95,ROBA_U_DOLASKU!$A$6:$A$95,A480,ROBA_U_DOLASKU!$H$6:$H$95,1)</f>
        <v>0</v>
      </c>
      <c r="L480" s="9" t="n">
        <f aca="false">SUMIFS(ROBA_U_DOLASKU!$C$6:$C$95,ROBA_U_DOLASKU!$A$6:$A$95,A480,ROBA_U_DOLASKU!$H$6:$H$95,2)</f>
        <v>0</v>
      </c>
      <c r="M480" s="9" t="n">
        <f aca="false">SUMIFS(ROBA_U_DOLASKU!$B$6:$B$95,ROBA_U_DOLASKU!$A$6:$A$95,A480,ROBA_U_DOLASKU!$H$6:$H$95,2)</f>
        <v>0</v>
      </c>
      <c r="N480" s="9" t="n">
        <f aca="false">SUMIFS(ROBA_U_DOLASKU!$C$6:$C$95,ROBA_U_DOLASKU!$A$6:$A$95,A480,ROBA_U_DOLASKU!$H$6:$H$95,3)</f>
        <v>0</v>
      </c>
      <c r="O480" s="9" t="n">
        <f aca="false">SUMIFS(ROBA_U_DOLASKU!$B$6:$B$95,ROBA_U_DOLASKU!$A$6:$A$95,A480,ROBA_U_DOLASKU!$H$6:$H$95,3)</f>
        <v>0</v>
      </c>
      <c r="P480" s="9" t="n">
        <f aca="false">IF(H480&lt;=0,999,IF(O480&gt;0,ROUND((F480-H480*N480+K480+M480+O480)/H480,1),IF(M480&gt;0,ROUND((F480-H480*L480+K480+M480)/H480,1),IF(K480&gt;0,ROUND((F480-H480*J480+K480)/H480,1),I480))))</f>
        <v>6.2</v>
      </c>
      <c r="Q480" s="22" t="str">
        <f aca="false">IF(H480&lt;=0,"Nema prodaje",IF(AND(K480=0,M480=0,O480=0),IF(I480&lt;POSTAVKE!$B$6,"Naruči odmah","Sve u redu"),IF(F480-H480*J480&lt;0,"Rupa za ~"&amp;TEXT(I480,"0.0")&amp;" mj.",IF(AND(M480&gt;0,F480-H480*L480+K480&lt;0),"Rupa nakon 1. dolaska",IF(AND(O480&gt;0,F480-H480*N480+K480+M480&lt;0),"Rupa nakon 2. dolaska",IF(P480&lt;POSTAVKE!$B$6,"Količina nije dovoljna",IF(I480&gt;=POSTAVKE!$B$6,"Sve u redu","Stiže na vrijeme")))))))</f>
        <v>Sve u redu</v>
      </c>
      <c r="S480" s="23" t="n">
        <f aca="false">IFERROR(INDEX(PODACI_PRODAJA!B:B,MATCH($A480,PODACI_PRODAJA!$A:$A,0)),0)</f>
        <v>5</v>
      </c>
      <c r="T480" s="23" t="n">
        <f aca="false">IFERROR(INDEX(PODACI_PRODAJA!C:C,MATCH($A480,PODACI_PRODAJA!$A:$A,0)),0)</f>
        <v>2</v>
      </c>
      <c r="U480" s="23" t="n">
        <f aca="false">IFERROR(INDEX(PODACI_PRODAJA!D:D,MATCH($A480,PODACI_PRODAJA!$A:$A,0)),0)</f>
        <v>1</v>
      </c>
      <c r="V480" s="23" t="n">
        <f aca="false">IFERROR(INDEX(PODACI_PRODAJA!E:E,MATCH($A480,PODACI_PRODAJA!$A:$A,0)),0)</f>
        <v>0</v>
      </c>
      <c r="W480" s="23" t="n">
        <f aca="false">IFERROR(INDEX(PODACI_PRODAJA!F:F,MATCH($A480,PODACI_PRODAJA!$A:$A,0)),0)</f>
        <v>0</v>
      </c>
      <c r="X480" s="23" t="n">
        <f aca="false">IFERROR(INDEX(PODACI_PRODAJA!G:G,MATCH($A480,PODACI_PRODAJA!$A:$A,0)),0)</f>
        <v>0</v>
      </c>
      <c r="Y480" s="23" t="n">
        <f aca="false">IFERROR(INDEX(PODACI_PRODAJA!H:H,MATCH($A480,PODACI_PRODAJA!$A:$A,0)),0)</f>
        <v>1</v>
      </c>
      <c r="Z480" s="23" t="n">
        <f aca="false">IFERROR(INDEX(PODACI_PRODAJA!I:I,MATCH($A480,PODACI_PRODAJA!$A:$A,0)),0)</f>
        <v>0</v>
      </c>
      <c r="AA480" s="23" t="n">
        <f aca="false">IFERROR(INDEX(PODACI_PRODAJA!J:J,MATCH($A480,PODACI_PRODAJA!$A:$A,0)),0)</f>
        <v>0</v>
      </c>
      <c r="AB480" s="23" t="n">
        <f aca="false">IFERROR(INDEX(PODACI_PRODAJA!K:K,MATCH($A480,PODACI_PRODAJA!$A:$A,0)),0)</f>
        <v>0</v>
      </c>
      <c r="AC480" s="23" t="n">
        <f aca="false">IFERROR(INDEX(PODACI_PRODAJA!L:L,MATCH($A480,PODACI_PRODAJA!$A:$A,0)),0)</f>
        <v>0</v>
      </c>
      <c r="AD480" s="23" t="n">
        <f aca="false">IFERROR(INDEX(PODACI_PRODAJA!M:M,MATCH($A480,PODACI_PRODAJA!$A:$A,0)),0)</f>
        <v>0</v>
      </c>
    </row>
    <row r="481" customFormat="false" ht="15" hidden="false" customHeight="false" outlineLevel="0" collapsed="false">
      <c r="A481" s="11" t="str">
        <f aca="false">PODACI_ZALIHE!A478</f>
        <v>23761001</v>
      </c>
      <c r="B481" s="8" t="str">
        <f aca="false">PODACI_ZALIHE!B478</f>
        <v>GROHE BAUEDGE MIJEŠALICA ZA UMIVAONIK XL, KROM</v>
      </c>
      <c r="C481" s="9" t="str">
        <f aca="false">PODACI_ZALIHE!C478</f>
        <v>4499</v>
      </c>
      <c r="D481" s="8" t="str">
        <f aca="false">PODACI_ZALIHE!D478</f>
        <v>THS D.O.O.</v>
      </c>
      <c r="E481" s="19" t="n">
        <f aca="false">IF(PODACI_ZALIHE!E478="","",PODACI_ZALIHE!E478)</f>
        <v>8</v>
      </c>
      <c r="F481" s="20" t="n">
        <f aca="false">PODACI_ZALIHE!F478</f>
        <v>7</v>
      </c>
      <c r="G481" s="19" t="n">
        <f aca="false">IF(E481="","",E481-F481)</f>
        <v>1</v>
      </c>
      <c r="H481" s="9" t="n">
        <f aca="false">PODACI_PRODAJA!N732</f>
        <v>0</v>
      </c>
      <c r="I481" s="21" t="n">
        <f aca="false">IF(H481&lt;=0,999,ROUND(F481/H481,1))</f>
        <v>999</v>
      </c>
      <c r="J481" s="9" t="n">
        <f aca="false">SUMIFS(ROBA_U_DOLASKU!$C$6:$C$95,ROBA_U_DOLASKU!$A$6:$A$95,A481,ROBA_U_DOLASKU!$H$6:$H$95,1)</f>
        <v>0</v>
      </c>
      <c r="K481" s="9" t="n">
        <f aca="false">SUMIFS(ROBA_U_DOLASKU!$B$6:$B$95,ROBA_U_DOLASKU!$A$6:$A$95,A481,ROBA_U_DOLASKU!$H$6:$H$95,1)</f>
        <v>0</v>
      </c>
      <c r="L481" s="9" t="n">
        <f aca="false">SUMIFS(ROBA_U_DOLASKU!$C$6:$C$95,ROBA_U_DOLASKU!$A$6:$A$95,A481,ROBA_U_DOLASKU!$H$6:$H$95,2)</f>
        <v>0</v>
      </c>
      <c r="M481" s="9" t="n">
        <f aca="false">SUMIFS(ROBA_U_DOLASKU!$B$6:$B$95,ROBA_U_DOLASKU!$A$6:$A$95,A481,ROBA_U_DOLASKU!$H$6:$H$95,2)</f>
        <v>0</v>
      </c>
      <c r="N481" s="9" t="n">
        <f aca="false">SUMIFS(ROBA_U_DOLASKU!$C$6:$C$95,ROBA_U_DOLASKU!$A$6:$A$95,A481,ROBA_U_DOLASKU!$H$6:$H$95,3)</f>
        <v>0</v>
      </c>
      <c r="O481" s="9" t="n">
        <f aca="false">SUMIFS(ROBA_U_DOLASKU!$B$6:$B$95,ROBA_U_DOLASKU!$A$6:$A$95,A481,ROBA_U_DOLASKU!$H$6:$H$95,3)</f>
        <v>0</v>
      </c>
      <c r="P481" s="9" t="n">
        <f aca="false">IF(H481&lt;=0,999,IF(O481&gt;0,ROUND((F481-H481*N481+K481+M481+O481)/H481,1),IF(M481&gt;0,ROUND((F481-H481*L481+K481+M481)/H481,1),IF(K481&gt;0,ROUND((F481-H481*J481+K481)/H481,1),I481))))</f>
        <v>999</v>
      </c>
      <c r="Q481" s="22" t="str">
        <f aca="false">IF(H481&lt;=0,"Nema prodaje",IF(AND(K481=0,M481=0,O481=0),IF(I481&lt;POSTAVKE!$B$6,"Naruči odmah","Sve u redu"),IF(F481-H481*J481&lt;0,"Rupa za ~"&amp;TEXT(I481,"0.0")&amp;" mj.",IF(AND(M481&gt;0,F481-H481*L481+K481&lt;0),"Rupa nakon 1. dolaska",IF(AND(O481&gt;0,F481-H481*N481+K481+M481&lt;0),"Rupa nakon 2. dolaska",IF(P481&lt;POSTAVKE!$B$6,"Količina nije dovoljna",IF(I481&gt;=POSTAVKE!$B$6,"Sve u redu","Stiže na vrijeme")))))))</f>
        <v>Nema prodaje</v>
      </c>
      <c r="S481" s="23" t="n">
        <f aca="false">IFERROR(INDEX(PODACI_PRODAJA!B:B,MATCH($A481,PODACI_PRODAJA!$A:$A,0)),0)</f>
        <v>0</v>
      </c>
      <c r="T481" s="23" t="n">
        <f aca="false">IFERROR(INDEX(PODACI_PRODAJA!C:C,MATCH($A481,PODACI_PRODAJA!$A:$A,0)),0)</f>
        <v>0</v>
      </c>
      <c r="U481" s="23" t="n">
        <f aca="false">IFERROR(INDEX(PODACI_PRODAJA!D:D,MATCH($A481,PODACI_PRODAJA!$A:$A,0)),0)</f>
        <v>0</v>
      </c>
      <c r="V481" s="23" t="n">
        <f aca="false">IFERROR(INDEX(PODACI_PRODAJA!E:E,MATCH($A481,PODACI_PRODAJA!$A:$A,0)),0)</f>
        <v>0</v>
      </c>
      <c r="W481" s="23" t="n">
        <f aca="false">IFERROR(INDEX(PODACI_PRODAJA!F:F,MATCH($A481,PODACI_PRODAJA!$A:$A,0)),0)</f>
        <v>0</v>
      </c>
      <c r="X481" s="23" t="n">
        <f aca="false">IFERROR(INDEX(PODACI_PRODAJA!G:G,MATCH($A481,PODACI_PRODAJA!$A:$A,0)),0)</f>
        <v>0</v>
      </c>
      <c r="Y481" s="23" t="n">
        <f aca="false">IFERROR(INDEX(PODACI_PRODAJA!H:H,MATCH($A481,PODACI_PRODAJA!$A:$A,0)),0)</f>
        <v>0</v>
      </c>
      <c r="Z481" s="23" t="n">
        <f aca="false">IFERROR(INDEX(PODACI_PRODAJA!I:I,MATCH($A481,PODACI_PRODAJA!$A:$A,0)),0)</f>
        <v>0</v>
      </c>
      <c r="AA481" s="23" t="n">
        <f aca="false">IFERROR(INDEX(PODACI_PRODAJA!J:J,MATCH($A481,PODACI_PRODAJA!$A:$A,0)),0)</f>
        <v>0</v>
      </c>
      <c r="AB481" s="23" t="n">
        <f aca="false">IFERROR(INDEX(PODACI_PRODAJA!K:K,MATCH($A481,PODACI_PRODAJA!$A:$A,0)),0)</f>
        <v>0</v>
      </c>
      <c r="AC481" s="23" t="n">
        <f aca="false">IFERROR(INDEX(PODACI_PRODAJA!L:L,MATCH($A481,PODACI_PRODAJA!$A:$A,0)),0)</f>
        <v>0</v>
      </c>
      <c r="AD481" s="23" t="n">
        <f aca="false">IFERROR(INDEX(PODACI_PRODAJA!M:M,MATCH($A481,PODACI_PRODAJA!$A:$A,0)),0)</f>
        <v>0</v>
      </c>
    </row>
    <row r="482" customFormat="false" ht="15" hidden="false" customHeight="false" outlineLevel="0" collapsed="false">
      <c r="A482" s="11" t="str">
        <f aca="false">PODACI_ZALIHE!A479</f>
        <v>33265003</v>
      </c>
      <c r="B482" s="8" t="str">
        <f aca="false">PODACI_ZALIHE!B479</f>
        <v>GROHE EUROSMART MIJEŠALICA ZA UMIVAONIK S, KROM</v>
      </c>
      <c r="C482" s="9" t="str">
        <f aca="false">PODACI_ZALIHE!C479</f>
        <v>4499</v>
      </c>
      <c r="D482" s="8" t="str">
        <f aca="false">PODACI_ZALIHE!D479</f>
        <v>THS D.O.O.</v>
      </c>
      <c r="E482" s="19" t="n">
        <f aca="false">IF(PODACI_ZALIHE!E479="","",PODACI_ZALIHE!E479)</f>
        <v>8</v>
      </c>
      <c r="F482" s="20" t="n">
        <f aca="false">PODACI_ZALIHE!F479</f>
        <v>7</v>
      </c>
      <c r="G482" s="19" t="n">
        <f aca="false">IF(E482="","",E482-F482)</f>
        <v>1</v>
      </c>
      <c r="H482" s="9" t="n">
        <f aca="false">PODACI_PRODAJA!N757</f>
        <v>0</v>
      </c>
      <c r="I482" s="21" t="n">
        <f aca="false">IF(H482&lt;=0,999,ROUND(F482/H482,1))</f>
        <v>999</v>
      </c>
      <c r="J482" s="9" t="n">
        <f aca="false">SUMIFS(ROBA_U_DOLASKU!$C$6:$C$95,ROBA_U_DOLASKU!$A$6:$A$95,A482,ROBA_U_DOLASKU!$H$6:$H$95,1)</f>
        <v>0</v>
      </c>
      <c r="K482" s="9" t="n">
        <f aca="false">SUMIFS(ROBA_U_DOLASKU!$B$6:$B$95,ROBA_U_DOLASKU!$A$6:$A$95,A482,ROBA_U_DOLASKU!$H$6:$H$95,1)</f>
        <v>0</v>
      </c>
      <c r="L482" s="9" t="n">
        <f aca="false">SUMIFS(ROBA_U_DOLASKU!$C$6:$C$95,ROBA_U_DOLASKU!$A$6:$A$95,A482,ROBA_U_DOLASKU!$H$6:$H$95,2)</f>
        <v>0</v>
      </c>
      <c r="M482" s="9" t="n">
        <f aca="false">SUMIFS(ROBA_U_DOLASKU!$B$6:$B$95,ROBA_U_DOLASKU!$A$6:$A$95,A482,ROBA_U_DOLASKU!$H$6:$H$95,2)</f>
        <v>0</v>
      </c>
      <c r="N482" s="9" t="n">
        <f aca="false">SUMIFS(ROBA_U_DOLASKU!$C$6:$C$95,ROBA_U_DOLASKU!$A$6:$A$95,A482,ROBA_U_DOLASKU!$H$6:$H$95,3)</f>
        <v>0</v>
      </c>
      <c r="O482" s="9" t="n">
        <f aca="false">SUMIFS(ROBA_U_DOLASKU!$B$6:$B$95,ROBA_U_DOLASKU!$A$6:$A$95,A482,ROBA_U_DOLASKU!$H$6:$H$95,3)</f>
        <v>0</v>
      </c>
      <c r="P482" s="9" t="n">
        <f aca="false">IF(H482&lt;=0,999,IF(O482&gt;0,ROUND((F482-H482*N482+K482+M482+O482)/H482,1),IF(M482&gt;0,ROUND((F482-H482*L482+K482+M482)/H482,1),IF(K482&gt;0,ROUND((F482-H482*J482+K482)/H482,1),I482))))</f>
        <v>999</v>
      </c>
      <c r="Q482" s="22" t="str">
        <f aca="false">IF(H482&lt;=0,"Nema prodaje",IF(AND(K482=0,M482=0,O482=0),IF(I482&lt;POSTAVKE!$B$6,"Naruči odmah","Sve u redu"),IF(F482-H482*J482&lt;0,"Rupa za ~"&amp;TEXT(I482,"0.0")&amp;" mj.",IF(AND(M482&gt;0,F482-H482*L482+K482&lt;0),"Rupa nakon 1. dolaska",IF(AND(O482&gt;0,F482-H482*N482+K482+M482&lt;0),"Rupa nakon 2. dolaska",IF(P482&lt;POSTAVKE!$B$6,"Količina nije dovoljna",IF(I482&gt;=POSTAVKE!$B$6,"Sve u redu","Stiže na vrijeme")))))))</f>
        <v>Nema prodaje</v>
      </c>
      <c r="S482" s="23" t="n">
        <f aca="false">IFERROR(INDEX(PODACI_PRODAJA!B:B,MATCH($A482,PODACI_PRODAJA!$A:$A,0)),0)</f>
        <v>0</v>
      </c>
      <c r="T482" s="23" t="n">
        <f aca="false">IFERROR(INDEX(PODACI_PRODAJA!C:C,MATCH($A482,PODACI_PRODAJA!$A:$A,0)),0)</f>
        <v>0</v>
      </c>
      <c r="U482" s="23" t="n">
        <f aca="false">IFERROR(INDEX(PODACI_PRODAJA!D:D,MATCH($A482,PODACI_PRODAJA!$A:$A,0)),0)</f>
        <v>0</v>
      </c>
      <c r="V482" s="23" t="n">
        <f aca="false">IFERROR(INDEX(PODACI_PRODAJA!E:E,MATCH($A482,PODACI_PRODAJA!$A:$A,0)),0)</f>
        <v>0</v>
      </c>
      <c r="W482" s="23" t="n">
        <f aca="false">IFERROR(INDEX(PODACI_PRODAJA!F:F,MATCH($A482,PODACI_PRODAJA!$A:$A,0)),0)</f>
        <v>0</v>
      </c>
      <c r="X482" s="23" t="n">
        <f aca="false">IFERROR(INDEX(PODACI_PRODAJA!G:G,MATCH($A482,PODACI_PRODAJA!$A:$A,0)),0)</f>
        <v>0</v>
      </c>
      <c r="Y482" s="23" t="n">
        <f aca="false">IFERROR(INDEX(PODACI_PRODAJA!H:H,MATCH($A482,PODACI_PRODAJA!$A:$A,0)),0)</f>
        <v>0</v>
      </c>
      <c r="Z482" s="23" t="n">
        <f aca="false">IFERROR(INDEX(PODACI_PRODAJA!I:I,MATCH($A482,PODACI_PRODAJA!$A:$A,0)),0)</f>
        <v>0</v>
      </c>
      <c r="AA482" s="23" t="n">
        <f aca="false">IFERROR(INDEX(PODACI_PRODAJA!J:J,MATCH($A482,PODACI_PRODAJA!$A:$A,0)),0)</f>
        <v>0</v>
      </c>
      <c r="AB482" s="23" t="n">
        <f aca="false">IFERROR(INDEX(PODACI_PRODAJA!K:K,MATCH($A482,PODACI_PRODAJA!$A:$A,0)),0)</f>
        <v>0</v>
      </c>
      <c r="AC482" s="23" t="n">
        <f aca="false">IFERROR(INDEX(PODACI_PRODAJA!L:L,MATCH($A482,PODACI_PRODAJA!$A:$A,0)),0)</f>
        <v>0</v>
      </c>
      <c r="AD482" s="23" t="n">
        <f aca="false">IFERROR(INDEX(PODACI_PRODAJA!M:M,MATCH($A482,PODACI_PRODAJA!$A:$A,0)),0)</f>
        <v>0</v>
      </c>
    </row>
    <row r="483" customFormat="false" ht="15" hidden="false" customHeight="false" outlineLevel="0" collapsed="false">
      <c r="A483" s="11" t="str">
        <f aca="false">PODACI_ZALIHE!A480</f>
        <v>33300003</v>
      </c>
      <c r="B483" s="8" t="str">
        <f aca="false">PODACI_ZALIHE!B480</f>
        <v>GROHE EUROSMART MIJEŠALICA ZA KADU, KROM</v>
      </c>
      <c r="C483" s="9" t="str">
        <f aca="false">PODACI_ZALIHE!C480</f>
        <v>4499</v>
      </c>
      <c r="D483" s="8" t="str">
        <f aca="false">PODACI_ZALIHE!D480</f>
        <v>THS D.O.O.</v>
      </c>
      <c r="E483" s="19" t="n">
        <f aca="false">IF(PODACI_ZALIHE!E480="","",PODACI_ZALIHE!E480)</f>
        <v>8</v>
      </c>
      <c r="F483" s="20" t="n">
        <f aca="false">PODACI_ZALIHE!F480</f>
        <v>7</v>
      </c>
      <c r="G483" s="19" t="n">
        <f aca="false">IF(E483="","",E483-F483)</f>
        <v>1</v>
      </c>
      <c r="H483" s="9" t="n">
        <f aca="false">PODACI_PRODAJA!N758</f>
        <v>0</v>
      </c>
      <c r="I483" s="21" t="n">
        <f aca="false">IF(H483&lt;=0,999,ROUND(F483/H483,1))</f>
        <v>999</v>
      </c>
      <c r="J483" s="9" t="n">
        <f aca="false">SUMIFS(ROBA_U_DOLASKU!$C$6:$C$95,ROBA_U_DOLASKU!$A$6:$A$95,A483,ROBA_U_DOLASKU!$H$6:$H$95,1)</f>
        <v>0</v>
      </c>
      <c r="K483" s="9" t="n">
        <f aca="false">SUMIFS(ROBA_U_DOLASKU!$B$6:$B$95,ROBA_U_DOLASKU!$A$6:$A$95,A483,ROBA_U_DOLASKU!$H$6:$H$95,1)</f>
        <v>0</v>
      </c>
      <c r="L483" s="9" t="n">
        <f aca="false">SUMIFS(ROBA_U_DOLASKU!$C$6:$C$95,ROBA_U_DOLASKU!$A$6:$A$95,A483,ROBA_U_DOLASKU!$H$6:$H$95,2)</f>
        <v>0</v>
      </c>
      <c r="M483" s="9" t="n">
        <f aca="false">SUMIFS(ROBA_U_DOLASKU!$B$6:$B$95,ROBA_U_DOLASKU!$A$6:$A$95,A483,ROBA_U_DOLASKU!$H$6:$H$95,2)</f>
        <v>0</v>
      </c>
      <c r="N483" s="9" t="n">
        <f aca="false">SUMIFS(ROBA_U_DOLASKU!$C$6:$C$95,ROBA_U_DOLASKU!$A$6:$A$95,A483,ROBA_U_DOLASKU!$H$6:$H$95,3)</f>
        <v>0</v>
      </c>
      <c r="O483" s="9" t="n">
        <f aca="false">SUMIFS(ROBA_U_DOLASKU!$B$6:$B$95,ROBA_U_DOLASKU!$A$6:$A$95,A483,ROBA_U_DOLASKU!$H$6:$H$95,3)</f>
        <v>0</v>
      </c>
      <c r="P483" s="9" t="n">
        <f aca="false">IF(H483&lt;=0,999,IF(O483&gt;0,ROUND((F483-H483*N483+K483+M483+O483)/H483,1),IF(M483&gt;0,ROUND((F483-H483*L483+K483+M483)/H483,1),IF(K483&gt;0,ROUND((F483-H483*J483+K483)/H483,1),I483))))</f>
        <v>999</v>
      </c>
      <c r="Q483" s="22" t="str">
        <f aca="false">IF(H483&lt;=0,"Nema prodaje",IF(AND(K483=0,M483=0,O483=0),IF(I483&lt;POSTAVKE!$B$6,"Naruči odmah","Sve u redu"),IF(F483-H483*J483&lt;0,"Rupa za ~"&amp;TEXT(I483,"0.0")&amp;" mj.",IF(AND(M483&gt;0,F483-H483*L483+K483&lt;0),"Rupa nakon 1. dolaska",IF(AND(O483&gt;0,F483-H483*N483+K483+M483&lt;0),"Rupa nakon 2. dolaska",IF(P483&lt;POSTAVKE!$B$6,"Količina nije dovoljna",IF(I483&gt;=POSTAVKE!$B$6,"Sve u redu","Stiže na vrijeme")))))))</f>
        <v>Nema prodaje</v>
      </c>
      <c r="S483" s="23" t="n">
        <f aca="false">IFERROR(INDEX(PODACI_PRODAJA!B:B,MATCH($A483,PODACI_PRODAJA!$A:$A,0)),0)</f>
        <v>0</v>
      </c>
      <c r="T483" s="23" t="n">
        <f aca="false">IFERROR(INDEX(PODACI_PRODAJA!C:C,MATCH($A483,PODACI_PRODAJA!$A:$A,0)),0)</f>
        <v>0</v>
      </c>
      <c r="U483" s="23" t="n">
        <f aca="false">IFERROR(INDEX(PODACI_PRODAJA!D:D,MATCH($A483,PODACI_PRODAJA!$A:$A,0)),0)</f>
        <v>0</v>
      </c>
      <c r="V483" s="23" t="n">
        <f aca="false">IFERROR(INDEX(PODACI_PRODAJA!E:E,MATCH($A483,PODACI_PRODAJA!$A:$A,0)),0)</f>
        <v>0</v>
      </c>
      <c r="W483" s="23" t="n">
        <f aca="false">IFERROR(INDEX(PODACI_PRODAJA!F:F,MATCH($A483,PODACI_PRODAJA!$A:$A,0)),0)</f>
        <v>0</v>
      </c>
      <c r="X483" s="23" t="n">
        <f aca="false">IFERROR(INDEX(PODACI_PRODAJA!G:G,MATCH($A483,PODACI_PRODAJA!$A:$A,0)),0)</f>
        <v>0</v>
      </c>
      <c r="Y483" s="23" t="n">
        <f aca="false">IFERROR(INDEX(PODACI_PRODAJA!H:H,MATCH($A483,PODACI_PRODAJA!$A:$A,0)),0)</f>
        <v>0</v>
      </c>
      <c r="Z483" s="23" t="n">
        <f aca="false">IFERROR(INDEX(PODACI_PRODAJA!I:I,MATCH($A483,PODACI_PRODAJA!$A:$A,0)),0)</f>
        <v>0</v>
      </c>
      <c r="AA483" s="23" t="n">
        <f aca="false">IFERROR(INDEX(PODACI_PRODAJA!J:J,MATCH($A483,PODACI_PRODAJA!$A:$A,0)),0)</f>
        <v>0</v>
      </c>
      <c r="AB483" s="23" t="n">
        <f aca="false">IFERROR(INDEX(PODACI_PRODAJA!K:K,MATCH($A483,PODACI_PRODAJA!$A:$A,0)),0)</f>
        <v>0</v>
      </c>
      <c r="AC483" s="23" t="n">
        <f aca="false">IFERROR(INDEX(PODACI_PRODAJA!L:L,MATCH($A483,PODACI_PRODAJA!$A:$A,0)),0)</f>
        <v>0</v>
      </c>
      <c r="AD483" s="23" t="n">
        <f aca="false">IFERROR(INDEX(PODACI_PRODAJA!M:M,MATCH($A483,PODACI_PRODAJA!$A:$A,0)),0)</f>
        <v>0</v>
      </c>
    </row>
    <row r="484" customFormat="false" ht="15" hidden="false" customHeight="false" outlineLevel="0" collapsed="false">
      <c r="A484" s="11" t="str">
        <f aca="false">PODACI_ZALIHE!A481</f>
        <v>33555003</v>
      </c>
      <c r="B484" s="8" t="str">
        <f aca="false">PODACI_ZALIHE!B481</f>
        <v>GROHE EUROSMART MIJEŠALICA ZA TUŠ, KROM</v>
      </c>
      <c r="C484" s="9" t="str">
        <f aca="false">PODACI_ZALIHE!C481</f>
        <v>4499</v>
      </c>
      <c r="D484" s="8" t="str">
        <f aca="false">PODACI_ZALIHE!D481</f>
        <v>THS D.O.O.</v>
      </c>
      <c r="E484" s="19" t="n">
        <f aca="false">IF(PODACI_ZALIHE!E481="","",PODACI_ZALIHE!E481)</f>
        <v>8</v>
      </c>
      <c r="F484" s="20" t="n">
        <f aca="false">PODACI_ZALIHE!F481</f>
        <v>7</v>
      </c>
      <c r="G484" s="19" t="n">
        <f aca="false">IF(E484="","",E484-F484)</f>
        <v>1</v>
      </c>
      <c r="H484" s="9" t="n">
        <f aca="false">PODACI_PRODAJA!N759</f>
        <v>0</v>
      </c>
      <c r="I484" s="21" t="n">
        <f aca="false">IF(H484&lt;=0,999,ROUND(F484/H484,1))</f>
        <v>999</v>
      </c>
      <c r="J484" s="9" t="n">
        <f aca="false">SUMIFS(ROBA_U_DOLASKU!$C$6:$C$95,ROBA_U_DOLASKU!$A$6:$A$95,A484,ROBA_U_DOLASKU!$H$6:$H$95,1)</f>
        <v>0</v>
      </c>
      <c r="K484" s="9" t="n">
        <f aca="false">SUMIFS(ROBA_U_DOLASKU!$B$6:$B$95,ROBA_U_DOLASKU!$A$6:$A$95,A484,ROBA_U_DOLASKU!$H$6:$H$95,1)</f>
        <v>0</v>
      </c>
      <c r="L484" s="9" t="n">
        <f aca="false">SUMIFS(ROBA_U_DOLASKU!$C$6:$C$95,ROBA_U_DOLASKU!$A$6:$A$95,A484,ROBA_U_DOLASKU!$H$6:$H$95,2)</f>
        <v>0</v>
      </c>
      <c r="M484" s="9" t="n">
        <f aca="false">SUMIFS(ROBA_U_DOLASKU!$B$6:$B$95,ROBA_U_DOLASKU!$A$6:$A$95,A484,ROBA_U_DOLASKU!$H$6:$H$95,2)</f>
        <v>0</v>
      </c>
      <c r="N484" s="9" t="n">
        <f aca="false">SUMIFS(ROBA_U_DOLASKU!$C$6:$C$95,ROBA_U_DOLASKU!$A$6:$A$95,A484,ROBA_U_DOLASKU!$H$6:$H$95,3)</f>
        <v>0</v>
      </c>
      <c r="O484" s="9" t="n">
        <f aca="false">SUMIFS(ROBA_U_DOLASKU!$B$6:$B$95,ROBA_U_DOLASKU!$A$6:$A$95,A484,ROBA_U_DOLASKU!$H$6:$H$95,3)</f>
        <v>0</v>
      </c>
      <c r="P484" s="9" t="n">
        <f aca="false">IF(H484&lt;=0,999,IF(O484&gt;0,ROUND((F484-H484*N484+K484+M484+O484)/H484,1),IF(M484&gt;0,ROUND((F484-H484*L484+K484+M484)/H484,1),IF(K484&gt;0,ROUND((F484-H484*J484+K484)/H484,1),I484))))</f>
        <v>999</v>
      </c>
      <c r="Q484" s="22" t="str">
        <f aca="false">IF(H484&lt;=0,"Nema prodaje",IF(AND(K484=0,M484=0,O484=0),IF(I484&lt;POSTAVKE!$B$6,"Naruči odmah","Sve u redu"),IF(F484-H484*J484&lt;0,"Rupa za ~"&amp;TEXT(I484,"0.0")&amp;" mj.",IF(AND(M484&gt;0,F484-H484*L484+K484&lt;0),"Rupa nakon 1. dolaska",IF(AND(O484&gt;0,F484-H484*N484+K484+M484&lt;0),"Rupa nakon 2. dolaska",IF(P484&lt;POSTAVKE!$B$6,"Količina nije dovoljna",IF(I484&gt;=POSTAVKE!$B$6,"Sve u redu","Stiže na vrijeme")))))))</f>
        <v>Nema prodaje</v>
      </c>
      <c r="S484" s="23" t="n">
        <f aca="false">IFERROR(INDEX(PODACI_PRODAJA!B:B,MATCH($A484,PODACI_PRODAJA!$A:$A,0)),0)</f>
        <v>0</v>
      </c>
      <c r="T484" s="23" t="n">
        <f aca="false">IFERROR(INDEX(PODACI_PRODAJA!C:C,MATCH($A484,PODACI_PRODAJA!$A:$A,0)),0)</f>
        <v>0</v>
      </c>
      <c r="U484" s="23" t="n">
        <f aca="false">IFERROR(INDEX(PODACI_PRODAJA!D:D,MATCH($A484,PODACI_PRODAJA!$A:$A,0)),0)</f>
        <v>0</v>
      </c>
      <c r="V484" s="23" t="n">
        <f aca="false">IFERROR(INDEX(PODACI_PRODAJA!E:E,MATCH($A484,PODACI_PRODAJA!$A:$A,0)),0)</f>
        <v>0</v>
      </c>
      <c r="W484" s="23" t="n">
        <f aca="false">IFERROR(INDEX(PODACI_PRODAJA!F:F,MATCH($A484,PODACI_PRODAJA!$A:$A,0)),0)</f>
        <v>0</v>
      </c>
      <c r="X484" s="23" t="n">
        <f aca="false">IFERROR(INDEX(PODACI_PRODAJA!G:G,MATCH($A484,PODACI_PRODAJA!$A:$A,0)),0)</f>
        <v>0</v>
      </c>
      <c r="Y484" s="23" t="n">
        <f aca="false">IFERROR(INDEX(PODACI_PRODAJA!H:H,MATCH($A484,PODACI_PRODAJA!$A:$A,0)),0)</f>
        <v>0</v>
      </c>
      <c r="Z484" s="23" t="n">
        <f aca="false">IFERROR(INDEX(PODACI_PRODAJA!I:I,MATCH($A484,PODACI_PRODAJA!$A:$A,0)),0)</f>
        <v>0</v>
      </c>
      <c r="AA484" s="23" t="n">
        <f aca="false">IFERROR(INDEX(PODACI_PRODAJA!J:J,MATCH($A484,PODACI_PRODAJA!$A:$A,0)),0)</f>
        <v>0</v>
      </c>
      <c r="AB484" s="23" t="n">
        <f aca="false">IFERROR(INDEX(PODACI_PRODAJA!K:K,MATCH($A484,PODACI_PRODAJA!$A:$A,0)),0)</f>
        <v>0</v>
      </c>
      <c r="AC484" s="23" t="n">
        <f aca="false">IFERROR(INDEX(PODACI_PRODAJA!L:L,MATCH($A484,PODACI_PRODAJA!$A:$A,0)),0)</f>
        <v>0</v>
      </c>
      <c r="AD484" s="23" t="n">
        <f aca="false">IFERROR(INDEX(PODACI_PRODAJA!M:M,MATCH($A484,PODACI_PRODAJA!$A:$A,0)),0)</f>
        <v>0</v>
      </c>
    </row>
    <row r="485" customFormat="false" ht="15" hidden="false" customHeight="false" outlineLevel="0" collapsed="false">
      <c r="A485" s="11" t="str">
        <f aca="false">PODACI_ZALIHE!A482</f>
        <v>AA02240</v>
      </c>
      <c r="B485" s="8" t="str">
        <f aca="false">PODACI_ZALIHE!B482</f>
        <v>EASY IN 100 TUŠ VRATA 100x195 cm</v>
      </c>
      <c r="C485" s="9" t="str">
        <f aca="false">PODACI_ZALIHE!C482</f>
        <v>3933</v>
      </c>
      <c r="D485" s="8" t="str">
        <f aca="false">PODACI_ZALIHE!D482</f>
        <v>PINGHU AONISI SANITARY WARE CO.,LTD</v>
      </c>
      <c r="E485" s="19" t="n">
        <f aca="false">IF(PODACI_ZALIHE!E482="","",PODACI_ZALIHE!E482)</f>
        <v>6</v>
      </c>
      <c r="F485" s="20" t="n">
        <f aca="false">PODACI_ZALIHE!F482</f>
        <v>6</v>
      </c>
      <c r="G485" s="19" t="n">
        <f aca="false">IF(E485="","",E485-F485)</f>
        <v>0</v>
      </c>
      <c r="H485" s="9" t="n">
        <f aca="false">PODACI_PRODAJA!N220</f>
        <v>0.38</v>
      </c>
      <c r="I485" s="21" t="n">
        <f aca="false">IF(H485&lt;=0,999,ROUND(F485/H485,1))</f>
        <v>15.8</v>
      </c>
      <c r="J485" s="9" t="n">
        <f aca="false">SUMIFS(ROBA_U_DOLASKU!$C$6:$C$95,ROBA_U_DOLASKU!$A$6:$A$95,A485,ROBA_U_DOLASKU!$H$6:$H$95,1)</f>
        <v>0</v>
      </c>
      <c r="K485" s="9" t="n">
        <f aca="false">SUMIFS(ROBA_U_DOLASKU!$B$6:$B$95,ROBA_U_DOLASKU!$A$6:$A$95,A485,ROBA_U_DOLASKU!$H$6:$H$95,1)</f>
        <v>0</v>
      </c>
      <c r="L485" s="9" t="n">
        <f aca="false">SUMIFS(ROBA_U_DOLASKU!$C$6:$C$95,ROBA_U_DOLASKU!$A$6:$A$95,A485,ROBA_U_DOLASKU!$H$6:$H$95,2)</f>
        <v>0</v>
      </c>
      <c r="M485" s="9" t="n">
        <f aca="false">SUMIFS(ROBA_U_DOLASKU!$B$6:$B$95,ROBA_U_DOLASKU!$A$6:$A$95,A485,ROBA_U_DOLASKU!$H$6:$H$95,2)</f>
        <v>0</v>
      </c>
      <c r="N485" s="9" t="n">
        <f aca="false">SUMIFS(ROBA_U_DOLASKU!$C$6:$C$95,ROBA_U_DOLASKU!$A$6:$A$95,A485,ROBA_U_DOLASKU!$H$6:$H$95,3)</f>
        <v>0</v>
      </c>
      <c r="O485" s="9" t="n">
        <f aca="false">SUMIFS(ROBA_U_DOLASKU!$B$6:$B$95,ROBA_U_DOLASKU!$A$6:$A$95,A485,ROBA_U_DOLASKU!$H$6:$H$95,3)</f>
        <v>0</v>
      </c>
      <c r="P485" s="9" t="n">
        <f aca="false">IF(H485&lt;=0,999,IF(O485&gt;0,ROUND((F485-H485*N485+K485+M485+O485)/H485,1),IF(M485&gt;0,ROUND((F485-H485*L485+K485+M485)/H485,1),IF(K485&gt;0,ROUND((F485-H485*J485+K485)/H485,1),I485))))</f>
        <v>15.8</v>
      </c>
      <c r="Q485" s="22" t="str">
        <f aca="false">IF(H485&lt;=0,"Nema prodaje",IF(AND(K485=0,M485=0,O485=0),IF(I485&lt;POSTAVKE!$B$6,"Naruči odmah","Sve u redu"),IF(F485-H485*J485&lt;0,"Rupa za ~"&amp;TEXT(I485,"0.0")&amp;" mj.",IF(AND(M485&gt;0,F485-H485*L485+K485&lt;0),"Rupa nakon 1. dolaska",IF(AND(O485&gt;0,F485-H485*N485+K485+M485&lt;0),"Rupa nakon 2. dolaska",IF(P485&lt;POSTAVKE!$B$6,"Količina nije dovoljna",IF(I485&gt;=POSTAVKE!$B$6,"Sve u redu","Stiže na vrijeme")))))))</f>
        <v>Sve u redu</v>
      </c>
      <c r="S485" s="23" t="n">
        <f aca="false">IFERROR(INDEX(PODACI_PRODAJA!B:B,MATCH($A485,PODACI_PRODAJA!$A:$A,0)),0)</f>
        <v>1</v>
      </c>
      <c r="T485" s="23" t="n">
        <f aca="false">IFERROR(INDEX(PODACI_PRODAJA!C:C,MATCH($A485,PODACI_PRODAJA!$A:$A,0)),0)</f>
        <v>1</v>
      </c>
      <c r="U485" s="23" t="n">
        <f aca="false">IFERROR(INDEX(PODACI_PRODAJA!D:D,MATCH($A485,PODACI_PRODAJA!$A:$A,0)),0)</f>
        <v>0</v>
      </c>
      <c r="V485" s="23" t="n">
        <f aca="false">IFERROR(INDEX(PODACI_PRODAJA!E:E,MATCH($A485,PODACI_PRODAJA!$A:$A,0)),0)</f>
        <v>0</v>
      </c>
      <c r="W485" s="23" t="n">
        <f aca="false">IFERROR(INDEX(PODACI_PRODAJA!F:F,MATCH($A485,PODACI_PRODAJA!$A:$A,0)),0)</f>
        <v>0</v>
      </c>
      <c r="X485" s="23" t="n">
        <f aca="false">IFERROR(INDEX(PODACI_PRODAJA!G:G,MATCH($A485,PODACI_PRODAJA!$A:$A,0)),0)</f>
        <v>1</v>
      </c>
      <c r="Y485" s="23" t="n">
        <f aca="false">IFERROR(INDEX(PODACI_PRODAJA!H:H,MATCH($A485,PODACI_PRODAJA!$A:$A,0)),0)</f>
        <v>0</v>
      </c>
      <c r="Z485" s="23" t="n">
        <f aca="false">IFERROR(INDEX(PODACI_PRODAJA!I:I,MATCH($A485,PODACI_PRODAJA!$A:$A,0)),0)</f>
        <v>0</v>
      </c>
      <c r="AA485" s="23" t="n">
        <f aca="false">IFERROR(INDEX(PODACI_PRODAJA!J:J,MATCH($A485,PODACI_PRODAJA!$A:$A,0)),0)</f>
        <v>0</v>
      </c>
      <c r="AB485" s="23" t="n">
        <f aca="false">IFERROR(INDEX(PODACI_PRODAJA!K:K,MATCH($A485,PODACI_PRODAJA!$A:$A,0)),0)</f>
        <v>0</v>
      </c>
      <c r="AC485" s="23" t="n">
        <f aca="false">IFERROR(INDEX(PODACI_PRODAJA!L:L,MATCH($A485,PODACI_PRODAJA!$A:$A,0)),0)</f>
        <v>0</v>
      </c>
      <c r="AD485" s="23" t="n">
        <f aca="false">IFERROR(INDEX(PODACI_PRODAJA!M:M,MATCH($A485,PODACI_PRODAJA!$A:$A,0)),0)</f>
        <v>0</v>
      </c>
    </row>
    <row r="486" customFormat="false" ht="15" hidden="false" customHeight="false" outlineLevel="0" collapsed="false">
      <c r="A486" s="11" t="str">
        <f aca="false">PODACI_ZALIHE!A483</f>
        <v>0002276</v>
      </c>
      <c r="B486" s="8" t="str">
        <f aca="false">PODACI_ZALIHE!B483</f>
        <v>ŽIČANI STALAK ZA BLISTER PAKIRANJA</v>
      </c>
      <c r="C486" s="9" t="n">
        <f aca="false">PODACI_ZALIHE!C483</f>
        <v>0</v>
      </c>
      <c r="D486" s="8" t="n">
        <f aca="false">PODACI_ZALIHE!D483</f>
        <v>0</v>
      </c>
      <c r="E486" s="19" t="n">
        <f aca="false">IF(PODACI_ZALIHE!E483="","",PODACI_ZALIHE!E483)</f>
        <v>6</v>
      </c>
      <c r="F486" s="20" t="n">
        <f aca="false">PODACI_ZALIHE!F483</f>
        <v>6</v>
      </c>
      <c r="G486" s="19" t="n">
        <f aca="false">IF(E486="","",E486-F486)</f>
        <v>0</v>
      </c>
      <c r="H486" s="9" t="n">
        <v>0</v>
      </c>
      <c r="I486" s="21" t="n">
        <f aca="false">IF(H486&lt;=0,999,ROUND(F486/H486,1))</f>
        <v>999</v>
      </c>
      <c r="J486" s="9" t="n">
        <f aca="false">SUMIFS(ROBA_U_DOLASKU!$C$6:$C$95,ROBA_U_DOLASKU!$A$6:$A$95,A486,ROBA_U_DOLASKU!$H$6:$H$95,1)</f>
        <v>0</v>
      </c>
      <c r="K486" s="9" t="n">
        <f aca="false">SUMIFS(ROBA_U_DOLASKU!$B$6:$B$95,ROBA_U_DOLASKU!$A$6:$A$95,A486,ROBA_U_DOLASKU!$H$6:$H$95,1)</f>
        <v>0</v>
      </c>
      <c r="L486" s="9" t="n">
        <f aca="false">SUMIFS(ROBA_U_DOLASKU!$C$6:$C$95,ROBA_U_DOLASKU!$A$6:$A$95,A486,ROBA_U_DOLASKU!$H$6:$H$95,2)</f>
        <v>0</v>
      </c>
      <c r="M486" s="9" t="n">
        <f aca="false">SUMIFS(ROBA_U_DOLASKU!$B$6:$B$95,ROBA_U_DOLASKU!$A$6:$A$95,A486,ROBA_U_DOLASKU!$H$6:$H$95,2)</f>
        <v>0</v>
      </c>
      <c r="N486" s="9" t="n">
        <f aca="false">SUMIFS(ROBA_U_DOLASKU!$C$6:$C$95,ROBA_U_DOLASKU!$A$6:$A$95,A486,ROBA_U_DOLASKU!$H$6:$H$95,3)</f>
        <v>0</v>
      </c>
      <c r="O486" s="9" t="n">
        <f aca="false">SUMIFS(ROBA_U_DOLASKU!$B$6:$B$95,ROBA_U_DOLASKU!$A$6:$A$95,A486,ROBA_U_DOLASKU!$H$6:$H$95,3)</f>
        <v>0</v>
      </c>
      <c r="P486" s="9" t="n">
        <f aca="false">IF(H486&lt;=0,999,IF(O486&gt;0,ROUND((F486-H486*N486+K486+M486+O486)/H486,1),IF(M486&gt;0,ROUND((F486-H486*L486+K486+M486)/H486,1),IF(K486&gt;0,ROUND((F486-H486*J486+K486)/H486,1),I486))))</f>
        <v>999</v>
      </c>
      <c r="Q486" s="22" t="str">
        <f aca="false">IF(H486&lt;=0,"Nema prodaje",IF(AND(K486=0,M486=0,O486=0),IF(I486&lt;POSTAVKE!$B$6,"Naruči odmah","Sve u redu"),IF(F486-H486*J486&lt;0,"Rupa za ~"&amp;TEXT(I486,"0.0")&amp;" mj.",IF(AND(M486&gt;0,F486-H486*L486+K486&lt;0),"Rupa nakon 1. dolaska",IF(AND(O486&gt;0,F486-H486*N486+K486+M486&lt;0),"Rupa nakon 2. dolaska",IF(P486&lt;POSTAVKE!$B$6,"Količina nije dovoljna",IF(I486&gt;=POSTAVKE!$B$6,"Sve u redu","Stiže na vrijeme")))))))</f>
        <v>Nema prodaje</v>
      </c>
      <c r="S486" s="23" t="n">
        <f aca="false">IFERROR(INDEX(PODACI_PRODAJA!B:B,MATCH($A486,PODACI_PRODAJA!$A:$A,0)),0)</f>
        <v>0</v>
      </c>
      <c r="T486" s="23" t="n">
        <f aca="false">IFERROR(INDEX(PODACI_PRODAJA!C:C,MATCH($A486,PODACI_PRODAJA!$A:$A,0)),0)</f>
        <v>0</v>
      </c>
      <c r="U486" s="23" t="n">
        <f aca="false">IFERROR(INDEX(PODACI_PRODAJA!D:D,MATCH($A486,PODACI_PRODAJA!$A:$A,0)),0)</f>
        <v>0</v>
      </c>
      <c r="V486" s="23" t="n">
        <f aca="false">IFERROR(INDEX(PODACI_PRODAJA!E:E,MATCH($A486,PODACI_PRODAJA!$A:$A,0)),0)</f>
        <v>0</v>
      </c>
      <c r="W486" s="23" t="n">
        <f aca="false">IFERROR(INDEX(PODACI_PRODAJA!F:F,MATCH($A486,PODACI_PRODAJA!$A:$A,0)),0)</f>
        <v>0</v>
      </c>
      <c r="X486" s="23" t="n">
        <f aca="false">IFERROR(INDEX(PODACI_PRODAJA!G:G,MATCH($A486,PODACI_PRODAJA!$A:$A,0)),0)</f>
        <v>0</v>
      </c>
      <c r="Y486" s="23" t="n">
        <f aca="false">IFERROR(INDEX(PODACI_PRODAJA!H:H,MATCH($A486,PODACI_PRODAJA!$A:$A,0)),0)</f>
        <v>0</v>
      </c>
      <c r="Z486" s="23" t="n">
        <f aca="false">IFERROR(INDEX(PODACI_PRODAJA!I:I,MATCH($A486,PODACI_PRODAJA!$A:$A,0)),0)</f>
        <v>0</v>
      </c>
      <c r="AA486" s="23" t="n">
        <f aca="false">IFERROR(INDEX(PODACI_PRODAJA!J:J,MATCH($A486,PODACI_PRODAJA!$A:$A,0)),0)</f>
        <v>0</v>
      </c>
      <c r="AB486" s="23" t="n">
        <f aca="false">IFERROR(INDEX(PODACI_PRODAJA!K:K,MATCH($A486,PODACI_PRODAJA!$A:$A,0)),0)</f>
        <v>0</v>
      </c>
      <c r="AC486" s="23" t="n">
        <f aca="false">IFERROR(INDEX(PODACI_PRODAJA!L:L,MATCH($A486,PODACI_PRODAJA!$A:$A,0)),0)</f>
        <v>0</v>
      </c>
      <c r="AD486" s="23" t="n">
        <f aca="false">IFERROR(INDEX(PODACI_PRODAJA!M:M,MATCH($A486,PODACI_PRODAJA!$A:$A,0)),0)</f>
        <v>0</v>
      </c>
    </row>
    <row r="487" customFormat="false" ht="15" hidden="false" customHeight="false" outlineLevel="0" collapsed="false">
      <c r="A487" s="11" t="str">
        <f aca="false">PODACI_ZALIHE!A484</f>
        <v>042050</v>
      </c>
      <c r="B487" s="8" t="str">
        <f aca="false">PODACI_ZALIHE!B484</f>
        <v>TK MADERA 90120 PRAVOKUTNA TUŠ KABINA 90x120x185 cm</v>
      </c>
      <c r="C487" s="9" t="str">
        <f aca="false">PODACI_ZALIHE!C484</f>
        <v>4981</v>
      </c>
      <c r="D487" s="8" t="str">
        <f aca="false">PODACI_ZALIHE!D484</f>
        <v>HANGZHOU SUNLIGHT TRADE CO., LTD.</v>
      </c>
      <c r="E487" s="19" t="n">
        <f aca="false">IF(PODACI_ZALIHE!E484="","",PODACI_ZALIHE!E484)</f>
        <v>6</v>
      </c>
      <c r="F487" s="20" t="n">
        <f aca="false">PODACI_ZALIHE!F484</f>
        <v>6</v>
      </c>
      <c r="G487" s="19" t="n">
        <f aca="false">IF(E487="","",E487-F487)</f>
        <v>0</v>
      </c>
      <c r="H487" s="9" t="n">
        <f aca="false">PODACI_PRODAJA!N422</f>
        <v>0.25</v>
      </c>
      <c r="I487" s="21" t="n">
        <f aca="false">IF(H487&lt;=0,999,ROUND(F487/H487,1))</f>
        <v>24</v>
      </c>
      <c r="J487" s="9" t="n">
        <f aca="false">SUMIFS(ROBA_U_DOLASKU!$C$6:$C$95,ROBA_U_DOLASKU!$A$6:$A$95,A487,ROBA_U_DOLASKU!$H$6:$H$95,1)</f>
        <v>0</v>
      </c>
      <c r="K487" s="9" t="n">
        <f aca="false">SUMIFS(ROBA_U_DOLASKU!$B$6:$B$95,ROBA_U_DOLASKU!$A$6:$A$95,A487,ROBA_U_DOLASKU!$H$6:$H$95,1)</f>
        <v>0</v>
      </c>
      <c r="L487" s="9" t="n">
        <f aca="false">SUMIFS(ROBA_U_DOLASKU!$C$6:$C$95,ROBA_U_DOLASKU!$A$6:$A$95,A487,ROBA_U_DOLASKU!$H$6:$H$95,2)</f>
        <v>0</v>
      </c>
      <c r="M487" s="9" t="n">
        <f aca="false">SUMIFS(ROBA_U_DOLASKU!$B$6:$B$95,ROBA_U_DOLASKU!$A$6:$A$95,A487,ROBA_U_DOLASKU!$H$6:$H$95,2)</f>
        <v>0</v>
      </c>
      <c r="N487" s="9" t="n">
        <f aca="false">SUMIFS(ROBA_U_DOLASKU!$C$6:$C$95,ROBA_U_DOLASKU!$A$6:$A$95,A487,ROBA_U_DOLASKU!$H$6:$H$95,3)</f>
        <v>0</v>
      </c>
      <c r="O487" s="9" t="n">
        <f aca="false">SUMIFS(ROBA_U_DOLASKU!$B$6:$B$95,ROBA_U_DOLASKU!$A$6:$A$95,A487,ROBA_U_DOLASKU!$H$6:$H$95,3)</f>
        <v>0</v>
      </c>
      <c r="P487" s="9" t="n">
        <f aca="false">IF(H487&lt;=0,999,IF(O487&gt;0,ROUND((F487-H487*N487+K487+M487+O487)/H487,1),IF(M487&gt;0,ROUND((F487-H487*L487+K487+M487)/H487,1),IF(K487&gt;0,ROUND((F487-H487*J487+K487)/H487,1),I487))))</f>
        <v>24</v>
      </c>
      <c r="Q487" s="22" t="str">
        <f aca="false">IF(H487&lt;=0,"Nema prodaje",IF(AND(K487=0,M487=0,O487=0),IF(I487&lt;POSTAVKE!$B$6,"Naruči odmah","Sve u redu"),IF(F487-H487*J487&lt;0,"Rupa za ~"&amp;TEXT(I487,"0.0")&amp;" mj.",IF(AND(M487&gt;0,F487-H487*L487+K487&lt;0),"Rupa nakon 1. dolaska",IF(AND(O487&gt;0,F487-H487*N487+K487+M487&lt;0),"Rupa nakon 2. dolaska",IF(P487&lt;POSTAVKE!$B$6,"Količina nije dovoljna",IF(I487&gt;=POSTAVKE!$B$6,"Sve u redu","Stiže na vrijeme")))))))</f>
        <v>Sve u redu</v>
      </c>
      <c r="S487" s="23" t="n">
        <f aca="false">IFERROR(INDEX(PODACI_PRODAJA!B:B,MATCH($A487,PODACI_PRODAJA!$A:$A,0)),0)</f>
        <v>0</v>
      </c>
      <c r="T487" s="23" t="n">
        <f aca="false">IFERROR(INDEX(PODACI_PRODAJA!C:C,MATCH($A487,PODACI_PRODAJA!$A:$A,0)),0)</f>
        <v>0</v>
      </c>
      <c r="U487" s="23" t="n">
        <f aca="false">IFERROR(INDEX(PODACI_PRODAJA!D:D,MATCH($A487,PODACI_PRODAJA!$A:$A,0)),0)</f>
        <v>1</v>
      </c>
      <c r="V487" s="23" t="n">
        <f aca="false">IFERROR(INDEX(PODACI_PRODAJA!E:E,MATCH($A487,PODACI_PRODAJA!$A:$A,0)),0)</f>
        <v>1</v>
      </c>
      <c r="W487" s="23" t="n">
        <f aca="false">IFERROR(INDEX(PODACI_PRODAJA!F:F,MATCH($A487,PODACI_PRODAJA!$A:$A,0)),0)</f>
        <v>0</v>
      </c>
      <c r="X487" s="23" t="n">
        <f aca="false">IFERROR(INDEX(PODACI_PRODAJA!G:G,MATCH($A487,PODACI_PRODAJA!$A:$A,0)),0)</f>
        <v>0</v>
      </c>
      <c r="Y487" s="23" t="n">
        <f aca="false">IFERROR(INDEX(PODACI_PRODAJA!H:H,MATCH($A487,PODACI_PRODAJA!$A:$A,0)),0)</f>
        <v>0</v>
      </c>
      <c r="Z487" s="23" t="n">
        <f aca="false">IFERROR(INDEX(PODACI_PRODAJA!I:I,MATCH($A487,PODACI_PRODAJA!$A:$A,0)),0)</f>
        <v>0</v>
      </c>
      <c r="AA487" s="23" t="n">
        <f aca="false">IFERROR(INDEX(PODACI_PRODAJA!J:J,MATCH($A487,PODACI_PRODAJA!$A:$A,0)),0)</f>
        <v>0</v>
      </c>
      <c r="AB487" s="23" t="n">
        <f aca="false">IFERROR(INDEX(PODACI_PRODAJA!K:K,MATCH($A487,PODACI_PRODAJA!$A:$A,0)),0)</f>
        <v>0</v>
      </c>
      <c r="AC487" s="23" t="n">
        <f aca="false">IFERROR(INDEX(PODACI_PRODAJA!L:L,MATCH($A487,PODACI_PRODAJA!$A:$A,0)),0)</f>
        <v>0</v>
      </c>
      <c r="AD487" s="23" t="n">
        <f aca="false">IFERROR(INDEX(PODACI_PRODAJA!M:M,MATCH($A487,PODACI_PRODAJA!$A:$A,0)),0)</f>
        <v>0</v>
      </c>
    </row>
    <row r="488" customFormat="false" ht="15" hidden="false" customHeight="false" outlineLevel="0" collapsed="false">
      <c r="A488" s="11" t="str">
        <f aca="false">PODACI_ZALIHE!A485</f>
        <v>155290</v>
      </c>
      <c r="B488" s="8" t="str">
        <f aca="false">PODACI_ZALIHE!B485</f>
        <v>BOLD BIJELA 100 KV MINERALSOLID TUŠ KADA 1000x1000x30 mm</v>
      </c>
      <c r="C488" s="9" t="str">
        <f aca="false">PODACI_ZALIHE!C485</f>
        <v>5517</v>
      </c>
      <c r="D488" s="8" t="str">
        <f aca="false">PODACI_ZALIHE!D485</f>
        <v>NICOS INTERNATIONAL S.P.A.</v>
      </c>
      <c r="E488" s="19" t="n">
        <f aca="false">IF(PODACI_ZALIHE!E485="","",PODACI_ZALIHE!E485)</f>
        <v>6</v>
      </c>
      <c r="F488" s="20" t="n">
        <f aca="false">PODACI_ZALIHE!F485</f>
        <v>6</v>
      </c>
      <c r="G488" s="19" t="n">
        <f aca="false">IF(E488="","",E488-F488)</f>
        <v>0</v>
      </c>
      <c r="H488" s="9" t="n">
        <f aca="false">PODACI_PRODAJA!N490</f>
        <v>2.38</v>
      </c>
      <c r="I488" s="21" t="n">
        <f aca="false">IF(H488&lt;=0,999,ROUND(F488/H488,1))</f>
        <v>2.5</v>
      </c>
      <c r="J488" s="9" t="n">
        <f aca="false">SUMIFS(ROBA_U_DOLASKU!$C$6:$C$95,ROBA_U_DOLASKU!$A$6:$A$95,A488,ROBA_U_DOLASKU!$H$6:$H$95,1)</f>
        <v>0</v>
      </c>
      <c r="K488" s="9" t="n">
        <f aca="false">SUMIFS(ROBA_U_DOLASKU!$B$6:$B$95,ROBA_U_DOLASKU!$A$6:$A$95,A488,ROBA_U_DOLASKU!$H$6:$H$95,1)</f>
        <v>0</v>
      </c>
      <c r="L488" s="9" t="n">
        <f aca="false">SUMIFS(ROBA_U_DOLASKU!$C$6:$C$95,ROBA_U_DOLASKU!$A$6:$A$95,A488,ROBA_U_DOLASKU!$H$6:$H$95,2)</f>
        <v>0</v>
      </c>
      <c r="M488" s="9" t="n">
        <f aca="false">SUMIFS(ROBA_U_DOLASKU!$B$6:$B$95,ROBA_U_DOLASKU!$A$6:$A$95,A488,ROBA_U_DOLASKU!$H$6:$H$95,2)</f>
        <v>0</v>
      </c>
      <c r="N488" s="9" t="n">
        <f aca="false">SUMIFS(ROBA_U_DOLASKU!$C$6:$C$95,ROBA_U_DOLASKU!$A$6:$A$95,A488,ROBA_U_DOLASKU!$H$6:$H$95,3)</f>
        <v>0</v>
      </c>
      <c r="O488" s="9" t="n">
        <f aca="false">SUMIFS(ROBA_U_DOLASKU!$B$6:$B$95,ROBA_U_DOLASKU!$A$6:$A$95,A488,ROBA_U_DOLASKU!$H$6:$H$95,3)</f>
        <v>0</v>
      </c>
      <c r="P488" s="9" t="n">
        <f aca="false">IF(H488&lt;=0,999,IF(O488&gt;0,ROUND((F488-H488*N488+K488+M488+O488)/H488,1),IF(M488&gt;0,ROUND((F488-H488*L488+K488+M488)/H488,1),IF(K488&gt;0,ROUND((F488-H488*J488+K488)/H488,1),I488))))</f>
        <v>2.5</v>
      </c>
      <c r="Q488" s="22" t="str">
        <f aca="false">IF(H488&lt;=0,"Nema prodaje",IF(AND(K488=0,M488=0,O488=0),IF(I488&lt;POSTAVKE!$B$6,"Naruči odmah","Sve u redu"),IF(F488-H488*J488&lt;0,"Rupa za ~"&amp;TEXT(I488,"0.0")&amp;" mj.",IF(AND(M488&gt;0,F488-H488*L488+K488&lt;0),"Rupa nakon 1. dolaska",IF(AND(O488&gt;0,F488-H488*N488+K488+M488&lt;0),"Rupa nakon 2. dolaska",IF(P488&lt;POSTAVKE!$B$6,"Količina nije dovoljna",IF(I488&gt;=POSTAVKE!$B$6,"Sve u redu","Stiže na vrijeme")))))))</f>
        <v>Naruči odmah</v>
      </c>
      <c r="S488" s="23" t="n">
        <f aca="false">IFERROR(INDEX(PODACI_PRODAJA!B:B,MATCH($A488,PODACI_PRODAJA!$A:$A,0)),0)</f>
        <v>0</v>
      </c>
      <c r="T488" s="23" t="n">
        <f aca="false">IFERROR(INDEX(PODACI_PRODAJA!C:C,MATCH($A488,PODACI_PRODAJA!$A:$A,0)),0)</f>
        <v>7</v>
      </c>
      <c r="U488" s="23" t="n">
        <f aca="false">IFERROR(INDEX(PODACI_PRODAJA!D:D,MATCH($A488,PODACI_PRODAJA!$A:$A,0)),0)</f>
        <v>0</v>
      </c>
      <c r="V488" s="23" t="n">
        <f aca="false">IFERROR(INDEX(PODACI_PRODAJA!E:E,MATCH($A488,PODACI_PRODAJA!$A:$A,0)),0)</f>
        <v>3</v>
      </c>
      <c r="W488" s="23" t="n">
        <f aca="false">IFERROR(INDEX(PODACI_PRODAJA!F:F,MATCH($A488,PODACI_PRODAJA!$A:$A,0)),0)</f>
        <v>9</v>
      </c>
      <c r="X488" s="23" t="n">
        <f aca="false">IFERROR(INDEX(PODACI_PRODAJA!G:G,MATCH($A488,PODACI_PRODAJA!$A:$A,0)),0)</f>
        <v>0</v>
      </c>
      <c r="Y488" s="23" t="n">
        <f aca="false">IFERROR(INDEX(PODACI_PRODAJA!H:H,MATCH($A488,PODACI_PRODAJA!$A:$A,0)),0)</f>
        <v>0</v>
      </c>
      <c r="Z488" s="23" t="n">
        <f aca="false">IFERROR(INDEX(PODACI_PRODAJA!I:I,MATCH($A488,PODACI_PRODAJA!$A:$A,0)),0)</f>
        <v>0</v>
      </c>
      <c r="AA488" s="23" t="n">
        <f aca="false">IFERROR(INDEX(PODACI_PRODAJA!J:J,MATCH($A488,PODACI_PRODAJA!$A:$A,0)),0)</f>
        <v>0</v>
      </c>
      <c r="AB488" s="23" t="n">
        <f aca="false">IFERROR(INDEX(PODACI_PRODAJA!K:K,MATCH($A488,PODACI_PRODAJA!$A:$A,0)),0)</f>
        <v>0</v>
      </c>
      <c r="AC488" s="23" t="n">
        <f aca="false">IFERROR(INDEX(PODACI_PRODAJA!L:L,MATCH($A488,PODACI_PRODAJA!$A:$A,0)),0)</f>
        <v>0</v>
      </c>
      <c r="AD488" s="23" t="n">
        <f aca="false">IFERROR(INDEX(PODACI_PRODAJA!M:M,MATCH($A488,PODACI_PRODAJA!$A:$A,0)),0)</f>
        <v>0</v>
      </c>
    </row>
    <row r="489" customFormat="false" ht="15" hidden="false" customHeight="false" outlineLevel="0" collapsed="false">
      <c r="A489" s="11" t="str">
        <f aca="false">PODACI_ZALIHE!A486</f>
        <v>15949</v>
      </c>
      <c r="B489" s="8" t="str">
        <f aca="false">PODACI_ZALIHE!B486</f>
        <v>VETRO STYLE 130 TUŠ STIJENA 130x200 cm</v>
      </c>
      <c r="C489" s="9" t="str">
        <f aca="false">PODACI_ZALIHE!C486</f>
        <v>4328</v>
      </c>
      <c r="D489" s="8" t="str">
        <f aca="false">PODACI_ZALIHE!D486</f>
        <v>HANGZHOU DUHUI IMPORT AND EXPORT CO.,LTD</v>
      </c>
      <c r="E489" s="19" t="n">
        <f aca="false">IF(PODACI_ZALIHE!E486="","",PODACI_ZALIHE!E486)</f>
        <v>6</v>
      </c>
      <c r="F489" s="20" t="n">
        <f aca="false">PODACI_ZALIHE!F486</f>
        <v>6</v>
      </c>
      <c r="G489" s="19" t="n">
        <f aca="false">IF(E489="","",E489-F489)</f>
        <v>0</v>
      </c>
      <c r="H489" s="9" t="n">
        <f aca="false">PODACI_PRODAJA!N545</f>
        <v>0.75</v>
      </c>
      <c r="I489" s="21" t="n">
        <f aca="false">IF(H489&lt;=0,999,ROUND(F489/H489,1))</f>
        <v>8</v>
      </c>
      <c r="J489" s="9" t="n">
        <f aca="false">SUMIFS(ROBA_U_DOLASKU!$C$6:$C$95,ROBA_U_DOLASKU!$A$6:$A$95,A489,ROBA_U_DOLASKU!$H$6:$H$95,1)</f>
        <v>0</v>
      </c>
      <c r="K489" s="9" t="n">
        <f aca="false">SUMIFS(ROBA_U_DOLASKU!$B$6:$B$95,ROBA_U_DOLASKU!$A$6:$A$95,A489,ROBA_U_DOLASKU!$H$6:$H$95,1)</f>
        <v>0</v>
      </c>
      <c r="L489" s="9" t="n">
        <f aca="false">SUMIFS(ROBA_U_DOLASKU!$C$6:$C$95,ROBA_U_DOLASKU!$A$6:$A$95,A489,ROBA_U_DOLASKU!$H$6:$H$95,2)</f>
        <v>0</v>
      </c>
      <c r="M489" s="9" t="n">
        <f aca="false">SUMIFS(ROBA_U_DOLASKU!$B$6:$B$95,ROBA_U_DOLASKU!$A$6:$A$95,A489,ROBA_U_DOLASKU!$H$6:$H$95,2)</f>
        <v>0</v>
      </c>
      <c r="N489" s="9" t="n">
        <f aca="false">SUMIFS(ROBA_U_DOLASKU!$C$6:$C$95,ROBA_U_DOLASKU!$A$6:$A$95,A489,ROBA_U_DOLASKU!$H$6:$H$95,3)</f>
        <v>0</v>
      </c>
      <c r="O489" s="9" t="n">
        <f aca="false">SUMIFS(ROBA_U_DOLASKU!$B$6:$B$95,ROBA_U_DOLASKU!$A$6:$A$95,A489,ROBA_U_DOLASKU!$H$6:$H$95,3)</f>
        <v>0</v>
      </c>
      <c r="P489" s="9" t="n">
        <f aca="false">IF(H489&lt;=0,999,IF(O489&gt;0,ROUND((F489-H489*N489+K489+M489+O489)/H489,1),IF(M489&gt;0,ROUND((F489-H489*L489+K489+M489)/H489,1),IF(K489&gt;0,ROUND((F489-H489*J489+K489)/H489,1),I489))))</f>
        <v>8</v>
      </c>
      <c r="Q489" s="22" t="str">
        <f aca="false">IF(H489&lt;=0,"Nema prodaje",IF(AND(K489=0,M489=0,O489=0),IF(I489&lt;POSTAVKE!$B$6,"Naruči odmah","Sve u redu"),IF(F489-H489*J489&lt;0,"Rupa za ~"&amp;TEXT(I489,"0.0")&amp;" mj.",IF(AND(M489&gt;0,F489-H489*L489+K489&lt;0),"Rupa nakon 1. dolaska",IF(AND(O489&gt;0,F489-H489*N489+K489+M489&lt;0),"Rupa nakon 2. dolaska",IF(P489&lt;POSTAVKE!$B$6,"Količina nije dovoljna",IF(I489&gt;=POSTAVKE!$B$6,"Sve u redu","Stiže na vrijeme")))))))</f>
        <v>Sve u redu</v>
      </c>
      <c r="S489" s="23" t="n">
        <f aca="false">IFERROR(INDEX(PODACI_PRODAJA!B:B,MATCH($A489,PODACI_PRODAJA!$A:$A,0)),0)</f>
        <v>0</v>
      </c>
      <c r="T489" s="23" t="n">
        <f aca="false">IFERROR(INDEX(PODACI_PRODAJA!C:C,MATCH($A489,PODACI_PRODAJA!$A:$A,0)),0)</f>
        <v>0</v>
      </c>
      <c r="U489" s="23" t="n">
        <f aca="false">IFERROR(INDEX(PODACI_PRODAJA!D:D,MATCH($A489,PODACI_PRODAJA!$A:$A,0)),0)</f>
        <v>1</v>
      </c>
      <c r="V489" s="23" t="n">
        <f aca="false">IFERROR(INDEX(PODACI_PRODAJA!E:E,MATCH($A489,PODACI_PRODAJA!$A:$A,0)),0)</f>
        <v>2</v>
      </c>
      <c r="W489" s="23" t="n">
        <f aca="false">IFERROR(INDEX(PODACI_PRODAJA!F:F,MATCH($A489,PODACI_PRODAJA!$A:$A,0)),0)</f>
        <v>0</v>
      </c>
      <c r="X489" s="23" t="n">
        <f aca="false">IFERROR(INDEX(PODACI_PRODAJA!G:G,MATCH($A489,PODACI_PRODAJA!$A:$A,0)),0)</f>
        <v>2</v>
      </c>
      <c r="Y489" s="23" t="n">
        <f aca="false">IFERROR(INDEX(PODACI_PRODAJA!H:H,MATCH($A489,PODACI_PRODAJA!$A:$A,0)),0)</f>
        <v>0</v>
      </c>
      <c r="Z489" s="23" t="n">
        <f aca="false">IFERROR(INDEX(PODACI_PRODAJA!I:I,MATCH($A489,PODACI_PRODAJA!$A:$A,0)),0)</f>
        <v>1</v>
      </c>
      <c r="AA489" s="23" t="n">
        <f aca="false">IFERROR(INDEX(PODACI_PRODAJA!J:J,MATCH($A489,PODACI_PRODAJA!$A:$A,0)),0)</f>
        <v>0</v>
      </c>
      <c r="AB489" s="23" t="n">
        <f aca="false">IFERROR(INDEX(PODACI_PRODAJA!K:K,MATCH($A489,PODACI_PRODAJA!$A:$A,0)),0)</f>
        <v>0</v>
      </c>
      <c r="AC489" s="23" t="n">
        <f aca="false">IFERROR(INDEX(PODACI_PRODAJA!L:L,MATCH($A489,PODACI_PRODAJA!$A:$A,0)),0)</f>
        <v>0</v>
      </c>
      <c r="AD489" s="23" t="n">
        <f aca="false">IFERROR(INDEX(PODACI_PRODAJA!M:M,MATCH($A489,PODACI_PRODAJA!$A:$A,0)),0)</f>
        <v>0</v>
      </c>
    </row>
    <row r="490" customFormat="false" ht="15" hidden="false" customHeight="false" outlineLevel="0" collapsed="false">
      <c r="A490" s="11" t="str">
        <f aca="false">PODACI_ZALIHE!A487</f>
        <v>16026</v>
      </c>
      <c r="B490" s="8" t="str">
        <f aca="false">PODACI_ZALIHE!B487</f>
        <v>BIANCA 80 POLUKRUŽNA TUŠ KABINA 80X80X195</v>
      </c>
      <c r="C490" s="9" t="str">
        <f aca="false">PODACI_ZALIHE!C487</f>
        <v>3933</v>
      </c>
      <c r="D490" s="8" t="str">
        <f aca="false">PODACI_ZALIHE!D487</f>
        <v>PINGHU AONISI SANITARY WARE CO.,LTD</v>
      </c>
      <c r="E490" s="19" t="n">
        <f aca="false">IF(PODACI_ZALIHE!E487="","",PODACI_ZALIHE!E487)</f>
        <v>6</v>
      </c>
      <c r="F490" s="20" t="n">
        <f aca="false">PODACI_ZALIHE!F487</f>
        <v>6</v>
      </c>
      <c r="G490" s="19" t="n">
        <f aca="false">IF(E490="","",E490-F490)</f>
        <v>0</v>
      </c>
      <c r="H490" s="9" t="n">
        <f aca="false">PODACI_PRODAJA!N551</f>
        <v>1.38</v>
      </c>
      <c r="I490" s="21" t="n">
        <f aca="false">IF(H490&lt;=0,999,ROUND(F490/H490,1))</f>
        <v>4.3</v>
      </c>
      <c r="J490" s="9" t="n">
        <f aca="false">SUMIFS(ROBA_U_DOLASKU!$C$6:$C$95,ROBA_U_DOLASKU!$A$6:$A$95,A490,ROBA_U_DOLASKU!$H$6:$H$95,1)</f>
        <v>0</v>
      </c>
      <c r="K490" s="9" t="n">
        <f aca="false">SUMIFS(ROBA_U_DOLASKU!$B$6:$B$95,ROBA_U_DOLASKU!$A$6:$A$95,A490,ROBA_U_DOLASKU!$H$6:$H$95,1)</f>
        <v>0</v>
      </c>
      <c r="L490" s="9" t="n">
        <f aca="false">SUMIFS(ROBA_U_DOLASKU!$C$6:$C$95,ROBA_U_DOLASKU!$A$6:$A$95,A490,ROBA_U_DOLASKU!$H$6:$H$95,2)</f>
        <v>0</v>
      </c>
      <c r="M490" s="9" t="n">
        <f aca="false">SUMIFS(ROBA_U_DOLASKU!$B$6:$B$95,ROBA_U_DOLASKU!$A$6:$A$95,A490,ROBA_U_DOLASKU!$H$6:$H$95,2)</f>
        <v>0</v>
      </c>
      <c r="N490" s="9" t="n">
        <f aca="false">SUMIFS(ROBA_U_DOLASKU!$C$6:$C$95,ROBA_U_DOLASKU!$A$6:$A$95,A490,ROBA_U_DOLASKU!$H$6:$H$95,3)</f>
        <v>0</v>
      </c>
      <c r="O490" s="9" t="n">
        <f aca="false">SUMIFS(ROBA_U_DOLASKU!$B$6:$B$95,ROBA_U_DOLASKU!$A$6:$A$95,A490,ROBA_U_DOLASKU!$H$6:$H$95,3)</f>
        <v>0</v>
      </c>
      <c r="P490" s="9" t="n">
        <f aca="false">IF(H490&lt;=0,999,IF(O490&gt;0,ROUND((F490-H490*N490+K490+M490+O490)/H490,1),IF(M490&gt;0,ROUND((F490-H490*L490+K490+M490)/H490,1),IF(K490&gt;0,ROUND((F490-H490*J490+K490)/H490,1),I490))))</f>
        <v>4.3</v>
      </c>
      <c r="Q490" s="22" t="str">
        <f aca="false">IF(H490&lt;=0,"Nema prodaje",IF(AND(K490=0,M490=0,O490=0),IF(I490&lt;POSTAVKE!$B$6,"Naruči odmah","Sve u redu"),IF(F490-H490*J490&lt;0,"Rupa za ~"&amp;TEXT(I490,"0.0")&amp;" mj.",IF(AND(M490&gt;0,F490-H490*L490+K490&lt;0),"Rupa nakon 1. dolaska",IF(AND(O490&gt;0,F490-H490*N490+K490+M490&lt;0),"Rupa nakon 2. dolaska",IF(P490&lt;POSTAVKE!$B$6,"Količina nije dovoljna",IF(I490&gt;=POSTAVKE!$B$6,"Sve u redu","Stiže na vrijeme")))))))</f>
        <v>Naruči odmah</v>
      </c>
      <c r="S490" s="23" t="n">
        <f aca="false">IFERROR(INDEX(PODACI_PRODAJA!B:B,MATCH($A490,PODACI_PRODAJA!$A:$A,0)),0)</f>
        <v>0</v>
      </c>
      <c r="T490" s="23" t="n">
        <f aca="false">IFERROR(INDEX(PODACI_PRODAJA!C:C,MATCH($A490,PODACI_PRODAJA!$A:$A,0)),0)</f>
        <v>2</v>
      </c>
      <c r="U490" s="23" t="n">
        <f aca="false">IFERROR(INDEX(PODACI_PRODAJA!D:D,MATCH($A490,PODACI_PRODAJA!$A:$A,0)),0)</f>
        <v>0</v>
      </c>
      <c r="V490" s="23" t="n">
        <f aca="false">IFERROR(INDEX(PODACI_PRODAJA!E:E,MATCH($A490,PODACI_PRODAJA!$A:$A,0)),0)</f>
        <v>3</v>
      </c>
      <c r="W490" s="23" t="n">
        <f aca="false">IFERROR(INDEX(PODACI_PRODAJA!F:F,MATCH($A490,PODACI_PRODAJA!$A:$A,0)),0)</f>
        <v>0</v>
      </c>
      <c r="X490" s="23" t="n">
        <f aca="false">IFERROR(INDEX(PODACI_PRODAJA!G:G,MATCH($A490,PODACI_PRODAJA!$A:$A,0)),0)</f>
        <v>2</v>
      </c>
      <c r="Y490" s="23" t="n">
        <f aca="false">IFERROR(INDEX(PODACI_PRODAJA!H:H,MATCH($A490,PODACI_PRODAJA!$A:$A,0)),0)</f>
        <v>2</v>
      </c>
      <c r="Z490" s="23" t="n">
        <f aca="false">IFERROR(INDEX(PODACI_PRODAJA!I:I,MATCH($A490,PODACI_PRODAJA!$A:$A,0)),0)</f>
        <v>2</v>
      </c>
      <c r="AA490" s="23" t="n">
        <f aca="false">IFERROR(INDEX(PODACI_PRODAJA!J:J,MATCH($A490,PODACI_PRODAJA!$A:$A,0)),0)</f>
        <v>0</v>
      </c>
      <c r="AB490" s="23" t="n">
        <f aca="false">IFERROR(INDEX(PODACI_PRODAJA!K:K,MATCH($A490,PODACI_PRODAJA!$A:$A,0)),0)</f>
        <v>0</v>
      </c>
      <c r="AC490" s="23" t="n">
        <f aca="false">IFERROR(INDEX(PODACI_PRODAJA!L:L,MATCH($A490,PODACI_PRODAJA!$A:$A,0)),0)</f>
        <v>0</v>
      </c>
      <c r="AD490" s="23" t="n">
        <f aca="false">IFERROR(INDEX(PODACI_PRODAJA!M:M,MATCH($A490,PODACI_PRODAJA!$A:$A,0)),0)</f>
        <v>0</v>
      </c>
    </row>
    <row r="491" customFormat="false" ht="15" hidden="false" customHeight="false" outlineLevel="0" collapsed="false">
      <c r="A491" s="11" t="str">
        <f aca="false">PODACI_ZALIHE!A488</f>
        <v>16098</v>
      </c>
      <c r="B491" s="8" t="str">
        <f aca="false">PODACI_ZALIHE!B488</f>
        <v>VETRO BLACK TRS 110 TUŠ STIJENA 110x200 cm</v>
      </c>
      <c r="C491" s="9" t="str">
        <f aca="false">PODACI_ZALIHE!C488</f>
        <v>4328</v>
      </c>
      <c r="D491" s="8" t="str">
        <f aca="false">PODACI_ZALIHE!D488</f>
        <v>HANGZHOU DUHUI IMPORT AND EXPORT CO.,LTD</v>
      </c>
      <c r="E491" s="19" t="n">
        <f aca="false">IF(PODACI_ZALIHE!E488="","",PODACI_ZALIHE!E488)</f>
        <v>6</v>
      </c>
      <c r="F491" s="20" t="n">
        <f aca="false">PODACI_ZALIHE!F488</f>
        <v>6</v>
      </c>
      <c r="G491" s="19" t="n">
        <f aca="false">IF(E491="","",E491-F491)</f>
        <v>0</v>
      </c>
      <c r="H491" s="9" t="n">
        <f aca="false">PODACI_PRODAJA!N561</f>
        <v>0.25</v>
      </c>
      <c r="I491" s="21" t="n">
        <f aca="false">IF(H491&lt;=0,999,ROUND(F491/H491,1))</f>
        <v>24</v>
      </c>
      <c r="J491" s="9" t="n">
        <f aca="false">SUMIFS(ROBA_U_DOLASKU!$C$6:$C$95,ROBA_U_DOLASKU!$A$6:$A$95,A491,ROBA_U_DOLASKU!$H$6:$H$95,1)</f>
        <v>0</v>
      </c>
      <c r="K491" s="9" t="n">
        <f aca="false">SUMIFS(ROBA_U_DOLASKU!$B$6:$B$95,ROBA_U_DOLASKU!$A$6:$A$95,A491,ROBA_U_DOLASKU!$H$6:$H$95,1)</f>
        <v>0</v>
      </c>
      <c r="L491" s="9" t="n">
        <f aca="false">SUMIFS(ROBA_U_DOLASKU!$C$6:$C$95,ROBA_U_DOLASKU!$A$6:$A$95,A491,ROBA_U_DOLASKU!$H$6:$H$95,2)</f>
        <v>0</v>
      </c>
      <c r="M491" s="9" t="n">
        <f aca="false">SUMIFS(ROBA_U_DOLASKU!$B$6:$B$95,ROBA_U_DOLASKU!$A$6:$A$95,A491,ROBA_U_DOLASKU!$H$6:$H$95,2)</f>
        <v>0</v>
      </c>
      <c r="N491" s="9" t="n">
        <f aca="false">SUMIFS(ROBA_U_DOLASKU!$C$6:$C$95,ROBA_U_DOLASKU!$A$6:$A$95,A491,ROBA_U_DOLASKU!$H$6:$H$95,3)</f>
        <v>0</v>
      </c>
      <c r="O491" s="9" t="n">
        <f aca="false">SUMIFS(ROBA_U_DOLASKU!$B$6:$B$95,ROBA_U_DOLASKU!$A$6:$A$95,A491,ROBA_U_DOLASKU!$H$6:$H$95,3)</f>
        <v>0</v>
      </c>
      <c r="P491" s="9" t="n">
        <f aca="false">IF(H491&lt;=0,999,IF(O491&gt;0,ROUND((F491-H491*N491+K491+M491+O491)/H491,1),IF(M491&gt;0,ROUND((F491-H491*L491+K491+M491)/H491,1),IF(K491&gt;0,ROUND((F491-H491*J491+K491)/H491,1),I491))))</f>
        <v>24</v>
      </c>
      <c r="Q491" s="22" t="str">
        <f aca="false">IF(H491&lt;=0,"Nema prodaje",IF(AND(K491=0,M491=0,O491=0),IF(I491&lt;POSTAVKE!$B$6,"Naruči odmah","Sve u redu"),IF(F491-H491*J491&lt;0,"Rupa za ~"&amp;TEXT(I491,"0.0")&amp;" mj.",IF(AND(M491&gt;0,F491-H491*L491+K491&lt;0),"Rupa nakon 1. dolaska",IF(AND(O491&gt;0,F491-H491*N491+K491+M491&lt;0),"Rupa nakon 2. dolaska",IF(P491&lt;POSTAVKE!$B$6,"Količina nije dovoljna",IF(I491&gt;=POSTAVKE!$B$6,"Sve u redu","Stiže na vrijeme")))))))</f>
        <v>Sve u redu</v>
      </c>
      <c r="S491" s="23" t="n">
        <f aca="false">IFERROR(INDEX(PODACI_PRODAJA!B:B,MATCH($A491,PODACI_PRODAJA!$A:$A,0)),0)</f>
        <v>0</v>
      </c>
      <c r="T491" s="23" t="n">
        <f aca="false">IFERROR(INDEX(PODACI_PRODAJA!C:C,MATCH($A491,PODACI_PRODAJA!$A:$A,0)),0)</f>
        <v>0</v>
      </c>
      <c r="U491" s="23" t="n">
        <f aca="false">IFERROR(INDEX(PODACI_PRODAJA!D:D,MATCH($A491,PODACI_PRODAJA!$A:$A,0)),0)</f>
        <v>0</v>
      </c>
      <c r="V491" s="23" t="n">
        <f aca="false">IFERROR(INDEX(PODACI_PRODAJA!E:E,MATCH($A491,PODACI_PRODAJA!$A:$A,0)),0)</f>
        <v>0</v>
      </c>
      <c r="W491" s="23" t="n">
        <f aca="false">IFERROR(INDEX(PODACI_PRODAJA!F:F,MATCH($A491,PODACI_PRODAJA!$A:$A,0)),0)</f>
        <v>0</v>
      </c>
      <c r="X491" s="23" t="n">
        <f aca="false">IFERROR(INDEX(PODACI_PRODAJA!G:G,MATCH($A491,PODACI_PRODAJA!$A:$A,0)),0)</f>
        <v>0</v>
      </c>
      <c r="Y491" s="23" t="n">
        <f aca="false">IFERROR(INDEX(PODACI_PRODAJA!H:H,MATCH($A491,PODACI_PRODAJA!$A:$A,0)),0)</f>
        <v>0</v>
      </c>
      <c r="Z491" s="23" t="n">
        <f aca="false">IFERROR(INDEX(PODACI_PRODAJA!I:I,MATCH($A491,PODACI_PRODAJA!$A:$A,0)),0)</f>
        <v>2</v>
      </c>
      <c r="AA491" s="23" t="n">
        <f aca="false">IFERROR(INDEX(PODACI_PRODAJA!J:J,MATCH($A491,PODACI_PRODAJA!$A:$A,0)),0)</f>
        <v>0</v>
      </c>
      <c r="AB491" s="23" t="n">
        <f aca="false">IFERROR(INDEX(PODACI_PRODAJA!K:K,MATCH($A491,PODACI_PRODAJA!$A:$A,0)),0)</f>
        <v>0</v>
      </c>
      <c r="AC491" s="23" t="n">
        <f aca="false">IFERROR(INDEX(PODACI_PRODAJA!L:L,MATCH($A491,PODACI_PRODAJA!$A:$A,0)),0)</f>
        <v>0</v>
      </c>
      <c r="AD491" s="23" t="n">
        <f aca="false">IFERROR(INDEX(PODACI_PRODAJA!M:M,MATCH($A491,PODACI_PRODAJA!$A:$A,0)),0)</f>
        <v>0</v>
      </c>
    </row>
    <row r="492" customFormat="false" ht="15" hidden="false" customHeight="false" outlineLevel="0" collapsed="false">
      <c r="A492" s="11" t="str">
        <f aca="false">PODACI_ZALIHE!A489</f>
        <v>16139</v>
      </c>
      <c r="B492" s="8" t="str">
        <f aca="false">PODACI_ZALIHE!B489</f>
        <v>AURA BRONZE  MIJEŠALICA ZA UMIVAONIK VISOKA</v>
      </c>
      <c r="C492" s="9" t="str">
        <f aca="false">PODACI_ZALIHE!C489</f>
        <v>5150</v>
      </c>
      <c r="D492" s="8" t="str">
        <f aca="false">PODACI_ZALIHE!D489</f>
        <v>ZHEJIANG VOLONG SANITARY WARES CO.,LTD.</v>
      </c>
      <c r="E492" s="19" t="n">
        <f aca="false">IF(PODACI_ZALIHE!E489="","",PODACI_ZALIHE!E489)</f>
        <v>6</v>
      </c>
      <c r="F492" s="20" t="n">
        <f aca="false">PODACI_ZALIHE!F489</f>
        <v>6</v>
      </c>
      <c r="G492" s="19" t="n">
        <f aca="false">IF(E492="","",E492-F492)</f>
        <v>0</v>
      </c>
      <c r="H492" s="9" t="n">
        <f aca="false">PODACI_PRODAJA!N567</f>
        <v>1.38</v>
      </c>
      <c r="I492" s="21" t="n">
        <f aca="false">IF(H492&lt;=0,999,ROUND(F492/H492,1))</f>
        <v>4.3</v>
      </c>
      <c r="J492" s="9" t="n">
        <f aca="false">SUMIFS(ROBA_U_DOLASKU!$C$6:$C$95,ROBA_U_DOLASKU!$A$6:$A$95,A492,ROBA_U_DOLASKU!$H$6:$H$95,1)</f>
        <v>0</v>
      </c>
      <c r="K492" s="9" t="n">
        <f aca="false">SUMIFS(ROBA_U_DOLASKU!$B$6:$B$95,ROBA_U_DOLASKU!$A$6:$A$95,A492,ROBA_U_DOLASKU!$H$6:$H$95,1)</f>
        <v>0</v>
      </c>
      <c r="L492" s="9" t="n">
        <f aca="false">SUMIFS(ROBA_U_DOLASKU!$C$6:$C$95,ROBA_U_DOLASKU!$A$6:$A$95,A492,ROBA_U_DOLASKU!$H$6:$H$95,2)</f>
        <v>0</v>
      </c>
      <c r="M492" s="9" t="n">
        <f aca="false">SUMIFS(ROBA_U_DOLASKU!$B$6:$B$95,ROBA_U_DOLASKU!$A$6:$A$95,A492,ROBA_U_DOLASKU!$H$6:$H$95,2)</f>
        <v>0</v>
      </c>
      <c r="N492" s="9" t="n">
        <f aca="false">SUMIFS(ROBA_U_DOLASKU!$C$6:$C$95,ROBA_U_DOLASKU!$A$6:$A$95,A492,ROBA_U_DOLASKU!$H$6:$H$95,3)</f>
        <v>0</v>
      </c>
      <c r="O492" s="9" t="n">
        <f aca="false">SUMIFS(ROBA_U_DOLASKU!$B$6:$B$95,ROBA_U_DOLASKU!$A$6:$A$95,A492,ROBA_U_DOLASKU!$H$6:$H$95,3)</f>
        <v>0</v>
      </c>
      <c r="P492" s="9" t="n">
        <f aca="false">IF(H492&lt;=0,999,IF(O492&gt;0,ROUND((F492-H492*N492+K492+M492+O492)/H492,1),IF(M492&gt;0,ROUND((F492-H492*L492+K492+M492)/H492,1),IF(K492&gt;0,ROUND((F492-H492*J492+K492)/H492,1),I492))))</f>
        <v>4.3</v>
      </c>
      <c r="Q492" s="22" t="str">
        <f aca="false">IF(H492&lt;=0,"Nema prodaje",IF(AND(K492=0,M492=0,O492=0),IF(I492&lt;POSTAVKE!$B$6,"Naruči odmah","Sve u redu"),IF(F492-H492*J492&lt;0,"Rupa za ~"&amp;TEXT(I492,"0.0")&amp;" mj.",IF(AND(M492&gt;0,F492-H492*L492+K492&lt;0),"Rupa nakon 1. dolaska",IF(AND(O492&gt;0,F492-H492*N492+K492+M492&lt;0),"Rupa nakon 2. dolaska",IF(P492&lt;POSTAVKE!$B$6,"Količina nije dovoljna",IF(I492&gt;=POSTAVKE!$B$6,"Sve u redu","Stiže na vrijeme")))))))</f>
        <v>Naruči odmah</v>
      </c>
      <c r="S492" s="23" t="n">
        <f aca="false">IFERROR(INDEX(PODACI_PRODAJA!B:B,MATCH($A492,PODACI_PRODAJA!$A:$A,0)),0)</f>
        <v>0</v>
      </c>
      <c r="T492" s="23" t="n">
        <f aca="false">IFERROR(INDEX(PODACI_PRODAJA!C:C,MATCH($A492,PODACI_PRODAJA!$A:$A,0)),0)</f>
        <v>2</v>
      </c>
      <c r="U492" s="23" t="n">
        <f aca="false">IFERROR(INDEX(PODACI_PRODAJA!D:D,MATCH($A492,PODACI_PRODAJA!$A:$A,0)),0)</f>
        <v>0</v>
      </c>
      <c r="V492" s="23" t="n">
        <f aca="false">IFERROR(INDEX(PODACI_PRODAJA!E:E,MATCH($A492,PODACI_PRODAJA!$A:$A,0)),0)</f>
        <v>1</v>
      </c>
      <c r="W492" s="23" t="n">
        <f aca="false">IFERROR(INDEX(PODACI_PRODAJA!F:F,MATCH($A492,PODACI_PRODAJA!$A:$A,0)),0)</f>
        <v>0</v>
      </c>
      <c r="X492" s="23" t="n">
        <f aca="false">IFERROR(INDEX(PODACI_PRODAJA!G:G,MATCH($A492,PODACI_PRODAJA!$A:$A,0)),0)</f>
        <v>0</v>
      </c>
      <c r="Y492" s="23" t="n">
        <f aca="false">IFERROR(INDEX(PODACI_PRODAJA!H:H,MATCH($A492,PODACI_PRODAJA!$A:$A,0)),0)</f>
        <v>3</v>
      </c>
      <c r="Z492" s="23" t="n">
        <f aca="false">IFERROR(INDEX(PODACI_PRODAJA!I:I,MATCH($A492,PODACI_PRODAJA!$A:$A,0)),0)</f>
        <v>5</v>
      </c>
      <c r="AA492" s="23" t="n">
        <f aca="false">IFERROR(INDEX(PODACI_PRODAJA!J:J,MATCH($A492,PODACI_PRODAJA!$A:$A,0)),0)</f>
        <v>0</v>
      </c>
      <c r="AB492" s="23" t="n">
        <f aca="false">IFERROR(INDEX(PODACI_PRODAJA!K:K,MATCH($A492,PODACI_PRODAJA!$A:$A,0)),0)</f>
        <v>0</v>
      </c>
      <c r="AC492" s="23" t="n">
        <f aca="false">IFERROR(INDEX(PODACI_PRODAJA!L:L,MATCH($A492,PODACI_PRODAJA!$A:$A,0)),0)</f>
        <v>0</v>
      </c>
      <c r="AD492" s="23" t="n">
        <f aca="false">IFERROR(INDEX(PODACI_PRODAJA!M:M,MATCH($A492,PODACI_PRODAJA!$A:$A,0)),0)</f>
        <v>0</v>
      </c>
    </row>
    <row r="493" customFormat="false" ht="15" hidden="false" customHeight="false" outlineLevel="0" collapsed="false">
      <c r="A493" s="11" t="str">
        <f aca="false">PODACI_ZALIHE!A490</f>
        <v>171410</v>
      </c>
      <c r="B493" s="8" t="str">
        <f aca="false">PODACI_ZALIHE!B490</f>
        <v>VETRO GOLD TRS 90 TUŠ STIJENA 90x200 cm</v>
      </c>
      <c r="C493" s="9" t="n">
        <f aca="false">PODACI_ZALIHE!C490</f>
        <v>0</v>
      </c>
      <c r="D493" s="8" t="n">
        <f aca="false">PODACI_ZALIHE!D490</f>
        <v>0</v>
      </c>
      <c r="E493" s="19" t="n">
        <f aca="false">IF(PODACI_ZALIHE!E490="","",PODACI_ZALIHE!E490)</f>
        <v>6</v>
      </c>
      <c r="F493" s="20" t="n">
        <f aca="false">PODACI_ZALIHE!F490</f>
        <v>6</v>
      </c>
      <c r="G493" s="19" t="n">
        <f aca="false">IF(E493="","",E493-F493)</f>
        <v>0</v>
      </c>
      <c r="H493" s="9" t="n">
        <f aca="false">PODACI_PRODAJA!N261</f>
        <v>2.63</v>
      </c>
      <c r="I493" s="21" t="n">
        <f aca="false">IF(H493&lt;=0,999,ROUND(F493/H493,1))</f>
        <v>2.3</v>
      </c>
      <c r="J493" s="9" t="n">
        <f aca="false">SUMIFS(ROBA_U_DOLASKU!$C$6:$C$95,ROBA_U_DOLASKU!$A$6:$A$95,A493,ROBA_U_DOLASKU!$H$6:$H$95,1)</f>
        <v>0</v>
      </c>
      <c r="K493" s="9" t="n">
        <f aca="false">SUMIFS(ROBA_U_DOLASKU!$B$6:$B$95,ROBA_U_DOLASKU!$A$6:$A$95,A493,ROBA_U_DOLASKU!$H$6:$H$95,1)</f>
        <v>0</v>
      </c>
      <c r="L493" s="9" t="n">
        <f aca="false">SUMIFS(ROBA_U_DOLASKU!$C$6:$C$95,ROBA_U_DOLASKU!$A$6:$A$95,A493,ROBA_U_DOLASKU!$H$6:$H$95,2)</f>
        <v>0</v>
      </c>
      <c r="M493" s="9" t="n">
        <f aca="false">SUMIFS(ROBA_U_DOLASKU!$B$6:$B$95,ROBA_U_DOLASKU!$A$6:$A$95,A493,ROBA_U_DOLASKU!$H$6:$H$95,2)</f>
        <v>0</v>
      </c>
      <c r="N493" s="9" t="n">
        <f aca="false">SUMIFS(ROBA_U_DOLASKU!$C$6:$C$95,ROBA_U_DOLASKU!$A$6:$A$95,A493,ROBA_U_DOLASKU!$H$6:$H$95,3)</f>
        <v>0</v>
      </c>
      <c r="O493" s="9" t="n">
        <f aca="false">SUMIFS(ROBA_U_DOLASKU!$B$6:$B$95,ROBA_U_DOLASKU!$A$6:$A$95,A493,ROBA_U_DOLASKU!$H$6:$H$95,3)</f>
        <v>0</v>
      </c>
      <c r="P493" s="9" t="n">
        <f aca="false">IF(H493&lt;=0,999,IF(O493&gt;0,ROUND((F493-H493*N493+K493+M493+O493)/H493,1),IF(M493&gt;0,ROUND((F493-H493*L493+K493+M493)/H493,1),IF(K493&gt;0,ROUND((F493-H493*J493+K493)/H493,1),I493))))</f>
        <v>2.3</v>
      </c>
      <c r="Q493" s="22" t="str">
        <f aca="false">IF(H493&lt;=0,"Nema prodaje",IF(AND(K493=0,M493=0,O493=0),IF(I493&lt;POSTAVKE!$B$6,"Naruči odmah","Sve u redu"),IF(F493-H493*J493&lt;0,"Rupa za ~"&amp;TEXT(I493,"0.0")&amp;" mj.",IF(AND(M493&gt;0,F493-H493*L493+K493&lt;0),"Rupa nakon 1. dolaska",IF(AND(O493&gt;0,F493-H493*N493+K493+M493&lt;0),"Rupa nakon 2. dolaska",IF(P493&lt;POSTAVKE!$B$6,"Količina nije dovoljna",IF(I493&gt;=POSTAVKE!$B$6,"Sve u redu","Stiže na vrijeme")))))))</f>
        <v>Naruči odmah</v>
      </c>
      <c r="S493" s="23" t="n">
        <f aca="false">IFERROR(INDEX(PODACI_PRODAJA!B:B,MATCH($A493,PODACI_PRODAJA!$A:$A,0)),0)</f>
        <v>1</v>
      </c>
      <c r="T493" s="23" t="n">
        <f aca="false">IFERROR(INDEX(PODACI_PRODAJA!C:C,MATCH($A493,PODACI_PRODAJA!$A:$A,0)),0)</f>
        <v>2</v>
      </c>
      <c r="U493" s="23" t="n">
        <f aca="false">IFERROR(INDEX(PODACI_PRODAJA!D:D,MATCH($A493,PODACI_PRODAJA!$A:$A,0)),0)</f>
        <v>7</v>
      </c>
      <c r="V493" s="23" t="n">
        <f aca="false">IFERROR(INDEX(PODACI_PRODAJA!E:E,MATCH($A493,PODACI_PRODAJA!$A:$A,0)),0)</f>
        <v>3</v>
      </c>
      <c r="W493" s="23" t="n">
        <f aca="false">IFERROR(INDEX(PODACI_PRODAJA!F:F,MATCH($A493,PODACI_PRODAJA!$A:$A,0)),0)</f>
        <v>3</v>
      </c>
      <c r="X493" s="23" t="n">
        <f aca="false">IFERROR(INDEX(PODACI_PRODAJA!G:G,MATCH($A493,PODACI_PRODAJA!$A:$A,0)),0)</f>
        <v>2</v>
      </c>
      <c r="Y493" s="23" t="n">
        <f aca="false">IFERROR(INDEX(PODACI_PRODAJA!H:H,MATCH($A493,PODACI_PRODAJA!$A:$A,0)),0)</f>
        <v>1</v>
      </c>
      <c r="Z493" s="23" t="n">
        <f aca="false">IFERROR(INDEX(PODACI_PRODAJA!I:I,MATCH($A493,PODACI_PRODAJA!$A:$A,0)),0)</f>
        <v>2</v>
      </c>
      <c r="AA493" s="23" t="n">
        <f aca="false">IFERROR(INDEX(PODACI_PRODAJA!J:J,MATCH($A493,PODACI_PRODAJA!$A:$A,0)),0)</f>
        <v>0</v>
      </c>
      <c r="AB493" s="23" t="n">
        <f aca="false">IFERROR(INDEX(PODACI_PRODAJA!K:K,MATCH($A493,PODACI_PRODAJA!$A:$A,0)),0)</f>
        <v>0</v>
      </c>
      <c r="AC493" s="23" t="n">
        <f aca="false">IFERROR(INDEX(PODACI_PRODAJA!L:L,MATCH($A493,PODACI_PRODAJA!$A:$A,0)),0)</f>
        <v>0</v>
      </c>
      <c r="AD493" s="23" t="n">
        <f aca="false">IFERROR(INDEX(PODACI_PRODAJA!M:M,MATCH($A493,PODACI_PRODAJA!$A:$A,0)),0)</f>
        <v>0</v>
      </c>
    </row>
    <row r="494" customFormat="false" ht="15" hidden="false" customHeight="false" outlineLevel="0" collapsed="false">
      <c r="A494" s="11" t="str">
        <f aca="false">PODACI_ZALIHE!A491</f>
        <v>17253</v>
      </c>
      <c r="B494" s="8" t="str">
        <f aca="false">PODACI_ZALIHE!B491</f>
        <v>TK RAPIDO 90 BRUSHED GOLD KVADRATNA TUŠ KABINA 90X90X195 cm</v>
      </c>
      <c r="C494" s="9" t="str">
        <f aca="false">PODACI_ZALIHE!C491</f>
        <v>6762</v>
      </c>
      <c r="D494" s="8" t="str">
        <f aca="false">PODACI_ZALIHE!D491</f>
        <v>ZHEJIANG QUICKLINE SHOWERING CO., LTD.</v>
      </c>
      <c r="E494" s="19" t="n">
        <f aca="false">IF(PODACI_ZALIHE!E491="","",PODACI_ZALIHE!E491)</f>
        <v>6</v>
      </c>
      <c r="F494" s="20" t="n">
        <f aca="false">PODACI_ZALIHE!F491</f>
        <v>6</v>
      </c>
      <c r="G494" s="19" t="n">
        <f aca="false">IF(E494="","",E494-F494)</f>
        <v>0</v>
      </c>
      <c r="H494" s="9" t="n">
        <f aca="false">PODACI_PRODAJA!N627</f>
        <v>0.88</v>
      </c>
      <c r="I494" s="21" t="n">
        <f aca="false">IF(H494&lt;=0,999,ROUND(F494/H494,1))</f>
        <v>6.8</v>
      </c>
      <c r="J494" s="9" t="n">
        <f aca="false">SUMIFS(ROBA_U_DOLASKU!$C$6:$C$95,ROBA_U_DOLASKU!$A$6:$A$95,A494,ROBA_U_DOLASKU!$H$6:$H$95,1)</f>
        <v>0</v>
      </c>
      <c r="K494" s="9" t="n">
        <f aca="false">SUMIFS(ROBA_U_DOLASKU!$B$6:$B$95,ROBA_U_DOLASKU!$A$6:$A$95,A494,ROBA_U_DOLASKU!$H$6:$H$95,1)</f>
        <v>0</v>
      </c>
      <c r="L494" s="9" t="n">
        <f aca="false">SUMIFS(ROBA_U_DOLASKU!$C$6:$C$95,ROBA_U_DOLASKU!$A$6:$A$95,A494,ROBA_U_DOLASKU!$H$6:$H$95,2)</f>
        <v>0</v>
      </c>
      <c r="M494" s="9" t="n">
        <f aca="false">SUMIFS(ROBA_U_DOLASKU!$B$6:$B$95,ROBA_U_DOLASKU!$A$6:$A$95,A494,ROBA_U_DOLASKU!$H$6:$H$95,2)</f>
        <v>0</v>
      </c>
      <c r="N494" s="9" t="n">
        <f aca="false">SUMIFS(ROBA_U_DOLASKU!$C$6:$C$95,ROBA_U_DOLASKU!$A$6:$A$95,A494,ROBA_U_DOLASKU!$H$6:$H$95,3)</f>
        <v>0</v>
      </c>
      <c r="O494" s="9" t="n">
        <f aca="false">SUMIFS(ROBA_U_DOLASKU!$B$6:$B$95,ROBA_U_DOLASKU!$A$6:$A$95,A494,ROBA_U_DOLASKU!$H$6:$H$95,3)</f>
        <v>0</v>
      </c>
      <c r="P494" s="9" t="n">
        <f aca="false">IF(H494&lt;=0,999,IF(O494&gt;0,ROUND((F494-H494*N494+K494+M494+O494)/H494,1),IF(M494&gt;0,ROUND((F494-H494*L494+K494+M494)/H494,1),IF(K494&gt;0,ROUND((F494-H494*J494+K494)/H494,1),I494))))</f>
        <v>6.8</v>
      </c>
      <c r="Q494" s="22" t="str">
        <f aca="false">IF(H494&lt;=0,"Nema prodaje",IF(AND(K494=0,M494=0,O494=0),IF(I494&lt;POSTAVKE!$B$6,"Naruči odmah","Sve u redu"),IF(F494-H494*J494&lt;0,"Rupa za ~"&amp;TEXT(I494,"0.0")&amp;" mj.",IF(AND(M494&gt;0,F494-H494*L494+K494&lt;0),"Rupa nakon 1. dolaska",IF(AND(O494&gt;0,F494-H494*N494+K494+M494&lt;0),"Rupa nakon 2. dolaska",IF(P494&lt;POSTAVKE!$B$6,"Količina nije dovoljna",IF(I494&gt;=POSTAVKE!$B$6,"Sve u redu","Stiže na vrijeme")))))))</f>
        <v>Sve u redu</v>
      </c>
      <c r="S494" s="23" t="n">
        <f aca="false">IFERROR(INDEX(PODACI_PRODAJA!B:B,MATCH($A494,PODACI_PRODAJA!$A:$A,0)),0)</f>
        <v>0</v>
      </c>
      <c r="T494" s="23" t="n">
        <f aca="false">IFERROR(INDEX(PODACI_PRODAJA!C:C,MATCH($A494,PODACI_PRODAJA!$A:$A,0)),0)</f>
        <v>0</v>
      </c>
      <c r="U494" s="23" t="n">
        <f aca="false">IFERROR(INDEX(PODACI_PRODAJA!D:D,MATCH($A494,PODACI_PRODAJA!$A:$A,0)),0)</f>
        <v>3</v>
      </c>
      <c r="V494" s="23" t="n">
        <f aca="false">IFERROR(INDEX(PODACI_PRODAJA!E:E,MATCH($A494,PODACI_PRODAJA!$A:$A,0)),0)</f>
        <v>1</v>
      </c>
      <c r="W494" s="23" t="n">
        <f aca="false">IFERROR(INDEX(PODACI_PRODAJA!F:F,MATCH($A494,PODACI_PRODAJA!$A:$A,0)),0)</f>
        <v>0</v>
      </c>
      <c r="X494" s="23" t="n">
        <f aca="false">IFERROR(INDEX(PODACI_PRODAJA!G:G,MATCH($A494,PODACI_PRODAJA!$A:$A,0)),0)</f>
        <v>0</v>
      </c>
      <c r="Y494" s="23" t="n">
        <f aca="false">IFERROR(INDEX(PODACI_PRODAJA!H:H,MATCH($A494,PODACI_PRODAJA!$A:$A,0)),0)</f>
        <v>1</v>
      </c>
      <c r="Z494" s="23" t="n">
        <f aca="false">IFERROR(INDEX(PODACI_PRODAJA!I:I,MATCH($A494,PODACI_PRODAJA!$A:$A,0)),0)</f>
        <v>2</v>
      </c>
      <c r="AA494" s="23" t="n">
        <f aca="false">IFERROR(INDEX(PODACI_PRODAJA!J:J,MATCH($A494,PODACI_PRODAJA!$A:$A,0)),0)</f>
        <v>0</v>
      </c>
      <c r="AB494" s="23" t="n">
        <f aca="false">IFERROR(INDEX(PODACI_PRODAJA!K:K,MATCH($A494,PODACI_PRODAJA!$A:$A,0)),0)</f>
        <v>0</v>
      </c>
      <c r="AC494" s="23" t="n">
        <f aca="false">IFERROR(INDEX(PODACI_PRODAJA!L:L,MATCH($A494,PODACI_PRODAJA!$A:$A,0)),0)</f>
        <v>0</v>
      </c>
      <c r="AD494" s="23" t="n">
        <f aca="false">IFERROR(INDEX(PODACI_PRODAJA!M:M,MATCH($A494,PODACI_PRODAJA!$A:$A,0)),0)</f>
        <v>0</v>
      </c>
    </row>
    <row r="495" customFormat="false" ht="15" hidden="false" customHeight="false" outlineLevel="0" collapsed="false">
      <c r="A495" s="11" t="str">
        <f aca="false">PODACI_ZALIHE!A492</f>
        <v>6816005-00</v>
      </c>
      <c r="B495" s="8" t="str">
        <f aca="false">PODACI_ZALIHE!B492</f>
        <v>KLUDI LOGO TUŠ SET, KROM</v>
      </c>
      <c r="C495" s="9" t="str">
        <f aca="false">PODACI_ZALIHE!C492</f>
        <v>7485</v>
      </c>
      <c r="D495" s="8" t="str">
        <f aca="false">PODACI_ZALIHE!D492</f>
        <v>KLUDI GmbH &amp; Co. KG.,</v>
      </c>
      <c r="E495" s="19" t="n">
        <f aca="false">IF(PODACI_ZALIHE!E492="","",PODACI_ZALIHE!E492)</f>
        <v>6</v>
      </c>
      <c r="F495" s="20" t="n">
        <f aca="false">PODACI_ZALIHE!F492</f>
        <v>6</v>
      </c>
      <c r="G495" s="19" t="n">
        <f aca="false">IF(E495="","",E495-F495)</f>
        <v>0</v>
      </c>
      <c r="H495" s="9" t="n">
        <f aca="false">PODACI_PRODAJA!N812</f>
        <v>0</v>
      </c>
      <c r="I495" s="21" t="n">
        <f aca="false">IF(H495&lt;=0,999,ROUND(F495/H495,1))</f>
        <v>999</v>
      </c>
      <c r="J495" s="9" t="n">
        <f aca="false">SUMIFS(ROBA_U_DOLASKU!$C$6:$C$95,ROBA_U_DOLASKU!$A$6:$A$95,A495,ROBA_U_DOLASKU!$H$6:$H$95,1)</f>
        <v>0</v>
      </c>
      <c r="K495" s="9" t="n">
        <f aca="false">SUMIFS(ROBA_U_DOLASKU!$B$6:$B$95,ROBA_U_DOLASKU!$A$6:$A$95,A495,ROBA_U_DOLASKU!$H$6:$H$95,1)</f>
        <v>0</v>
      </c>
      <c r="L495" s="9" t="n">
        <f aca="false">SUMIFS(ROBA_U_DOLASKU!$C$6:$C$95,ROBA_U_DOLASKU!$A$6:$A$95,A495,ROBA_U_DOLASKU!$H$6:$H$95,2)</f>
        <v>0</v>
      </c>
      <c r="M495" s="9" t="n">
        <f aca="false">SUMIFS(ROBA_U_DOLASKU!$B$6:$B$95,ROBA_U_DOLASKU!$A$6:$A$95,A495,ROBA_U_DOLASKU!$H$6:$H$95,2)</f>
        <v>0</v>
      </c>
      <c r="N495" s="9" t="n">
        <f aca="false">SUMIFS(ROBA_U_DOLASKU!$C$6:$C$95,ROBA_U_DOLASKU!$A$6:$A$95,A495,ROBA_U_DOLASKU!$H$6:$H$95,3)</f>
        <v>0</v>
      </c>
      <c r="O495" s="9" t="n">
        <f aca="false">SUMIFS(ROBA_U_DOLASKU!$B$6:$B$95,ROBA_U_DOLASKU!$A$6:$A$95,A495,ROBA_U_DOLASKU!$H$6:$H$95,3)</f>
        <v>0</v>
      </c>
      <c r="P495" s="9" t="n">
        <f aca="false">IF(H495&lt;=0,999,IF(O495&gt;0,ROUND((F495-H495*N495+K495+M495+O495)/H495,1),IF(M495&gt;0,ROUND((F495-H495*L495+K495+M495)/H495,1),IF(K495&gt;0,ROUND((F495-H495*J495+K495)/H495,1),I495))))</f>
        <v>999</v>
      </c>
      <c r="Q495" s="22" t="str">
        <f aca="false">IF(H495&lt;=0,"Nema prodaje",IF(AND(K495=0,M495=0,O495=0),IF(I495&lt;POSTAVKE!$B$6,"Naruči odmah","Sve u redu"),IF(F495-H495*J495&lt;0,"Rupa za ~"&amp;TEXT(I495,"0.0")&amp;" mj.",IF(AND(M495&gt;0,F495-H495*L495+K495&lt;0),"Rupa nakon 1. dolaska",IF(AND(O495&gt;0,F495-H495*N495+K495+M495&lt;0),"Rupa nakon 2. dolaska",IF(P495&lt;POSTAVKE!$B$6,"Količina nije dovoljna",IF(I495&gt;=POSTAVKE!$B$6,"Sve u redu","Stiže na vrijeme")))))))</f>
        <v>Nema prodaje</v>
      </c>
      <c r="S495" s="23" t="n">
        <f aca="false">IFERROR(INDEX(PODACI_PRODAJA!B:B,MATCH($A495,PODACI_PRODAJA!$A:$A,0)),0)</f>
        <v>0</v>
      </c>
      <c r="T495" s="23" t="n">
        <f aca="false">IFERROR(INDEX(PODACI_PRODAJA!C:C,MATCH($A495,PODACI_PRODAJA!$A:$A,0)),0)</f>
        <v>0</v>
      </c>
      <c r="U495" s="23" t="n">
        <f aca="false">IFERROR(INDEX(PODACI_PRODAJA!D:D,MATCH($A495,PODACI_PRODAJA!$A:$A,0)),0)</f>
        <v>0</v>
      </c>
      <c r="V495" s="23" t="n">
        <f aca="false">IFERROR(INDEX(PODACI_PRODAJA!E:E,MATCH($A495,PODACI_PRODAJA!$A:$A,0)),0)</f>
        <v>0</v>
      </c>
      <c r="W495" s="23" t="n">
        <f aca="false">IFERROR(INDEX(PODACI_PRODAJA!F:F,MATCH($A495,PODACI_PRODAJA!$A:$A,0)),0)</f>
        <v>0</v>
      </c>
      <c r="X495" s="23" t="n">
        <f aca="false">IFERROR(INDEX(PODACI_PRODAJA!G:G,MATCH($A495,PODACI_PRODAJA!$A:$A,0)),0)</f>
        <v>0</v>
      </c>
      <c r="Y495" s="23" t="n">
        <f aca="false">IFERROR(INDEX(PODACI_PRODAJA!H:H,MATCH($A495,PODACI_PRODAJA!$A:$A,0)),0)</f>
        <v>0</v>
      </c>
      <c r="Z495" s="23" t="n">
        <f aca="false">IFERROR(INDEX(PODACI_PRODAJA!I:I,MATCH($A495,PODACI_PRODAJA!$A:$A,0)),0)</f>
        <v>0</v>
      </c>
      <c r="AA495" s="23" t="n">
        <f aca="false">IFERROR(INDEX(PODACI_PRODAJA!J:J,MATCH($A495,PODACI_PRODAJA!$A:$A,0)),0)</f>
        <v>0</v>
      </c>
      <c r="AB495" s="23" t="n">
        <f aca="false">IFERROR(INDEX(PODACI_PRODAJA!K:K,MATCH($A495,PODACI_PRODAJA!$A:$A,0)),0)</f>
        <v>0</v>
      </c>
      <c r="AC495" s="23" t="n">
        <f aca="false">IFERROR(INDEX(PODACI_PRODAJA!L:L,MATCH($A495,PODACI_PRODAJA!$A:$A,0)),0)</f>
        <v>0</v>
      </c>
      <c r="AD495" s="23" t="n">
        <f aca="false">IFERROR(INDEX(PODACI_PRODAJA!M:M,MATCH($A495,PODACI_PRODAJA!$A:$A,0)),0)</f>
        <v>0</v>
      </c>
    </row>
    <row r="496" customFormat="false" ht="15" hidden="false" customHeight="false" outlineLevel="0" collapsed="false">
      <c r="A496" s="11" t="str">
        <f aca="false">PODACI_ZALIHE!A493</f>
        <v>P158183</v>
      </c>
      <c r="B496" s="8" t="str">
        <f aca="false">PODACI_ZALIHE!B493</f>
        <v>BOLD LUX 90140 MINERALSOLID TUŠ KADA BIJELA SJAJNA B</v>
      </c>
      <c r="C496" s="9" t="n">
        <f aca="false">PODACI_ZALIHE!C493</f>
        <v>0</v>
      </c>
      <c r="D496" s="8" t="n">
        <f aca="false">PODACI_ZALIHE!D493</f>
        <v>0</v>
      </c>
      <c r="E496" s="19" t="n">
        <f aca="false">IF(PODACI_ZALIHE!E493="","",PODACI_ZALIHE!E493)</f>
        <v>5</v>
      </c>
      <c r="F496" s="20" t="n">
        <f aca="false">PODACI_ZALIHE!F493</f>
        <v>5</v>
      </c>
      <c r="G496" s="19" t="n">
        <f aca="false">IF(E496="","",E496-F496)</f>
        <v>0</v>
      </c>
      <c r="H496" s="9" t="n">
        <v>0</v>
      </c>
      <c r="I496" s="21" t="n">
        <f aca="false">IF(H496&lt;=0,999,ROUND(F496/H496,1))</f>
        <v>999</v>
      </c>
      <c r="J496" s="9" t="n">
        <f aca="false">SUMIFS(ROBA_U_DOLASKU!$C$6:$C$95,ROBA_U_DOLASKU!$A$6:$A$95,A496,ROBA_U_DOLASKU!$H$6:$H$95,1)</f>
        <v>0</v>
      </c>
      <c r="K496" s="9" t="n">
        <f aca="false">SUMIFS(ROBA_U_DOLASKU!$B$6:$B$95,ROBA_U_DOLASKU!$A$6:$A$95,A496,ROBA_U_DOLASKU!$H$6:$H$95,1)</f>
        <v>0</v>
      </c>
      <c r="L496" s="9" t="n">
        <f aca="false">SUMIFS(ROBA_U_DOLASKU!$C$6:$C$95,ROBA_U_DOLASKU!$A$6:$A$95,A496,ROBA_U_DOLASKU!$H$6:$H$95,2)</f>
        <v>0</v>
      </c>
      <c r="M496" s="9" t="n">
        <f aca="false">SUMIFS(ROBA_U_DOLASKU!$B$6:$B$95,ROBA_U_DOLASKU!$A$6:$A$95,A496,ROBA_U_DOLASKU!$H$6:$H$95,2)</f>
        <v>0</v>
      </c>
      <c r="N496" s="9" t="n">
        <f aca="false">SUMIFS(ROBA_U_DOLASKU!$C$6:$C$95,ROBA_U_DOLASKU!$A$6:$A$95,A496,ROBA_U_DOLASKU!$H$6:$H$95,3)</f>
        <v>0</v>
      </c>
      <c r="O496" s="9" t="n">
        <f aca="false">SUMIFS(ROBA_U_DOLASKU!$B$6:$B$95,ROBA_U_DOLASKU!$A$6:$A$95,A496,ROBA_U_DOLASKU!$H$6:$H$95,3)</f>
        <v>0</v>
      </c>
      <c r="P496" s="9" t="n">
        <f aca="false">IF(H496&lt;=0,999,IF(O496&gt;0,ROUND((F496-H496*N496+K496+M496+O496)/H496,1),IF(M496&gt;0,ROUND((F496-H496*L496+K496+M496)/H496,1),IF(K496&gt;0,ROUND((F496-H496*J496+K496)/H496,1),I496))))</f>
        <v>999</v>
      </c>
      <c r="Q496" s="22" t="str">
        <f aca="false">IF(H496&lt;=0,"Nema prodaje",IF(AND(K496=0,M496=0,O496=0),IF(I496&lt;POSTAVKE!$B$6,"Naruči odmah","Sve u redu"),IF(F496-H496*J496&lt;0,"Rupa za ~"&amp;TEXT(I496,"0.0")&amp;" mj.",IF(AND(M496&gt;0,F496-H496*L496+K496&lt;0),"Rupa nakon 1. dolaska",IF(AND(O496&gt;0,F496-H496*N496+K496+M496&lt;0),"Rupa nakon 2. dolaska",IF(P496&lt;POSTAVKE!$B$6,"Količina nije dovoljna",IF(I496&gt;=POSTAVKE!$B$6,"Sve u redu","Stiže na vrijeme")))))))</f>
        <v>Nema prodaje</v>
      </c>
      <c r="S496" s="23" t="n">
        <f aca="false">IFERROR(INDEX(PODACI_PRODAJA!B:B,MATCH($A496,PODACI_PRODAJA!$A:$A,0)),0)</f>
        <v>0</v>
      </c>
      <c r="T496" s="23" t="n">
        <f aca="false">IFERROR(INDEX(PODACI_PRODAJA!C:C,MATCH($A496,PODACI_PRODAJA!$A:$A,0)),0)</f>
        <v>0</v>
      </c>
      <c r="U496" s="23" t="n">
        <f aca="false">IFERROR(INDEX(PODACI_PRODAJA!D:D,MATCH($A496,PODACI_PRODAJA!$A:$A,0)),0)</f>
        <v>0</v>
      </c>
      <c r="V496" s="23" t="n">
        <f aca="false">IFERROR(INDEX(PODACI_PRODAJA!E:E,MATCH($A496,PODACI_PRODAJA!$A:$A,0)),0)</f>
        <v>0</v>
      </c>
      <c r="W496" s="23" t="n">
        <f aca="false">IFERROR(INDEX(PODACI_PRODAJA!F:F,MATCH($A496,PODACI_PRODAJA!$A:$A,0)),0)</f>
        <v>0</v>
      </c>
      <c r="X496" s="23" t="n">
        <f aca="false">IFERROR(INDEX(PODACI_PRODAJA!G:G,MATCH($A496,PODACI_PRODAJA!$A:$A,0)),0)</f>
        <v>0</v>
      </c>
      <c r="Y496" s="23" t="n">
        <f aca="false">IFERROR(INDEX(PODACI_PRODAJA!H:H,MATCH($A496,PODACI_PRODAJA!$A:$A,0)),0)</f>
        <v>0</v>
      </c>
      <c r="Z496" s="23" t="n">
        <f aca="false">IFERROR(INDEX(PODACI_PRODAJA!I:I,MATCH($A496,PODACI_PRODAJA!$A:$A,0)),0)</f>
        <v>0</v>
      </c>
      <c r="AA496" s="23" t="n">
        <f aca="false">IFERROR(INDEX(PODACI_PRODAJA!J:J,MATCH($A496,PODACI_PRODAJA!$A:$A,0)),0)</f>
        <v>0</v>
      </c>
      <c r="AB496" s="23" t="n">
        <f aca="false">IFERROR(INDEX(PODACI_PRODAJA!K:K,MATCH($A496,PODACI_PRODAJA!$A:$A,0)),0)</f>
        <v>0</v>
      </c>
      <c r="AC496" s="23" t="n">
        <f aca="false">IFERROR(INDEX(PODACI_PRODAJA!L:L,MATCH($A496,PODACI_PRODAJA!$A:$A,0)),0)</f>
        <v>0</v>
      </c>
      <c r="AD496" s="23" t="n">
        <f aca="false">IFERROR(INDEX(PODACI_PRODAJA!M:M,MATCH($A496,PODACI_PRODAJA!$A:$A,0)),0)</f>
        <v>0</v>
      </c>
    </row>
    <row r="497" customFormat="false" ht="15" hidden="false" customHeight="false" outlineLevel="0" collapsed="false">
      <c r="A497" s="11" t="str">
        <f aca="false">PODACI_ZALIHE!A494</f>
        <v>P158263</v>
      </c>
      <c r="B497" s="8" t="str">
        <f aca="false">PODACI_ZALIHE!B494</f>
        <v>BOLD LUX 80 PK MINERALSOLID TUŠ KADA BIJELA SJAJNA B</v>
      </c>
      <c r="C497" s="9" t="n">
        <f aca="false">PODACI_ZALIHE!C494</f>
        <v>0</v>
      </c>
      <c r="D497" s="8" t="n">
        <f aca="false">PODACI_ZALIHE!D494</f>
        <v>0</v>
      </c>
      <c r="E497" s="19" t="n">
        <f aca="false">IF(PODACI_ZALIHE!E494="","",PODACI_ZALIHE!E494)</f>
        <v>5</v>
      </c>
      <c r="F497" s="20" t="n">
        <f aca="false">PODACI_ZALIHE!F494</f>
        <v>5</v>
      </c>
      <c r="G497" s="19" t="n">
        <f aca="false">IF(E497="","",E497-F497)</f>
        <v>0</v>
      </c>
      <c r="H497" s="9" t="n">
        <v>0</v>
      </c>
      <c r="I497" s="21" t="n">
        <f aca="false">IF(H497&lt;=0,999,ROUND(F497/H497,1))</f>
        <v>999</v>
      </c>
      <c r="J497" s="9" t="n">
        <f aca="false">SUMIFS(ROBA_U_DOLASKU!$C$6:$C$95,ROBA_U_DOLASKU!$A$6:$A$95,A497,ROBA_U_DOLASKU!$H$6:$H$95,1)</f>
        <v>0</v>
      </c>
      <c r="K497" s="9" t="n">
        <f aca="false">SUMIFS(ROBA_U_DOLASKU!$B$6:$B$95,ROBA_U_DOLASKU!$A$6:$A$95,A497,ROBA_U_DOLASKU!$H$6:$H$95,1)</f>
        <v>0</v>
      </c>
      <c r="L497" s="9" t="n">
        <f aca="false">SUMIFS(ROBA_U_DOLASKU!$C$6:$C$95,ROBA_U_DOLASKU!$A$6:$A$95,A497,ROBA_U_DOLASKU!$H$6:$H$95,2)</f>
        <v>0</v>
      </c>
      <c r="M497" s="9" t="n">
        <f aca="false">SUMIFS(ROBA_U_DOLASKU!$B$6:$B$95,ROBA_U_DOLASKU!$A$6:$A$95,A497,ROBA_U_DOLASKU!$H$6:$H$95,2)</f>
        <v>0</v>
      </c>
      <c r="N497" s="9" t="n">
        <f aca="false">SUMIFS(ROBA_U_DOLASKU!$C$6:$C$95,ROBA_U_DOLASKU!$A$6:$A$95,A497,ROBA_U_DOLASKU!$H$6:$H$95,3)</f>
        <v>0</v>
      </c>
      <c r="O497" s="9" t="n">
        <f aca="false">SUMIFS(ROBA_U_DOLASKU!$B$6:$B$95,ROBA_U_DOLASKU!$A$6:$A$95,A497,ROBA_U_DOLASKU!$H$6:$H$95,3)</f>
        <v>0</v>
      </c>
      <c r="P497" s="9" t="n">
        <f aca="false">IF(H497&lt;=0,999,IF(O497&gt;0,ROUND((F497-H497*N497+K497+M497+O497)/H497,1),IF(M497&gt;0,ROUND((F497-H497*L497+K497+M497)/H497,1),IF(K497&gt;0,ROUND((F497-H497*J497+K497)/H497,1),I497))))</f>
        <v>999</v>
      </c>
      <c r="Q497" s="22" t="str">
        <f aca="false">IF(H497&lt;=0,"Nema prodaje",IF(AND(K497=0,M497=0,O497=0),IF(I497&lt;POSTAVKE!$B$6,"Naruči odmah","Sve u redu"),IF(F497-H497*J497&lt;0,"Rupa za ~"&amp;TEXT(I497,"0.0")&amp;" mj.",IF(AND(M497&gt;0,F497-H497*L497+K497&lt;0),"Rupa nakon 1. dolaska",IF(AND(O497&gt;0,F497-H497*N497+K497+M497&lt;0),"Rupa nakon 2. dolaska",IF(P497&lt;POSTAVKE!$B$6,"Količina nije dovoljna",IF(I497&gt;=POSTAVKE!$B$6,"Sve u redu","Stiže na vrijeme")))))))</f>
        <v>Nema prodaje</v>
      </c>
      <c r="S497" s="23" t="n">
        <f aca="false">IFERROR(INDEX(PODACI_PRODAJA!B:B,MATCH($A497,PODACI_PRODAJA!$A:$A,0)),0)</f>
        <v>0</v>
      </c>
      <c r="T497" s="23" t="n">
        <f aca="false">IFERROR(INDEX(PODACI_PRODAJA!C:C,MATCH($A497,PODACI_PRODAJA!$A:$A,0)),0)</f>
        <v>0</v>
      </c>
      <c r="U497" s="23" t="n">
        <f aca="false">IFERROR(INDEX(PODACI_PRODAJA!D:D,MATCH($A497,PODACI_PRODAJA!$A:$A,0)),0)</f>
        <v>0</v>
      </c>
      <c r="V497" s="23" t="n">
        <f aca="false">IFERROR(INDEX(PODACI_PRODAJA!E:E,MATCH($A497,PODACI_PRODAJA!$A:$A,0)),0)</f>
        <v>0</v>
      </c>
      <c r="W497" s="23" t="n">
        <f aca="false">IFERROR(INDEX(PODACI_PRODAJA!F:F,MATCH($A497,PODACI_PRODAJA!$A:$A,0)),0)</f>
        <v>0</v>
      </c>
      <c r="X497" s="23" t="n">
        <f aca="false">IFERROR(INDEX(PODACI_PRODAJA!G:G,MATCH($A497,PODACI_PRODAJA!$A:$A,0)),0)</f>
        <v>0</v>
      </c>
      <c r="Y497" s="23" t="n">
        <f aca="false">IFERROR(INDEX(PODACI_PRODAJA!H:H,MATCH($A497,PODACI_PRODAJA!$A:$A,0)),0)</f>
        <v>0</v>
      </c>
      <c r="Z497" s="23" t="n">
        <f aca="false">IFERROR(INDEX(PODACI_PRODAJA!I:I,MATCH($A497,PODACI_PRODAJA!$A:$A,0)),0)</f>
        <v>0</v>
      </c>
      <c r="AA497" s="23" t="n">
        <f aca="false">IFERROR(INDEX(PODACI_PRODAJA!J:J,MATCH($A497,PODACI_PRODAJA!$A:$A,0)),0)</f>
        <v>0</v>
      </c>
      <c r="AB497" s="23" t="n">
        <f aca="false">IFERROR(INDEX(PODACI_PRODAJA!K:K,MATCH($A497,PODACI_PRODAJA!$A:$A,0)),0)</f>
        <v>0</v>
      </c>
      <c r="AC497" s="23" t="n">
        <f aca="false">IFERROR(INDEX(PODACI_PRODAJA!L:L,MATCH($A497,PODACI_PRODAJA!$A:$A,0)),0)</f>
        <v>0</v>
      </c>
      <c r="AD497" s="23" t="n">
        <f aca="false">IFERROR(INDEX(PODACI_PRODAJA!M:M,MATCH($A497,PODACI_PRODAJA!$A:$A,0)),0)</f>
        <v>0</v>
      </c>
    </row>
    <row r="498" customFormat="false" ht="15" hidden="false" customHeight="false" outlineLevel="0" collapsed="false">
      <c r="A498" s="11" t="str">
        <f aca="false">PODACI_ZALIHE!A495</f>
        <v>00112029</v>
      </c>
      <c r="B498" s="8" t="str">
        <f aca="false">PODACI_ZALIHE!B495</f>
        <v>PLOČA S UMIVAONIKOM 1200X500X120 U176FP FX VC 075</v>
      </c>
      <c r="C498" s="9" t="n">
        <f aca="false">PODACI_ZALIHE!C495</f>
        <v>0</v>
      </c>
      <c r="D498" s="8" t="n">
        <f aca="false">PODACI_ZALIHE!D495</f>
        <v>0</v>
      </c>
      <c r="E498" s="19" t="n">
        <f aca="false">IF(PODACI_ZALIHE!E495="","",PODACI_ZALIHE!E495)</f>
        <v>5</v>
      </c>
      <c r="F498" s="20" t="n">
        <f aca="false">PODACI_ZALIHE!F495</f>
        <v>5</v>
      </c>
      <c r="G498" s="19" t="n">
        <f aca="false">IF(E498="","",E498-F498)</f>
        <v>0</v>
      </c>
      <c r="H498" s="9" t="n">
        <v>0</v>
      </c>
      <c r="I498" s="21" t="n">
        <f aca="false">IF(H498&lt;=0,999,ROUND(F498/H498,1))</f>
        <v>999</v>
      </c>
      <c r="J498" s="9" t="n">
        <f aca="false">SUMIFS(ROBA_U_DOLASKU!$C$6:$C$95,ROBA_U_DOLASKU!$A$6:$A$95,A498,ROBA_U_DOLASKU!$H$6:$H$95,1)</f>
        <v>0</v>
      </c>
      <c r="K498" s="9" t="n">
        <f aca="false">SUMIFS(ROBA_U_DOLASKU!$B$6:$B$95,ROBA_U_DOLASKU!$A$6:$A$95,A498,ROBA_U_DOLASKU!$H$6:$H$95,1)</f>
        <v>0</v>
      </c>
      <c r="L498" s="9" t="n">
        <f aca="false">SUMIFS(ROBA_U_DOLASKU!$C$6:$C$95,ROBA_U_DOLASKU!$A$6:$A$95,A498,ROBA_U_DOLASKU!$H$6:$H$95,2)</f>
        <v>0</v>
      </c>
      <c r="M498" s="9" t="n">
        <f aca="false">SUMIFS(ROBA_U_DOLASKU!$B$6:$B$95,ROBA_U_DOLASKU!$A$6:$A$95,A498,ROBA_U_DOLASKU!$H$6:$H$95,2)</f>
        <v>0</v>
      </c>
      <c r="N498" s="9" t="n">
        <f aca="false">SUMIFS(ROBA_U_DOLASKU!$C$6:$C$95,ROBA_U_DOLASKU!$A$6:$A$95,A498,ROBA_U_DOLASKU!$H$6:$H$95,3)</f>
        <v>0</v>
      </c>
      <c r="O498" s="9" t="n">
        <f aca="false">SUMIFS(ROBA_U_DOLASKU!$B$6:$B$95,ROBA_U_DOLASKU!$A$6:$A$95,A498,ROBA_U_DOLASKU!$H$6:$H$95,3)</f>
        <v>0</v>
      </c>
      <c r="P498" s="9" t="n">
        <f aca="false">IF(H498&lt;=0,999,IF(O498&gt;0,ROUND((F498-H498*N498+K498+M498+O498)/H498,1),IF(M498&gt;0,ROUND((F498-H498*L498+K498+M498)/H498,1),IF(K498&gt;0,ROUND((F498-H498*J498+K498)/H498,1),I498))))</f>
        <v>999</v>
      </c>
      <c r="Q498" s="22" t="str">
        <f aca="false">IF(H498&lt;=0,"Nema prodaje",IF(AND(K498=0,M498=0,O498=0),IF(I498&lt;POSTAVKE!$B$6,"Naruči odmah","Sve u redu"),IF(F498-H498*J498&lt;0,"Rupa za ~"&amp;TEXT(I498,"0.0")&amp;" mj.",IF(AND(M498&gt;0,F498-H498*L498+K498&lt;0),"Rupa nakon 1. dolaska",IF(AND(O498&gt;0,F498-H498*N498+K498+M498&lt;0),"Rupa nakon 2. dolaska",IF(P498&lt;POSTAVKE!$B$6,"Količina nije dovoljna",IF(I498&gt;=POSTAVKE!$B$6,"Sve u redu","Stiže na vrijeme")))))))</f>
        <v>Nema prodaje</v>
      </c>
      <c r="S498" s="23" t="n">
        <f aca="false">IFERROR(INDEX(PODACI_PRODAJA!B:B,MATCH($A498,PODACI_PRODAJA!$A:$A,0)),0)</f>
        <v>0</v>
      </c>
      <c r="T498" s="23" t="n">
        <f aca="false">IFERROR(INDEX(PODACI_PRODAJA!C:C,MATCH($A498,PODACI_PRODAJA!$A:$A,0)),0)</f>
        <v>0</v>
      </c>
      <c r="U498" s="23" t="n">
        <f aca="false">IFERROR(INDEX(PODACI_PRODAJA!D:D,MATCH($A498,PODACI_PRODAJA!$A:$A,0)),0)</f>
        <v>0</v>
      </c>
      <c r="V498" s="23" t="n">
        <f aca="false">IFERROR(INDEX(PODACI_PRODAJA!E:E,MATCH($A498,PODACI_PRODAJA!$A:$A,0)),0)</f>
        <v>0</v>
      </c>
      <c r="W498" s="23" t="n">
        <f aca="false">IFERROR(INDEX(PODACI_PRODAJA!F:F,MATCH($A498,PODACI_PRODAJA!$A:$A,0)),0)</f>
        <v>0</v>
      </c>
      <c r="X498" s="23" t="n">
        <f aca="false">IFERROR(INDEX(PODACI_PRODAJA!G:G,MATCH($A498,PODACI_PRODAJA!$A:$A,0)),0)</f>
        <v>0</v>
      </c>
      <c r="Y498" s="23" t="n">
        <f aca="false">IFERROR(INDEX(PODACI_PRODAJA!H:H,MATCH($A498,PODACI_PRODAJA!$A:$A,0)),0)</f>
        <v>0</v>
      </c>
      <c r="Z498" s="23" t="n">
        <f aca="false">IFERROR(INDEX(PODACI_PRODAJA!I:I,MATCH($A498,PODACI_PRODAJA!$A:$A,0)),0)</f>
        <v>0</v>
      </c>
      <c r="AA498" s="23" t="n">
        <f aca="false">IFERROR(INDEX(PODACI_PRODAJA!J:J,MATCH($A498,PODACI_PRODAJA!$A:$A,0)),0)</f>
        <v>0</v>
      </c>
      <c r="AB498" s="23" t="n">
        <f aca="false">IFERROR(INDEX(PODACI_PRODAJA!K:K,MATCH($A498,PODACI_PRODAJA!$A:$A,0)),0)</f>
        <v>0</v>
      </c>
      <c r="AC498" s="23" t="n">
        <f aca="false">IFERROR(INDEX(PODACI_PRODAJA!L:L,MATCH($A498,PODACI_PRODAJA!$A:$A,0)),0)</f>
        <v>0</v>
      </c>
      <c r="AD498" s="23" t="n">
        <f aca="false">IFERROR(INDEX(PODACI_PRODAJA!M:M,MATCH($A498,PODACI_PRODAJA!$A:$A,0)),0)</f>
        <v>0</v>
      </c>
    </row>
    <row r="499" customFormat="false" ht="15" hidden="false" customHeight="false" outlineLevel="0" collapsed="false">
      <c r="A499" s="11" t="str">
        <f aca="false">PODACI_ZALIHE!A496</f>
        <v>002591</v>
      </c>
      <c r="B499" s="8" t="str">
        <f aca="false">PODACI_ZALIHE!B496</f>
        <v>UZORCI LED OGLEDALA DUHUI</v>
      </c>
      <c r="C499" s="9" t="str">
        <f aca="false">PODACI_ZALIHE!C496</f>
        <v>4328</v>
      </c>
      <c r="D499" s="8" t="str">
        <f aca="false">PODACI_ZALIHE!D496</f>
        <v>HANGZHOU DUHUI IMPORT AND EXPORT CO.,LTD</v>
      </c>
      <c r="E499" s="19" t="n">
        <f aca="false">IF(PODACI_ZALIHE!E496="","",PODACI_ZALIHE!E496)</f>
        <v>5</v>
      </c>
      <c r="F499" s="20" t="n">
        <f aca="false">PODACI_ZALIHE!F496</f>
        <v>5</v>
      </c>
      <c r="G499" s="19" t="n">
        <f aca="false">IF(E499="","",E499-F499)</f>
        <v>0</v>
      </c>
      <c r="H499" s="9" t="n">
        <v>0</v>
      </c>
      <c r="I499" s="21" t="n">
        <f aca="false">IF(H499&lt;=0,999,ROUND(F499/H499,1))</f>
        <v>999</v>
      </c>
      <c r="J499" s="9" t="n">
        <f aca="false">SUMIFS(ROBA_U_DOLASKU!$C$6:$C$95,ROBA_U_DOLASKU!$A$6:$A$95,A499,ROBA_U_DOLASKU!$H$6:$H$95,1)</f>
        <v>0</v>
      </c>
      <c r="K499" s="9" t="n">
        <f aca="false">SUMIFS(ROBA_U_DOLASKU!$B$6:$B$95,ROBA_U_DOLASKU!$A$6:$A$95,A499,ROBA_U_DOLASKU!$H$6:$H$95,1)</f>
        <v>0</v>
      </c>
      <c r="L499" s="9" t="n">
        <f aca="false">SUMIFS(ROBA_U_DOLASKU!$C$6:$C$95,ROBA_U_DOLASKU!$A$6:$A$95,A499,ROBA_U_DOLASKU!$H$6:$H$95,2)</f>
        <v>0</v>
      </c>
      <c r="M499" s="9" t="n">
        <f aca="false">SUMIFS(ROBA_U_DOLASKU!$B$6:$B$95,ROBA_U_DOLASKU!$A$6:$A$95,A499,ROBA_U_DOLASKU!$H$6:$H$95,2)</f>
        <v>0</v>
      </c>
      <c r="N499" s="9" t="n">
        <f aca="false">SUMIFS(ROBA_U_DOLASKU!$C$6:$C$95,ROBA_U_DOLASKU!$A$6:$A$95,A499,ROBA_U_DOLASKU!$H$6:$H$95,3)</f>
        <v>0</v>
      </c>
      <c r="O499" s="9" t="n">
        <f aca="false">SUMIFS(ROBA_U_DOLASKU!$B$6:$B$95,ROBA_U_DOLASKU!$A$6:$A$95,A499,ROBA_U_DOLASKU!$H$6:$H$95,3)</f>
        <v>0</v>
      </c>
      <c r="P499" s="9" t="n">
        <f aca="false">IF(H499&lt;=0,999,IF(O499&gt;0,ROUND((F499-H499*N499+K499+M499+O499)/H499,1),IF(M499&gt;0,ROUND((F499-H499*L499+K499+M499)/H499,1),IF(K499&gt;0,ROUND((F499-H499*J499+K499)/H499,1),I499))))</f>
        <v>999</v>
      </c>
      <c r="Q499" s="22" t="str">
        <f aca="false">IF(H499&lt;=0,"Nema prodaje",IF(AND(K499=0,M499=0,O499=0),IF(I499&lt;POSTAVKE!$B$6,"Naruči odmah","Sve u redu"),IF(F499-H499*J499&lt;0,"Rupa za ~"&amp;TEXT(I499,"0.0")&amp;" mj.",IF(AND(M499&gt;0,F499-H499*L499+K499&lt;0),"Rupa nakon 1. dolaska",IF(AND(O499&gt;0,F499-H499*N499+K499+M499&lt;0),"Rupa nakon 2. dolaska",IF(P499&lt;POSTAVKE!$B$6,"Količina nije dovoljna",IF(I499&gt;=POSTAVKE!$B$6,"Sve u redu","Stiže na vrijeme")))))))</f>
        <v>Nema prodaje</v>
      </c>
      <c r="S499" s="23" t="n">
        <f aca="false">IFERROR(INDEX(PODACI_PRODAJA!B:B,MATCH($A499,PODACI_PRODAJA!$A:$A,0)),0)</f>
        <v>0</v>
      </c>
      <c r="T499" s="23" t="n">
        <f aca="false">IFERROR(INDEX(PODACI_PRODAJA!C:C,MATCH($A499,PODACI_PRODAJA!$A:$A,0)),0)</f>
        <v>0</v>
      </c>
      <c r="U499" s="23" t="n">
        <f aca="false">IFERROR(INDEX(PODACI_PRODAJA!D:D,MATCH($A499,PODACI_PRODAJA!$A:$A,0)),0)</f>
        <v>0</v>
      </c>
      <c r="V499" s="23" t="n">
        <f aca="false">IFERROR(INDEX(PODACI_PRODAJA!E:E,MATCH($A499,PODACI_PRODAJA!$A:$A,0)),0)</f>
        <v>0</v>
      </c>
      <c r="W499" s="23" t="n">
        <f aca="false">IFERROR(INDEX(PODACI_PRODAJA!F:F,MATCH($A499,PODACI_PRODAJA!$A:$A,0)),0)</f>
        <v>0</v>
      </c>
      <c r="X499" s="23" t="n">
        <f aca="false">IFERROR(INDEX(PODACI_PRODAJA!G:G,MATCH($A499,PODACI_PRODAJA!$A:$A,0)),0)</f>
        <v>0</v>
      </c>
      <c r="Y499" s="23" t="n">
        <f aca="false">IFERROR(INDEX(PODACI_PRODAJA!H:H,MATCH($A499,PODACI_PRODAJA!$A:$A,0)),0)</f>
        <v>0</v>
      </c>
      <c r="Z499" s="23" t="n">
        <f aca="false">IFERROR(INDEX(PODACI_PRODAJA!I:I,MATCH($A499,PODACI_PRODAJA!$A:$A,0)),0)</f>
        <v>0</v>
      </c>
      <c r="AA499" s="23" t="n">
        <f aca="false">IFERROR(INDEX(PODACI_PRODAJA!J:J,MATCH($A499,PODACI_PRODAJA!$A:$A,0)),0)</f>
        <v>0</v>
      </c>
      <c r="AB499" s="23" t="n">
        <f aca="false">IFERROR(INDEX(PODACI_PRODAJA!K:K,MATCH($A499,PODACI_PRODAJA!$A:$A,0)),0)</f>
        <v>0</v>
      </c>
      <c r="AC499" s="23" t="n">
        <f aca="false">IFERROR(INDEX(PODACI_PRODAJA!L:L,MATCH($A499,PODACI_PRODAJA!$A:$A,0)),0)</f>
        <v>0</v>
      </c>
      <c r="AD499" s="23" t="n">
        <f aca="false">IFERROR(INDEX(PODACI_PRODAJA!M:M,MATCH($A499,PODACI_PRODAJA!$A:$A,0)),0)</f>
        <v>0</v>
      </c>
    </row>
    <row r="500" customFormat="false" ht="15" hidden="false" customHeight="false" outlineLevel="0" collapsed="false">
      <c r="A500" s="11" t="str">
        <f aca="false">PODACI_ZALIHE!A497</f>
        <v>0444300</v>
      </c>
      <c r="B500" s="8" t="str">
        <f aca="false">PODACI_ZALIHE!B497</f>
        <v>GLTS BLACK TUŠ SET  1 FUNKCIJA</v>
      </c>
      <c r="C500" s="9" t="str">
        <f aca="false">PODACI_ZALIHE!C497</f>
        <v>4539</v>
      </c>
      <c r="D500" s="8" t="str">
        <f aca="false">PODACI_ZALIHE!D497</f>
        <v>YUYAO ECHO SANITARY WARE CO.,LTD.</v>
      </c>
      <c r="E500" s="19" t="n">
        <f aca="false">IF(PODACI_ZALIHE!E497="","",PODACI_ZALIHE!E497)</f>
        <v>5</v>
      </c>
      <c r="F500" s="20" t="n">
        <f aca="false">PODACI_ZALIHE!F497</f>
        <v>5</v>
      </c>
      <c r="G500" s="19" t="n">
        <f aca="false">IF(E500="","",E500-F500)</f>
        <v>0</v>
      </c>
      <c r="H500" s="9" t="n">
        <f aca="false">PODACI_PRODAJA!N436</f>
        <v>1.38</v>
      </c>
      <c r="I500" s="21" t="n">
        <f aca="false">IF(H500&lt;=0,999,ROUND(F500/H500,1))</f>
        <v>3.6</v>
      </c>
      <c r="J500" s="9" t="n">
        <f aca="false">SUMIFS(ROBA_U_DOLASKU!$C$6:$C$95,ROBA_U_DOLASKU!$A$6:$A$95,A500,ROBA_U_DOLASKU!$H$6:$H$95,1)</f>
        <v>0</v>
      </c>
      <c r="K500" s="9" t="n">
        <f aca="false">SUMIFS(ROBA_U_DOLASKU!$B$6:$B$95,ROBA_U_DOLASKU!$A$6:$A$95,A500,ROBA_U_DOLASKU!$H$6:$H$95,1)</f>
        <v>0</v>
      </c>
      <c r="L500" s="9" t="n">
        <f aca="false">SUMIFS(ROBA_U_DOLASKU!$C$6:$C$95,ROBA_U_DOLASKU!$A$6:$A$95,A500,ROBA_U_DOLASKU!$H$6:$H$95,2)</f>
        <v>0</v>
      </c>
      <c r="M500" s="9" t="n">
        <f aca="false">SUMIFS(ROBA_U_DOLASKU!$B$6:$B$95,ROBA_U_DOLASKU!$A$6:$A$95,A500,ROBA_U_DOLASKU!$H$6:$H$95,2)</f>
        <v>0</v>
      </c>
      <c r="N500" s="9" t="n">
        <f aca="false">SUMIFS(ROBA_U_DOLASKU!$C$6:$C$95,ROBA_U_DOLASKU!$A$6:$A$95,A500,ROBA_U_DOLASKU!$H$6:$H$95,3)</f>
        <v>0</v>
      </c>
      <c r="O500" s="9" t="n">
        <f aca="false">SUMIFS(ROBA_U_DOLASKU!$B$6:$B$95,ROBA_U_DOLASKU!$A$6:$A$95,A500,ROBA_U_DOLASKU!$H$6:$H$95,3)</f>
        <v>0</v>
      </c>
      <c r="P500" s="9" t="n">
        <f aca="false">IF(H500&lt;=0,999,IF(O500&gt;0,ROUND((F500-H500*N500+K500+M500+O500)/H500,1),IF(M500&gt;0,ROUND((F500-H500*L500+K500+M500)/H500,1),IF(K500&gt;0,ROUND((F500-H500*J500+K500)/H500,1),I500))))</f>
        <v>3.6</v>
      </c>
      <c r="Q500" s="22" t="str">
        <f aca="false">IF(H500&lt;=0,"Nema prodaje",IF(AND(K500=0,M500=0,O500=0),IF(I500&lt;POSTAVKE!$B$6,"Naruči odmah","Sve u redu"),IF(F500-H500*J500&lt;0,"Rupa za ~"&amp;TEXT(I500,"0.0")&amp;" mj.",IF(AND(M500&gt;0,F500-H500*L500+K500&lt;0),"Rupa nakon 1. dolaska",IF(AND(O500&gt;0,F500-H500*N500+K500+M500&lt;0),"Rupa nakon 2. dolaska",IF(P500&lt;POSTAVKE!$B$6,"Količina nije dovoljna",IF(I500&gt;=POSTAVKE!$B$6,"Sve u redu","Stiže na vrijeme")))))))</f>
        <v>Naruči odmah</v>
      </c>
      <c r="S500" s="23" t="n">
        <f aca="false">IFERROR(INDEX(PODACI_PRODAJA!B:B,MATCH($A500,PODACI_PRODAJA!$A:$A,0)),0)</f>
        <v>0</v>
      </c>
      <c r="T500" s="23" t="n">
        <f aca="false">IFERROR(INDEX(PODACI_PRODAJA!C:C,MATCH($A500,PODACI_PRODAJA!$A:$A,0)),0)</f>
        <v>2</v>
      </c>
      <c r="U500" s="23" t="n">
        <f aca="false">IFERROR(INDEX(PODACI_PRODAJA!D:D,MATCH($A500,PODACI_PRODAJA!$A:$A,0)),0)</f>
        <v>1</v>
      </c>
      <c r="V500" s="23" t="n">
        <f aca="false">IFERROR(INDEX(PODACI_PRODAJA!E:E,MATCH($A500,PODACI_PRODAJA!$A:$A,0)),0)</f>
        <v>0</v>
      </c>
      <c r="W500" s="23" t="n">
        <f aca="false">IFERROR(INDEX(PODACI_PRODAJA!F:F,MATCH($A500,PODACI_PRODAJA!$A:$A,0)),0)</f>
        <v>0</v>
      </c>
      <c r="X500" s="23" t="n">
        <f aca="false">IFERROR(INDEX(PODACI_PRODAJA!G:G,MATCH($A500,PODACI_PRODAJA!$A:$A,0)),0)</f>
        <v>4</v>
      </c>
      <c r="Y500" s="23" t="n">
        <f aca="false">IFERROR(INDEX(PODACI_PRODAJA!H:H,MATCH($A500,PODACI_PRODAJA!$A:$A,0)),0)</f>
        <v>0</v>
      </c>
      <c r="Z500" s="23" t="n">
        <f aca="false">IFERROR(INDEX(PODACI_PRODAJA!I:I,MATCH($A500,PODACI_PRODAJA!$A:$A,0)),0)</f>
        <v>4</v>
      </c>
      <c r="AA500" s="23" t="n">
        <f aca="false">IFERROR(INDEX(PODACI_PRODAJA!J:J,MATCH($A500,PODACI_PRODAJA!$A:$A,0)),0)</f>
        <v>0</v>
      </c>
      <c r="AB500" s="23" t="n">
        <f aca="false">IFERROR(INDEX(PODACI_PRODAJA!K:K,MATCH($A500,PODACI_PRODAJA!$A:$A,0)),0)</f>
        <v>0</v>
      </c>
      <c r="AC500" s="23" t="n">
        <f aca="false">IFERROR(INDEX(PODACI_PRODAJA!L:L,MATCH($A500,PODACI_PRODAJA!$A:$A,0)),0)</f>
        <v>0</v>
      </c>
      <c r="AD500" s="23" t="n">
        <f aca="false">IFERROR(INDEX(PODACI_PRODAJA!M:M,MATCH($A500,PODACI_PRODAJA!$A:$A,0)),0)</f>
        <v>0</v>
      </c>
    </row>
    <row r="501" customFormat="false" ht="15" hidden="false" customHeight="false" outlineLevel="0" collapsed="false">
      <c r="A501" s="11" t="str">
        <f aca="false">PODACI_ZALIHE!A498</f>
        <v>1002005-00</v>
      </c>
      <c r="B501" s="8" t="str">
        <f aca="false">PODACI_ZALIHE!B498</f>
        <v>KLUDI SIFON DIZAJNERSKI S ODVODNOM CIJEVI</v>
      </c>
      <c r="C501" s="9" t="str">
        <f aca="false">PODACI_ZALIHE!C498</f>
        <v>7485</v>
      </c>
      <c r="D501" s="8" t="str">
        <f aca="false">PODACI_ZALIHE!D498</f>
        <v>KLUDI GmbH &amp; Co. KG.,</v>
      </c>
      <c r="E501" s="19" t="n">
        <f aca="false">IF(PODACI_ZALIHE!E498="","",PODACI_ZALIHE!E498)</f>
        <v>5</v>
      </c>
      <c r="F501" s="20" t="n">
        <f aca="false">PODACI_ZALIHE!F498</f>
        <v>5</v>
      </c>
      <c r="G501" s="19" t="n">
        <f aca="false">IF(E501="","",E501-F501)</f>
        <v>0</v>
      </c>
      <c r="H501" s="9" t="n">
        <f aca="false">PODACI_PRODAJA!N448</f>
        <v>0</v>
      </c>
      <c r="I501" s="21" t="n">
        <f aca="false">IF(H501&lt;=0,999,ROUND(F501/H501,1))</f>
        <v>999</v>
      </c>
      <c r="J501" s="9" t="n">
        <f aca="false">SUMIFS(ROBA_U_DOLASKU!$C$6:$C$95,ROBA_U_DOLASKU!$A$6:$A$95,A501,ROBA_U_DOLASKU!$H$6:$H$95,1)</f>
        <v>0</v>
      </c>
      <c r="K501" s="9" t="n">
        <f aca="false">SUMIFS(ROBA_U_DOLASKU!$B$6:$B$95,ROBA_U_DOLASKU!$A$6:$A$95,A501,ROBA_U_DOLASKU!$H$6:$H$95,1)</f>
        <v>0</v>
      </c>
      <c r="L501" s="9" t="n">
        <f aca="false">SUMIFS(ROBA_U_DOLASKU!$C$6:$C$95,ROBA_U_DOLASKU!$A$6:$A$95,A501,ROBA_U_DOLASKU!$H$6:$H$95,2)</f>
        <v>0</v>
      </c>
      <c r="M501" s="9" t="n">
        <f aca="false">SUMIFS(ROBA_U_DOLASKU!$B$6:$B$95,ROBA_U_DOLASKU!$A$6:$A$95,A501,ROBA_U_DOLASKU!$H$6:$H$95,2)</f>
        <v>0</v>
      </c>
      <c r="N501" s="9" t="n">
        <f aca="false">SUMIFS(ROBA_U_DOLASKU!$C$6:$C$95,ROBA_U_DOLASKU!$A$6:$A$95,A501,ROBA_U_DOLASKU!$H$6:$H$95,3)</f>
        <v>0</v>
      </c>
      <c r="O501" s="9" t="n">
        <f aca="false">SUMIFS(ROBA_U_DOLASKU!$B$6:$B$95,ROBA_U_DOLASKU!$A$6:$A$95,A501,ROBA_U_DOLASKU!$H$6:$H$95,3)</f>
        <v>0</v>
      </c>
      <c r="P501" s="9" t="n">
        <f aca="false">IF(H501&lt;=0,999,IF(O501&gt;0,ROUND((F501-H501*N501+K501+M501+O501)/H501,1),IF(M501&gt;0,ROUND((F501-H501*L501+K501+M501)/H501,1),IF(K501&gt;0,ROUND((F501-H501*J501+K501)/H501,1),I501))))</f>
        <v>999</v>
      </c>
      <c r="Q501" s="22" t="str">
        <f aca="false">IF(H501&lt;=0,"Nema prodaje",IF(AND(K501=0,M501=0,O501=0),IF(I501&lt;POSTAVKE!$B$6,"Naruči odmah","Sve u redu"),IF(F501-H501*J501&lt;0,"Rupa za ~"&amp;TEXT(I501,"0.0")&amp;" mj.",IF(AND(M501&gt;0,F501-H501*L501+K501&lt;0),"Rupa nakon 1. dolaska",IF(AND(O501&gt;0,F501-H501*N501+K501+M501&lt;0),"Rupa nakon 2. dolaska",IF(P501&lt;POSTAVKE!$B$6,"Količina nije dovoljna",IF(I501&gt;=POSTAVKE!$B$6,"Sve u redu","Stiže na vrijeme")))))))</f>
        <v>Nema prodaje</v>
      </c>
      <c r="S501" s="23" t="n">
        <f aca="false">IFERROR(INDEX(PODACI_PRODAJA!B:B,MATCH($A501,PODACI_PRODAJA!$A:$A,0)),0)</f>
        <v>0</v>
      </c>
      <c r="T501" s="23" t="n">
        <f aca="false">IFERROR(INDEX(PODACI_PRODAJA!C:C,MATCH($A501,PODACI_PRODAJA!$A:$A,0)),0)</f>
        <v>0</v>
      </c>
      <c r="U501" s="23" t="n">
        <f aca="false">IFERROR(INDEX(PODACI_PRODAJA!D:D,MATCH($A501,PODACI_PRODAJA!$A:$A,0)),0)</f>
        <v>0</v>
      </c>
      <c r="V501" s="23" t="n">
        <f aca="false">IFERROR(INDEX(PODACI_PRODAJA!E:E,MATCH($A501,PODACI_PRODAJA!$A:$A,0)),0)</f>
        <v>0</v>
      </c>
      <c r="W501" s="23" t="n">
        <f aca="false">IFERROR(INDEX(PODACI_PRODAJA!F:F,MATCH($A501,PODACI_PRODAJA!$A:$A,0)),0)</f>
        <v>0</v>
      </c>
      <c r="X501" s="23" t="n">
        <f aca="false">IFERROR(INDEX(PODACI_PRODAJA!G:G,MATCH($A501,PODACI_PRODAJA!$A:$A,0)),0)</f>
        <v>0</v>
      </c>
      <c r="Y501" s="23" t="n">
        <f aca="false">IFERROR(INDEX(PODACI_PRODAJA!H:H,MATCH($A501,PODACI_PRODAJA!$A:$A,0)),0)</f>
        <v>0</v>
      </c>
      <c r="Z501" s="23" t="n">
        <f aca="false">IFERROR(INDEX(PODACI_PRODAJA!I:I,MATCH($A501,PODACI_PRODAJA!$A:$A,0)),0)</f>
        <v>0</v>
      </c>
      <c r="AA501" s="23" t="n">
        <f aca="false">IFERROR(INDEX(PODACI_PRODAJA!J:J,MATCH($A501,PODACI_PRODAJA!$A:$A,0)),0)</f>
        <v>0</v>
      </c>
      <c r="AB501" s="23" t="n">
        <f aca="false">IFERROR(INDEX(PODACI_PRODAJA!K:K,MATCH($A501,PODACI_PRODAJA!$A:$A,0)),0)</f>
        <v>0</v>
      </c>
      <c r="AC501" s="23" t="n">
        <f aca="false">IFERROR(INDEX(PODACI_PRODAJA!L:L,MATCH($A501,PODACI_PRODAJA!$A:$A,0)),0)</f>
        <v>0</v>
      </c>
      <c r="AD501" s="23" t="n">
        <f aca="false">IFERROR(INDEX(PODACI_PRODAJA!M:M,MATCH($A501,PODACI_PRODAJA!$A:$A,0)),0)</f>
        <v>0</v>
      </c>
    </row>
    <row r="502" customFormat="false" ht="15" hidden="false" customHeight="false" outlineLevel="0" collapsed="false">
      <c r="A502" s="11" t="str">
        <f aca="false">PODACI_ZALIHE!A499</f>
        <v>1017292430</v>
      </c>
      <c r="B502" s="8" t="str">
        <f aca="false">PODACI_ZALIHE!B499</f>
        <v>GROHE CUBEO MIJEŠALICA ZA UMIVAONIK XL, CRNA</v>
      </c>
      <c r="C502" s="9" t="str">
        <f aca="false">PODACI_ZALIHE!C499</f>
        <v>4499</v>
      </c>
      <c r="D502" s="8" t="str">
        <f aca="false">PODACI_ZALIHE!D499</f>
        <v>THS D.O.O.</v>
      </c>
      <c r="E502" s="19" t="n">
        <f aca="false">IF(PODACI_ZALIHE!E499="","",PODACI_ZALIHE!E499)</f>
        <v>6</v>
      </c>
      <c r="F502" s="20" t="n">
        <f aca="false">PODACI_ZALIHE!F499</f>
        <v>5</v>
      </c>
      <c r="G502" s="19" t="n">
        <f aca="false">IF(E502="","",E502-F502)</f>
        <v>1</v>
      </c>
      <c r="H502" s="9" t="n">
        <f aca="false">PODACI_PRODAJA!N450</f>
        <v>0</v>
      </c>
      <c r="I502" s="21" t="n">
        <f aca="false">IF(H502&lt;=0,999,ROUND(F502/H502,1))</f>
        <v>999</v>
      </c>
      <c r="J502" s="9" t="n">
        <f aca="false">SUMIFS(ROBA_U_DOLASKU!$C$6:$C$95,ROBA_U_DOLASKU!$A$6:$A$95,A502,ROBA_U_DOLASKU!$H$6:$H$95,1)</f>
        <v>0</v>
      </c>
      <c r="K502" s="9" t="n">
        <f aca="false">SUMIFS(ROBA_U_DOLASKU!$B$6:$B$95,ROBA_U_DOLASKU!$A$6:$A$95,A502,ROBA_U_DOLASKU!$H$6:$H$95,1)</f>
        <v>0</v>
      </c>
      <c r="L502" s="9" t="n">
        <f aca="false">SUMIFS(ROBA_U_DOLASKU!$C$6:$C$95,ROBA_U_DOLASKU!$A$6:$A$95,A502,ROBA_U_DOLASKU!$H$6:$H$95,2)</f>
        <v>0</v>
      </c>
      <c r="M502" s="9" t="n">
        <f aca="false">SUMIFS(ROBA_U_DOLASKU!$B$6:$B$95,ROBA_U_DOLASKU!$A$6:$A$95,A502,ROBA_U_DOLASKU!$H$6:$H$95,2)</f>
        <v>0</v>
      </c>
      <c r="N502" s="9" t="n">
        <f aca="false">SUMIFS(ROBA_U_DOLASKU!$C$6:$C$95,ROBA_U_DOLASKU!$A$6:$A$95,A502,ROBA_U_DOLASKU!$H$6:$H$95,3)</f>
        <v>0</v>
      </c>
      <c r="O502" s="9" t="n">
        <f aca="false">SUMIFS(ROBA_U_DOLASKU!$B$6:$B$95,ROBA_U_DOLASKU!$A$6:$A$95,A502,ROBA_U_DOLASKU!$H$6:$H$95,3)</f>
        <v>0</v>
      </c>
      <c r="P502" s="9" t="n">
        <f aca="false">IF(H502&lt;=0,999,IF(O502&gt;0,ROUND((F502-H502*N502+K502+M502+O502)/H502,1),IF(M502&gt;0,ROUND((F502-H502*L502+K502+M502)/H502,1),IF(K502&gt;0,ROUND((F502-H502*J502+K502)/H502,1),I502))))</f>
        <v>999</v>
      </c>
      <c r="Q502" s="22" t="str">
        <f aca="false">IF(H502&lt;=0,"Nema prodaje",IF(AND(K502=0,M502=0,O502=0),IF(I502&lt;POSTAVKE!$B$6,"Naruči odmah","Sve u redu"),IF(F502-H502*J502&lt;0,"Rupa za ~"&amp;TEXT(I502,"0.0")&amp;" mj.",IF(AND(M502&gt;0,F502-H502*L502+K502&lt;0),"Rupa nakon 1. dolaska",IF(AND(O502&gt;0,F502-H502*N502+K502+M502&lt;0),"Rupa nakon 2. dolaska",IF(P502&lt;POSTAVKE!$B$6,"Količina nije dovoljna",IF(I502&gt;=POSTAVKE!$B$6,"Sve u redu","Stiže na vrijeme")))))))</f>
        <v>Nema prodaje</v>
      </c>
      <c r="S502" s="23" t="n">
        <f aca="false">IFERROR(INDEX(PODACI_PRODAJA!B:B,MATCH($A502,PODACI_PRODAJA!$A:$A,0)),0)</f>
        <v>0</v>
      </c>
      <c r="T502" s="23" t="n">
        <f aca="false">IFERROR(INDEX(PODACI_PRODAJA!C:C,MATCH($A502,PODACI_PRODAJA!$A:$A,0)),0)</f>
        <v>0</v>
      </c>
      <c r="U502" s="23" t="n">
        <f aca="false">IFERROR(INDEX(PODACI_PRODAJA!D:D,MATCH($A502,PODACI_PRODAJA!$A:$A,0)),0)</f>
        <v>0</v>
      </c>
      <c r="V502" s="23" t="n">
        <f aca="false">IFERROR(INDEX(PODACI_PRODAJA!E:E,MATCH($A502,PODACI_PRODAJA!$A:$A,0)),0)</f>
        <v>0</v>
      </c>
      <c r="W502" s="23" t="n">
        <f aca="false">IFERROR(INDEX(PODACI_PRODAJA!F:F,MATCH($A502,PODACI_PRODAJA!$A:$A,0)),0)</f>
        <v>0</v>
      </c>
      <c r="X502" s="23" t="n">
        <f aca="false">IFERROR(INDEX(PODACI_PRODAJA!G:G,MATCH($A502,PODACI_PRODAJA!$A:$A,0)),0)</f>
        <v>0</v>
      </c>
      <c r="Y502" s="23" t="n">
        <f aca="false">IFERROR(INDEX(PODACI_PRODAJA!H:H,MATCH($A502,PODACI_PRODAJA!$A:$A,0)),0)</f>
        <v>0</v>
      </c>
      <c r="Z502" s="23" t="n">
        <f aca="false">IFERROR(INDEX(PODACI_PRODAJA!I:I,MATCH($A502,PODACI_PRODAJA!$A:$A,0)),0)</f>
        <v>0</v>
      </c>
      <c r="AA502" s="23" t="n">
        <f aca="false">IFERROR(INDEX(PODACI_PRODAJA!J:J,MATCH($A502,PODACI_PRODAJA!$A:$A,0)),0)</f>
        <v>0</v>
      </c>
      <c r="AB502" s="23" t="n">
        <f aca="false">IFERROR(INDEX(PODACI_PRODAJA!K:K,MATCH($A502,PODACI_PRODAJA!$A:$A,0)),0)</f>
        <v>0</v>
      </c>
      <c r="AC502" s="23" t="n">
        <f aca="false">IFERROR(INDEX(PODACI_PRODAJA!L:L,MATCH($A502,PODACI_PRODAJA!$A:$A,0)),0)</f>
        <v>0</v>
      </c>
      <c r="AD502" s="23" t="n">
        <f aca="false">IFERROR(INDEX(PODACI_PRODAJA!M:M,MATCH($A502,PODACI_PRODAJA!$A:$A,0)),0)</f>
        <v>0</v>
      </c>
    </row>
    <row r="503" customFormat="false" ht="15" hidden="false" customHeight="false" outlineLevel="0" collapsed="false">
      <c r="A503" s="11" t="str">
        <f aca="false">PODACI_ZALIHE!A500</f>
        <v>111.311.00.6</v>
      </c>
      <c r="B503" s="8" t="str">
        <f aca="false">PODACI_ZALIHE!B500</f>
        <v>GEBERIT DUOFIX SIGMA ELEMENT ZA VISEĆI WC S VODOKOTLIĆEM</v>
      </c>
      <c r="C503" s="9" t="str">
        <f aca="false">PODACI_ZALIHE!C500</f>
        <v>7564</v>
      </c>
      <c r="D503" s="8" t="str">
        <f aca="false">PODACI_ZALIHE!D500</f>
        <v>MAVI d.o.o.</v>
      </c>
      <c r="E503" s="19" t="n">
        <f aca="false">IF(PODACI_ZALIHE!E500="","",PODACI_ZALIHE!E500)</f>
        <v>5</v>
      </c>
      <c r="F503" s="20" t="n">
        <f aca="false">PODACI_ZALIHE!F500</f>
        <v>5</v>
      </c>
      <c r="G503" s="19" t="n">
        <f aca="false">IF(E503="","",E503-F503)</f>
        <v>0</v>
      </c>
      <c r="H503" s="9" t="n">
        <f aca="false">PODACI_PRODAJA!N455</f>
        <v>0</v>
      </c>
      <c r="I503" s="21" t="n">
        <f aca="false">IF(H503&lt;=0,999,ROUND(F503/H503,1))</f>
        <v>999</v>
      </c>
      <c r="J503" s="9" t="n">
        <f aca="false">SUMIFS(ROBA_U_DOLASKU!$C$6:$C$95,ROBA_U_DOLASKU!$A$6:$A$95,A503,ROBA_U_DOLASKU!$H$6:$H$95,1)</f>
        <v>0</v>
      </c>
      <c r="K503" s="9" t="n">
        <f aca="false">SUMIFS(ROBA_U_DOLASKU!$B$6:$B$95,ROBA_U_DOLASKU!$A$6:$A$95,A503,ROBA_U_DOLASKU!$H$6:$H$95,1)</f>
        <v>0</v>
      </c>
      <c r="L503" s="9" t="n">
        <f aca="false">SUMIFS(ROBA_U_DOLASKU!$C$6:$C$95,ROBA_U_DOLASKU!$A$6:$A$95,A503,ROBA_U_DOLASKU!$H$6:$H$95,2)</f>
        <v>0</v>
      </c>
      <c r="M503" s="9" t="n">
        <f aca="false">SUMIFS(ROBA_U_DOLASKU!$B$6:$B$95,ROBA_U_DOLASKU!$A$6:$A$95,A503,ROBA_U_DOLASKU!$H$6:$H$95,2)</f>
        <v>0</v>
      </c>
      <c r="N503" s="9" t="n">
        <f aca="false">SUMIFS(ROBA_U_DOLASKU!$C$6:$C$95,ROBA_U_DOLASKU!$A$6:$A$95,A503,ROBA_U_DOLASKU!$H$6:$H$95,3)</f>
        <v>0</v>
      </c>
      <c r="O503" s="9" t="n">
        <f aca="false">SUMIFS(ROBA_U_DOLASKU!$B$6:$B$95,ROBA_U_DOLASKU!$A$6:$A$95,A503,ROBA_U_DOLASKU!$H$6:$H$95,3)</f>
        <v>0</v>
      </c>
      <c r="P503" s="9" t="n">
        <f aca="false">IF(H503&lt;=0,999,IF(O503&gt;0,ROUND((F503-H503*N503+K503+M503+O503)/H503,1),IF(M503&gt;0,ROUND((F503-H503*L503+K503+M503)/H503,1),IF(K503&gt;0,ROUND((F503-H503*J503+K503)/H503,1),I503))))</f>
        <v>999</v>
      </c>
      <c r="Q503" s="22" t="str">
        <f aca="false">IF(H503&lt;=0,"Nema prodaje",IF(AND(K503=0,M503=0,O503=0),IF(I503&lt;POSTAVKE!$B$6,"Naruči odmah","Sve u redu"),IF(F503-H503*J503&lt;0,"Rupa za ~"&amp;TEXT(I503,"0.0")&amp;" mj.",IF(AND(M503&gt;0,F503-H503*L503+K503&lt;0),"Rupa nakon 1. dolaska",IF(AND(O503&gt;0,F503-H503*N503+K503+M503&lt;0),"Rupa nakon 2. dolaska",IF(P503&lt;POSTAVKE!$B$6,"Količina nije dovoljna",IF(I503&gt;=POSTAVKE!$B$6,"Sve u redu","Stiže na vrijeme")))))))</f>
        <v>Nema prodaje</v>
      </c>
      <c r="S503" s="23" t="n">
        <f aca="false">IFERROR(INDEX(PODACI_PRODAJA!B:B,MATCH($A503,PODACI_PRODAJA!$A:$A,0)),0)</f>
        <v>0</v>
      </c>
      <c r="T503" s="23" t="n">
        <f aca="false">IFERROR(INDEX(PODACI_PRODAJA!C:C,MATCH($A503,PODACI_PRODAJA!$A:$A,0)),0)</f>
        <v>0</v>
      </c>
      <c r="U503" s="23" t="n">
        <f aca="false">IFERROR(INDEX(PODACI_PRODAJA!D:D,MATCH($A503,PODACI_PRODAJA!$A:$A,0)),0)</f>
        <v>0</v>
      </c>
      <c r="V503" s="23" t="n">
        <f aca="false">IFERROR(INDEX(PODACI_PRODAJA!E:E,MATCH($A503,PODACI_PRODAJA!$A:$A,0)),0)</f>
        <v>0</v>
      </c>
      <c r="W503" s="23" t="n">
        <f aca="false">IFERROR(INDEX(PODACI_PRODAJA!F:F,MATCH($A503,PODACI_PRODAJA!$A:$A,0)),0)</f>
        <v>0</v>
      </c>
      <c r="X503" s="23" t="n">
        <f aca="false">IFERROR(INDEX(PODACI_PRODAJA!G:G,MATCH($A503,PODACI_PRODAJA!$A:$A,0)),0)</f>
        <v>0</v>
      </c>
      <c r="Y503" s="23" t="n">
        <f aca="false">IFERROR(INDEX(PODACI_PRODAJA!H:H,MATCH($A503,PODACI_PRODAJA!$A:$A,0)),0)</f>
        <v>0</v>
      </c>
      <c r="Z503" s="23" t="n">
        <f aca="false">IFERROR(INDEX(PODACI_PRODAJA!I:I,MATCH($A503,PODACI_PRODAJA!$A:$A,0)),0)</f>
        <v>0</v>
      </c>
      <c r="AA503" s="23" t="n">
        <f aca="false">IFERROR(INDEX(PODACI_PRODAJA!J:J,MATCH($A503,PODACI_PRODAJA!$A:$A,0)),0)</f>
        <v>0</v>
      </c>
      <c r="AB503" s="23" t="n">
        <f aca="false">IFERROR(INDEX(PODACI_PRODAJA!K:K,MATCH($A503,PODACI_PRODAJA!$A:$A,0)),0)</f>
        <v>0</v>
      </c>
      <c r="AC503" s="23" t="n">
        <f aca="false">IFERROR(INDEX(PODACI_PRODAJA!L:L,MATCH($A503,PODACI_PRODAJA!$A:$A,0)),0)</f>
        <v>0</v>
      </c>
      <c r="AD503" s="23" t="n">
        <f aca="false">IFERROR(INDEX(PODACI_PRODAJA!M:M,MATCH($A503,PODACI_PRODAJA!$A:$A,0)),0)</f>
        <v>0</v>
      </c>
    </row>
    <row r="504" customFormat="false" ht="15" hidden="false" customHeight="false" outlineLevel="0" collapsed="false">
      <c r="A504" s="11" t="str">
        <f aca="false">PODACI_ZALIHE!A501</f>
        <v>15228</v>
      </c>
      <c r="B504" s="8" t="str">
        <f aca="false">PODACI_ZALIHE!B501</f>
        <v>TK BLACK 90120 PRAVOKUTNA TUŠ KABINA 90x120x195 cm</v>
      </c>
      <c r="C504" s="9" t="str">
        <f aca="false">PODACI_ZALIHE!C501</f>
        <v>4981</v>
      </c>
      <c r="D504" s="8" t="str">
        <f aca="false">PODACI_ZALIHE!D501</f>
        <v>HANGZHOU SUNLIGHT TRADE CO., LTD.</v>
      </c>
      <c r="E504" s="19" t="n">
        <f aca="false">IF(PODACI_ZALIHE!E501="","",PODACI_ZALIHE!E501)</f>
        <v>5</v>
      </c>
      <c r="F504" s="20" t="n">
        <f aca="false">PODACI_ZALIHE!F501</f>
        <v>5</v>
      </c>
      <c r="G504" s="19" t="n">
        <f aca="false">IF(E504="","",E504-F504)</f>
        <v>0</v>
      </c>
      <c r="H504" s="9" t="n">
        <f aca="false">PODACI_PRODAJA!N183</f>
        <v>0.88</v>
      </c>
      <c r="I504" s="21" t="n">
        <f aca="false">IF(H504&lt;=0,999,ROUND(F504/H504,1))</f>
        <v>5.7</v>
      </c>
      <c r="J504" s="9" t="n">
        <f aca="false">SUMIFS(ROBA_U_DOLASKU!$C$6:$C$95,ROBA_U_DOLASKU!$A$6:$A$95,A504,ROBA_U_DOLASKU!$H$6:$H$95,1)</f>
        <v>0</v>
      </c>
      <c r="K504" s="9" t="n">
        <f aca="false">SUMIFS(ROBA_U_DOLASKU!$B$6:$B$95,ROBA_U_DOLASKU!$A$6:$A$95,A504,ROBA_U_DOLASKU!$H$6:$H$95,1)</f>
        <v>0</v>
      </c>
      <c r="L504" s="9" t="n">
        <f aca="false">SUMIFS(ROBA_U_DOLASKU!$C$6:$C$95,ROBA_U_DOLASKU!$A$6:$A$95,A504,ROBA_U_DOLASKU!$H$6:$H$95,2)</f>
        <v>0</v>
      </c>
      <c r="M504" s="9" t="n">
        <f aca="false">SUMIFS(ROBA_U_DOLASKU!$B$6:$B$95,ROBA_U_DOLASKU!$A$6:$A$95,A504,ROBA_U_DOLASKU!$H$6:$H$95,2)</f>
        <v>0</v>
      </c>
      <c r="N504" s="9" t="n">
        <f aca="false">SUMIFS(ROBA_U_DOLASKU!$C$6:$C$95,ROBA_U_DOLASKU!$A$6:$A$95,A504,ROBA_U_DOLASKU!$H$6:$H$95,3)</f>
        <v>0</v>
      </c>
      <c r="O504" s="9" t="n">
        <f aca="false">SUMIFS(ROBA_U_DOLASKU!$B$6:$B$95,ROBA_U_DOLASKU!$A$6:$A$95,A504,ROBA_U_DOLASKU!$H$6:$H$95,3)</f>
        <v>0</v>
      </c>
      <c r="P504" s="9" t="n">
        <f aca="false">IF(H504&lt;=0,999,IF(O504&gt;0,ROUND((F504-H504*N504+K504+M504+O504)/H504,1),IF(M504&gt;0,ROUND((F504-H504*L504+K504+M504)/H504,1),IF(K504&gt;0,ROUND((F504-H504*J504+K504)/H504,1),I504))))</f>
        <v>5.7</v>
      </c>
      <c r="Q504" s="22" t="str">
        <f aca="false">IF(H504&lt;=0,"Nema prodaje",IF(AND(K504=0,M504=0,O504=0),IF(I504&lt;POSTAVKE!$B$6,"Naruči odmah","Sve u redu"),IF(F504-H504*J504&lt;0,"Rupa za ~"&amp;TEXT(I504,"0.0")&amp;" mj.",IF(AND(M504&gt;0,F504-H504*L504+K504&lt;0),"Rupa nakon 1. dolaska",IF(AND(O504&gt;0,F504-H504*N504+K504+M504&lt;0),"Rupa nakon 2. dolaska",IF(P504&lt;POSTAVKE!$B$6,"Količina nije dovoljna",IF(I504&gt;=POSTAVKE!$B$6,"Sve u redu","Stiže na vrijeme")))))))</f>
        <v>Sve u redu</v>
      </c>
      <c r="S504" s="23" t="n">
        <f aca="false">IFERROR(INDEX(PODACI_PRODAJA!B:B,MATCH($A504,PODACI_PRODAJA!$A:$A,0)),0)</f>
        <v>2</v>
      </c>
      <c r="T504" s="23" t="n">
        <f aca="false">IFERROR(INDEX(PODACI_PRODAJA!C:C,MATCH($A504,PODACI_PRODAJA!$A:$A,0)),0)</f>
        <v>1</v>
      </c>
      <c r="U504" s="23" t="n">
        <f aca="false">IFERROR(INDEX(PODACI_PRODAJA!D:D,MATCH($A504,PODACI_PRODAJA!$A:$A,0)),0)</f>
        <v>0</v>
      </c>
      <c r="V504" s="23" t="n">
        <f aca="false">IFERROR(INDEX(PODACI_PRODAJA!E:E,MATCH($A504,PODACI_PRODAJA!$A:$A,0)),0)</f>
        <v>1</v>
      </c>
      <c r="W504" s="23" t="n">
        <f aca="false">IFERROR(INDEX(PODACI_PRODAJA!F:F,MATCH($A504,PODACI_PRODAJA!$A:$A,0)),0)</f>
        <v>1</v>
      </c>
      <c r="X504" s="23" t="n">
        <f aca="false">IFERROR(INDEX(PODACI_PRODAJA!G:G,MATCH($A504,PODACI_PRODAJA!$A:$A,0)),0)</f>
        <v>0</v>
      </c>
      <c r="Y504" s="23" t="n">
        <f aca="false">IFERROR(INDEX(PODACI_PRODAJA!H:H,MATCH($A504,PODACI_PRODAJA!$A:$A,0)),0)</f>
        <v>1</v>
      </c>
      <c r="Z504" s="23" t="n">
        <f aca="false">IFERROR(INDEX(PODACI_PRODAJA!I:I,MATCH($A504,PODACI_PRODAJA!$A:$A,0)),0)</f>
        <v>1</v>
      </c>
      <c r="AA504" s="23" t="n">
        <f aca="false">IFERROR(INDEX(PODACI_PRODAJA!J:J,MATCH($A504,PODACI_PRODAJA!$A:$A,0)),0)</f>
        <v>0</v>
      </c>
      <c r="AB504" s="23" t="n">
        <f aca="false">IFERROR(INDEX(PODACI_PRODAJA!K:K,MATCH($A504,PODACI_PRODAJA!$A:$A,0)),0)</f>
        <v>0</v>
      </c>
      <c r="AC504" s="23" t="n">
        <f aca="false">IFERROR(INDEX(PODACI_PRODAJA!L:L,MATCH($A504,PODACI_PRODAJA!$A:$A,0)),0)</f>
        <v>0</v>
      </c>
      <c r="AD504" s="23" t="n">
        <f aca="false">IFERROR(INDEX(PODACI_PRODAJA!M:M,MATCH($A504,PODACI_PRODAJA!$A:$A,0)),0)</f>
        <v>0</v>
      </c>
    </row>
    <row r="505" customFormat="false" ht="15" hidden="false" customHeight="false" outlineLevel="0" collapsed="false">
      <c r="A505" s="11" t="str">
        <f aca="false">PODACI_ZALIHE!A502</f>
        <v>1577500</v>
      </c>
      <c r="B505" s="8" t="str">
        <f aca="false">PODACI_ZALIHE!B502</f>
        <v>BOLD S CRNA 80 KV MINERALSOLID TUŠ KADA 800x800x30 mm</v>
      </c>
      <c r="C505" s="9" t="str">
        <f aca="false">PODACI_ZALIHE!C502</f>
        <v>5140</v>
      </c>
      <c r="D505" s="8" t="str">
        <f aca="false">PODACI_ZALIHE!D502</f>
        <v>GUANGDONG OCEAN SANITARY WARE CO., LTD.</v>
      </c>
      <c r="E505" s="19" t="n">
        <f aca="false">IF(PODACI_ZALIHE!E502="","",PODACI_ZALIHE!E502)</f>
        <v>5</v>
      </c>
      <c r="F505" s="20" t="n">
        <f aca="false">PODACI_ZALIHE!F502</f>
        <v>5</v>
      </c>
      <c r="G505" s="19" t="n">
        <f aca="false">IF(E505="","",E505-F505)</f>
        <v>0</v>
      </c>
      <c r="H505" s="9" t="n">
        <f aca="false">PODACI_PRODAJA!N526</f>
        <v>0.63</v>
      </c>
      <c r="I505" s="21" t="n">
        <f aca="false">IF(H505&lt;=0,999,ROUND(F505/H505,1))</f>
        <v>7.9</v>
      </c>
      <c r="J505" s="9" t="n">
        <f aca="false">SUMIFS(ROBA_U_DOLASKU!$C$6:$C$95,ROBA_U_DOLASKU!$A$6:$A$95,A505,ROBA_U_DOLASKU!$H$6:$H$95,1)</f>
        <v>0</v>
      </c>
      <c r="K505" s="9" t="n">
        <f aca="false">SUMIFS(ROBA_U_DOLASKU!$B$6:$B$95,ROBA_U_DOLASKU!$A$6:$A$95,A505,ROBA_U_DOLASKU!$H$6:$H$95,1)</f>
        <v>0</v>
      </c>
      <c r="L505" s="9" t="n">
        <f aca="false">SUMIFS(ROBA_U_DOLASKU!$C$6:$C$95,ROBA_U_DOLASKU!$A$6:$A$95,A505,ROBA_U_DOLASKU!$H$6:$H$95,2)</f>
        <v>0</v>
      </c>
      <c r="M505" s="9" t="n">
        <f aca="false">SUMIFS(ROBA_U_DOLASKU!$B$6:$B$95,ROBA_U_DOLASKU!$A$6:$A$95,A505,ROBA_U_DOLASKU!$H$6:$H$95,2)</f>
        <v>0</v>
      </c>
      <c r="N505" s="9" t="n">
        <f aca="false">SUMIFS(ROBA_U_DOLASKU!$C$6:$C$95,ROBA_U_DOLASKU!$A$6:$A$95,A505,ROBA_U_DOLASKU!$H$6:$H$95,3)</f>
        <v>0</v>
      </c>
      <c r="O505" s="9" t="n">
        <f aca="false">SUMIFS(ROBA_U_DOLASKU!$B$6:$B$95,ROBA_U_DOLASKU!$A$6:$A$95,A505,ROBA_U_DOLASKU!$H$6:$H$95,3)</f>
        <v>0</v>
      </c>
      <c r="P505" s="9" t="n">
        <f aca="false">IF(H505&lt;=0,999,IF(O505&gt;0,ROUND((F505-H505*N505+K505+M505+O505)/H505,1),IF(M505&gt;0,ROUND((F505-H505*L505+K505+M505)/H505,1),IF(K505&gt;0,ROUND((F505-H505*J505+K505)/H505,1),I505))))</f>
        <v>7.9</v>
      </c>
      <c r="Q505" s="22" t="str">
        <f aca="false">IF(H505&lt;=0,"Nema prodaje",IF(AND(K505=0,M505=0,O505=0),IF(I505&lt;POSTAVKE!$B$6,"Naruči odmah","Sve u redu"),IF(F505-H505*J505&lt;0,"Rupa za ~"&amp;TEXT(I505,"0.0")&amp;" mj.",IF(AND(M505&gt;0,F505-H505*L505+K505&lt;0),"Rupa nakon 1. dolaska",IF(AND(O505&gt;0,F505-H505*N505+K505+M505&lt;0),"Rupa nakon 2. dolaska",IF(P505&lt;POSTAVKE!$B$6,"Količina nije dovoljna",IF(I505&gt;=POSTAVKE!$B$6,"Sve u redu","Stiže na vrijeme")))))))</f>
        <v>Sve u redu</v>
      </c>
      <c r="S505" s="23" t="n">
        <f aca="false">IFERROR(INDEX(PODACI_PRODAJA!B:B,MATCH($A505,PODACI_PRODAJA!$A:$A,0)),0)</f>
        <v>0</v>
      </c>
      <c r="T505" s="23" t="n">
        <f aca="false">IFERROR(INDEX(PODACI_PRODAJA!C:C,MATCH($A505,PODACI_PRODAJA!$A:$A,0)),0)</f>
        <v>1</v>
      </c>
      <c r="U505" s="23" t="n">
        <f aca="false">IFERROR(INDEX(PODACI_PRODAJA!D:D,MATCH($A505,PODACI_PRODAJA!$A:$A,0)),0)</f>
        <v>2</v>
      </c>
      <c r="V505" s="23" t="n">
        <f aca="false">IFERROR(INDEX(PODACI_PRODAJA!E:E,MATCH($A505,PODACI_PRODAJA!$A:$A,0)),0)</f>
        <v>0</v>
      </c>
      <c r="W505" s="23" t="n">
        <f aca="false">IFERROR(INDEX(PODACI_PRODAJA!F:F,MATCH($A505,PODACI_PRODAJA!$A:$A,0)),0)</f>
        <v>1</v>
      </c>
      <c r="X505" s="23" t="n">
        <f aca="false">IFERROR(INDEX(PODACI_PRODAJA!G:G,MATCH($A505,PODACI_PRODAJA!$A:$A,0)),0)</f>
        <v>0</v>
      </c>
      <c r="Y505" s="23" t="n">
        <f aca="false">IFERROR(INDEX(PODACI_PRODAJA!H:H,MATCH($A505,PODACI_PRODAJA!$A:$A,0)),0)</f>
        <v>1</v>
      </c>
      <c r="Z505" s="23" t="n">
        <f aca="false">IFERROR(INDEX(PODACI_PRODAJA!I:I,MATCH($A505,PODACI_PRODAJA!$A:$A,0)),0)</f>
        <v>0</v>
      </c>
      <c r="AA505" s="23" t="n">
        <f aca="false">IFERROR(INDEX(PODACI_PRODAJA!J:J,MATCH($A505,PODACI_PRODAJA!$A:$A,0)),0)</f>
        <v>0</v>
      </c>
      <c r="AB505" s="23" t="n">
        <f aca="false">IFERROR(INDEX(PODACI_PRODAJA!K:K,MATCH($A505,PODACI_PRODAJA!$A:$A,0)),0)</f>
        <v>0</v>
      </c>
      <c r="AC505" s="23" t="n">
        <f aca="false">IFERROR(INDEX(PODACI_PRODAJA!L:L,MATCH($A505,PODACI_PRODAJA!$A:$A,0)),0)</f>
        <v>0</v>
      </c>
      <c r="AD505" s="23" t="n">
        <f aca="false">IFERROR(INDEX(PODACI_PRODAJA!M:M,MATCH($A505,PODACI_PRODAJA!$A:$A,0)),0)</f>
        <v>0</v>
      </c>
    </row>
    <row r="506" customFormat="false" ht="15" hidden="false" customHeight="false" outlineLevel="0" collapsed="false">
      <c r="A506" s="11" t="str">
        <f aca="false">PODACI_ZALIHE!A503</f>
        <v>17248</v>
      </c>
      <c r="B506" s="8" t="str">
        <f aca="false">PODACI_ZALIHE!B503</f>
        <v>ALUMINIJSKI PROFIL ZA VETRO SLIDE CHROME 120X195 cm</v>
      </c>
      <c r="C506" s="9" t="n">
        <f aca="false">PODACI_ZALIHE!C503</f>
        <v>0</v>
      </c>
      <c r="D506" s="8" t="n">
        <f aca="false">PODACI_ZALIHE!D503</f>
        <v>0</v>
      </c>
      <c r="E506" s="19" t="n">
        <f aca="false">IF(PODACI_ZALIHE!E503="","",PODACI_ZALIHE!E503)</f>
        <v>5</v>
      </c>
      <c r="F506" s="20" t="n">
        <f aca="false">PODACI_ZALIHE!F503</f>
        <v>5</v>
      </c>
      <c r="G506" s="19" t="n">
        <f aca="false">IF(E506="","",E506-F506)</f>
        <v>0</v>
      </c>
      <c r="H506" s="9" t="n">
        <f aca="false">PODACI_PRODAJA!N623</f>
        <v>1.63</v>
      </c>
      <c r="I506" s="21" t="n">
        <f aca="false">IF(H506&lt;=0,999,ROUND(F506/H506,1))</f>
        <v>3.1</v>
      </c>
      <c r="J506" s="9" t="n">
        <f aca="false">SUMIFS(ROBA_U_DOLASKU!$C$6:$C$95,ROBA_U_DOLASKU!$A$6:$A$95,A506,ROBA_U_DOLASKU!$H$6:$H$95,1)</f>
        <v>0</v>
      </c>
      <c r="K506" s="9" t="n">
        <f aca="false">SUMIFS(ROBA_U_DOLASKU!$B$6:$B$95,ROBA_U_DOLASKU!$A$6:$A$95,A506,ROBA_U_DOLASKU!$H$6:$H$95,1)</f>
        <v>0</v>
      </c>
      <c r="L506" s="9" t="n">
        <f aca="false">SUMIFS(ROBA_U_DOLASKU!$C$6:$C$95,ROBA_U_DOLASKU!$A$6:$A$95,A506,ROBA_U_DOLASKU!$H$6:$H$95,2)</f>
        <v>0</v>
      </c>
      <c r="M506" s="9" t="n">
        <f aca="false">SUMIFS(ROBA_U_DOLASKU!$B$6:$B$95,ROBA_U_DOLASKU!$A$6:$A$95,A506,ROBA_U_DOLASKU!$H$6:$H$95,2)</f>
        <v>0</v>
      </c>
      <c r="N506" s="9" t="n">
        <f aca="false">SUMIFS(ROBA_U_DOLASKU!$C$6:$C$95,ROBA_U_DOLASKU!$A$6:$A$95,A506,ROBA_U_DOLASKU!$H$6:$H$95,3)</f>
        <v>0</v>
      </c>
      <c r="O506" s="9" t="n">
        <f aca="false">SUMIFS(ROBA_U_DOLASKU!$B$6:$B$95,ROBA_U_DOLASKU!$A$6:$A$95,A506,ROBA_U_DOLASKU!$H$6:$H$95,3)</f>
        <v>0</v>
      </c>
      <c r="P506" s="9" t="n">
        <f aca="false">IF(H506&lt;=0,999,IF(O506&gt;0,ROUND((F506-H506*N506+K506+M506+O506)/H506,1),IF(M506&gt;0,ROUND((F506-H506*L506+K506+M506)/H506,1),IF(K506&gt;0,ROUND((F506-H506*J506+K506)/H506,1),I506))))</f>
        <v>3.1</v>
      </c>
      <c r="Q506" s="22" t="str">
        <f aca="false">IF(H506&lt;=0,"Nema prodaje",IF(AND(K506=0,M506=0,O506=0),IF(I506&lt;POSTAVKE!$B$6,"Naruči odmah","Sve u redu"),IF(F506-H506*J506&lt;0,"Rupa za ~"&amp;TEXT(I506,"0.0")&amp;" mj.",IF(AND(M506&gt;0,F506-H506*L506+K506&lt;0),"Rupa nakon 1. dolaska",IF(AND(O506&gt;0,F506-H506*N506+K506+M506&lt;0),"Rupa nakon 2. dolaska",IF(P506&lt;POSTAVKE!$B$6,"Količina nije dovoljna",IF(I506&gt;=POSTAVKE!$B$6,"Sve u redu","Stiže na vrijeme")))))))</f>
        <v>Naruči odmah</v>
      </c>
      <c r="S506" s="23" t="n">
        <f aca="false">IFERROR(INDEX(PODACI_PRODAJA!B:B,MATCH($A506,PODACI_PRODAJA!$A:$A,0)),0)</f>
        <v>0</v>
      </c>
      <c r="T506" s="23" t="n">
        <f aca="false">IFERROR(INDEX(PODACI_PRODAJA!C:C,MATCH($A506,PODACI_PRODAJA!$A:$A,0)),0)</f>
        <v>3</v>
      </c>
      <c r="U506" s="23" t="n">
        <f aca="false">IFERROR(INDEX(PODACI_PRODAJA!D:D,MATCH($A506,PODACI_PRODAJA!$A:$A,0)),0)</f>
        <v>2</v>
      </c>
      <c r="V506" s="23" t="n">
        <f aca="false">IFERROR(INDEX(PODACI_PRODAJA!E:E,MATCH($A506,PODACI_PRODAJA!$A:$A,0)),0)</f>
        <v>3</v>
      </c>
      <c r="W506" s="23" t="n">
        <f aca="false">IFERROR(INDEX(PODACI_PRODAJA!F:F,MATCH($A506,PODACI_PRODAJA!$A:$A,0)),0)</f>
        <v>2</v>
      </c>
      <c r="X506" s="23" t="n">
        <f aca="false">IFERROR(INDEX(PODACI_PRODAJA!G:G,MATCH($A506,PODACI_PRODAJA!$A:$A,0)),0)</f>
        <v>2</v>
      </c>
      <c r="Y506" s="23" t="n">
        <f aca="false">IFERROR(INDEX(PODACI_PRODAJA!H:H,MATCH($A506,PODACI_PRODAJA!$A:$A,0)),0)</f>
        <v>0</v>
      </c>
      <c r="Z506" s="23" t="n">
        <f aca="false">IFERROR(INDEX(PODACI_PRODAJA!I:I,MATCH($A506,PODACI_PRODAJA!$A:$A,0)),0)</f>
        <v>1</v>
      </c>
      <c r="AA506" s="23" t="n">
        <f aca="false">IFERROR(INDEX(PODACI_PRODAJA!J:J,MATCH($A506,PODACI_PRODAJA!$A:$A,0)),0)</f>
        <v>0</v>
      </c>
      <c r="AB506" s="23" t="n">
        <f aca="false">IFERROR(INDEX(PODACI_PRODAJA!K:K,MATCH($A506,PODACI_PRODAJA!$A:$A,0)),0)</f>
        <v>0</v>
      </c>
      <c r="AC506" s="23" t="n">
        <f aca="false">IFERROR(INDEX(PODACI_PRODAJA!L:L,MATCH($A506,PODACI_PRODAJA!$A:$A,0)),0)</f>
        <v>0</v>
      </c>
      <c r="AD506" s="23" t="n">
        <f aca="false">IFERROR(INDEX(PODACI_PRODAJA!M:M,MATCH($A506,PODACI_PRODAJA!$A:$A,0)),0)</f>
        <v>0</v>
      </c>
    </row>
    <row r="507" customFormat="false" ht="15" hidden="false" customHeight="false" outlineLevel="0" collapsed="false">
      <c r="A507" s="11" t="str">
        <f aca="false">PODACI_ZALIHE!A504</f>
        <v>23571000</v>
      </c>
      <c r="B507" s="8" t="str">
        <f aca="false">PODACI_ZALIHE!B504</f>
        <v>GROHE LINEARE PODŽBUKNO TIJELO ZA DVOOTVORNE MIJEŠALICE</v>
      </c>
      <c r="C507" s="9" t="str">
        <f aca="false">PODACI_ZALIHE!C504</f>
        <v>4499</v>
      </c>
      <c r="D507" s="8" t="str">
        <f aca="false">PODACI_ZALIHE!D504</f>
        <v>THS D.O.O.</v>
      </c>
      <c r="E507" s="19" t="n">
        <f aca="false">IF(PODACI_ZALIHE!E504="","",PODACI_ZALIHE!E504)</f>
        <v>6</v>
      </c>
      <c r="F507" s="20" t="n">
        <f aca="false">PODACI_ZALIHE!F504</f>
        <v>5</v>
      </c>
      <c r="G507" s="19" t="n">
        <f aca="false">IF(E507="","",E507-F507)</f>
        <v>1</v>
      </c>
      <c r="H507" s="9" t="n">
        <f aca="false">PODACI_PRODAJA!N729</f>
        <v>0</v>
      </c>
      <c r="I507" s="21" t="n">
        <f aca="false">IF(H507&lt;=0,999,ROUND(F507/H507,1))</f>
        <v>999</v>
      </c>
      <c r="J507" s="9" t="n">
        <f aca="false">SUMIFS(ROBA_U_DOLASKU!$C$6:$C$95,ROBA_U_DOLASKU!$A$6:$A$95,A507,ROBA_U_DOLASKU!$H$6:$H$95,1)</f>
        <v>0</v>
      </c>
      <c r="K507" s="9" t="n">
        <f aca="false">SUMIFS(ROBA_U_DOLASKU!$B$6:$B$95,ROBA_U_DOLASKU!$A$6:$A$95,A507,ROBA_U_DOLASKU!$H$6:$H$95,1)</f>
        <v>0</v>
      </c>
      <c r="L507" s="9" t="n">
        <f aca="false">SUMIFS(ROBA_U_DOLASKU!$C$6:$C$95,ROBA_U_DOLASKU!$A$6:$A$95,A507,ROBA_U_DOLASKU!$H$6:$H$95,2)</f>
        <v>0</v>
      </c>
      <c r="M507" s="9" t="n">
        <f aca="false">SUMIFS(ROBA_U_DOLASKU!$B$6:$B$95,ROBA_U_DOLASKU!$A$6:$A$95,A507,ROBA_U_DOLASKU!$H$6:$H$95,2)</f>
        <v>0</v>
      </c>
      <c r="N507" s="9" t="n">
        <f aca="false">SUMIFS(ROBA_U_DOLASKU!$C$6:$C$95,ROBA_U_DOLASKU!$A$6:$A$95,A507,ROBA_U_DOLASKU!$H$6:$H$95,3)</f>
        <v>0</v>
      </c>
      <c r="O507" s="9" t="n">
        <f aca="false">SUMIFS(ROBA_U_DOLASKU!$B$6:$B$95,ROBA_U_DOLASKU!$A$6:$A$95,A507,ROBA_U_DOLASKU!$H$6:$H$95,3)</f>
        <v>0</v>
      </c>
      <c r="P507" s="9" t="n">
        <f aca="false">IF(H507&lt;=0,999,IF(O507&gt;0,ROUND((F507-H507*N507+K507+M507+O507)/H507,1),IF(M507&gt;0,ROUND((F507-H507*L507+K507+M507)/H507,1),IF(K507&gt;0,ROUND((F507-H507*J507+K507)/H507,1),I507))))</f>
        <v>999</v>
      </c>
      <c r="Q507" s="22" t="str">
        <f aca="false">IF(H507&lt;=0,"Nema prodaje",IF(AND(K507=0,M507=0,O507=0),IF(I507&lt;POSTAVKE!$B$6,"Naruči odmah","Sve u redu"),IF(F507-H507*J507&lt;0,"Rupa za ~"&amp;TEXT(I507,"0.0")&amp;" mj.",IF(AND(M507&gt;0,F507-H507*L507+K507&lt;0),"Rupa nakon 1. dolaska",IF(AND(O507&gt;0,F507-H507*N507+K507+M507&lt;0),"Rupa nakon 2. dolaska",IF(P507&lt;POSTAVKE!$B$6,"Količina nije dovoljna",IF(I507&gt;=POSTAVKE!$B$6,"Sve u redu","Stiže na vrijeme")))))))</f>
        <v>Nema prodaje</v>
      </c>
      <c r="S507" s="23" t="n">
        <f aca="false">IFERROR(INDEX(PODACI_PRODAJA!B:B,MATCH($A507,PODACI_PRODAJA!$A:$A,0)),0)</f>
        <v>0</v>
      </c>
      <c r="T507" s="23" t="n">
        <f aca="false">IFERROR(INDEX(PODACI_PRODAJA!C:C,MATCH($A507,PODACI_PRODAJA!$A:$A,0)),0)</f>
        <v>0</v>
      </c>
      <c r="U507" s="23" t="n">
        <f aca="false">IFERROR(INDEX(PODACI_PRODAJA!D:D,MATCH($A507,PODACI_PRODAJA!$A:$A,0)),0)</f>
        <v>0</v>
      </c>
      <c r="V507" s="23" t="n">
        <f aca="false">IFERROR(INDEX(PODACI_PRODAJA!E:E,MATCH($A507,PODACI_PRODAJA!$A:$A,0)),0)</f>
        <v>0</v>
      </c>
      <c r="W507" s="23" t="n">
        <f aca="false">IFERROR(INDEX(PODACI_PRODAJA!F:F,MATCH($A507,PODACI_PRODAJA!$A:$A,0)),0)</f>
        <v>0</v>
      </c>
      <c r="X507" s="23" t="n">
        <f aca="false">IFERROR(INDEX(PODACI_PRODAJA!G:G,MATCH($A507,PODACI_PRODAJA!$A:$A,0)),0)</f>
        <v>0</v>
      </c>
      <c r="Y507" s="23" t="n">
        <f aca="false">IFERROR(INDEX(PODACI_PRODAJA!H:H,MATCH($A507,PODACI_PRODAJA!$A:$A,0)),0)</f>
        <v>0</v>
      </c>
      <c r="Z507" s="23" t="n">
        <f aca="false">IFERROR(INDEX(PODACI_PRODAJA!I:I,MATCH($A507,PODACI_PRODAJA!$A:$A,0)),0)</f>
        <v>0</v>
      </c>
      <c r="AA507" s="23" t="n">
        <f aca="false">IFERROR(INDEX(PODACI_PRODAJA!J:J,MATCH($A507,PODACI_PRODAJA!$A:$A,0)),0)</f>
        <v>0</v>
      </c>
      <c r="AB507" s="23" t="n">
        <f aca="false">IFERROR(INDEX(PODACI_PRODAJA!K:K,MATCH($A507,PODACI_PRODAJA!$A:$A,0)),0)</f>
        <v>0</v>
      </c>
      <c r="AC507" s="23" t="n">
        <f aca="false">IFERROR(INDEX(PODACI_PRODAJA!L:L,MATCH($A507,PODACI_PRODAJA!$A:$A,0)),0)</f>
        <v>0</v>
      </c>
      <c r="AD507" s="23" t="n">
        <f aca="false">IFERROR(INDEX(PODACI_PRODAJA!M:M,MATCH($A507,PODACI_PRODAJA!$A:$A,0)),0)</f>
        <v>0</v>
      </c>
    </row>
    <row r="508" customFormat="false" ht="15" hidden="false" customHeight="false" outlineLevel="0" collapsed="false">
      <c r="A508" s="11" t="str">
        <f aca="false">PODACI_ZALIHE!A505</f>
        <v>23971003</v>
      </c>
      <c r="B508" s="8" t="str">
        <f aca="false">PODACI_ZALIHE!B505</f>
        <v>GROHE EUROSMART MIJEŠALICA ZA UMIVAONIK XL, KROM</v>
      </c>
      <c r="C508" s="9" t="str">
        <f aca="false">PODACI_ZALIHE!C505</f>
        <v>4499</v>
      </c>
      <c r="D508" s="8" t="str">
        <f aca="false">PODACI_ZALIHE!D505</f>
        <v>THS D.O.O.</v>
      </c>
      <c r="E508" s="19" t="n">
        <f aca="false">IF(PODACI_ZALIHE!E505="","",PODACI_ZALIHE!E505)</f>
        <v>6</v>
      </c>
      <c r="F508" s="20" t="n">
        <f aca="false">PODACI_ZALIHE!F505</f>
        <v>5</v>
      </c>
      <c r="G508" s="19" t="n">
        <f aca="false">IF(E508="","",E508-F508)</f>
        <v>1</v>
      </c>
      <c r="H508" s="9" t="n">
        <f aca="false">PODACI_PRODAJA!N733</f>
        <v>0</v>
      </c>
      <c r="I508" s="21" t="n">
        <f aca="false">IF(H508&lt;=0,999,ROUND(F508/H508,1))</f>
        <v>999</v>
      </c>
      <c r="J508" s="9" t="n">
        <f aca="false">SUMIFS(ROBA_U_DOLASKU!$C$6:$C$95,ROBA_U_DOLASKU!$A$6:$A$95,A508,ROBA_U_DOLASKU!$H$6:$H$95,1)</f>
        <v>0</v>
      </c>
      <c r="K508" s="9" t="n">
        <f aca="false">SUMIFS(ROBA_U_DOLASKU!$B$6:$B$95,ROBA_U_DOLASKU!$A$6:$A$95,A508,ROBA_U_DOLASKU!$H$6:$H$95,1)</f>
        <v>0</v>
      </c>
      <c r="L508" s="9" t="n">
        <f aca="false">SUMIFS(ROBA_U_DOLASKU!$C$6:$C$95,ROBA_U_DOLASKU!$A$6:$A$95,A508,ROBA_U_DOLASKU!$H$6:$H$95,2)</f>
        <v>0</v>
      </c>
      <c r="M508" s="9" t="n">
        <f aca="false">SUMIFS(ROBA_U_DOLASKU!$B$6:$B$95,ROBA_U_DOLASKU!$A$6:$A$95,A508,ROBA_U_DOLASKU!$H$6:$H$95,2)</f>
        <v>0</v>
      </c>
      <c r="N508" s="9" t="n">
        <f aca="false">SUMIFS(ROBA_U_DOLASKU!$C$6:$C$95,ROBA_U_DOLASKU!$A$6:$A$95,A508,ROBA_U_DOLASKU!$H$6:$H$95,3)</f>
        <v>0</v>
      </c>
      <c r="O508" s="9" t="n">
        <f aca="false">SUMIFS(ROBA_U_DOLASKU!$B$6:$B$95,ROBA_U_DOLASKU!$A$6:$A$95,A508,ROBA_U_DOLASKU!$H$6:$H$95,3)</f>
        <v>0</v>
      </c>
      <c r="P508" s="9" t="n">
        <f aca="false">IF(H508&lt;=0,999,IF(O508&gt;0,ROUND((F508-H508*N508+K508+M508+O508)/H508,1),IF(M508&gt;0,ROUND((F508-H508*L508+K508+M508)/H508,1),IF(K508&gt;0,ROUND((F508-H508*J508+K508)/H508,1),I508))))</f>
        <v>999</v>
      </c>
      <c r="Q508" s="22" t="str">
        <f aca="false">IF(H508&lt;=0,"Nema prodaje",IF(AND(K508=0,M508=0,O508=0),IF(I508&lt;POSTAVKE!$B$6,"Naruči odmah","Sve u redu"),IF(F508-H508*J508&lt;0,"Rupa za ~"&amp;TEXT(I508,"0.0")&amp;" mj.",IF(AND(M508&gt;0,F508-H508*L508+K508&lt;0),"Rupa nakon 1. dolaska",IF(AND(O508&gt;0,F508-H508*N508+K508+M508&lt;0),"Rupa nakon 2. dolaska",IF(P508&lt;POSTAVKE!$B$6,"Količina nije dovoljna",IF(I508&gt;=POSTAVKE!$B$6,"Sve u redu","Stiže na vrijeme")))))))</f>
        <v>Nema prodaje</v>
      </c>
      <c r="S508" s="23" t="n">
        <f aca="false">IFERROR(INDEX(PODACI_PRODAJA!B:B,MATCH($A508,PODACI_PRODAJA!$A:$A,0)),0)</f>
        <v>0</v>
      </c>
      <c r="T508" s="23" t="n">
        <f aca="false">IFERROR(INDEX(PODACI_PRODAJA!C:C,MATCH($A508,PODACI_PRODAJA!$A:$A,0)),0)</f>
        <v>0</v>
      </c>
      <c r="U508" s="23" t="n">
        <f aca="false">IFERROR(INDEX(PODACI_PRODAJA!D:D,MATCH($A508,PODACI_PRODAJA!$A:$A,0)),0)</f>
        <v>0</v>
      </c>
      <c r="V508" s="23" t="n">
        <f aca="false">IFERROR(INDEX(PODACI_PRODAJA!E:E,MATCH($A508,PODACI_PRODAJA!$A:$A,0)),0)</f>
        <v>0</v>
      </c>
      <c r="W508" s="23" t="n">
        <f aca="false">IFERROR(INDEX(PODACI_PRODAJA!F:F,MATCH($A508,PODACI_PRODAJA!$A:$A,0)),0)</f>
        <v>0</v>
      </c>
      <c r="X508" s="23" t="n">
        <f aca="false">IFERROR(INDEX(PODACI_PRODAJA!G:G,MATCH($A508,PODACI_PRODAJA!$A:$A,0)),0)</f>
        <v>0</v>
      </c>
      <c r="Y508" s="23" t="n">
        <f aca="false">IFERROR(INDEX(PODACI_PRODAJA!H:H,MATCH($A508,PODACI_PRODAJA!$A:$A,0)),0)</f>
        <v>0</v>
      </c>
      <c r="Z508" s="23" t="n">
        <f aca="false">IFERROR(INDEX(PODACI_PRODAJA!I:I,MATCH($A508,PODACI_PRODAJA!$A:$A,0)),0)</f>
        <v>0</v>
      </c>
      <c r="AA508" s="23" t="n">
        <f aca="false">IFERROR(INDEX(PODACI_PRODAJA!J:J,MATCH($A508,PODACI_PRODAJA!$A:$A,0)),0)</f>
        <v>0</v>
      </c>
      <c r="AB508" s="23" t="n">
        <f aca="false">IFERROR(INDEX(PODACI_PRODAJA!K:K,MATCH($A508,PODACI_PRODAJA!$A:$A,0)),0)</f>
        <v>0</v>
      </c>
      <c r="AC508" s="23" t="n">
        <f aca="false">IFERROR(INDEX(PODACI_PRODAJA!L:L,MATCH($A508,PODACI_PRODAJA!$A:$A,0)),0)</f>
        <v>0</v>
      </c>
      <c r="AD508" s="23" t="n">
        <f aca="false">IFERROR(INDEX(PODACI_PRODAJA!M:M,MATCH($A508,PODACI_PRODAJA!$A:$A,0)),0)</f>
        <v>0</v>
      </c>
    </row>
    <row r="509" customFormat="false" ht="15" hidden="false" customHeight="false" outlineLevel="0" collapsed="false">
      <c r="A509" s="11" t="str">
        <f aca="false">PODACI_ZALIHE!A506</f>
        <v>26162003</v>
      </c>
      <c r="B509" s="8" t="str">
        <f aca="false">PODACI_ZALIHE!B506</f>
        <v>GROHE TEMPESTA 110 TUŠ SISTEM, VODILICA + TUŠ SLUŠALICA, 2 MLAZA, KROM</v>
      </c>
      <c r="C509" s="9" t="str">
        <f aca="false">PODACI_ZALIHE!C506</f>
        <v>4499</v>
      </c>
      <c r="D509" s="8" t="str">
        <f aca="false">PODACI_ZALIHE!D506</f>
        <v>THS D.O.O.</v>
      </c>
      <c r="E509" s="19" t="n">
        <f aca="false">IF(PODACI_ZALIHE!E506="","",PODACI_ZALIHE!E506)</f>
        <v>6</v>
      </c>
      <c r="F509" s="20" t="n">
        <f aca="false">PODACI_ZALIHE!F506</f>
        <v>5</v>
      </c>
      <c r="G509" s="19" t="n">
        <f aca="false">IF(E509="","",E509-F509)</f>
        <v>1</v>
      </c>
      <c r="H509" s="9" t="n">
        <f aca="false">PODACI_PRODAJA!N737</f>
        <v>0</v>
      </c>
      <c r="I509" s="21" t="n">
        <f aca="false">IF(H509&lt;=0,999,ROUND(F509/H509,1))</f>
        <v>999</v>
      </c>
      <c r="J509" s="9" t="n">
        <f aca="false">SUMIFS(ROBA_U_DOLASKU!$C$6:$C$95,ROBA_U_DOLASKU!$A$6:$A$95,A509,ROBA_U_DOLASKU!$H$6:$H$95,1)</f>
        <v>0</v>
      </c>
      <c r="K509" s="9" t="n">
        <f aca="false">SUMIFS(ROBA_U_DOLASKU!$B$6:$B$95,ROBA_U_DOLASKU!$A$6:$A$95,A509,ROBA_U_DOLASKU!$H$6:$H$95,1)</f>
        <v>0</v>
      </c>
      <c r="L509" s="9" t="n">
        <f aca="false">SUMIFS(ROBA_U_DOLASKU!$C$6:$C$95,ROBA_U_DOLASKU!$A$6:$A$95,A509,ROBA_U_DOLASKU!$H$6:$H$95,2)</f>
        <v>0</v>
      </c>
      <c r="M509" s="9" t="n">
        <f aca="false">SUMIFS(ROBA_U_DOLASKU!$B$6:$B$95,ROBA_U_DOLASKU!$A$6:$A$95,A509,ROBA_U_DOLASKU!$H$6:$H$95,2)</f>
        <v>0</v>
      </c>
      <c r="N509" s="9" t="n">
        <f aca="false">SUMIFS(ROBA_U_DOLASKU!$C$6:$C$95,ROBA_U_DOLASKU!$A$6:$A$95,A509,ROBA_U_DOLASKU!$H$6:$H$95,3)</f>
        <v>0</v>
      </c>
      <c r="O509" s="9" t="n">
        <f aca="false">SUMIFS(ROBA_U_DOLASKU!$B$6:$B$95,ROBA_U_DOLASKU!$A$6:$A$95,A509,ROBA_U_DOLASKU!$H$6:$H$95,3)</f>
        <v>0</v>
      </c>
      <c r="P509" s="9" t="n">
        <f aca="false">IF(H509&lt;=0,999,IF(O509&gt;0,ROUND((F509-H509*N509+K509+M509+O509)/H509,1),IF(M509&gt;0,ROUND((F509-H509*L509+K509+M509)/H509,1),IF(K509&gt;0,ROUND((F509-H509*J509+K509)/H509,1),I509))))</f>
        <v>999</v>
      </c>
      <c r="Q509" s="22" t="str">
        <f aca="false">IF(H509&lt;=0,"Nema prodaje",IF(AND(K509=0,M509=0,O509=0),IF(I509&lt;POSTAVKE!$B$6,"Naruči odmah","Sve u redu"),IF(F509-H509*J509&lt;0,"Rupa za ~"&amp;TEXT(I509,"0.0")&amp;" mj.",IF(AND(M509&gt;0,F509-H509*L509+K509&lt;0),"Rupa nakon 1. dolaska",IF(AND(O509&gt;0,F509-H509*N509+K509+M509&lt;0),"Rupa nakon 2. dolaska",IF(P509&lt;POSTAVKE!$B$6,"Količina nije dovoljna",IF(I509&gt;=POSTAVKE!$B$6,"Sve u redu","Stiže na vrijeme")))))))</f>
        <v>Nema prodaje</v>
      </c>
      <c r="S509" s="23" t="n">
        <f aca="false">IFERROR(INDEX(PODACI_PRODAJA!B:B,MATCH($A509,PODACI_PRODAJA!$A:$A,0)),0)</f>
        <v>0</v>
      </c>
      <c r="T509" s="23" t="n">
        <f aca="false">IFERROR(INDEX(PODACI_PRODAJA!C:C,MATCH($A509,PODACI_PRODAJA!$A:$A,0)),0)</f>
        <v>0</v>
      </c>
      <c r="U509" s="23" t="n">
        <f aca="false">IFERROR(INDEX(PODACI_PRODAJA!D:D,MATCH($A509,PODACI_PRODAJA!$A:$A,0)),0)</f>
        <v>0</v>
      </c>
      <c r="V509" s="23" t="n">
        <f aca="false">IFERROR(INDEX(PODACI_PRODAJA!E:E,MATCH($A509,PODACI_PRODAJA!$A:$A,0)),0)</f>
        <v>0</v>
      </c>
      <c r="W509" s="23" t="n">
        <f aca="false">IFERROR(INDEX(PODACI_PRODAJA!F:F,MATCH($A509,PODACI_PRODAJA!$A:$A,0)),0)</f>
        <v>0</v>
      </c>
      <c r="X509" s="23" t="n">
        <f aca="false">IFERROR(INDEX(PODACI_PRODAJA!G:G,MATCH($A509,PODACI_PRODAJA!$A:$A,0)),0)</f>
        <v>0</v>
      </c>
      <c r="Y509" s="23" t="n">
        <f aca="false">IFERROR(INDEX(PODACI_PRODAJA!H:H,MATCH($A509,PODACI_PRODAJA!$A:$A,0)),0)</f>
        <v>0</v>
      </c>
      <c r="Z509" s="23" t="n">
        <f aca="false">IFERROR(INDEX(PODACI_PRODAJA!I:I,MATCH($A509,PODACI_PRODAJA!$A:$A,0)),0)</f>
        <v>0</v>
      </c>
      <c r="AA509" s="23" t="n">
        <f aca="false">IFERROR(INDEX(PODACI_PRODAJA!J:J,MATCH($A509,PODACI_PRODAJA!$A:$A,0)),0)</f>
        <v>0</v>
      </c>
      <c r="AB509" s="23" t="n">
        <f aca="false">IFERROR(INDEX(PODACI_PRODAJA!K:K,MATCH($A509,PODACI_PRODAJA!$A:$A,0)),0)</f>
        <v>0</v>
      </c>
      <c r="AC509" s="23" t="n">
        <f aca="false">IFERROR(INDEX(PODACI_PRODAJA!L:L,MATCH($A509,PODACI_PRODAJA!$A:$A,0)),0)</f>
        <v>0</v>
      </c>
      <c r="AD509" s="23" t="n">
        <f aca="false">IFERROR(INDEX(PODACI_PRODAJA!M:M,MATCH($A509,PODACI_PRODAJA!$A:$A,0)),0)</f>
        <v>0</v>
      </c>
    </row>
    <row r="510" customFormat="false" ht="15" hidden="false" customHeight="false" outlineLevel="0" collapsed="false">
      <c r="A510" s="11" t="str">
        <f aca="false">PODACI_ZALIHE!A507</f>
        <v>26335001</v>
      </c>
      <c r="B510" s="8" t="str">
        <f aca="false">PODACI_ZALIHE!B507</f>
        <v>GROHE SILVERFLEX TUŠ CRIJEVO, 1250 MM, KROM</v>
      </c>
      <c r="C510" s="9" t="str">
        <f aca="false">PODACI_ZALIHE!C507</f>
        <v>4499</v>
      </c>
      <c r="D510" s="8" t="str">
        <f aca="false">PODACI_ZALIHE!D507</f>
        <v>THS D.O.O.</v>
      </c>
      <c r="E510" s="19" t="n">
        <f aca="false">IF(PODACI_ZALIHE!E507="","",PODACI_ZALIHE!E507)</f>
        <v>6</v>
      </c>
      <c r="F510" s="20" t="n">
        <f aca="false">PODACI_ZALIHE!F507</f>
        <v>5</v>
      </c>
      <c r="G510" s="19" t="n">
        <f aca="false">IF(E510="","",E510-F510)</f>
        <v>1</v>
      </c>
      <c r="H510" s="9" t="n">
        <f aca="false">PODACI_PRODAJA!N739</f>
        <v>0</v>
      </c>
      <c r="I510" s="21" t="n">
        <f aca="false">IF(H510&lt;=0,999,ROUND(F510/H510,1))</f>
        <v>999</v>
      </c>
      <c r="J510" s="9" t="n">
        <f aca="false">SUMIFS(ROBA_U_DOLASKU!$C$6:$C$95,ROBA_U_DOLASKU!$A$6:$A$95,A510,ROBA_U_DOLASKU!$H$6:$H$95,1)</f>
        <v>0</v>
      </c>
      <c r="K510" s="9" t="n">
        <f aca="false">SUMIFS(ROBA_U_DOLASKU!$B$6:$B$95,ROBA_U_DOLASKU!$A$6:$A$95,A510,ROBA_U_DOLASKU!$H$6:$H$95,1)</f>
        <v>0</v>
      </c>
      <c r="L510" s="9" t="n">
        <f aca="false">SUMIFS(ROBA_U_DOLASKU!$C$6:$C$95,ROBA_U_DOLASKU!$A$6:$A$95,A510,ROBA_U_DOLASKU!$H$6:$H$95,2)</f>
        <v>0</v>
      </c>
      <c r="M510" s="9" t="n">
        <f aca="false">SUMIFS(ROBA_U_DOLASKU!$B$6:$B$95,ROBA_U_DOLASKU!$A$6:$A$95,A510,ROBA_U_DOLASKU!$H$6:$H$95,2)</f>
        <v>0</v>
      </c>
      <c r="N510" s="9" t="n">
        <f aca="false">SUMIFS(ROBA_U_DOLASKU!$C$6:$C$95,ROBA_U_DOLASKU!$A$6:$A$95,A510,ROBA_U_DOLASKU!$H$6:$H$95,3)</f>
        <v>0</v>
      </c>
      <c r="O510" s="9" t="n">
        <f aca="false">SUMIFS(ROBA_U_DOLASKU!$B$6:$B$95,ROBA_U_DOLASKU!$A$6:$A$95,A510,ROBA_U_DOLASKU!$H$6:$H$95,3)</f>
        <v>0</v>
      </c>
      <c r="P510" s="9" t="n">
        <f aca="false">IF(H510&lt;=0,999,IF(O510&gt;0,ROUND((F510-H510*N510+K510+M510+O510)/H510,1),IF(M510&gt;0,ROUND((F510-H510*L510+K510+M510)/H510,1),IF(K510&gt;0,ROUND((F510-H510*J510+K510)/H510,1),I510))))</f>
        <v>999</v>
      </c>
      <c r="Q510" s="22" t="str">
        <f aca="false">IF(H510&lt;=0,"Nema prodaje",IF(AND(K510=0,M510=0,O510=0),IF(I510&lt;POSTAVKE!$B$6,"Naruči odmah","Sve u redu"),IF(F510-H510*J510&lt;0,"Rupa za ~"&amp;TEXT(I510,"0.0")&amp;" mj.",IF(AND(M510&gt;0,F510-H510*L510+K510&lt;0),"Rupa nakon 1. dolaska",IF(AND(O510&gt;0,F510-H510*N510+K510+M510&lt;0),"Rupa nakon 2. dolaska",IF(P510&lt;POSTAVKE!$B$6,"Količina nije dovoljna",IF(I510&gt;=POSTAVKE!$B$6,"Sve u redu","Stiže na vrijeme")))))))</f>
        <v>Nema prodaje</v>
      </c>
      <c r="S510" s="23" t="n">
        <f aca="false">IFERROR(INDEX(PODACI_PRODAJA!B:B,MATCH($A510,PODACI_PRODAJA!$A:$A,0)),0)</f>
        <v>0</v>
      </c>
      <c r="T510" s="23" t="n">
        <f aca="false">IFERROR(INDEX(PODACI_PRODAJA!C:C,MATCH($A510,PODACI_PRODAJA!$A:$A,0)),0)</f>
        <v>0</v>
      </c>
      <c r="U510" s="23" t="n">
        <f aca="false">IFERROR(INDEX(PODACI_PRODAJA!D:D,MATCH($A510,PODACI_PRODAJA!$A:$A,0)),0)</f>
        <v>0</v>
      </c>
      <c r="V510" s="23" t="n">
        <f aca="false">IFERROR(INDEX(PODACI_PRODAJA!E:E,MATCH($A510,PODACI_PRODAJA!$A:$A,0)),0)</f>
        <v>0</v>
      </c>
      <c r="W510" s="23" t="n">
        <f aca="false">IFERROR(INDEX(PODACI_PRODAJA!F:F,MATCH($A510,PODACI_PRODAJA!$A:$A,0)),0)</f>
        <v>0</v>
      </c>
      <c r="X510" s="23" t="n">
        <f aca="false">IFERROR(INDEX(PODACI_PRODAJA!G:G,MATCH($A510,PODACI_PRODAJA!$A:$A,0)),0)</f>
        <v>0</v>
      </c>
      <c r="Y510" s="23" t="n">
        <f aca="false">IFERROR(INDEX(PODACI_PRODAJA!H:H,MATCH($A510,PODACI_PRODAJA!$A:$A,0)),0)</f>
        <v>0</v>
      </c>
      <c r="Z510" s="23" t="n">
        <f aca="false">IFERROR(INDEX(PODACI_PRODAJA!I:I,MATCH($A510,PODACI_PRODAJA!$A:$A,0)),0)</f>
        <v>0</v>
      </c>
      <c r="AA510" s="23" t="n">
        <f aca="false">IFERROR(INDEX(PODACI_PRODAJA!J:J,MATCH($A510,PODACI_PRODAJA!$A:$A,0)),0)</f>
        <v>0</v>
      </c>
      <c r="AB510" s="23" t="n">
        <f aca="false">IFERROR(INDEX(PODACI_PRODAJA!K:K,MATCH($A510,PODACI_PRODAJA!$A:$A,0)),0)</f>
        <v>0</v>
      </c>
      <c r="AC510" s="23" t="n">
        <f aca="false">IFERROR(INDEX(PODACI_PRODAJA!L:L,MATCH($A510,PODACI_PRODAJA!$A:$A,0)),0)</f>
        <v>0</v>
      </c>
      <c r="AD510" s="23" t="n">
        <f aca="false">IFERROR(INDEX(PODACI_PRODAJA!M:M,MATCH($A510,PODACI_PRODAJA!$A:$A,0)),0)</f>
        <v>0</v>
      </c>
    </row>
    <row r="511" customFormat="false" ht="15" hidden="false" customHeight="false" outlineLevel="0" collapsed="false">
      <c r="A511" s="11" t="str">
        <f aca="false">PODACI_ZALIHE!A508</f>
        <v>26689001</v>
      </c>
      <c r="B511" s="8" t="str">
        <f aca="false">PODACI_ZALIHE!B508</f>
        <v>GROHE TEMPESTA 250 CUBE TUŠ SISTEM, KROM</v>
      </c>
      <c r="C511" s="9" t="str">
        <f aca="false">PODACI_ZALIHE!C508</f>
        <v>4499</v>
      </c>
      <c r="D511" s="8" t="str">
        <f aca="false">PODACI_ZALIHE!D508</f>
        <v>THS D.O.O.</v>
      </c>
      <c r="E511" s="19" t="n">
        <f aca="false">IF(PODACI_ZALIHE!E508="","",PODACI_ZALIHE!E508)</f>
        <v>6</v>
      </c>
      <c r="F511" s="20" t="n">
        <f aca="false">PODACI_ZALIHE!F508</f>
        <v>5</v>
      </c>
      <c r="G511" s="19" t="n">
        <f aca="false">IF(E511="","",E511-F511)</f>
        <v>1</v>
      </c>
      <c r="H511" s="9" t="n">
        <f aca="false">PODACI_PRODAJA!N741</f>
        <v>0</v>
      </c>
      <c r="I511" s="21" t="n">
        <f aca="false">IF(H511&lt;=0,999,ROUND(F511/H511,1))</f>
        <v>999</v>
      </c>
      <c r="J511" s="9" t="n">
        <f aca="false">SUMIFS(ROBA_U_DOLASKU!$C$6:$C$95,ROBA_U_DOLASKU!$A$6:$A$95,A511,ROBA_U_DOLASKU!$H$6:$H$95,1)</f>
        <v>0</v>
      </c>
      <c r="K511" s="9" t="n">
        <f aca="false">SUMIFS(ROBA_U_DOLASKU!$B$6:$B$95,ROBA_U_DOLASKU!$A$6:$A$95,A511,ROBA_U_DOLASKU!$H$6:$H$95,1)</f>
        <v>0</v>
      </c>
      <c r="L511" s="9" t="n">
        <f aca="false">SUMIFS(ROBA_U_DOLASKU!$C$6:$C$95,ROBA_U_DOLASKU!$A$6:$A$95,A511,ROBA_U_DOLASKU!$H$6:$H$95,2)</f>
        <v>0</v>
      </c>
      <c r="M511" s="9" t="n">
        <f aca="false">SUMIFS(ROBA_U_DOLASKU!$B$6:$B$95,ROBA_U_DOLASKU!$A$6:$A$95,A511,ROBA_U_DOLASKU!$H$6:$H$95,2)</f>
        <v>0</v>
      </c>
      <c r="N511" s="9" t="n">
        <f aca="false">SUMIFS(ROBA_U_DOLASKU!$C$6:$C$95,ROBA_U_DOLASKU!$A$6:$A$95,A511,ROBA_U_DOLASKU!$H$6:$H$95,3)</f>
        <v>0</v>
      </c>
      <c r="O511" s="9" t="n">
        <f aca="false">SUMIFS(ROBA_U_DOLASKU!$B$6:$B$95,ROBA_U_DOLASKU!$A$6:$A$95,A511,ROBA_U_DOLASKU!$H$6:$H$95,3)</f>
        <v>0</v>
      </c>
      <c r="P511" s="9" t="n">
        <f aca="false">IF(H511&lt;=0,999,IF(O511&gt;0,ROUND((F511-H511*N511+K511+M511+O511)/H511,1),IF(M511&gt;0,ROUND((F511-H511*L511+K511+M511)/H511,1),IF(K511&gt;0,ROUND((F511-H511*J511+K511)/H511,1),I511))))</f>
        <v>999</v>
      </c>
      <c r="Q511" s="22" t="str">
        <f aca="false">IF(H511&lt;=0,"Nema prodaje",IF(AND(K511=0,M511=0,O511=0),IF(I511&lt;POSTAVKE!$B$6,"Naruči odmah","Sve u redu"),IF(F511-H511*J511&lt;0,"Rupa za ~"&amp;TEXT(I511,"0.0")&amp;" mj.",IF(AND(M511&gt;0,F511-H511*L511+K511&lt;0),"Rupa nakon 1. dolaska",IF(AND(O511&gt;0,F511-H511*N511+K511+M511&lt;0),"Rupa nakon 2. dolaska",IF(P511&lt;POSTAVKE!$B$6,"Količina nije dovoljna",IF(I511&gt;=POSTAVKE!$B$6,"Sve u redu","Stiže na vrijeme")))))))</f>
        <v>Nema prodaje</v>
      </c>
      <c r="S511" s="23" t="n">
        <f aca="false">IFERROR(INDEX(PODACI_PRODAJA!B:B,MATCH($A511,PODACI_PRODAJA!$A:$A,0)),0)</f>
        <v>0</v>
      </c>
      <c r="T511" s="23" t="n">
        <f aca="false">IFERROR(INDEX(PODACI_PRODAJA!C:C,MATCH($A511,PODACI_PRODAJA!$A:$A,0)),0)</f>
        <v>0</v>
      </c>
      <c r="U511" s="23" t="n">
        <f aca="false">IFERROR(INDEX(PODACI_PRODAJA!D:D,MATCH($A511,PODACI_PRODAJA!$A:$A,0)),0)</f>
        <v>0</v>
      </c>
      <c r="V511" s="23" t="n">
        <f aca="false">IFERROR(INDEX(PODACI_PRODAJA!E:E,MATCH($A511,PODACI_PRODAJA!$A:$A,0)),0)</f>
        <v>0</v>
      </c>
      <c r="W511" s="23" t="n">
        <f aca="false">IFERROR(INDEX(PODACI_PRODAJA!F:F,MATCH($A511,PODACI_PRODAJA!$A:$A,0)),0)</f>
        <v>0</v>
      </c>
      <c r="X511" s="23" t="n">
        <f aca="false">IFERROR(INDEX(PODACI_PRODAJA!G:G,MATCH($A511,PODACI_PRODAJA!$A:$A,0)),0)</f>
        <v>0</v>
      </c>
      <c r="Y511" s="23" t="n">
        <f aca="false">IFERROR(INDEX(PODACI_PRODAJA!H:H,MATCH($A511,PODACI_PRODAJA!$A:$A,0)),0)</f>
        <v>0</v>
      </c>
      <c r="Z511" s="23" t="n">
        <f aca="false">IFERROR(INDEX(PODACI_PRODAJA!I:I,MATCH($A511,PODACI_PRODAJA!$A:$A,0)),0)</f>
        <v>0</v>
      </c>
      <c r="AA511" s="23" t="n">
        <f aca="false">IFERROR(INDEX(PODACI_PRODAJA!J:J,MATCH($A511,PODACI_PRODAJA!$A:$A,0)),0)</f>
        <v>0</v>
      </c>
      <c r="AB511" s="23" t="n">
        <f aca="false">IFERROR(INDEX(PODACI_PRODAJA!K:K,MATCH($A511,PODACI_PRODAJA!$A:$A,0)),0)</f>
        <v>0</v>
      </c>
      <c r="AC511" s="23" t="n">
        <f aca="false">IFERROR(INDEX(PODACI_PRODAJA!L:L,MATCH($A511,PODACI_PRODAJA!$A:$A,0)),0)</f>
        <v>0</v>
      </c>
      <c r="AD511" s="23" t="n">
        <f aca="false">IFERROR(INDEX(PODACI_PRODAJA!M:M,MATCH($A511,PODACI_PRODAJA!$A:$A,0)),0)</f>
        <v>0</v>
      </c>
    </row>
    <row r="512" customFormat="false" ht="15" hidden="false" customHeight="false" outlineLevel="0" collapsed="false">
      <c r="A512" s="11" t="str">
        <f aca="false">PODACI_ZALIHE!A509</f>
        <v>26746003</v>
      </c>
      <c r="B512" s="8" t="str">
        <f aca="false">PODACI_ZALIHE!B509</f>
        <v>GROHE TEMPESTA 110 CUBE TUŠ SLUŠALICA, 2 MLAZA, KROM</v>
      </c>
      <c r="C512" s="9" t="str">
        <f aca="false">PODACI_ZALIHE!C509</f>
        <v>4499</v>
      </c>
      <c r="D512" s="8" t="str">
        <f aca="false">PODACI_ZALIHE!D509</f>
        <v>THS D.O.O.</v>
      </c>
      <c r="E512" s="19" t="n">
        <f aca="false">IF(PODACI_ZALIHE!E509="","",PODACI_ZALIHE!E509)</f>
        <v>6</v>
      </c>
      <c r="F512" s="20" t="n">
        <f aca="false">PODACI_ZALIHE!F509</f>
        <v>5</v>
      </c>
      <c r="G512" s="19" t="n">
        <f aca="false">IF(E512="","",E512-F512)</f>
        <v>1</v>
      </c>
      <c r="H512" s="9" t="n">
        <f aca="false">PODACI_PRODAJA!N742</f>
        <v>0</v>
      </c>
      <c r="I512" s="21" t="n">
        <f aca="false">IF(H512&lt;=0,999,ROUND(F512/H512,1))</f>
        <v>999</v>
      </c>
      <c r="J512" s="9" t="n">
        <f aca="false">SUMIFS(ROBA_U_DOLASKU!$C$6:$C$95,ROBA_U_DOLASKU!$A$6:$A$95,A512,ROBA_U_DOLASKU!$H$6:$H$95,1)</f>
        <v>0</v>
      </c>
      <c r="K512" s="9" t="n">
        <f aca="false">SUMIFS(ROBA_U_DOLASKU!$B$6:$B$95,ROBA_U_DOLASKU!$A$6:$A$95,A512,ROBA_U_DOLASKU!$H$6:$H$95,1)</f>
        <v>0</v>
      </c>
      <c r="L512" s="9" t="n">
        <f aca="false">SUMIFS(ROBA_U_DOLASKU!$C$6:$C$95,ROBA_U_DOLASKU!$A$6:$A$95,A512,ROBA_U_DOLASKU!$H$6:$H$95,2)</f>
        <v>0</v>
      </c>
      <c r="M512" s="9" t="n">
        <f aca="false">SUMIFS(ROBA_U_DOLASKU!$B$6:$B$95,ROBA_U_DOLASKU!$A$6:$A$95,A512,ROBA_U_DOLASKU!$H$6:$H$95,2)</f>
        <v>0</v>
      </c>
      <c r="N512" s="9" t="n">
        <f aca="false">SUMIFS(ROBA_U_DOLASKU!$C$6:$C$95,ROBA_U_DOLASKU!$A$6:$A$95,A512,ROBA_U_DOLASKU!$H$6:$H$95,3)</f>
        <v>0</v>
      </c>
      <c r="O512" s="9" t="n">
        <f aca="false">SUMIFS(ROBA_U_DOLASKU!$B$6:$B$95,ROBA_U_DOLASKU!$A$6:$A$95,A512,ROBA_U_DOLASKU!$H$6:$H$95,3)</f>
        <v>0</v>
      </c>
      <c r="P512" s="9" t="n">
        <f aca="false">IF(H512&lt;=0,999,IF(O512&gt;0,ROUND((F512-H512*N512+K512+M512+O512)/H512,1),IF(M512&gt;0,ROUND((F512-H512*L512+K512+M512)/H512,1),IF(K512&gt;0,ROUND((F512-H512*J512+K512)/H512,1),I512))))</f>
        <v>999</v>
      </c>
      <c r="Q512" s="22" t="str">
        <f aca="false">IF(H512&lt;=0,"Nema prodaje",IF(AND(K512=0,M512=0,O512=0),IF(I512&lt;POSTAVKE!$B$6,"Naruči odmah","Sve u redu"),IF(F512-H512*J512&lt;0,"Rupa za ~"&amp;TEXT(I512,"0.0")&amp;" mj.",IF(AND(M512&gt;0,F512-H512*L512+K512&lt;0),"Rupa nakon 1. dolaska",IF(AND(O512&gt;0,F512-H512*N512+K512+M512&lt;0),"Rupa nakon 2. dolaska",IF(P512&lt;POSTAVKE!$B$6,"Količina nije dovoljna",IF(I512&gt;=POSTAVKE!$B$6,"Sve u redu","Stiže na vrijeme")))))))</f>
        <v>Nema prodaje</v>
      </c>
      <c r="S512" s="23" t="n">
        <f aca="false">IFERROR(INDEX(PODACI_PRODAJA!B:B,MATCH($A512,PODACI_PRODAJA!$A:$A,0)),0)</f>
        <v>0</v>
      </c>
      <c r="T512" s="23" t="n">
        <f aca="false">IFERROR(INDEX(PODACI_PRODAJA!C:C,MATCH($A512,PODACI_PRODAJA!$A:$A,0)),0)</f>
        <v>0</v>
      </c>
      <c r="U512" s="23" t="n">
        <f aca="false">IFERROR(INDEX(PODACI_PRODAJA!D:D,MATCH($A512,PODACI_PRODAJA!$A:$A,0)),0)</f>
        <v>0</v>
      </c>
      <c r="V512" s="23" t="n">
        <f aca="false">IFERROR(INDEX(PODACI_PRODAJA!E:E,MATCH($A512,PODACI_PRODAJA!$A:$A,0)),0)</f>
        <v>0</v>
      </c>
      <c r="W512" s="23" t="n">
        <f aca="false">IFERROR(INDEX(PODACI_PRODAJA!F:F,MATCH($A512,PODACI_PRODAJA!$A:$A,0)),0)</f>
        <v>0</v>
      </c>
      <c r="X512" s="23" t="n">
        <f aca="false">IFERROR(INDEX(PODACI_PRODAJA!G:G,MATCH($A512,PODACI_PRODAJA!$A:$A,0)),0)</f>
        <v>0</v>
      </c>
      <c r="Y512" s="23" t="n">
        <f aca="false">IFERROR(INDEX(PODACI_PRODAJA!H:H,MATCH($A512,PODACI_PRODAJA!$A:$A,0)),0)</f>
        <v>0</v>
      </c>
      <c r="Z512" s="23" t="n">
        <f aca="false">IFERROR(INDEX(PODACI_PRODAJA!I:I,MATCH($A512,PODACI_PRODAJA!$A:$A,0)),0)</f>
        <v>0</v>
      </c>
      <c r="AA512" s="23" t="n">
        <f aca="false">IFERROR(INDEX(PODACI_PRODAJA!J:J,MATCH($A512,PODACI_PRODAJA!$A:$A,0)),0)</f>
        <v>0</v>
      </c>
      <c r="AB512" s="23" t="n">
        <f aca="false">IFERROR(INDEX(PODACI_PRODAJA!K:K,MATCH($A512,PODACI_PRODAJA!$A:$A,0)),0)</f>
        <v>0</v>
      </c>
      <c r="AC512" s="23" t="n">
        <f aca="false">IFERROR(INDEX(PODACI_PRODAJA!L:L,MATCH($A512,PODACI_PRODAJA!$A:$A,0)),0)</f>
        <v>0</v>
      </c>
      <c r="AD512" s="23" t="n">
        <f aca="false">IFERROR(INDEX(PODACI_PRODAJA!M:M,MATCH($A512,PODACI_PRODAJA!$A:$A,0)),0)</f>
        <v>0</v>
      </c>
    </row>
    <row r="513" customFormat="false" ht="15" hidden="false" customHeight="false" outlineLevel="0" collapsed="false">
      <c r="A513" s="11" t="str">
        <f aca="false">PODACI_ZALIHE!A510</f>
        <v>2759730E</v>
      </c>
      <c r="B513" s="8" t="str">
        <f aca="false">PODACI_ZALIHE!B510</f>
        <v>GROHE TEMPESTA 110 TUŠ SLUŠALICA, 2 MLAZA, KROM</v>
      </c>
      <c r="C513" s="9" t="str">
        <f aca="false">PODACI_ZALIHE!C510</f>
        <v>4499</v>
      </c>
      <c r="D513" s="8" t="str">
        <f aca="false">PODACI_ZALIHE!D510</f>
        <v>THS D.O.O.</v>
      </c>
      <c r="E513" s="19" t="n">
        <f aca="false">IF(PODACI_ZALIHE!E510="","",PODACI_ZALIHE!E510)</f>
        <v>6</v>
      </c>
      <c r="F513" s="20" t="n">
        <f aca="false">PODACI_ZALIHE!F510</f>
        <v>5</v>
      </c>
      <c r="G513" s="19" t="n">
        <f aca="false">IF(E513="","",E513-F513)</f>
        <v>1</v>
      </c>
      <c r="H513" s="9" t="n">
        <f aca="false">PODACI_PRODAJA!N745</f>
        <v>0</v>
      </c>
      <c r="I513" s="21" t="n">
        <f aca="false">IF(H513&lt;=0,999,ROUND(F513/H513,1))</f>
        <v>999</v>
      </c>
      <c r="J513" s="9" t="n">
        <f aca="false">SUMIFS(ROBA_U_DOLASKU!$C$6:$C$95,ROBA_U_DOLASKU!$A$6:$A$95,A513,ROBA_U_DOLASKU!$H$6:$H$95,1)</f>
        <v>0</v>
      </c>
      <c r="K513" s="9" t="n">
        <f aca="false">SUMIFS(ROBA_U_DOLASKU!$B$6:$B$95,ROBA_U_DOLASKU!$A$6:$A$95,A513,ROBA_U_DOLASKU!$H$6:$H$95,1)</f>
        <v>0</v>
      </c>
      <c r="L513" s="9" t="n">
        <f aca="false">SUMIFS(ROBA_U_DOLASKU!$C$6:$C$95,ROBA_U_DOLASKU!$A$6:$A$95,A513,ROBA_U_DOLASKU!$H$6:$H$95,2)</f>
        <v>0</v>
      </c>
      <c r="M513" s="9" t="n">
        <f aca="false">SUMIFS(ROBA_U_DOLASKU!$B$6:$B$95,ROBA_U_DOLASKU!$A$6:$A$95,A513,ROBA_U_DOLASKU!$H$6:$H$95,2)</f>
        <v>0</v>
      </c>
      <c r="N513" s="9" t="n">
        <f aca="false">SUMIFS(ROBA_U_DOLASKU!$C$6:$C$95,ROBA_U_DOLASKU!$A$6:$A$95,A513,ROBA_U_DOLASKU!$H$6:$H$95,3)</f>
        <v>0</v>
      </c>
      <c r="O513" s="9" t="n">
        <f aca="false">SUMIFS(ROBA_U_DOLASKU!$B$6:$B$95,ROBA_U_DOLASKU!$A$6:$A$95,A513,ROBA_U_DOLASKU!$H$6:$H$95,3)</f>
        <v>0</v>
      </c>
      <c r="P513" s="9" t="n">
        <f aca="false">IF(H513&lt;=0,999,IF(O513&gt;0,ROUND((F513-H513*N513+K513+M513+O513)/H513,1),IF(M513&gt;0,ROUND((F513-H513*L513+K513+M513)/H513,1),IF(K513&gt;0,ROUND((F513-H513*J513+K513)/H513,1),I513))))</f>
        <v>999</v>
      </c>
      <c r="Q513" s="22" t="str">
        <f aca="false">IF(H513&lt;=0,"Nema prodaje",IF(AND(K513=0,M513=0,O513=0),IF(I513&lt;POSTAVKE!$B$6,"Naruči odmah","Sve u redu"),IF(F513-H513*J513&lt;0,"Rupa za ~"&amp;TEXT(I513,"0.0")&amp;" mj.",IF(AND(M513&gt;0,F513-H513*L513+K513&lt;0),"Rupa nakon 1. dolaska",IF(AND(O513&gt;0,F513-H513*N513+K513+M513&lt;0),"Rupa nakon 2. dolaska",IF(P513&lt;POSTAVKE!$B$6,"Količina nije dovoljna",IF(I513&gt;=POSTAVKE!$B$6,"Sve u redu","Stiže na vrijeme")))))))</f>
        <v>Nema prodaje</v>
      </c>
      <c r="S513" s="23" t="n">
        <f aca="false">IFERROR(INDEX(PODACI_PRODAJA!B:B,MATCH($A513,PODACI_PRODAJA!$A:$A,0)),0)</f>
        <v>0</v>
      </c>
      <c r="T513" s="23" t="n">
        <f aca="false">IFERROR(INDEX(PODACI_PRODAJA!C:C,MATCH($A513,PODACI_PRODAJA!$A:$A,0)),0)</f>
        <v>0</v>
      </c>
      <c r="U513" s="23" t="n">
        <f aca="false">IFERROR(INDEX(PODACI_PRODAJA!D:D,MATCH($A513,PODACI_PRODAJA!$A:$A,0)),0)</f>
        <v>0</v>
      </c>
      <c r="V513" s="23" t="n">
        <f aca="false">IFERROR(INDEX(PODACI_PRODAJA!E:E,MATCH($A513,PODACI_PRODAJA!$A:$A,0)),0)</f>
        <v>0</v>
      </c>
      <c r="W513" s="23" t="n">
        <f aca="false">IFERROR(INDEX(PODACI_PRODAJA!F:F,MATCH($A513,PODACI_PRODAJA!$A:$A,0)),0)</f>
        <v>0</v>
      </c>
      <c r="X513" s="23" t="n">
        <f aca="false">IFERROR(INDEX(PODACI_PRODAJA!G:G,MATCH($A513,PODACI_PRODAJA!$A:$A,0)),0)</f>
        <v>0</v>
      </c>
      <c r="Y513" s="23" t="n">
        <f aca="false">IFERROR(INDEX(PODACI_PRODAJA!H:H,MATCH($A513,PODACI_PRODAJA!$A:$A,0)),0)</f>
        <v>0</v>
      </c>
      <c r="Z513" s="23" t="n">
        <f aca="false">IFERROR(INDEX(PODACI_PRODAJA!I:I,MATCH($A513,PODACI_PRODAJA!$A:$A,0)),0)</f>
        <v>0</v>
      </c>
      <c r="AA513" s="23" t="n">
        <f aca="false">IFERROR(INDEX(PODACI_PRODAJA!J:J,MATCH($A513,PODACI_PRODAJA!$A:$A,0)),0)</f>
        <v>0</v>
      </c>
      <c r="AB513" s="23" t="n">
        <f aca="false">IFERROR(INDEX(PODACI_PRODAJA!K:K,MATCH($A513,PODACI_PRODAJA!$A:$A,0)),0)</f>
        <v>0</v>
      </c>
      <c r="AC513" s="23" t="n">
        <f aca="false">IFERROR(INDEX(PODACI_PRODAJA!L:L,MATCH($A513,PODACI_PRODAJA!$A:$A,0)),0)</f>
        <v>0</v>
      </c>
      <c r="AD513" s="23" t="n">
        <f aca="false">IFERROR(INDEX(PODACI_PRODAJA!M:M,MATCH($A513,PODACI_PRODAJA!$A:$A,0)),0)</f>
        <v>0</v>
      </c>
    </row>
    <row r="514" customFormat="false" ht="15" hidden="false" customHeight="false" outlineLevel="0" collapsed="false">
      <c r="A514" s="11" t="str">
        <f aca="false">PODACI_ZALIHE!A511</f>
        <v>27924003</v>
      </c>
      <c r="B514" s="8" t="str">
        <f aca="false">PODACI_ZALIHE!B511</f>
        <v>GROHE TEMPESTA 110 TUŠ SISTEM, VODILICA + TUŠ SLUŠALICA, 1 MLAZ, KROM</v>
      </c>
      <c r="C514" s="9" t="str">
        <f aca="false">PODACI_ZALIHE!C511</f>
        <v>4499</v>
      </c>
      <c r="D514" s="8" t="str">
        <f aca="false">PODACI_ZALIHE!D511</f>
        <v>THS D.O.O.</v>
      </c>
      <c r="E514" s="19" t="n">
        <f aca="false">IF(PODACI_ZALIHE!E511="","",PODACI_ZALIHE!E511)</f>
        <v>6</v>
      </c>
      <c r="F514" s="20" t="n">
        <f aca="false">PODACI_ZALIHE!F511</f>
        <v>5</v>
      </c>
      <c r="G514" s="19" t="n">
        <f aca="false">IF(E514="","",E514-F514)</f>
        <v>1</v>
      </c>
      <c r="H514" s="9" t="n">
        <f aca="false">PODACI_PRODAJA!N746</f>
        <v>0</v>
      </c>
      <c r="I514" s="21" t="n">
        <f aca="false">IF(H514&lt;=0,999,ROUND(F514/H514,1))</f>
        <v>999</v>
      </c>
      <c r="J514" s="9" t="n">
        <f aca="false">SUMIFS(ROBA_U_DOLASKU!$C$6:$C$95,ROBA_U_DOLASKU!$A$6:$A$95,A514,ROBA_U_DOLASKU!$H$6:$H$95,1)</f>
        <v>0</v>
      </c>
      <c r="K514" s="9" t="n">
        <f aca="false">SUMIFS(ROBA_U_DOLASKU!$B$6:$B$95,ROBA_U_DOLASKU!$A$6:$A$95,A514,ROBA_U_DOLASKU!$H$6:$H$95,1)</f>
        <v>0</v>
      </c>
      <c r="L514" s="9" t="n">
        <f aca="false">SUMIFS(ROBA_U_DOLASKU!$C$6:$C$95,ROBA_U_DOLASKU!$A$6:$A$95,A514,ROBA_U_DOLASKU!$H$6:$H$95,2)</f>
        <v>0</v>
      </c>
      <c r="M514" s="9" t="n">
        <f aca="false">SUMIFS(ROBA_U_DOLASKU!$B$6:$B$95,ROBA_U_DOLASKU!$A$6:$A$95,A514,ROBA_U_DOLASKU!$H$6:$H$95,2)</f>
        <v>0</v>
      </c>
      <c r="N514" s="9" t="n">
        <f aca="false">SUMIFS(ROBA_U_DOLASKU!$C$6:$C$95,ROBA_U_DOLASKU!$A$6:$A$95,A514,ROBA_U_DOLASKU!$H$6:$H$95,3)</f>
        <v>0</v>
      </c>
      <c r="O514" s="9" t="n">
        <f aca="false">SUMIFS(ROBA_U_DOLASKU!$B$6:$B$95,ROBA_U_DOLASKU!$A$6:$A$95,A514,ROBA_U_DOLASKU!$H$6:$H$95,3)</f>
        <v>0</v>
      </c>
      <c r="P514" s="9" t="n">
        <f aca="false">IF(H514&lt;=0,999,IF(O514&gt;0,ROUND((F514-H514*N514+K514+M514+O514)/H514,1),IF(M514&gt;0,ROUND((F514-H514*L514+K514+M514)/H514,1),IF(K514&gt;0,ROUND((F514-H514*J514+K514)/H514,1),I514))))</f>
        <v>999</v>
      </c>
      <c r="Q514" s="22" t="str">
        <f aca="false">IF(H514&lt;=0,"Nema prodaje",IF(AND(K514=0,M514=0,O514=0),IF(I514&lt;POSTAVKE!$B$6,"Naruči odmah","Sve u redu"),IF(F514-H514*J514&lt;0,"Rupa za ~"&amp;TEXT(I514,"0.0")&amp;" mj.",IF(AND(M514&gt;0,F514-H514*L514+K514&lt;0),"Rupa nakon 1. dolaska",IF(AND(O514&gt;0,F514-H514*N514+K514+M514&lt;0),"Rupa nakon 2. dolaska",IF(P514&lt;POSTAVKE!$B$6,"Količina nije dovoljna",IF(I514&gt;=POSTAVKE!$B$6,"Sve u redu","Stiže na vrijeme")))))))</f>
        <v>Nema prodaje</v>
      </c>
      <c r="S514" s="23" t="n">
        <f aca="false">IFERROR(INDEX(PODACI_PRODAJA!B:B,MATCH($A514,PODACI_PRODAJA!$A:$A,0)),0)</f>
        <v>0</v>
      </c>
      <c r="T514" s="23" t="n">
        <f aca="false">IFERROR(INDEX(PODACI_PRODAJA!C:C,MATCH($A514,PODACI_PRODAJA!$A:$A,0)),0)</f>
        <v>0</v>
      </c>
      <c r="U514" s="23" t="n">
        <f aca="false">IFERROR(INDEX(PODACI_PRODAJA!D:D,MATCH($A514,PODACI_PRODAJA!$A:$A,0)),0)</f>
        <v>0</v>
      </c>
      <c r="V514" s="23" t="n">
        <f aca="false">IFERROR(INDEX(PODACI_PRODAJA!E:E,MATCH($A514,PODACI_PRODAJA!$A:$A,0)),0)</f>
        <v>0</v>
      </c>
      <c r="W514" s="23" t="n">
        <f aca="false">IFERROR(INDEX(PODACI_PRODAJA!F:F,MATCH($A514,PODACI_PRODAJA!$A:$A,0)),0)</f>
        <v>0</v>
      </c>
      <c r="X514" s="23" t="n">
        <f aca="false">IFERROR(INDEX(PODACI_PRODAJA!G:G,MATCH($A514,PODACI_PRODAJA!$A:$A,0)),0)</f>
        <v>0</v>
      </c>
      <c r="Y514" s="23" t="n">
        <f aca="false">IFERROR(INDEX(PODACI_PRODAJA!H:H,MATCH($A514,PODACI_PRODAJA!$A:$A,0)),0)</f>
        <v>0</v>
      </c>
      <c r="Z514" s="23" t="n">
        <f aca="false">IFERROR(INDEX(PODACI_PRODAJA!I:I,MATCH($A514,PODACI_PRODAJA!$A:$A,0)),0)</f>
        <v>0</v>
      </c>
      <c r="AA514" s="23" t="n">
        <f aca="false">IFERROR(INDEX(PODACI_PRODAJA!J:J,MATCH($A514,PODACI_PRODAJA!$A:$A,0)),0)</f>
        <v>0</v>
      </c>
      <c r="AB514" s="23" t="n">
        <f aca="false">IFERROR(INDEX(PODACI_PRODAJA!K:K,MATCH($A514,PODACI_PRODAJA!$A:$A,0)),0)</f>
        <v>0</v>
      </c>
      <c r="AC514" s="23" t="n">
        <f aca="false">IFERROR(INDEX(PODACI_PRODAJA!L:L,MATCH($A514,PODACI_PRODAJA!$A:$A,0)),0)</f>
        <v>0</v>
      </c>
      <c r="AD514" s="23" t="n">
        <f aca="false">IFERROR(INDEX(PODACI_PRODAJA!M:M,MATCH($A514,PODACI_PRODAJA!$A:$A,0)),0)</f>
        <v>0</v>
      </c>
    </row>
    <row r="515" customFormat="false" ht="15" hidden="false" customHeight="false" outlineLevel="0" collapsed="false">
      <c r="A515" s="11" t="str">
        <f aca="false">PODACI_ZALIHE!A512</f>
        <v>28388001</v>
      </c>
      <c r="B515" s="8" t="str">
        <f aca="false">PODACI_ZALIHE!B512</f>
        <v>GROHE SILVERFLEX TUŠ CRIJEVO, 1750 MM, KROM</v>
      </c>
      <c r="C515" s="9" t="str">
        <f aca="false">PODACI_ZALIHE!C512</f>
        <v>4499</v>
      </c>
      <c r="D515" s="8" t="str">
        <f aca="false">PODACI_ZALIHE!D512</f>
        <v>THS D.O.O.</v>
      </c>
      <c r="E515" s="19" t="n">
        <f aca="false">IF(PODACI_ZALIHE!E512="","",PODACI_ZALIHE!E512)</f>
        <v>6</v>
      </c>
      <c r="F515" s="20" t="n">
        <f aca="false">PODACI_ZALIHE!F512</f>
        <v>5</v>
      </c>
      <c r="G515" s="19" t="n">
        <f aca="false">IF(E515="","",E515-F515)</f>
        <v>1</v>
      </c>
      <c r="H515" s="9" t="n">
        <f aca="false">PODACI_PRODAJA!N749</f>
        <v>0</v>
      </c>
      <c r="I515" s="21" t="n">
        <f aca="false">IF(H515&lt;=0,999,ROUND(F515/H515,1))</f>
        <v>999</v>
      </c>
      <c r="J515" s="9" t="n">
        <f aca="false">SUMIFS(ROBA_U_DOLASKU!$C$6:$C$95,ROBA_U_DOLASKU!$A$6:$A$95,A515,ROBA_U_DOLASKU!$H$6:$H$95,1)</f>
        <v>0</v>
      </c>
      <c r="K515" s="9" t="n">
        <f aca="false">SUMIFS(ROBA_U_DOLASKU!$B$6:$B$95,ROBA_U_DOLASKU!$A$6:$A$95,A515,ROBA_U_DOLASKU!$H$6:$H$95,1)</f>
        <v>0</v>
      </c>
      <c r="L515" s="9" t="n">
        <f aca="false">SUMIFS(ROBA_U_DOLASKU!$C$6:$C$95,ROBA_U_DOLASKU!$A$6:$A$95,A515,ROBA_U_DOLASKU!$H$6:$H$95,2)</f>
        <v>0</v>
      </c>
      <c r="M515" s="9" t="n">
        <f aca="false">SUMIFS(ROBA_U_DOLASKU!$B$6:$B$95,ROBA_U_DOLASKU!$A$6:$A$95,A515,ROBA_U_DOLASKU!$H$6:$H$95,2)</f>
        <v>0</v>
      </c>
      <c r="N515" s="9" t="n">
        <f aca="false">SUMIFS(ROBA_U_DOLASKU!$C$6:$C$95,ROBA_U_DOLASKU!$A$6:$A$95,A515,ROBA_U_DOLASKU!$H$6:$H$95,3)</f>
        <v>0</v>
      </c>
      <c r="O515" s="9" t="n">
        <f aca="false">SUMIFS(ROBA_U_DOLASKU!$B$6:$B$95,ROBA_U_DOLASKU!$A$6:$A$95,A515,ROBA_U_DOLASKU!$H$6:$H$95,3)</f>
        <v>0</v>
      </c>
      <c r="P515" s="9" t="n">
        <f aca="false">IF(H515&lt;=0,999,IF(O515&gt;0,ROUND((F515-H515*N515+K515+M515+O515)/H515,1),IF(M515&gt;0,ROUND((F515-H515*L515+K515+M515)/H515,1),IF(K515&gt;0,ROUND((F515-H515*J515+K515)/H515,1),I515))))</f>
        <v>999</v>
      </c>
      <c r="Q515" s="22" t="str">
        <f aca="false">IF(H515&lt;=0,"Nema prodaje",IF(AND(K515=0,M515=0,O515=0),IF(I515&lt;POSTAVKE!$B$6,"Naruči odmah","Sve u redu"),IF(F515-H515*J515&lt;0,"Rupa za ~"&amp;TEXT(I515,"0.0")&amp;" mj.",IF(AND(M515&gt;0,F515-H515*L515+K515&lt;0),"Rupa nakon 1. dolaska",IF(AND(O515&gt;0,F515-H515*N515+K515+M515&lt;0),"Rupa nakon 2. dolaska",IF(P515&lt;POSTAVKE!$B$6,"Količina nije dovoljna",IF(I515&gt;=POSTAVKE!$B$6,"Sve u redu","Stiže na vrijeme")))))))</f>
        <v>Nema prodaje</v>
      </c>
      <c r="S515" s="23" t="n">
        <f aca="false">IFERROR(INDEX(PODACI_PRODAJA!B:B,MATCH($A515,PODACI_PRODAJA!$A:$A,0)),0)</f>
        <v>0</v>
      </c>
      <c r="T515" s="23" t="n">
        <f aca="false">IFERROR(INDEX(PODACI_PRODAJA!C:C,MATCH($A515,PODACI_PRODAJA!$A:$A,0)),0)</f>
        <v>0</v>
      </c>
      <c r="U515" s="23" t="n">
        <f aca="false">IFERROR(INDEX(PODACI_PRODAJA!D:D,MATCH($A515,PODACI_PRODAJA!$A:$A,0)),0)</f>
        <v>0</v>
      </c>
      <c r="V515" s="23" t="n">
        <f aca="false">IFERROR(INDEX(PODACI_PRODAJA!E:E,MATCH($A515,PODACI_PRODAJA!$A:$A,0)),0)</f>
        <v>0</v>
      </c>
      <c r="W515" s="23" t="n">
        <f aca="false">IFERROR(INDEX(PODACI_PRODAJA!F:F,MATCH($A515,PODACI_PRODAJA!$A:$A,0)),0)</f>
        <v>0</v>
      </c>
      <c r="X515" s="23" t="n">
        <f aca="false">IFERROR(INDEX(PODACI_PRODAJA!G:G,MATCH($A515,PODACI_PRODAJA!$A:$A,0)),0)</f>
        <v>0</v>
      </c>
      <c r="Y515" s="23" t="n">
        <f aca="false">IFERROR(INDEX(PODACI_PRODAJA!H:H,MATCH($A515,PODACI_PRODAJA!$A:$A,0)),0)</f>
        <v>0</v>
      </c>
      <c r="Z515" s="23" t="n">
        <f aca="false">IFERROR(INDEX(PODACI_PRODAJA!I:I,MATCH($A515,PODACI_PRODAJA!$A:$A,0)),0)</f>
        <v>0</v>
      </c>
      <c r="AA515" s="23" t="n">
        <f aca="false">IFERROR(INDEX(PODACI_PRODAJA!J:J,MATCH($A515,PODACI_PRODAJA!$A:$A,0)),0)</f>
        <v>0</v>
      </c>
      <c r="AB515" s="23" t="n">
        <f aca="false">IFERROR(INDEX(PODACI_PRODAJA!K:K,MATCH($A515,PODACI_PRODAJA!$A:$A,0)),0)</f>
        <v>0</v>
      </c>
      <c r="AC515" s="23" t="n">
        <f aca="false">IFERROR(INDEX(PODACI_PRODAJA!L:L,MATCH($A515,PODACI_PRODAJA!$A:$A,0)),0)</f>
        <v>0</v>
      </c>
      <c r="AD515" s="23" t="n">
        <f aca="false">IFERROR(INDEX(PODACI_PRODAJA!M:M,MATCH($A515,PODACI_PRODAJA!$A:$A,0)),0)</f>
        <v>0</v>
      </c>
    </row>
    <row r="516" customFormat="false" ht="15" hidden="false" customHeight="false" outlineLevel="0" collapsed="false">
      <c r="A516" s="11" t="str">
        <f aca="false">PODACI_ZALIHE!A513</f>
        <v>322980575</v>
      </c>
      <c r="B516" s="8" t="str">
        <f aca="false">PODACI_ZALIHE!B513</f>
        <v>KLUDI X1 MIJEŠALICA ZA UMIVAONIK, 210 MM, KROM</v>
      </c>
      <c r="C516" s="9" t="str">
        <f aca="false">PODACI_ZALIHE!C513</f>
        <v>7485</v>
      </c>
      <c r="D516" s="8" t="str">
        <f aca="false">PODACI_ZALIHE!D513</f>
        <v>KLUDI GmbH &amp; Co. KG.,</v>
      </c>
      <c r="E516" s="19" t="n">
        <f aca="false">IF(PODACI_ZALIHE!E513="","",PODACI_ZALIHE!E513)</f>
        <v>5</v>
      </c>
      <c r="F516" s="20" t="n">
        <f aca="false">PODACI_ZALIHE!F513</f>
        <v>5</v>
      </c>
      <c r="G516" s="19" t="n">
        <f aca="false">IF(E516="","",E516-F516)</f>
        <v>0</v>
      </c>
      <c r="H516" s="9" t="n">
        <f aca="false">PODACI_PRODAJA!N752</f>
        <v>0</v>
      </c>
      <c r="I516" s="21" t="n">
        <f aca="false">IF(H516&lt;=0,999,ROUND(F516/H516,1))</f>
        <v>999</v>
      </c>
      <c r="J516" s="9" t="n">
        <f aca="false">SUMIFS(ROBA_U_DOLASKU!$C$6:$C$95,ROBA_U_DOLASKU!$A$6:$A$95,A516,ROBA_U_DOLASKU!$H$6:$H$95,1)</f>
        <v>0</v>
      </c>
      <c r="K516" s="9" t="n">
        <f aca="false">SUMIFS(ROBA_U_DOLASKU!$B$6:$B$95,ROBA_U_DOLASKU!$A$6:$A$95,A516,ROBA_U_DOLASKU!$H$6:$H$95,1)</f>
        <v>0</v>
      </c>
      <c r="L516" s="9" t="n">
        <f aca="false">SUMIFS(ROBA_U_DOLASKU!$C$6:$C$95,ROBA_U_DOLASKU!$A$6:$A$95,A516,ROBA_U_DOLASKU!$H$6:$H$95,2)</f>
        <v>0</v>
      </c>
      <c r="M516" s="9" t="n">
        <f aca="false">SUMIFS(ROBA_U_DOLASKU!$B$6:$B$95,ROBA_U_DOLASKU!$A$6:$A$95,A516,ROBA_U_DOLASKU!$H$6:$H$95,2)</f>
        <v>0</v>
      </c>
      <c r="N516" s="9" t="n">
        <f aca="false">SUMIFS(ROBA_U_DOLASKU!$C$6:$C$95,ROBA_U_DOLASKU!$A$6:$A$95,A516,ROBA_U_DOLASKU!$H$6:$H$95,3)</f>
        <v>0</v>
      </c>
      <c r="O516" s="9" t="n">
        <f aca="false">SUMIFS(ROBA_U_DOLASKU!$B$6:$B$95,ROBA_U_DOLASKU!$A$6:$A$95,A516,ROBA_U_DOLASKU!$H$6:$H$95,3)</f>
        <v>0</v>
      </c>
      <c r="P516" s="9" t="n">
        <f aca="false">IF(H516&lt;=0,999,IF(O516&gt;0,ROUND((F516-H516*N516+K516+M516+O516)/H516,1),IF(M516&gt;0,ROUND((F516-H516*L516+K516+M516)/H516,1),IF(K516&gt;0,ROUND((F516-H516*J516+K516)/H516,1),I516))))</f>
        <v>999</v>
      </c>
      <c r="Q516" s="22" t="str">
        <f aca="false">IF(H516&lt;=0,"Nema prodaje",IF(AND(K516=0,M516=0,O516=0),IF(I516&lt;POSTAVKE!$B$6,"Naruči odmah","Sve u redu"),IF(F516-H516*J516&lt;0,"Rupa za ~"&amp;TEXT(I516,"0.0")&amp;" mj.",IF(AND(M516&gt;0,F516-H516*L516+K516&lt;0),"Rupa nakon 1. dolaska",IF(AND(O516&gt;0,F516-H516*N516+K516+M516&lt;0),"Rupa nakon 2. dolaska",IF(P516&lt;POSTAVKE!$B$6,"Količina nije dovoljna",IF(I516&gt;=POSTAVKE!$B$6,"Sve u redu","Stiže na vrijeme")))))))</f>
        <v>Nema prodaje</v>
      </c>
      <c r="S516" s="23" t="n">
        <f aca="false">IFERROR(INDEX(PODACI_PRODAJA!B:B,MATCH($A516,PODACI_PRODAJA!$A:$A,0)),0)</f>
        <v>0</v>
      </c>
      <c r="T516" s="23" t="n">
        <f aca="false">IFERROR(INDEX(PODACI_PRODAJA!C:C,MATCH($A516,PODACI_PRODAJA!$A:$A,0)),0)</f>
        <v>0</v>
      </c>
      <c r="U516" s="23" t="n">
        <f aca="false">IFERROR(INDEX(PODACI_PRODAJA!D:D,MATCH($A516,PODACI_PRODAJA!$A:$A,0)),0)</f>
        <v>0</v>
      </c>
      <c r="V516" s="23" t="n">
        <f aca="false">IFERROR(INDEX(PODACI_PRODAJA!E:E,MATCH($A516,PODACI_PRODAJA!$A:$A,0)),0)</f>
        <v>0</v>
      </c>
      <c r="W516" s="23" t="n">
        <f aca="false">IFERROR(INDEX(PODACI_PRODAJA!F:F,MATCH($A516,PODACI_PRODAJA!$A:$A,0)),0)</f>
        <v>0</v>
      </c>
      <c r="X516" s="23" t="n">
        <f aca="false">IFERROR(INDEX(PODACI_PRODAJA!G:G,MATCH($A516,PODACI_PRODAJA!$A:$A,0)),0)</f>
        <v>0</v>
      </c>
      <c r="Y516" s="23" t="n">
        <f aca="false">IFERROR(INDEX(PODACI_PRODAJA!H:H,MATCH($A516,PODACI_PRODAJA!$A:$A,0)),0)</f>
        <v>0</v>
      </c>
      <c r="Z516" s="23" t="n">
        <f aca="false">IFERROR(INDEX(PODACI_PRODAJA!I:I,MATCH($A516,PODACI_PRODAJA!$A:$A,0)),0)</f>
        <v>0</v>
      </c>
      <c r="AA516" s="23" t="n">
        <f aca="false">IFERROR(INDEX(PODACI_PRODAJA!J:J,MATCH($A516,PODACI_PRODAJA!$A:$A,0)),0)</f>
        <v>0</v>
      </c>
      <c r="AB516" s="23" t="n">
        <f aca="false">IFERROR(INDEX(PODACI_PRODAJA!K:K,MATCH($A516,PODACI_PRODAJA!$A:$A,0)),0)</f>
        <v>0</v>
      </c>
      <c r="AC516" s="23" t="n">
        <f aca="false">IFERROR(INDEX(PODACI_PRODAJA!L:L,MATCH($A516,PODACI_PRODAJA!$A:$A,0)),0)</f>
        <v>0</v>
      </c>
      <c r="AD516" s="23" t="n">
        <f aca="false">IFERROR(INDEX(PODACI_PRODAJA!M:M,MATCH($A516,PODACI_PRODAJA!$A:$A,0)),0)</f>
        <v>0</v>
      </c>
    </row>
    <row r="517" customFormat="false" ht="15" hidden="false" customHeight="false" outlineLevel="0" collapsed="false">
      <c r="A517" s="11" t="str">
        <f aca="false">PODACI_ZALIHE!A514</f>
        <v>38241</v>
      </c>
      <c r="B517" s="8" t="str">
        <f aca="false">PODACI_ZALIHE!B514</f>
        <v>KLUDI PODŽBUKNI ELEMENT ZA DVA OTVORA</v>
      </c>
      <c r="C517" s="9" t="str">
        <f aca="false">PODACI_ZALIHE!C514</f>
        <v>7485</v>
      </c>
      <c r="D517" s="8" t="str">
        <f aca="false">PODACI_ZALIHE!D514</f>
        <v>KLUDI GmbH &amp; Co. KG.,</v>
      </c>
      <c r="E517" s="19" t="n">
        <f aca="false">IF(PODACI_ZALIHE!E514="","",PODACI_ZALIHE!E514)</f>
        <v>5</v>
      </c>
      <c r="F517" s="20" t="n">
        <f aca="false">PODACI_ZALIHE!F514</f>
        <v>5</v>
      </c>
      <c r="G517" s="19" t="n">
        <f aca="false">IF(E517="","",E517-F517)</f>
        <v>0</v>
      </c>
      <c r="H517" s="9" t="n">
        <f aca="false">PODACI_PRODAJA!N765</f>
        <v>0</v>
      </c>
      <c r="I517" s="21" t="n">
        <f aca="false">IF(H517&lt;=0,999,ROUND(F517/H517,1))</f>
        <v>999</v>
      </c>
      <c r="J517" s="9" t="n">
        <f aca="false">SUMIFS(ROBA_U_DOLASKU!$C$6:$C$95,ROBA_U_DOLASKU!$A$6:$A$95,A517,ROBA_U_DOLASKU!$H$6:$H$95,1)</f>
        <v>0</v>
      </c>
      <c r="K517" s="9" t="n">
        <f aca="false">SUMIFS(ROBA_U_DOLASKU!$B$6:$B$95,ROBA_U_DOLASKU!$A$6:$A$95,A517,ROBA_U_DOLASKU!$H$6:$H$95,1)</f>
        <v>0</v>
      </c>
      <c r="L517" s="9" t="n">
        <f aca="false">SUMIFS(ROBA_U_DOLASKU!$C$6:$C$95,ROBA_U_DOLASKU!$A$6:$A$95,A517,ROBA_U_DOLASKU!$H$6:$H$95,2)</f>
        <v>0</v>
      </c>
      <c r="M517" s="9" t="n">
        <f aca="false">SUMIFS(ROBA_U_DOLASKU!$B$6:$B$95,ROBA_U_DOLASKU!$A$6:$A$95,A517,ROBA_U_DOLASKU!$H$6:$H$95,2)</f>
        <v>0</v>
      </c>
      <c r="N517" s="9" t="n">
        <f aca="false">SUMIFS(ROBA_U_DOLASKU!$C$6:$C$95,ROBA_U_DOLASKU!$A$6:$A$95,A517,ROBA_U_DOLASKU!$H$6:$H$95,3)</f>
        <v>0</v>
      </c>
      <c r="O517" s="9" t="n">
        <f aca="false">SUMIFS(ROBA_U_DOLASKU!$B$6:$B$95,ROBA_U_DOLASKU!$A$6:$A$95,A517,ROBA_U_DOLASKU!$H$6:$H$95,3)</f>
        <v>0</v>
      </c>
      <c r="P517" s="9" t="n">
        <f aca="false">IF(H517&lt;=0,999,IF(O517&gt;0,ROUND((F517-H517*N517+K517+M517+O517)/H517,1),IF(M517&gt;0,ROUND((F517-H517*L517+K517+M517)/H517,1),IF(K517&gt;0,ROUND((F517-H517*J517+K517)/H517,1),I517))))</f>
        <v>999</v>
      </c>
      <c r="Q517" s="22" t="str">
        <f aca="false">IF(H517&lt;=0,"Nema prodaje",IF(AND(K517=0,M517=0,O517=0),IF(I517&lt;POSTAVKE!$B$6,"Naruči odmah","Sve u redu"),IF(F517-H517*J517&lt;0,"Rupa za ~"&amp;TEXT(I517,"0.0")&amp;" mj.",IF(AND(M517&gt;0,F517-H517*L517+K517&lt;0),"Rupa nakon 1. dolaska",IF(AND(O517&gt;0,F517-H517*N517+K517+M517&lt;0),"Rupa nakon 2. dolaska",IF(P517&lt;POSTAVKE!$B$6,"Količina nije dovoljna",IF(I517&gt;=POSTAVKE!$B$6,"Sve u redu","Stiže na vrijeme")))))))</f>
        <v>Nema prodaje</v>
      </c>
      <c r="S517" s="23" t="n">
        <f aca="false">IFERROR(INDEX(PODACI_PRODAJA!B:B,MATCH($A517,PODACI_PRODAJA!$A:$A,0)),0)</f>
        <v>0</v>
      </c>
      <c r="T517" s="23" t="n">
        <f aca="false">IFERROR(INDEX(PODACI_PRODAJA!C:C,MATCH($A517,PODACI_PRODAJA!$A:$A,0)),0)</f>
        <v>0</v>
      </c>
      <c r="U517" s="23" t="n">
        <f aca="false">IFERROR(INDEX(PODACI_PRODAJA!D:D,MATCH($A517,PODACI_PRODAJA!$A:$A,0)),0)</f>
        <v>0</v>
      </c>
      <c r="V517" s="23" t="n">
        <f aca="false">IFERROR(INDEX(PODACI_PRODAJA!E:E,MATCH($A517,PODACI_PRODAJA!$A:$A,0)),0)</f>
        <v>0</v>
      </c>
      <c r="W517" s="23" t="n">
        <f aca="false">IFERROR(INDEX(PODACI_PRODAJA!F:F,MATCH($A517,PODACI_PRODAJA!$A:$A,0)),0)</f>
        <v>0</v>
      </c>
      <c r="X517" s="23" t="n">
        <f aca="false">IFERROR(INDEX(PODACI_PRODAJA!G:G,MATCH($A517,PODACI_PRODAJA!$A:$A,0)),0)</f>
        <v>0</v>
      </c>
      <c r="Y517" s="23" t="n">
        <f aca="false">IFERROR(INDEX(PODACI_PRODAJA!H:H,MATCH($A517,PODACI_PRODAJA!$A:$A,0)),0)</f>
        <v>0</v>
      </c>
      <c r="Z517" s="23" t="n">
        <f aca="false">IFERROR(INDEX(PODACI_PRODAJA!I:I,MATCH($A517,PODACI_PRODAJA!$A:$A,0)),0)</f>
        <v>0</v>
      </c>
      <c r="AA517" s="23" t="n">
        <f aca="false">IFERROR(INDEX(PODACI_PRODAJA!J:J,MATCH($A517,PODACI_PRODAJA!$A:$A,0)),0)</f>
        <v>0</v>
      </c>
      <c r="AB517" s="23" t="n">
        <f aca="false">IFERROR(INDEX(PODACI_PRODAJA!K:K,MATCH($A517,PODACI_PRODAJA!$A:$A,0)),0)</f>
        <v>0</v>
      </c>
      <c r="AC517" s="23" t="n">
        <f aca="false">IFERROR(INDEX(PODACI_PRODAJA!L:L,MATCH($A517,PODACI_PRODAJA!$A:$A,0)),0)</f>
        <v>0</v>
      </c>
      <c r="AD517" s="23" t="n">
        <f aca="false">IFERROR(INDEX(PODACI_PRODAJA!M:M,MATCH($A517,PODACI_PRODAJA!$A:$A,0)),0)</f>
        <v>0</v>
      </c>
    </row>
    <row r="518" customFormat="false" ht="15" hidden="false" customHeight="false" outlineLevel="0" collapsed="false">
      <c r="A518" s="11" t="str">
        <f aca="false">PODACI_ZALIHE!A515</f>
        <v>38243</v>
      </c>
      <c r="B518" s="8" t="str">
        <f aca="false">PODACI_ZALIHE!B515</f>
        <v>KLUDI PODŽBUKNI ELEMENT ZA JEDNORUČNE MIJEŠALICE S DVA OTVORA</v>
      </c>
      <c r="C518" s="9" t="str">
        <f aca="false">PODACI_ZALIHE!C515</f>
        <v>7485</v>
      </c>
      <c r="D518" s="8" t="str">
        <f aca="false">PODACI_ZALIHE!D515</f>
        <v>KLUDI GmbH &amp; Co. KG.,</v>
      </c>
      <c r="E518" s="19" t="n">
        <f aca="false">IF(PODACI_ZALIHE!E515="","",PODACI_ZALIHE!E515)</f>
        <v>5</v>
      </c>
      <c r="F518" s="20" t="n">
        <f aca="false">PODACI_ZALIHE!F515</f>
        <v>5</v>
      </c>
      <c r="G518" s="19" t="n">
        <f aca="false">IF(E518="","",E518-F518)</f>
        <v>0</v>
      </c>
      <c r="H518" s="9" t="n">
        <f aca="false">PODACI_PRODAJA!N766</f>
        <v>0</v>
      </c>
      <c r="I518" s="21" t="n">
        <f aca="false">IF(H518&lt;=0,999,ROUND(F518/H518,1))</f>
        <v>999</v>
      </c>
      <c r="J518" s="9" t="n">
        <f aca="false">SUMIFS(ROBA_U_DOLASKU!$C$6:$C$95,ROBA_U_DOLASKU!$A$6:$A$95,A518,ROBA_U_DOLASKU!$H$6:$H$95,1)</f>
        <v>0</v>
      </c>
      <c r="K518" s="9" t="n">
        <f aca="false">SUMIFS(ROBA_U_DOLASKU!$B$6:$B$95,ROBA_U_DOLASKU!$A$6:$A$95,A518,ROBA_U_DOLASKU!$H$6:$H$95,1)</f>
        <v>0</v>
      </c>
      <c r="L518" s="9" t="n">
        <f aca="false">SUMIFS(ROBA_U_DOLASKU!$C$6:$C$95,ROBA_U_DOLASKU!$A$6:$A$95,A518,ROBA_U_DOLASKU!$H$6:$H$95,2)</f>
        <v>0</v>
      </c>
      <c r="M518" s="9" t="n">
        <f aca="false">SUMIFS(ROBA_U_DOLASKU!$B$6:$B$95,ROBA_U_DOLASKU!$A$6:$A$95,A518,ROBA_U_DOLASKU!$H$6:$H$95,2)</f>
        <v>0</v>
      </c>
      <c r="N518" s="9" t="n">
        <f aca="false">SUMIFS(ROBA_U_DOLASKU!$C$6:$C$95,ROBA_U_DOLASKU!$A$6:$A$95,A518,ROBA_U_DOLASKU!$H$6:$H$95,3)</f>
        <v>0</v>
      </c>
      <c r="O518" s="9" t="n">
        <f aca="false">SUMIFS(ROBA_U_DOLASKU!$B$6:$B$95,ROBA_U_DOLASKU!$A$6:$A$95,A518,ROBA_U_DOLASKU!$H$6:$H$95,3)</f>
        <v>0</v>
      </c>
      <c r="P518" s="9" t="n">
        <f aca="false">IF(H518&lt;=0,999,IF(O518&gt;0,ROUND((F518-H518*N518+K518+M518+O518)/H518,1),IF(M518&gt;0,ROUND((F518-H518*L518+K518+M518)/H518,1),IF(K518&gt;0,ROUND((F518-H518*J518+K518)/H518,1),I518))))</f>
        <v>999</v>
      </c>
      <c r="Q518" s="22" t="str">
        <f aca="false">IF(H518&lt;=0,"Nema prodaje",IF(AND(K518=0,M518=0,O518=0),IF(I518&lt;POSTAVKE!$B$6,"Naruči odmah","Sve u redu"),IF(F518-H518*J518&lt;0,"Rupa za ~"&amp;TEXT(I518,"0.0")&amp;" mj.",IF(AND(M518&gt;0,F518-H518*L518+K518&lt;0),"Rupa nakon 1. dolaska",IF(AND(O518&gt;0,F518-H518*N518+K518+M518&lt;0),"Rupa nakon 2. dolaska",IF(P518&lt;POSTAVKE!$B$6,"Količina nije dovoljna",IF(I518&gt;=POSTAVKE!$B$6,"Sve u redu","Stiže na vrijeme")))))))</f>
        <v>Nema prodaje</v>
      </c>
      <c r="S518" s="23" t="n">
        <f aca="false">IFERROR(INDEX(PODACI_PRODAJA!B:B,MATCH($A518,PODACI_PRODAJA!$A:$A,0)),0)</f>
        <v>0</v>
      </c>
      <c r="T518" s="23" t="n">
        <f aca="false">IFERROR(INDEX(PODACI_PRODAJA!C:C,MATCH($A518,PODACI_PRODAJA!$A:$A,0)),0)</f>
        <v>0</v>
      </c>
      <c r="U518" s="23" t="n">
        <f aca="false">IFERROR(INDEX(PODACI_PRODAJA!D:D,MATCH($A518,PODACI_PRODAJA!$A:$A,0)),0)</f>
        <v>0</v>
      </c>
      <c r="V518" s="23" t="n">
        <f aca="false">IFERROR(INDEX(PODACI_PRODAJA!E:E,MATCH($A518,PODACI_PRODAJA!$A:$A,0)),0)</f>
        <v>0</v>
      </c>
      <c r="W518" s="23" t="n">
        <f aca="false">IFERROR(INDEX(PODACI_PRODAJA!F:F,MATCH($A518,PODACI_PRODAJA!$A:$A,0)),0)</f>
        <v>0</v>
      </c>
      <c r="X518" s="23" t="n">
        <f aca="false">IFERROR(INDEX(PODACI_PRODAJA!G:G,MATCH($A518,PODACI_PRODAJA!$A:$A,0)),0)</f>
        <v>0</v>
      </c>
      <c r="Y518" s="23" t="n">
        <f aca="false">IFERROR(INDEX(PODACI_PRODAJA!H:H,MATCH($A518,PODACI_PRODAJA!$A:$A,0)),0)</f>
        <v>0</v>
      </c>
      <c r="Z518" s="23" t="n">
        <f aca="false">IFERROR(INDEX(PODACI_PRODAJA!I:I,MATCH($A518,PODACI_PRODAJA!$A:$A,0)),0)</f>
        <v>0</v>
      </c>
      <c r="AA518" s="23" t="n">
        <f aca="false">IFERROR(INDEX(PODACI_PRODAJA!J:J,MATCH($A518,PODACI_PRODAJA!$A:$A,0)),0)</f>
        <v>0</v>
      </c>
      <c r="AB518" s="23" t="n">
        <f aca="false">IFERROR(INDEX(PODACI_PRODAJA!K:K,MATCH($A518,PODACI_PRODAJA!$A:$A,0)),0)</f>
        <v>0</v>
      </c>
      <c r="AC518" s="23" t="n">
        <f aca="false">IFERROR(INDEX(PODACI_PRODAJA!L:L,MATCH($A518,PODACI_PRODAJA!$A:$A,0)),0)</f>
        <v>0</v>
      </c>
      <c r="AD518" s="23" t="n">
        <f aca="false">IFERROR(INDEX(PODACI_PRODAJA!M:M,MATCH($A518,PODACI_PRODAJA!$A:$A,0)),0)</f>
        <v>0</v>
      </c>
    </row>
    <row r="519" customFormat="false" ht="15" hidden="false" customHeight="false" outlineLevel="0" collapsed="false">
      <c r="A519" s="11" t="str">
        <f aca="false">PODACI_ZALIHE!A516</f>
        <v>386910576</v>
      </c>
      <c r="B519" s="8" t="str">
        <f aca="false">PODACI_ZALIHE!B516</f>
        <v>KLUDI BOZZ MIJEŠALICA ZA KADU I TUŠ, KROM</v>
      </c>
      <c r="C519" s="9" t="str">
        <f aca="false">PODACI_ZALIHE!C516</f>
        <v>7485</v>
      </c>
      <c r="D519" s="8" t="str">
        <f aca="false">PODACI_ZALIHE!D516</f>
        <v>KLUDI GmbH &amp; Co. KG.,</v>
      </c>
      <c r="E519" s="19" t="n">
        <f aca="false">IF(PODACI_ZALIHE!E516="","",PODACI_ZALIHE!E516)</f>
        <v>5</v>
      </c>
      <c r="F519" s="20" t="n">
        <f aca="false">PODACI_ZALIHE!F516</f>
        <v>5</v>
      </c>
      <c r="G519" s="19" t="n">
        <f aca="false">IF(E519="","",E519-F519)</f>
        <v>0</v>
      </c>
      <c r="H519" s="9" t="n">
        <f aca="false">PODACI_PRODAJA!N774</f>
        <v>0</v>
      </c>
      <c r="I519" s="21" t="n">
        <f aca="false">IF(H519&lt;=0,999,ROUND(F519/H519,1))</f>
        <v>999</v>
      </c>
      <c r="J519" s="9" t="n">
        <f aca="false">SUMIFS(ROBA_U_DOLASKU!$C$6:$C$95,ROBA_U_DOLASKU!$A$6:$A$95,A519,ROBA_U_DOLASKU!$H$6:$H$95,1)</f>
        <v>0</v>
      </c>
      <c r="K519" s="9" t="n">
        <f aca="false">SUMIFS(ROBA_U_DOLASKU!$B$6:$B$95,ROBA_U_DOLASKU!$A$6:$A$95,A519,ROBA_U_DOLASKU!$H$6:$H$95,1)</f>
        <v>0</v>
      </c>
      <c r="L519" s="9" t="n">
        <f aca="false">SUMIFS(ROBA_U_DOLASKU!$C$6:$C$95,ROBA_U_DOLASKU!$A$6:$A$95,A519,ROBA_U_DOLASKU!$H$6:$H$95,2)</f>
        <v>0</v>
      </c>
      <c r="M519" s="9" t="n">
        <f aca="false">SUMIFS(ROBA_U_DOLASKU!$B$6:$B$95,ROBA_U_DOLASKU!$A$6:$A$95,A519,ROBA_U_DOLASKU!$H$6:$H$95,2)</f>
        <v>0</v>
      </c>
      <c r="N519" s="9" t="n">
        <f aca="false">SUMIFS(ROBA_U_DOLASKU!$C$6:$C$95,ROBA_U_DOLASKU!$A$6:$A$95,A519,ROBA_U_DOLASKU!$H$6:$H$95,3)</f>
        <v>0</v>
      </c>
      <c r="O519" s="9" t="n">
        <f aca="false">SUMIFS(ROBA_U_DOLASKU!$B$6:$B$95,ROBA_U_DOLASKU!$A$6:$A$95,A519,ROBA_U_DOLASKU!$H$6:$H$95,3)</f>
        <v>0</v>
      </c>
      <c r="P519" s="9" t="n">
        <f aca="false">IF(H519&lt;=0,999,IF(O519&gt;0,ROUND((F519-H519*N519+K519+M519+O519)/H519,1),IF(M519&gt;0,ROUND((F519-H519*L519+K519+M519)/H519,1),IF(K519&gt;0,ROUND((F519-H519*J519+K519)/H519,1),I519))))</f>
        <v>999</v>
      </c>
      <c r="Q519" s="22" t="str">
        <f aca="false">IF(H519&lt;=0,"Nema prodaje",IF(AND(K519=0,M519=0,O519=0),IF(I519&lt;POSTAVKE!$B$6,"Naruči odmah","Sve u redu"),IF(F519-H519*J519&lt;0,"Rupa za ~"&amp;TEXT(I519,"0.0")&amp;" mj.",IF(AND(M519&gt;0,F519-H519*L519+K519&lt;0),"Rupa nakon 1. dolaska",IF(AND(O519&gt;0,F519-H519*N519+K519+M519&lt;0),"Rupa nakon 2. dolaska",IF(P519&lt;POSTAVKE!$B$6,"Količina nije dovoljna",IF(I519&gt;=POSTAVKE!$B$6,"Sve u redu","Stiže na vrijeme")))))))</f>
        <v>Nema prodaje</v>
      </c>
      <c r="S519" s="23" t="n">
        <f aca="false">IFERROR(INDEX(PODACI_PRODAJA!B:B,MATCH($A519,PODACI_PRODAJA!$A:$A,0)),0)</f>
        <v>0</v>
      </c>
      <c r="T519" s="23" t="n">
        <f aca="false">IFERROR(INDEX(PODACI_PRODAJA!C:C,MATCH($A519,PODACI_PRODAJA!$A:$A,0)),0)</f>
        <v>0</v>
      </c>
      <c r="U519" s="23" t="n">
        <f aca="false">IFERROR(INDEX(PODACI_PRODAJA!D:D,MATCH($A519,PODACI_PRODAJA!$A:$A,0)),0)</f>
        <v>0</v>
      </c>
      <c r="V519" s="23" t="n">
        <f aca="false">IFERROR(INDEX(PODACI_PRODAJA!E:E,MATCH($A519,PODACI_PRODAJA!$A:$A,0)),0)</f>
        <v>0</v>
      </c>
      <c r="W519" s="23" t="n">
        <f aca="false">IFERROR(INDEX(PODACI_PRODAJA!F:F,MATCH($A519,PODACI_PRODAJA!$A:$A,0)),0)</f>
        <v>0</v>
      </c>
      <c r="X519" s="23" t="n">
        <f aca="false">IFERROR(INDEX(PODACI_PRODAJA!G:G,MATCH($A519,PODACI_PRODAJA!$A:$A,0)),0)</f>
        <v>0</v>
      </c>
      <c r="Y519" s="23" t="n">
        <f aca="false">IFERROR(INDEX(PODACI_PRODAJA!H:H,MATCH($A519,PODACI_PRODAJA!$A:$A,0)),0)</f>
        <v>0</v>
      </c>
      <c r="Z519" s="23" t="n">
        <f aca="false">IFERROR(INDEX(PODACI_PRODAJA!I:I,MATCH($A519,PODACI_PRODAJA!$A:$A,0)),0)</f>
        <v>0</v>
      </c>
      <c r="AA519" s="23" t="n">
        <f aca="false">IFERROR(INDEX(PODACI_PRODAJA!J:J,MATCH($A519,PODACI_PRODAJA!$A:$A,0)),0)</f>
        <v>0</v>
      </c>
      <c r="AB519" s="23" t="n">
        <f aca="false">IFERROR(INDEX(PODACI_PRODAJA!K:K,MATCH($A519,PODACI_PRODAJA!$A:$A,0)),0)</f>
        <v>0</v>
      </c>
      <c r="AC519" s="23" t="n">
        <f aca="false">IFERROR(INDEX(PODACI_PRODAJA!L:L,MATCH($A519,PODACI_PRODAJA!$A:$A,0)),0)</f>
        <v>0</v>
      </c>
      <c r="AD519" s="23" t="n">
        <f aca="false">IFERROR(INDEX(PODACI_PRODAJA!M:M,MATCH($A519,PODACI_PRODAJA!$A:$A,0)),0)</f>
        <v>0</v>
      </c>
    </row>
    <row r="520" customFormat="false" ht="15" hidden="false" customHeight="false" outlineLevel="0" collapsed="false">
      <c r="A520" s="11" t="str">
        <f aca="false">PODACI_ZALIHE!A517</f>
        <v>402920575</v>
      </c>
      <c r="B520" s="8" t="str">
        <f aca="false">PODACI_ZALIHE!B517</f>
        <v>KLUDI PURE&amp;STYLE MIJEŠALICA ZA UMIVAONIK, 100MM, BEZ PODIZAČA SIFONA, KROM</v>
      </c>
      <c r="C520" s="9" t="str">
        <f aca="false">PODACI_ZALIHE!C517</f>
        <v>7485</v>
      </c>
      <c r="D520" s="8" t="str">
        <f aca="false">PODACI_ZALIHE!D517</f>
        <v>KLUDI GmbH &amp; Co. KG.,</v>
      </c>
      <c r="E520" s="19" t="n">
        <f aca="false">IF(PODACI_ZALIHE!E517="","",PODACI_ZALIHE!E517)</f>
        <v>5</v>
      </c>
      <c r="F520" s="20" t="n">
        <f aca="false">PODACI_ZALIHE!F517</f>
        <v>5</v>
      </c>
      <c r="G520" s="19" t="n">
        <f aca="false">IF(E520="","",E520-F520)</f>
        <v>0</v>
      </c>
      <c r="H520" s="9" t="n">
        <f aca="false">PODACI_PRODAJA!N779</f>
        <v>0</v>
      </c>
      <c r="I520" s="21" t="n">
        <f aca="false">IF(H520&lt;=0,999,ROUND(F520/H520,1))</f>
        <v>999</v>
      </c>
      <c r="J520" s="9" t="n">
        <f aca="false">SUMIFS(ROBA_U_DOLASKU!$C$6:$C$95,ROBA_U_DOLASKU!$A$6:$A$95,A520,ROBA_U_DOLASKU!$H$6:$H$95,1)</f>
        <v>0</v>
      </c>
      <c r="K520" s="9" t="n">
        <f aca="false">SUMIFS(ROBA_U_DOLASKU!$B$6:$B$95,ROBA_U_DOLASKU!$A$6:$A$95,A520,ROBA_U_DOLASKU!$H$6:$H$95,1)</f>
        <v>0</v>
      </c>
      <c r="L520" s="9" t="n">
        <f aca="false">SUMIFS(ROBA_U_DOLASKU!$C$6:$C$95,ROBA_U_DOLASKU!$A$6:$A$95,A520,ROBA_U_DOLASKU!$H$6:$H$95,2)</f>
        <v>0</v>
      </c>
      <c r="M520" s="9" t="n">
        <f aca="false">SUMIFS(ROBA_U_DOLASKU!$B$6:$B$95,ROBA_U_DOLASKU!$A$6:$A$95,A520,ROBA_U_DOLASKU!$H$6:$H$95,2)</f>
        <v>0</v>
      </c>
      <c r="N520" s="9" t="n">
        <f aca="false">SUMIFS(ROBA_U_DOLASKU!$C$6:$C$95,ROBA_U_DOLASKU!$A$6:$A$95,A520,ROBA_U_DOLASKU!$H$6:$H$95,3)</f>
        <v>0</v>
      </c>
      <c r="O520" s="9" t="n">
        <f aca="false">SUMIFS(ROBA_U_DOLASKU!$B$6:$B$95,ROBA_U_DOLASKU!$A$6:$A$95,A520,ROBA_U_DOLASKU!$H$6:$H$95,3)</f>
        <v>0</v>
      </c>
      <c r="P520" s="9" t="n">
        <f aca="false">IF(H520&lt;=0,999,IF(O520&gt;0,ROUND((F520-H520*N520+K520+M520+O520)/H520,1),IF(M520&gt;0,ROUND((F520-H520*L520+K520+M520)/H520,1),IF(K520&gt;0,ROUND((F520-H520*J520+K520)/H520,1),I520))))</f>
        <v>999</v>
      </c>
      <c r="Q520" s="22" t="str">
        <f aca="false">IF(H520&lt;=0,"Nema prodaje",IF(AND(K520=0,M520=0,O520=0),IF(I520&lt;POSTAVKE!$B$6,"Naruči odmah","Sve u redu"),IF(F520-H520*J520&lt;0,"Rupa za ~"&amp;TEXT(I520,"0.0")&amp;" mj.",IF(AND(M520&gt;0,F520-H520*L520+K520&lt;0),"Rupa nakon 1. dolaska",IF(AND(O520&gt;0,F520-H520*N520+K520+M520&lt;0),"Rupa nakon 2. dolaska",IF(P520&lt;POSTAVKE!$B$6,"Količina nije dovoljna",IF(I520&gt;=POSTAVKE!$B$6,"Sve u redu","Stiže na vrijeme")))))))</f>
        <v>Nema prodaje</v>
      </c>
      <c r="S520" s="23" t="n">
        <f aca="false">IFERROR(INDEX(PODACI_PRODAJA!B:B,MATCH($A520,PODACI_PRODAJA!$A:$A,0)),0)</f>
        <v>0</v>
      </c>
      <c r="T520" s="23" t="n">
        <f aca="false">IFERROR(INDEX(PODACI_PRODAJA!C:C,MATCH($A520,PODACI_PRODAJA!$A:$A,0)),0)</f>
        <v>0</v>
      </c>
      <c r="U520" s="23" t="n">
        <f aca="false">IFERROR(INDEX(PODACI_PRODAJA!D:D,MATCH($A520,PODACI_PRODAJA!$A:$A,0)),0)</f>
        <v>0</v>
      </c>
      <c r="V520" s="23" t="n">
        <f aca="false">IFERROR(INDEX(PODACI_PRODAJA!E:E,MATCH($A520,PODACI_PRODAJA!$A:$A,0)),0)</f>
        <v>0</v>
      </c>
      <c r="W520" s="23" t="n">
        <f aca="false">IFERROR(INDEX(PODACI_PRODAJA!F:F,MATCH($A520,PODACI_PRODAJA!$A:$A,0)),0)</f>
        <v>0</v>
      </c>
      <c r="X520" s="23" t="n">
        <f aca="false">IFERROR(INDEX(PODACI_PRODAJA!G:G,MATCH($A520,PODACI_PRODAJA!$A:$A,0)),0)</f>
        <v>0</v>
      </c>
      <c r="Y520" s="23" t="n">
        <f aca="false">IFERROR(INDEX(PODACI_PRODAJA!H:H,MATCH($A520,PODACI_PRODAJA!$A:$A,0)),0)</f>
        <v>0</v>
      </c>
      <c r="Z520" s="23" t="n">
        <f aca="false">IFERROR(INDEX(PODACI_PRODAJA!I:I,MATCH($A520,PODACI_PRODAJA!$A:$A,0)),0)</f>
        <v>0</v>
      </c>
      <c r="AA520" s="23" t="n">
        <f aca="false">IFERROR(INDEX(PODACI_PRODAJA!J:J,MATCH($A520,PODACI_PRODAJA!$A:$A,0)),0)</f>
        <v>0</v>
      </c>
      <c r="AB520" s="23" t="n">
        <f aca="false">IFERROR(INDEX(PODACI_PRODAJA!K:K,MATCH($A520,PODACI_PRODAJA!$A:$A,0)),0)</f>
        <v>0</v>
      </c>
      <c r="AC520" s="23" t="n">
        <f aca="false">IFERROR(INDEX(PODACI_PRODAJA!L:L,MATCH($A520,PODACI_PRODAJA!$A:$A,0)),0)</f>
        <v>0</v>
      </c>
      <c r="AD520" s="23" t="n">
        <f aca="false">IFERROR(INDEX(PODACI_PRODAJA!M:M,MATCH($A520,PODACI_PRODAJA!$A:$A,0)),0)</f>
        <v>0</v>
      </c>
    </row>
    <row r="521" customFormat="false" ht="15" hidden="false" customHeight="false" outlineLevel="0" collapsed="false">
      <c r="A521" s="11" t="str">
        <f aca="false">PODACI_ZALIHE!A518</f>
        <v>422820575</v>
      </c>
      <c r="B521" s="8" t="str">
        <f aca="false">PODACI_ZALIHE!B518</f>
        <v>KLUDI RENON MIJEŠALICA ZA UMIVAONIK, 110MM, KROM</v>
      </c>
      <c r="C521" s="9" t="str">
        <f aca="false">PODACI_ZALIHE!C518</f>
        <v>7485</v>
      </c>
      <c r="D521" s="8" t="str">
        <f aca="false">PODACI_ZALIHE!D518</f>
        <v>KLUDI GmbH &amp; Co. KG.,</v>
      </c>
      <c r="E521" s="19" t="n">
        <f aca="false">IF(PODACI_ZALIHE!E518="","",PODACI_ZALIHE!E518)</f>
        <v>5</v>
      </c>
      <c r="F521" s="20" t="n">
        <f aca="false">PODACI_ZALIHE!F518</f>
        <v>5</v>
      </c>
      <c r="G521" s="19" t="n">
        <f aca="false">IF(E521="","",E521-F521)</f>
        <v>0</v>
      </c>
      <c r="H521" s="9" t="n">
        <f aca="false">PODACI_PRODAJA!N787</f>
        <v>0</v>
      </c>
      <c r="I521" s="21" t="n">
        <f aca="false">IF(H521&lt;=0,999,ROUND(F521/H521,1))</f>
        <v>999</v>
      </c>
      <c r="J521" s="9" t="n">
        <f aca="false">SUMIFS(ROBA_U_DOLASKU!$C$6:$C$95,ROBA_U_DOLASKU!$A$6:$A$95,A521,ROBA_U_DOLASKU!$H$6:$H$95,1)</f>
        <v>0</v>
      </c>
      <c r="K521" s="9" t="n">
        <f aca="false">SUMIFS(ROBA_U_DOLASKU!$B$6:$B$95,ROBA_U_DOLASKU!$A$6:$A$95,A521,ROBA_U_DOLASKU!$H$6:$H$95,1)</f>
        <v>0</v>
      </c>
      <c r="L521" s="9" t="n">
        <f aca="false">SUMIFS(ROBA_U_DOLASKU!$C$6:$C$95,ROBA_U_DOLASKU!$A$6:$A$95,A521,ROBA_U_DOLASKU!$H$6:$H$95,2)</f>
        <v>0</v>
      </c>
      <c r="M521" s="9" t="n">
        <f aca="false">SUMIFS(ROBA_U_DOLASKU!$B$6:$B$95,ROBA_U_DOLASKU!$A$6:$A$95,A521,ROBA_U_DOLASKU!$H$6:$H$95,2)</f>
        <v>0</v>
      </c>
      <c r="N521" s="9" t="n">
        <f aca="false">SUMIFS(ROBA_U_DOLASKU!$C$6:$C$95,ROBA_U_DOLASKU!$A$6:$A$95,A521,ROBA_U_DOLASKU!$H$6:$H$95,3)</f>
        <v>0</v>
      </c>
      <c r="O521" s="9" t="n">
        <f aca="false">SUMIFS(ROBA_U_DOLASKU!$B$6:$B$95,ROBA_U_DOLASKU!$A$6:$A$95,A521,ROBA_U_DOLASKU!$H$6:$H$95,3)</f>
        <v>0</v>
      </c>
      <c r="P521" s="9" t="n">
        <f aca="false">IF(H521&lt;=0,999,IF(O521&gt;0,ROUND((F521-H521*N521+K521+M521+O521)/H521,1),IF(M521&gt;0,ROUND((F521-H521*L521+K521+M521)/H521,1),IF(K521&gt;0,ROUND((F521-H521*J521+K521)/H521,1),I521))))</f>
        <v>999</v>
      </c>
      <c r="Q521" s="22" t="str">
        <f aca="false">IF(H521&lt;=0,"Nema prodaje",IF(AND(K521=0,M521=0,O521=0),IF(I521&lt;POSTAVKE!$B$6,"Naruči odmah","Sve u redu"),IF(F521-H521*J521&lt;0,"Rupa za ~"&amp;TEXT(I521,"0.0")&amp;" mj.",IF(AND(M521&gt;0,F521-H521*L521+K521&lt;0),"Rupa nakon 1. dolaska",IF(AND(O521&gt;0,F521-H521*N521+K521+M521&lt;0),"Rupa nakon 2. dolaska",IF(P521&lt;POSTAVKE!$B$6,"Količina nije dovoljna",IF(I521&gt;=POSTAVKE!$B$6,"Sve u redu","Stiže na vrijeme")))))))</f>
        <v>Nema prodaje</v>
      </c>
      <c r="S521" s="23" t="n">
        <f aca="false">IFERROR(INDEX(PODACI_PRODAJA!B:B,MATCH($A521,PODACI_PRODAJA!$A:$A,0)),0)</f>
        <v>0</v>
      </c>
      <c r="T521" s="23" t="n">
        <f aca="false">IFERROR(INDEX(PODACI_PRODAJA!C:C,MATCH($A521,PODACI_PRODAJA!$A:$A,0)),0)</f>
        <v>0</v>
      </c>
      <c r="U521" s="23" t="n">
        <f aca="false">IFERROR(INDEX(PODACI_PRODAJA!D:D,MATCH($A521,PODACI_PRODAJA!$A:$A,0)),0)</f>
        <v>0</v>
      </c>
      <c r="V521" s="23" t="n">
        <f aca="false">IFERROR(INDEX(PODACI_PRODAJA!E:E,MATCH($A521,PODACI_PRODAJA!$A:$A,0)),0)</f>
        <v>0</v>
      </c>
      <c r="W521" s="23" t="n">
        <f aca="false">IFERROR(INDEX(PODACI_PRODAJA!F:F,MATCH($A521,PODACI_PRODAJA!$A:$A,0)),0)</f>
        <v>0</v>
      </c>
      <c r="X521" s="23" t="n">
        <f aca="false">IFERROR(INDEX(PODACI_PRODAJA!G:G,MATCH($A521,PODACI_PRODAJA!$A:$A,0)),0)</f>
        <v>0</v>
      </c>
      <c r="Y521" s="23" t="n">
        <f aca="false">IFERROR(INDEX(PODACI_PRODAJA!H:H,MATCH($A521,PODACI_PRODAJA!$A:$A,0)),0)</f>
        <v>0</v>
      </c>
      <c r="Z521" s="23" t="n">
        <f aca="false">IFERROR(INDEX(PODACI_PRODAJA!I:I,MATCH($A521,PODACI_PRODAJA!$A:$A,0)),0)</f>
        <v>0</v>
      </c>
      <c r="AA521" s="23" t="n">
        <f aca="false">IFERROR(INDEX(PODACI_PRODAJA!J:J,MATCH($A521,PODACI_PRODAJA!$A:$A,0)),0)</f>
        <v>0</v>
      </c>
      <c r="AB521" s="23" t="n">
        <f aca="false">IFERROR(INDEX(PODACI_PRODAJA!K:K,MATCH($A521,PODACI_PRODAJA!$A:$A,0)),0)</f>
        <v>0</v>
      </c>
      <c r="AC521" s="23" t="n">
        <f aca="false">IFERROR(INDEX(PODACI_PRODAJA!L:L,MATCH($A521,PODACI_PRODAJA!$A:$A,0)),0)</f>
        <v>0</v>
      </c>
      <c r="AD521" s="23" t="n">
        <f aca="false">IFERROR(INDEX(PODACI_PRODAJA!M:M,MATCH($A521,PODACI_PRODAJA!$A:$A,0)),0)</f>
        <v>0</v>
      </c>
    </row>
    <row r="522" customFormat="false" ht="15" hidden="false" customHeight="false" outlineLevel="0" collapsed="false">
      <c r="A522" s="11" t="str">
        <f aca="false">PODACI_ZALIHE!A519</f>
        <v>6432505-00</v>
      </c>
      <c r="B522" s="8" t="str">
        <f aca="false">PODACI_ZALIHE!B519</f>
        <v>KLUDI A-QA TUŠ RUŽA 25CM, KROM</v>
      </c>
      <c r="C522" s="9" t="str">
        <f aca="false">PODACI_ZALIHE!C519</f>
        <v>7485</v>
      </c>
      <c r="D522" s="8" t="str">
        <f aca="false">PODACI_ZALIHE!D519</f>
        <v>KLUDI GmbH &amp; Co. KG.,</v>
      </c>
      <c r="E522" s="19" t="n">
        <f aca="false">IF(PODACI_ZALIHE!E519="","",PODACI_ZALIHE!E519)</f>
        <v>5</v>
      </c>
      <c r="F522" s="20" t="n">
        <f aca="false">PODACI_ZALIHE!F519</f>
        <v>5</v>
      </c>
      <c r="G522" s="19" t="n">
        <f aca="false">IF(E522="","",E522-F522)</f>
        <v>0</v>
      </c>
      <c r="H522" s="9" t="n">
        <f aca="false">PODACI_PRODAJA!N801</f>
        <v>0</v>
      </c>
      <c r="I522" s="21" t="n">
        <f aca="false">IF(H522&lt;=0,999,ROUND(F522/H522,1))</f>
        <v>999</v>
      </c>
      <c r="J522" s="9" t="n">
        <f aca="false">SUMIFS(ROBA_U_DOLASKU!$C$6:$C$95,ROBA_U_DOLASKU!$A$6:$A$95,A522,ROBA_U_DOLASKU!$H$6:$H$95,1)</f>
        <v>0</v>
      </c>
      <c r="K522" s="9" t="n">
        <f aca="false">SUMIFS(ROBA_U_DOLASKU!$B$6:$B$95,ROBA_U_DOLASKU!$A$6:$A$95,A522,ROBA_U_DOLASKU!$H$6:$H$95,1)</f>
        <v>0</v>
      </c>
      <c r="L522" s="9" t="n">
        <f aca="false">SUMIFS(ROBA_U_DOLASKU!$C$6:$C$95,ROBA_U_DOLASKU!$A$6:$A$95,A522,ROBA_U_DOLASKU!$H$6:$H$95,2)</f>
        <v>0</v>
      </c>
      <c r="M522" s="9" t="n">
        <f aca="false">SUMIFS(ROBA_U_DOLASKU!$B$6:$B$95,ROBA_U_DOLASKU!$A$6:$A$95,A522,ROBA_U_DOLASKU!$H$6:$H$95,2)</f>
        <v>0</v>
      </c>
      <c r="N522" s="9" t="n">
        <f aca="false">SUMIFS(ROBA_U_DOLASKU!$C$6:$C$95,ROBA_U_DOLASKU!$A$6:$A$95,A522,ROBA_U_DOLASKU!$H$6:$H$95,3)</f>
        <v>0</v>
      </c>
      <c r="O522" s="9" t="n">
        <f aca="false">SUMIFS(ROBA_U_DOLASKU!$B$6:$B$95,ROBA_U_DOLASKU!$A$6:$A$95,A522,ROBA_U_DOLASKU!$H$6:$H$95,3)</f>
        <v>0</v>
      </c>
      <c r="P522" s="9" t="n">
        <f aca="false">IF(H522&lt;=0,999,IF(O522&gt;0,ROUND((F522-H522*N522+K522+M522+O522)/H522,1),IF(M522&gt;0,ROUND((F522-H522*L522+K522+M522)/H522,1),IF(K522&gt;0,ROUND((F522-H522*J522+K522)/H522,1),I522))))</f>
        <v>999</v>
      </c>
      <c r="Q522" s="22" t="str">
        <f aca="false">IF(H522&lt;=0,"Nema prodaje",IF(AND(K522=0,M522=0,O522=0),IF(I522&lt;POSTAVKE!$B$6,"Naruči odmah","Sve u redu"),IF(F522-H522*J522&lt;0,"Rupa za ~"&amp;TEXT(I522,"0.0")&amp;" mj.",IF(AND(M522&gt;0,F522-H522*L522+K522&lt;0),"Rupa nakon 1. dolaska",IF(AND(O522&gt;0,F522-H522*N522+K522+M522&lt;0),"Rupa nakon 2. dolaska",IF(P522&lt;POSTAVKE!$B$6,"Količina nije dovoljna",IF(I522&gt;=POSTAVKE!$B$6,"Sve u redu","Stiže na vrijeme")))))))</f>
        <v>Nema prodaje</v>
      </c>
      <c r="S522" s="23" t="n">
        <f aca="false">IFERROR(INDEX(PODACI_PRODAJA!B:B,MATCH($A522,PODACI_PRODAJA!$A:$A,0)),0)</f>
        <v>0</v>
      </c>
      <c r="T522" s="23" t="n">
        <f aca="false">IFERROR(INDEX(PODACI_PRODAJA!C:C,MATCH($A522,PODACI_PRODAJA!$A:$A,0)),0)</f>
        <v>0</v>
      </c>
      <c r="U522" s="23" t="n">
        <f aca="false">IFERROR(INDEX(PODACI_PRODAJA!D:D,MATCH($A522,PODACI_PRODAJA!$A:$A,0)),0)</f>
        <v>0</v>
      </c>
      <c r="V522" s="23" t="n">
        <f aca="false">IFERROR(INDEX(PODACI_PRODAJA!E:E,MATCH($A522,PODACI_PRODAJA!$A:$A,0)),0)</f>
        <v>0</v>
      </c>
      <c r="W522" s="23" t="n">
        <f aca="false">IFERROR(INDEX(PODACI_PRODAJA!F:F,MATCH($A522,PODACI_PRODAJA!$A:$A,0)),0)</f>
        <v>0</v>
      </c>
      <c r="X522" s="23" t="n">
        <f aca="false">IFERROR(INDEX(PODACI_PRODAJA!G:G,MATCH($A522,PODACI_PRODAJA!$A:$A,0)),0)</f>
        <v>0</v>
      </c>
      <c r="Y522" s="23" t="n">
        <f aca="false">IFERROR(INDEX(PODACI_PRODAJA!H:H,MATCH($A522,PODACI_PRODAJA!$A:$A,0)),0)</f>
        <v>0</v>
      </c>
      <c r="Z522" s="23" t="n">
        <f aca="false">IFERROR(INDEX(PODACI_PRODAJA!I:I,MATCH($A522,PODACI_PRODAJA!$A:$A,0)),0)</f>
        <v>0</v>
      </c>
      <c r="AA522" s="23" t="n">
        <f aca="false">IFERROR(INDEX(PODACI_PRODAJA!J:J,MATCH($A522,PODACI_PRODAJA!$A:$A,0)),0)</f>
        <v>0</v>
      </c>
      <c r="AB522" s="23" t="n">
        <f aca="false">IFERROR(INDEX(PODACI_PRODAJA!K:K,MATCH($A522,PODACI_PRODAJA!$A:$A,0)),0)</f>
        <v>0</v>
      </c>
      <c r="AC522" s="23" t="n">
        <f aca="false">IFERROR(INDEX(PODACI_PRODAJA!L:L,MATCH($A522,PODACI_PRODAJA!$A:$A,0)),0)</f>
        <v>0</v>
      </c>
      <c r="AD522" s="23" t="n">
        <f aca="false">IFERROR(INDEX(PODACI_PRODAJA!M:M,MATCH($A522,PODACI_PRODAJA!$A:$A,0)),0)</f>
        <v>0</v>
      </c>
    </row>
    <row r="523" customFormat="false" ht="15" hidden="false" customHeight="false" outlineLevel="0" collapsed="false">
      <c r="A523" s="11" t="str">
        <f aca="false">PODACI_ZALIHE!A520</f>
        <v>6554705-00</v>
      </c>
      <c r="B523" s="8" t="str">
        <f aca="false">PODACI_ZALIHE!B520</f>
        <v>KLUDI A-QA ZIDNI PRIKLJUČAK ZA TUŠ CRIJEVO, KROM</v>
      </c>
      <c r="C523" s="9" t="str">
        <f aca="false">PODACI_ZALIHE!C520</f>
        <v>7485</v>
      </c>
      <c r="D523" s="8" t="str">
        <f aca="false">PODACI_ZALIHE!D520</f>
        <v>KLUDI GmbH &amp; Co. KG.,</v>
      </c>
      <c r="E523" s="19" t="n">
        <f aca="false">IF(PODACI_ZALIHE!E520="","",PODACI_ZALIHE!E520)</f>
        <v>5</v>
      </c>
      <c r="F523" s="20" t="n">
        <f aca="false">PODACI_ZALIHE!F520</f>
        <v>5</v>
      </c>
      <c r="G523" s="19" t="n">
        <f aca="false">IF(E523="","",E523-F523)</f>
        <v>0</v>
      </c>
      <c r="H523" s="9" t="n">
        <f aca="false">PODACI_PRODAJA!N803</f>
        <v>0</v>
      </c>
      <c r="I523" s="21" t="n">
        <f aca="false">IF(H523&lt;=0,999,ROUND(F523/H523,1))</f>
        <v>999</v>
      </c>
      <c r="J523" s="9" t="n">
        <f aca="false">SUMIFS(ROBA_U_DOLASKU!$C$6:$C$95,ROBA_U_DOLASKU!$A$6:$A$95,A523,ROBA_U_DOLASKU!$H$6:$H$95,1)</f>
        <v>0</v>
      </c>
      <c r="K523" s="9" t="n">
        <f aca="false">SUMIFS(ROBA_U_DOLASKU!$B$6:$B$95,ROBA_U_DOLASKU!$A$6:$A$95,A523,ROBA_U_DOLASKU!$H$6:$H$95,1)</f>
        <v>0</v>
      </c>
      <c r="L523" s="9" t="n">
        <f aca="false">SUMIFS(ROBA_U_DOLASKU!$C$6:$C$95,ROBA_U_DOLASKU!$A$6:$A$95,A523,ROBA_U_DOLASKU!$H$6:$H$95,2)</f>
        <v>0</v>
      </c>
      <c r="M523" s="9" t="n">
        <f aca="false">SUMIFS(ROBA_U_DOLASKU!$B$6:$B$95,ROBA_U_DOLASKU!$A$6:$A$95,A523,ROBA_U_DOLASKU!$H$6:$H$95,2)</f>
        <v>0</v>
      </c>
      <c r="N523" s="9" t="n">
        <f aca="false">SUMIFS(ROBA_U_DOLASKU!$C$6:$C$95,ROBA_U_DOLASKU!$A$6:$A$95,A523,ROBA_U_DOLASKU!$H$6:$H$95,3)</f>
        <v>0</v>
      </c>
      <c r="O523" s="9" t="n">
        <f aca="false">SUMIFS(ROBA_U_DOLASKU!$B$6:$B$95,ROBA_U_DOLASKU!$A$6:$A$95,A523,ROBA_U_DOLASKU!$H$6:$H$95,3)</f>
        <v>0</v>
      </c>
      <c r="P523" s="9" t="n">
        <f aca="false">IF(H523&lt;=0,999,IF(O523&gt;0,ROUND((F523-H523*N523+K523+M523+O523)/H523,1),IF(M523&gt;0,ROUND((F523-H523*L523+K523+M523)/H523,1),IF(K523&gt;0,ROUND((F523-H523*J523+K523)/H523,1),I523))))</f>
        <v>999</v>
      </c>
      <c r="Q523" s="22" t="str">
        <f aca="false">IF(H523&lt;=0,"Nema prodaje",IF(AND(K523=0,M523=0,O523=0),IF(I523&lt;POSTAVKE!$B$6,"Naruči odmah","Sve u redu"),IF(F523-H523*J523&lt;0,"Rupa za ~"&amp;TEXT(I523,"0.0")&amp;" mj.",IF(AND(M523&gt;0,F523-H523*L523+K523&lt;0),"Rupa nakon 1. dolaska",IF(AND(O523&gt;0,F523-H523*N523+K523+M523&lt;0),"Rupa nakon 2. dolaska",IF(P523&lt;POSTAVKE!$B$6,"Količina nije dovoljna",IF(I523&gt;=POSTAVKE!$B$6,"Sve u redu","Stiže na vrijeme")))))))</f>
        <v>Nema prodaje</v>
      </c>
      <c r="S523" s="23" t="n">
        <f aca="false">IFERROR(INDEX(PODACI_PRODAJA!B:B,MATCH($A523,PODACI_PRODAJA!$A:$A,0)),0)</f>
        <v>0</v>
      </c>
      <c r="T523" s="23" t="n">
        <f aca="false">IFERROR(INDEX(PODACI_PRODAJA!C:C,MATCH($A523,PODACI_PRODAJA!$A:$A,0)),0)</f>
        <v>0</v>
      </c>
      <c r="U523" s="23" t="n">
        <f aca="false">IFERROR(INDEX(PODACI_PRODAJA!D:D,MATCH($A523,PODACI_PRODAJA!$A:$A,0)),0)</f>
        <v>0</v>
      </c>
      <c r="V523" s="23" t="n">
        <f aca="false">IFERROR(INDEX(PODACI_PRODAJA!E:E,MATCH($A523,PODACI_PRODAJA!$A:$A,0)),0)</f>
        <v>0</v>
      </c>
      <c r="W523" s="23" t="n">
        <f aca="false">IFERROR(INDEX(PODACI_PRODAJA!F:F,MATCH($A523,PODACI_PRODAJA!$A:$A,0)),0)</f>
        <v>0</v>
      </c>
      <c r="X523" s="23" t="n">
        <f aca="false">IFERROR(INDEX(PODACI_PRODAJA!G:G,MATCH($A523,PODACI_PRODAJA!$A:$A,0)),0)</f>
        <v>0</v>
      </c>
      <c r="Y523" s="23" t="n">
        <f aca="false">IFERROR(INDEX(PODACI_PRODAJA!H:H,MATCH($A523,PODACI_PRODAJA!$A:$A,0)),0)</f>
        <v>0</v>
      </c>
      <c r="Z523" s="23" t="n">
        <f aca="false">IFERROR(INDEX(PODACI_PRODAJA!I:I,MATCH($A523,PODACI_PRODAJA!$A:$A,0)),0)</f>
        <v>0</v>
      </c>
      <c r="AA523" s="23" t="n">
        <f aca="false">IFERROR(INDEX(PODACI_PRODAJA!J:J,MATCH($A523,PODACI_PRODAJA!$A:$A,0)),0)</f>
        <v>0</v>
      </c>
      <c r="AB523" s="23" t="n">
        <f aca="false">IFERROR(INDEX(PODACI_PRODAJA!K:K,MATCH($A523,PODACI_PRODAJA!$A:$A,0)),0)</f>
        <v>0</v>
      </c>
      <c r="AC523" s="23" t="n">
        <f aca="false">IFERROR(INDEX(PODACI_PRODAJA!L:L,MATCH($A523,PODACI_PRODAJA!$A:$A,0)),0)</f>
        <v>0</v>
      </c>
      <c r="AD523" s="23" t="n">
        <f aca="false">IFERROR(INDEX(PODACI_PRODAJA!M:M,MATCH($A523,PODACI_PRODAJA!$A:$A,0)),0)</f>
        <v>0</v>
      </c>
    </row>
    <row r="524" customFormat="false" ht="15" hidden="false" customHeight="false" outlineLevel="0" collapsed="false">
      <c r="A524" s="11" t="str">
        <f aca="false">PODACI_ZALIHE!A521</f>
        <v>6555705-00</v>
      </c>
      <c r="B524" s="8" t="str">
        <f aca="false">PODACI_ZALIHE!B521</f>
        <v>KLUDI A-QA ZIDNI DRŽAČ ZA TUŠ SLUŠALICU, KROM</v>
      </c>
      <c r="C524" s="9" t="str">
        <f aca="false">PODACI_ZALIHE!C521</f>
        <v>7485</v>
      </c>
      <c r="D524" s="8" t="str">
        <f aca="false">PODACI_ZALIHE!D521</f>
        <v>KLUDI GmbH &amp; Co. KG.,</v>
      </c>
      <c r="E524" s="19" t="n">
        <f aca="false">IF(PODACI_ZALIHE!E521="","",PODACI_ZALIHE!E521)</f>
        <v>5</v>
      </c>
      <c r="F524" s="20" t="n">
        <f aca="false">PODACI_ZALIHE!F521</f>
        <v>5</v>
      </c>
      <c r="G524" s="19" t="n">
        <f aca="false">IF(E524="","",E524-F524)</f>
        <v>0</v>
      </c>
      <c r="H524" s="9" t="n">
        <f aca="false">PODACI_PRODAJA!N804</f>
        <v>0</v>
      </c>
      <c r="I524" s="21" t="n">
        <f aca="false">IF(H524&lt;=0,999,ROUND(F524/H524,1))</f>
        <v>999</v>
      </c>
      <c r="J524" s="9" t="n">
        <f aca="false">SUMIFS(ROBA_U_DOLASKU!$C$6:$C$95,ROBA_U_DOLASKU!$A$6:$A$95,A524,ROBA_U_DOLASKU!$H$6:$H$95,1)</f>
        <v>0</v>
      </c>
      <c r="K524" s="9" t="n">
        <f aca="false">SUMIFS(ROBA_U_DOLASKU!$B$6:$B$95,ROBA_U_DOLASKU!$A$6:$A$95,A524,ROBA_U_DOLASKU!$H$6:$H$95,1)</f>
        <v>0</v>
      </c>
      <c r="L524" s="9" t="n">
        <f aca="false">SUMIFS(ROBA_U_DOLASKU!$C$6:$C$95,ROBA_U_DOLASKU!$A$6:$A$95,A524,ROBA_U_DOLASKU!$H$6:$H$95,2)</f>
        <v>0</v>
      </c>
      <c r="M524" s="9" t="n">
        <f aca="false">SUMIFS(ROBA_U_DOLASKU!$B$6:$B$95,ROBA_U_DOLASKU!$A$6:$A$95,A524,ROBA_U_DOLASKU!$H$6:$H$95,2)</f>
        <v>0</v>
      </c>
      <c r="N524" s="9" t="n">
        <f aca="false">SUMIFS(ROBA_U_DOLASKU!$C$6:$C$95,ROBA_U_DOLASKU!$A$6:$A$95,A524,ROBA_U_DOLASKU!$H$6:$H$95,3)</f>
        <v>0</v>
      </c>
      <c r="O524" s="9" t="n">
        <f aca="false">SUMIFS(ROBA_U_DOLASKU!$B$6:$B$95,ROBA_U_DOLASKU!$A$6:$A$95,A524,ROBA_U_DOLASKU!$H$6:$H$95,3)</f>
        <v>0</v>
      </c>
      <c r="P524" s="9" t="n">
        <f aca="false">IF(H524&lt;=0,999,IF(O524&gt;0,ROUND((F524-H524*N524+K524+M524+O524)/H524,1),IF(M524&gt;0,ROUND((F524-H524*L524+K524+M524)/H524,1),IF(K524&gt;0,ROUND((F524-H524*J524+K524)/H524,1),I524))))</f>
        <v>999</v>
      </c>
      <c r="Q524" s="22" t="str">
        <f aca="false">IF(H524&lt;=0,"Nema prodaje",IF(AND(K524=0,M524=0,O524=0),IF(I524&lt;POSTAVKE!$B$6,"Naruči odmah","Sve u redu"),IF(F524-H524*J524&lt;0,"Rupa za ~"&amp;TEXT(I524,"0.0")&amp;" mj.",IF(AND(M524&gt;0,F524-H524*L524+K524&lt;0),"Rupa nakon 1. dolaska",IF(AND(O524&gt;0,F524-H524*N524+K524+M524&lt;0),"Rupa nakon 2. dolaska",IF(P524&lt;POSTAVKE!$B$6,"Količina nije dovoljna",IF(I524&gt;=POSTAVKE!$B$6,"Sve u redu","Stiže na vrijeme")))))))</f>
        <v>Nema prodaje</v>
      </c>
      <c r="S524" s="23" t="n">
        <f aca="false">IFERROR(INDEX(PODACI_PRODAJA!B:B,MATCH($A524,PODACI_PRODAJA!$A:$A,0)),0)</f>
        <v>0</v>
      </c>
      <c r="T524" s="23" t="n">
        <f aca="false">IFERROR(INDEX(PODACI_PRODAJA!C:C,MATCH($A524,PODACI_PRODAJA!$A:$A,0)),0)</f>
        <v>0</v>
      </c>
      <c r="U524" s="23" t="n">
        <f aca="false">IFERROR(INDEX(PODACI_PRODAJA!D:D,MATCH($A524,PODACI_PRODAJA!$A:$A,0)),0)</f>
        <v>0</v>
      </c>
      <c r="V524" s="23" t="n">
        <f aca="false">IFERROR(INDEX(PODACI_PRODAJA!E:E,MATCH($A524,PODACI_PRODAJA!$A:$A,0)),0)</f>
        <v>0</v>
      </c>
      <c r="W524" s="23" t="n">
        <f aca="false">IFERROR(INDEX(PODACI_PRODAJA!F:F,MATCH($A524,PODACI_PRODAJA!$A:$A,0)),0)</f>
        <v>0</v>
      </c>
      <c r="X524" s="23" t="n">
        <f aca="false">IFERROR(INDEX(PODACI_PRODAJA!G:G,MATCH($A524,PODACI_PRODAJA!$A:$A,0)),0)</f>
        <v>0</v>
      </c>
      <c r="Y524" s="23" t="n">
        <f aca="false">IFERROR(INDEX(PODACI_PRODAJA!H:H,MATCH($A524,PODACI_PRODAJA!$A:$A,0)),0)</f>
        <v>0</v>
      </c>
      <c r="Z524" s="23" t="n">
        <f aca="false">IFERROR(INDEX(PODACI_PRODAJA!I:I,MATCH($A524,PODACI_PRODAJA!$A:$A,0)),0)</f>
        <v>0</v>
      </c>
      <c r="AA524" s="23" t="n">
        <f aca="false">IFERROR(INDEX(PODACI_PRODAJA!J:J,MATCH($A524,PODACI_PRODAJA!$A:$A,0)),0)</f>
        <v>0</v>
      </c>
      <c r="AB524" s="23" t="n">
        <f aca="false">IFERROR(INDEX(PODACI_PRODAJA!K:K,MATCH($A524,PODACI_PRODAJA!$A:$A,0)),0)</f>
        <v>0</v>
      </c>
      <c r="AC524" s="23" t="n">
        <f aca="false">IFERROR(INDEX(PODACI_PRODAJA!L:L,MATCH($A524,PODACI_PRODAJA!$A:$A,0)),0)</f>
        <v>0</v>
      </c>
      <c r="AD524" s="23" t="n">
        <f aca="false">IFERROR(INDEX(PODACI_PRODAJA!M:M,MATCH($A524,PODACI_PRODAJA!$A:$A,0)),0)</f>
        <v>0</v>
      </c>
    </row>
    <row r="525" customFormat="false" ht="15" hidden="false" customHeight="false" outlineLevel="0" collapsed="false">
      <c r="A525" s="11" t="str">
        <f aca="false">PODACI_ZALIHE!A522</f>
        <v>6556705-00</v>
      </c>
      <c r="B525" s="8" t="str">
        <f aca="false">PODACI_ZALIHE!B522</f>
        <v>KLUDI A-QA ZIDNO KOLJENO S DRŽAČEM TUŠ SLUŠALICE, KROM</v>
      </c>
      <c r="C525" s="9" t="str">
        <f aca="false">PODACI_ZALIHE!C522</f>
        <v>7485</v>
      </c>
      <c r="D525" s="8" t="str">
        <f aca="false">PODACI_ZALIHE!D522</f>
        <v>KLUDI GmbH &amp; Co. KG.,</v>
      </c>
      <c r="E525" s="19" t="n">
        <f aca="false">IF(PODACI_ZALIHE!E522="","",PODACI_ZALIHE!E522)</f>
        <v>5</v>
      </c>
      <c r="F525" s="20" t="n">
        <f aca="false">PODACI_ZALIHE!F522</f>
        <v>5</v>
      </c>
      <c r="G525" s="19" t="n">
        <f aca="false">IF(E525="","",E525-F525)</f>
        <v>0</v>
      </c>
      <c r="H525" s="9" t="n">
        <f aca="false">PODACI_PRODAJA!N806</f>
        <v>0</v>
      </c>
      <c r="I525" s="21" t="n">
        <f aca="false">IF(H525&lt;=0,999,ROUND(F525/H525,1))</f>
        <v>999</v>
      </c>
      <c r="J525" s="9" t="n">
        <f aca="false">SUMIFS(ROBA_U_DOLASKU!$C$6:$C$95,ROBA_U_DOLASKU!$A$6:$A$95,A525,ROBA_U_DOLASKU!$H$6:$H$95,1)</f>
        <v>0</v>
      </c>
      <c r="K525" s="9" t="n">
        <f aca="false">SUMIFS(ROBA_U_DOLASKU!$B$6:$B$95,ROBA_U_DOLASKU!$A$6:$A$95,A525,ROBA_U_DOLASKU!$H$6:$H$95,1)</f>
        <v>0</v>
      </c>
      <c r="L525" s="9" t="n">
        <f aca="false">SUMIFS(ROBA_U_DOLASKU!$C$6:$C$95,ROBA_U_DOLASKU!$A$6:$A$95,A525,ROBA_U_DOLASKU!$H$6:$H$95,2)</f>
        <v>0</v>
      </c>
      <c r="M525" s="9" t="n">
        <f aca="false">SUMIFS(ROBA_U_DOLASKU!$B$6:$B$95,ROBA_U_DOLASKU!$A$6:$A$95,A525,ROBA_U_DOLASKU!$H$6:$H$95,2)</f>
        <v>0</v>
      </c>
      <c r="N525" s="9" t="n">
        <f aca="false">SUMIFS(ROBA_U_DOLASKU!$C$6:$C$95,ROBA_U_DOLASKU!$A$6:$A$95,A525,ROBA_U_DOLASKU!$H$6:$H$95,3)</f>
        <v>0</v>
      </c>
      <c r="O525" s="9" t="n">
        <f aca="false">SUMIFS(ROBA_U_DOLASKU!$B$6:$B$95,ROBA_U_DOLASKU!$A$6:$A$95,A525,ROBA_U_DOLASKU!$H$6:$H$95,3)</f>
        <v>0</v>
      </c>
      <c r="P525" s="9" t="n">
        <f aca="false">IF(H525&lt;=0,999,IF(O525&gt;0,ROUND((F525-H525*N525+K525+M525+O525)/H525,1),IF(M525&gt;0,ROUND((F525-H525*L525+K525+M525)/H525,1),IF(K525&gt;0,ROUND((F525-H525*J525+K525)/H525,1),I525))))</f>
        <v>999</v>
      </c>
      <c r="Q525" s="22" t="str">
        <f aca="false">IF(H525&lt;=0,"Nema prodaje",IF(AND(K525=0,M525=0,O525=0),IF(I525&lt;POSTAVKE!$B$6,"Naruči odmah","Sve u redu"),IF(F525-H525*J525&lt;0,"Rupa za ~"&amp;TEXT(I525,"0.0")&amp;" mj.",IF(AND(M525&gt;0,F525-H525*L525+K525&lt;0),"Rupa nakon 1. dolaska",IF(AND(O525&gt;0,F525-H525*N525+K525+M525&lt;0),"Rupa nakon 2. dolaska",IF(P525&lt;POSTAVKE!$B$6,"Količina nije dovoljna",IF(I525&gt;=POSTAVKE!$B$6,"Sve u redu","Stiže na vrijeme")))))))</f>
        <v>Nema prodaje</v>
      </c>
      <c r="S525" s="23" t="n">
        <f aca="false">IFERROR(INDEX(PODACI_PRODAJA!B:B,MATCH($A525,PODACI_PRODAJA!$A:$A,0)),0)</f>
        <v>0</v>
      </c>
      <c r="T525" s="23" t="n">
        <f aca="false">IFERROR(INDEX(PODACI_PRODAJA!C:C,MATCH($A525,PODACI_PRODAJA!$A:$A,0)),0)</f>
        <v>0</v>
      </c>
      <c r="U525" s="23" t="n">
        <f aca="false">IFERROR(INDEX(PODACI_PRODAJA!D:D,MATCH($A525,PODACI_PRODAJA!$A:$A,0)),0)</f>
        <v>0</v>
      </c>
      <c r="V525" s="23" t="n">
        <f aca="false">IFERROR(INDEX(PODACI_PRODAJA!E:E,MATCH($A525,PODACI_PRODAJA!$A:$A,0)),0)</f>
        <v>0</v>
      </c>
      <c r="W525" s="23" t="n">
        <f aca="false">IFERROR(INDEX(PODACI_PRODAJA!F:F,MATCH($A525,PODACI_PRODAJA!$A:$A,0)),0)</f>
        <v>0</v>
      </c>
      <c r="X525" s="23" t="n">
        <f aca="false">IFERROR(INDEX(PODACI_PRODAJA!G:G,MATCH($A525,PODACI_PRODAJA!$A:$A,0)),0)</f>
        <v>0</v>
      </c>
      <c r="Y525" s="23" t="n">
        <f aca="false">IFERROR(INDEX(PODACI_PRODAJA!H:H,MATCH($A525,PODACI_PRODAJA!$A:$A,0)),0)</f>
        <v>0</v>
      </c>
      <c r="Z525" s="23" t="n">
        <f aca="false">IFERROR(INDEX(PODACI_PRODAJA!I:I,MATCH($A525,PODACI_PRODAJA!$A:$A,0)),0)</f>
        <v>0</v>
      </c>
      <c r="AA525" s="23" t="n">
        <f aca="false">IFERROR(INDEX(PODACI_PRODAJA!J:J,MATCH($A525,PODACI_PRODAJA!$A:$A,0)),0)</f>
        <v>0</v>
      </c>
      <c r="AB525" s="23" t="n">
        <f aca="false">IFERROR(INDEX(PODACI_PRODAJA!K:K,MATCH($A525,PODACI_PRODAJA!$A:$A,0)),0)</f>
        <v>0</v>
      </c>
      <c r="AC525" s="23" t="n">
        <f aca="false">IFERROR(INDEX(PODACI_PRODAJA!L:L,MATCH($A525,PODACI_PRODAJA!$A:$A,0)),0)</f>
        <v>0</v>
      </c>
      <c r="AD525" s="23" t="n">
        <f aca="false">IFERROR(INDEX(PODACI_PRODAJA!M:M,MATCH($A525,PODACI_PRODAJA!$A:$A,0)),0)</f>
        <v>0</v>
      </c>
    </row>
    <row r="526" customFormat="false" ht="15" hidden="false" customHeight="false" outlineLevel="0" collapsed="false">
      <c r="A526" s="11" t="str">
        <f aca="false">PODACI_ZALIHE!A523</f>
        <v>6651005-00</v>
      </c>
      <c r="B526" s="8" t="str">
        <f aca="false">PODACI_ZALIHE!B523</f>
        <v>KLUDI A-QA TUŠ RUŽA 20 CM, KROM</v>
      </c>
      <c r="C526" s="9" t="str">
        <f aca="false">PODACI_ZALIHE!C523</f>
        <v>7485</v>
      </c>
      <c r="D526" s="8" t="str">
        <f aca="false">PODACI_ZALIHE!D523</f>
        <v>KLUDI GmbH &amp; Co. KG.,</v>
      </c>
      <c r="E526" s="19" t="n">
        <f aca="false">IF(PODACI_ZALIHE!E523="","",PODACI_ZALIHE!E523)</f>
        <v>5</v>
      </c>
      <c r="F526" s="20" t="n">
        <f aca="false">PODACI_ZALIHE!F523</f>
        <v>5</v>
      </c>
      <c r="G526" s="19" t="n">
        <f aca="false">IF(E526="","",E526-F526)</f>
        <v>0</v>
      </c>
      <c r="H526" s="9" t="n">
        <f aca="false">PODACI_PRODAJA!N807</f>
        <v>0</v>
      </c>
      <c r="I526" s="21" t="n">
        <f aca="false">IF(H526&lt;=0,999,ROUND(F526/H526,1))</f>
        <v>999</v>
      </c>
      <c r="J526" s="9" t="n">
        <f aca="false">SUMIFS(ROBA_U_DOLASKU!$C$6:$C$95,ROBA_U_DOLASKU!$A$6:$A$95,A526,ROBA_U_DOLASKU!$H$6:$H$95,1)</f>
        <v>0</v>
      </c>
      <c r="K526" s="9" t="n">
        <f aca="false">SUMIFS(ROBA_U_DOLASKU!$B$6:$B$95,ROBA_U_DOLASKU!$A$6:$A$95,A526,ROBA_U_DOLASKU!$H$6:$H$95,1)</f>
        <v>0</v>
      </c>
      <c r="L526" s="9" t="n">
        <f aca="false">SUMIFS(ROBA_U_DOLASKU!$C$6:$C$95,ROBA_U_DOLASKU!$A$6:$A$95,A526,ROBA_U_DOLASKU!$H$6:$H$95,2)</f>
        <v>0</v>
      </c>
      <c r="M526" s="9" t="n">
        <f aca="false">SUMIFS(ROBA_U_DOLASKU!$B$6:$B$95,ROBA_U_DOLASKU!$A$6:$A$95,A526,ROBA_U_DOLASKU!$H$6:$H$95,2)</f>
        <v>0</v>
      </c>
      <c r="N526" s="9" t="n">
        <f aca="false">SUMIFS(ROBA_U_DOLASKU!$C$6:$C$95,ROBA_U_DOLASKU!$A$6:$A$95,A526,ROBA_U_DOLASKU!$H$6:$H$95,3)</f>
        <v>0</v>
      </c>
      <c r="O526" s="9" t="n">
        <f aca="false">SUMIFS(ROBA_U_DOLASKU!$B$6:$B$95,ROBA_U_DOLASKU!$A$6:$A$95,A526,ROBA_U_DOLASKU!$H$6:$H$95,3)</f>
        <v>0</v>
      </c>
      <c r="P526" s="9" t="n">
        <f aca="false">IF(H526&lt;=0,999,IF(O526&gt;0,ROUND((F526-H526*N526+K526+M526+O526)/H526,1),IF(M526&gt;0,ROUND((F526-H526*L526+K526+M526)/H526,1),IF(K526&gt;0,ROUND((F526-H526*J526+K526)/H526,1),I526))))</f>
        <v>999</v>
      </c>
      <c r="Q526" s="22" t="str">
        <f aca="false">IF(H526&lt;=0,"Nema prodaje",IF(AND(K526=0,M526=0,O526=0),IF(I526&lt;POSTAVKE!$B$6,"Naruči odmah","Sve u redu"),IF(F526-H526*J526&lt;0,"Rupa za ~"&amp;TEXT(I526,"0.0")&amp;" mj.",IF(AND(M526&gt;0,F526-H526*L526+K526&lt;0),"Rupa nakon 1. dolaska",IF(AND(O526&gt;0,F526-H526*N526+K526+M526&lt;0),"Rupa nakon 2. dolaska",IF(P526&lt;POSTAVKE!$B$6,"Količina nije dovoljna",IF(I526&gt;=POSTAVKE!$B$6,"Sve u redu","Stiže na vrijeme")))))))</f>
        <v>Nema prodaje</v>
      </c>
      <c r="S526" s="23" t="n">
        <f aca="false">IFERROR(INDEX(PODACI_PRODAJA!B:B,MATCH($A526,PODACI_PRODAJA!$A:$A,0)),0)</f>
        <v>0</v>
      </c>
      <c r="T526" s="23" t="n">
        <f aca="false">IFERROR(INDEX(PODACI_PRODAJA!C:C,MATCH($A526,PODACI_PRODAJA!$A:$A,0)),0)</f>
        <v>0</v>
      </c>
      <c r="U526" s="23" t="n">
        <f aca="false">IFERROR(INDEX(PODACI_PRODAJA!D:D,MATCH($A526,PODACI_PRODAJA!$A:$A,0)),0)</f>
        <v>0</v>
      </c>
      <c r="V526" s="23" t="n">
        <f aca="false">IFERROR(INDEX(PODACI_PRODAJA!E:E,MATCH($A526,PODACI_PRODAJA!$A:$A,0)),0)</f>
        <v>0</v>
      </c>
      <c r="W526" s="23" t="n">
        <f aca="false">IFERROR(INDEX(PODACI_PRODAJA!F:F,MATCH($A526,PODACI_PRODAJA!$A:$A,0)),0)</f>
        <v>0</v>
      </c>
      <c r="X526" s="23" t="n">
        <f aca="false">IFERROR(INDEX(PODACI_PRODAJA!G:G,MATCH($A526,PODACI_PRODAJA!$A:$A,0)),0)</f>
        <v>0</v>
      </c>
      <c r="Y526" s="23" t="n">
        <f aca="false">IFERROR(INDEX(PODACI_PRODAJA!H:H,MATCH($A526,PODACI_PRODAJA!$A:$A,0)),0)</f>
        <v>0</v>
      </c>
      <c r="Z526" s="23" t="n">
        <f aca="false">IFERROR(INDEX(PODACI_PRODAJA!I:I,MATCH($A526,PODACI_PRODAJA!$A:$A,0)),0)</f>
        <v>0</v>
      </c>
      <c r="AA526" s="23" t="n">
        <f aca="false">IFERROR(INDEX(PODACI_PRODAJA!J:J,MATCH($A526,PODACI_PRODAJA!$A:$A,0)),0)</f>
        <v>0</v>
      </c>
      <c r="AB526" s="23" t="n">
        <f aca="false">IFERROR(INDEX(PODACI_PRODAJA!K:K,MATCH($A526,PODACI_PRODAJA!$A:$A,0)),0)</f>
        <v>0</v>
      </c>
      <c r="AC526" s="23" t="n">
        <f aca="false">IFERROR(INDEX(PODACI_PRODAJA!L:L,MATCH($A526,PODACI_PRODAJA!$A:$A,0)),0)</f>
        <v>0</v>
      </c>
      <c r="AD526" s="23" t="n">
        <f aca="false">IFERROR(INDEX(PODACI_PRODAJA!M:M,MATCH($A526,PODACI_PRODAJA!$A:$A,0)),0)</f>
        <v>0</v>
      </c>
    </row>
    <row r="527" customFormat="false" ht="15" hidden="false" customHeight="false" outlineLevel="0" collapsed="false">
      <c r="A527" s="11" t="str">
        <f aca="false">PODACI_ZALIHE!A524</f>
        <v>6651405-00</v>
      </c>
      <c r="B527" s="8" t="str">
        <f aca="false">PODACI_ZALIHE!B524</f>
        <v>KLUDI A-QA ZIDNI NOSAČ ZA TUŠ RUŽU 40 CM, KROM</v>
      </c>
      <c r="C527" s="9" t="str">
        <f aca="false">PODACI_ZALIHE!C524</f>
        <v>7485</v>
      </c>
      <c r="D527" s="8" t="str">
        <f aca="false">PODACI_ZALIHE!D524</f>
        <v>KLUDI GmbH &amp; Co. KG.,</v>
      </c>
      <c r="E527" s="19" t="n">
        <f aca="false">IF(PODACI_ZALIHE!E524="","",PODACI_ZALIHE!E524)</f>
        <v>5</v>
      </c>
      <c r="F527" s="20" t="n">
        <f aca="false">PODACI_ZALIHE!F524</f>
        <v>5</v>
      </c>
      <c r="G527" s="19" t="n">
        <f aca="false">IF(E527="","",E527-F527)</f>
        <v>0</v>
      </c>
      <c r="H527" s="9" t="n">
        <f aca="false">PODACI_PRODAJA!N808</f>
        <v>0</v>
      </c>
      <c r="I527" s="21" t="n">
        <f aca="false">IF(H527&lt;=0,999,ROUND(F527/H527,1))</f>
        <v>999</v>
      </c>
      <c r="J527" s="9" t="n">
        <f aca="false">SUMIFS(ROBA_U_DOLASKU!$C$6:$C$95,ROBA_U_DOLASKU!$A$6:$A$95,A527,ROBA_U_DOLASKU!$H$6:$H$95,1)</f>
        <v>0</v>
      </c>
      <c r="K527" s="9" t="n">
        <f aca="false">SUMIFS(ROBA_U_DOLASKU!$B$6:$B$95,ROBA_U_DOLASKU!$A$6:$A$95,A527,ROBA_U_DOLASKU!$H$6:$H$95,1)</f>
        <v>0</v>
      </c>
      <c r="L527" s="9" t="n">
        <f aca="false">SUMIFS(ROBA_U_DOLASKU!$C$6:$C$95,ROBA_U_DOLASKU!$A$6:$A$95,A527,ROBA_U_DOLASKU!$H$6:$H$95,2)</f>
        <v>0</v>
      </c>
      <c r="M527" s="9" t="n">
        <f aca="false">SUMIFS(ROBA_U_DOLASKU!$B$6:$B$95,ROBA_U_DOLASKU!$A$6:$A$95,A527,ROBA_U_DOLASKU!$H$6:$H$95,2)</f>
        <v>0</v>
      </c>
      <c r="N527" s="9" t="n">
        <f aca="false">SUMIFS(ROBA_U_DOLASKU!$C$6:$C$95,ROBA_U_DOLASKU!$A$6:$A$95,A527,ROBA_U_DOLASKU!$H$6:$H$95,3)</f>
        <v>0</v>
      </c>
      <c r="O527" s="9" t="n">
        <f aca="false">SUMIFS(ROBA_U_DOLASKU!$B$6:$B$95,ROBA_U_DOLASKU!$A$6:$A$95,A527,ROBA_U_DOLASKU!$H$6:$H$95,3)</f>
        <v>0</v>
      </c>
      <c r="P527" s="9" t="n">
        <f aca="false">IF(H527&lt;=0,999,IF(O527&gt;0,ROUND((F527-H527*N527+K527+M527+O527)/H527,1),IF(M527&gt;0,ROUND((F527-H527*L527+K527+M527)/H527,1),IF(K527&gt;0,ROUND((F527-H527*J527+K527)/H527,1),I527))))</f>
        <v>999</v>
      </c>
      <c r="Q527" s="22" t="str">
        <f aca="false">IF(H527&lt;=0,"Nema prodaje",IF(AND(K527=0,M527=0,O527=0),IF(I527&lt;POSTAVKE!$B$6,"Naruči odmah","Sve u redu"),IF(F527-H527*J527&lt;0,"Rupa za ~"&amp;TEXT(I527,"0.0")&amp;" mj.",IF(AND(M527&gt;0,F527-H527*L527+K527&lt;0),"Rupa nakon 1. dolaska",IF(AND(O527&gt;0,F527-H527*N527+K527+M527&lt;0),"Rupa nakon 2. dolaska",IF(P527&lt;POSTAVKE!$B$6,"Količina nije dovoljna",IF(I527&gt;=POSTAVKE!$B$6,"Sve u redu","Stiže na vrijeme")))))))</f>
        <v>Nema prodaje</v>
      </c>
      <c r="S527" s="23" t="n">
        <f aca="false">IFERROR(INDEX(PODACI_PRODAJA!B:B,MATCH($A527,PODACI_PRODAJA!$A:$A,0)),0)</f>
        <v>0</v>
      </c>
      <c r="T527" s="23" t="n">
        <f aca="false">IFERROR(INDEX(PODACI_PRODAJA!C:C,MATCH($A527,PODACI_PRODAJA!$A:$A,0)),0)</f>
        <v>0</v>
      </c>
      <c r="U527" s="23" t="n">
        <f aca="false">IFERROR(INDEX(PODACI_PRODAJA!D:D,MATCH($A527,PODACI_PRODAJA!$A:$A,0)),0)</f>
        <v>0</v>
      </c>
      <c r="V527" s="23" t="n">
        <f aca="false">IFERROR(INDEX(PODACI_PRODAJA!E:E,MATCH($A527,PODACI_PRODAJA!$A:$A,0)),0)</f>
        <v>0</v>
      </c>
      <c r="W527" s="23" t="n">
        <f aca="false">IFERROR(INDEX(PODACI_PRODAJA!F:F,MATCH($A527,PODACI_PRODAJA!$A:$A,0)),0)</f>
        <v>0</v>
      </c>
      <c r="X527" s="23" t="n">
        <f aca="false">IFERROR(INDEX(PODACI_PRODAJA!G:G,MATCH($A527,PODACI_PRODAJA!$A:$A,0)),0)</f>
        <v>0</v>
      </c>
      <c r="Y527" s="23" t="n">
        <f aca="false">IFERROR(INDEX(PODACI_PRODAJA!H:H,MATCH($A527,PODACI_PRODAJA!$A:$A,0)),0)</f>
        <v>0</v>
      </c>
      <c r="Z527" s="23" t="n">
        <f aca="false">IFERROR(INDEX(PODACI_PRODAJA!I:I,MATCH($A527,PODACI_PRODAJA!$A:$A,0)),0)</f>
        <v>0</v>
      </c>
      <c r="AA527" s="23" t="n">
        <f aca="false">IFERROR(INDEX(PODACI_PRODAJA!J:J,MATCH($A527,PODACI_PRODAJA!$A:$A,0)),0)</f>
        <v>0</v>
      </c>
      <c r="AB527" s="23" t="n">
        <f aca="false">IFERROR(INDEX(PODACI_PRODAJA!K:K,MATCH($A527,PODACI_PRODAJA!$A:$A,0)),0)</f>
        <v>0</v>
      </c>
      <c r="AC527" s="23" t="n">
        <f aca="false">IFERROR(INDEX(PODACI_PRODAJA!L:L,MATCH($A527,PODACI_PRODAJA!$A:$A,0)),0)</f>
        <v>0</v>
      </c>
      <c r="AD527" s="23" t="n">
        <f aca="false">IFERROR(INDEX(PODACI_PRODAJA!M:M,MATCH($A527,PODACI_PRODAJA!$A:$A,0)),0)</f>
        <v>0</v>
      </c>
    </row>
    <row r="528" customFormat="false" ht="15" hidden="false" customHeight="false" outlineLevel="0" collapsed="false">
      <c r="A528" s="11" t="str">
        <f aca="false">PODACI_ZALIHE!A525</f>
        <v>002475</v>
      </c>
      <c r="B528" s="8" t="str">
        <f aca="false">PODACI_ZALIHE!B525</f>
        <v>NAPOLI MIJEŠALICA ZA SUDOPER 3C H 25 cm</v>
      </c>
      <c r="C528" s="9" t="str">
        <f aca="false">PODACI_ZALIHE!C525</f>
        <v>4053</v>
      </c>
      <c r="D528" s="8" t="str">
        <f aca="false">PODACI_ZALIHE!D525</f>
        <v>TAIZHOU ZHENGSHING VALVE CO .,LTD</v>
      </c>
      <c r="E528" s="19" t="n">
        <f aca="false">IF(PODACI_ZALIHE!E525="","",PODACI_ZALIHE!E525)</f>
        <v>4</v>
      </c>
      <c r="F528" s="20" t="n">
        <f aca="false">PODACI_ZALIHE!F525</f>
        <v>4</v>
      </c>
      <c r="G528" s="19" t="n">
        <f aca="false">IF(E528="","",E528-F528)</f>
        <v>0</v>
      </c>
      <c r="H528" s="9" t="n">
        <f aca="false">PODACI_PRODAJA!N45</f>
        <v>13.25</v>
      </c>
      <c r="I528" s="21" t="n">
        <f aca="false">IF(H528&lt;=0,999,ROUND(F528/H528,1))</f>
        <v>0.3</v>
      </c>
      <c r="J528" s="9" t="n">
        <f aca="false">SUMIFS(ROBA_U_DOLASKU!$C$6:$C$95,ROBA_U_DOLASKU!$A$6:$A$95,A528,ROBA_U_DOLASKU!$H$6:$H$95,1)</f>
        <v>0</v>
      </c>
      <c r="K528" s="9" t="n">
        <f aca="false">SUMIFS(ROBA_U_DOLASKU!$B$6:$B$95,ROBA_U_DOLASKU!$A$6:$A$95,A528,ROBA_U_DOLASKU!$H$6:$H$95,1)</f>
        <v>0</v>
      </c>
      <c r="L528" s="9" t="n">
        <f aca="false">SUMIFS(ROBA_U_DOLASKU!$C$6:$C$95,ROBA_U_DOLASKU!$A$6:$A$95,A528,ROBA_U_DOLASKU!$H$6:$H$95,2)</f>
        <v>0</v>
      </c>
      <c r="M528" s="9" t="n">
        <f aca="false">SUMIFS(ROBA_U_DOLASKU!$B$6:$B$95,ROBA_U_DOLASKU!$A$6:$A$95,A528,ROBA_U_DOLASKU!$H$6:$H$95,2)</f>
        <v>0</v>
      </c>
      <c r="N528" s="9" t="n">
        <f aca="false">SUMIFS(ROBA_U_DOLASKU!$C$6:$C$95,ROBA_U_DOLASKU!$A$6:$A$95,A528,ROBA_U_DOLASKU!$H$6:$H$95,3)</f>
        <v>0</v>
      </c>
      <c r="O528" s="9" t="n">
        <f aca="false">SUMIFS(ROBA_U_DOLASKU!$B$6:$B$95,ROBA_U_DOLASKU!$A$6:$A$95,A528,ROBA_U_DOLASKU!$H$6:$H$95,3)</f>
        <v>0</v>
      </c>
      <c r="P528" s="9" t="n">
        <f aca="false">IF(H528&lt;=0,999,IF(O528&gt;0,ROUND((F528-H528*N528+K528+M528+O528)/H528,1),IF(M528&gt;0,ROUND((F528-H528*L528+K528+M528)/H528,1),IF(K528&gt;0,ROUND((F528-H528*J528+K528)/H528,1),I528))))</f>
        <v>0.3</v>
      </c>
      <c r="Q528" s="22" t="str">
        <f aca="false">IF(H528&lt;=0,"Nema prodaje",IF(AND(K528=0,M528=0,O528=0),IF(I528&lt;POSTAVKE!$B$6,"Naruči odmah","Sve u redu"),IF(F528-H528*J528&lt;0,"Rupa za ~"&amp;TEXT(I528,"0.0")&amp;" mj.",IF(AND(M528&gt;0,F528-H528*L528+K528&lt;0),"Rupa nakon 1. dolaska",IF(AND(O528&gt;0,F528-H528*N528+K528+M528&lt;0),"Rupa nakon 2. dolaska",IF(P528&lt;POSTAVKE!$B$6,"Količina nije dovoljna",IF(I528&gt;=POSTAVKE!$B$6,"Sve u redu","Stiže na vrijeme")))))))</f>
        <v>Naruči odmah</v>
      </c>
      <c r="S528" s="23" t="n">
        <f aca="false">IFERROR(INDEX(PODACI_PRODAJA!B:B,MATCH($A528,PODACI_PRODAJA!$A:$A,0)),0)</f>
        <v>19</v>
      </c>
      <c r="T528" s="23" t="n">
        <f aca="false">IFERROR(INDEX(PODACI_PRODAJA!C:C,MATCH($A528,PODACI_PRODAJA!$A:$A,0)),0)</f>
        <v>12</v>
      </c>
      <c r="U528" s="23" t="n">
        <f aca="false">IFERROR(INDEX(PODACI_PRODAJA!D:D,MATCH($A528,PODACI_PRODAJA!$A:$A,0)),0)</f>
        <v>17</v>
      </c>
      <c r="V528" s="23" t="n">
        <f aca="false">IFERROR(INDEX(PODACI_PRODAJA!E:E,MATCH($A528,PODACI_PRODAJA!$A:$A,0)),0)</f>
        <v>16</v>
      </c>
      <c r="W528" s="23" t="n">
        <f aca="false">IFERROR(INDEX(PODACI_PRODAJA!F:F,MATCH($A528,PODACI_PRODAJA!$A:$A,0)),0)</f>
        <v>16</v>
      </c>
      <c r="X528" s="23" t="n">
        <f aca="false">IFERROR(INDEX(PODACI_PRODAJA!G:G,MATCH($A528,PODACI_PRODAJA!$A:$A,0)),0)</f>
        <v>8</v>
      </c>
      <c r="Y528" s="23" t="n">
        <f aca="false">IFERROR(INDEX(PODACI_PRODAJA!H:H,MATCH($A528,PODACI_PRODAJA!$A:$A,0)),0)</f>
        <v>10</v>
      </c>
      <c r="Z528" s="23" t="n">
        <f aca="false">IFERROR(INDEX(PODACI_PRODAJA!I:I,MATCH($A528,PODACI_PRODAJA!$A:$A,0)),0)</f>
        <v>8</v>
      </c>
      <c r="AA528" s="23" t="n">
        <f aca="false">IFERROR(INDEX(PODACI_PRODAJA!J:J,MATCH($A528,PODACI_PRODAJA!$A:$A,0)),0)</f>
        <v>0</v>
      </c>
      <c r="AB528" s="23" t="n">
        <f aca="false">IFERROR(INDEX(PODACI_PRODAJA!K:K,MATCH($A528,PODACI_PRODAJA!$A:$A,0)),0)</f>
        <v>0</v>
      </c>
      <c r="AC528" s="23" t="n">
        <f aca="false">IFERROR(INDEX(PODACI_PRODAJA!L:L,MATCH($A528,PODACI_PRODAJA!$A:$A,0)),0)</f>
        <v>0</v>
      </c>
      <c r="AD528" s="23" t="n">
        <f aca="false">IFERROR(INDEX(PODACI_PRODAJA!M:M,MATCH($A528,PODACI_PRODAJA!$A:$A,0)),0)</f>
        <v>0</v>
      </c>
    </row>
    <row r="529" customFormat="false" ht="15" hidden="false" customHeight="false" outlineLevel="0" collapsed="false">
      <c r="A529" s="11" t="str">
        <f aca="false">PODACI_ZALIHE!A526</f>
        <v>15227</v>
      </c>
      <c r="B529" s="8" t="str">
        <f aca="false">PODACI_ZALIHE!B526</f>
        <v>TK BLACK 80120 PRAVOKUTNA TUŠ KABINA 80x120x195 cm</v>
      </c>
      <c r="C529" s="9" t="str">
        <f aca="false">PODACI_ZALIHE!C526</f>
        <v>4981</v>
      </c>
      <c r="D529" s="8" t="str">
        <f aca="false">PODACI_ZALIHE!D526</f>
        <v>HANGZHOU SUNLIGHT TRADE CO., LTD.</v>
      </c>
      <c r="E529" s="19" t="n">
        <f aca="false">IF(PODACI_ZALIHE!E526="","",PODACI_ZALIHE!E526)</f>
        <v>5</v>
      </c>
      <c r="F529" s="20" t="n">
        <f aca="false">PODACI_ZALIHE!F526</f>
        <v>4</v>
      </c>
      <c r="G529" s="19" t="n">
        <f aca="false">IF(E529="","",E529-F529)</f>
        <v>1</v>
      </c>
      <c r="H529" s="9" t="n">
        <f aca="false">PODACI_PRODAJA!N468</f>
        <v>1</v>
      </c>
      <c r="I529" s="21" t="n">
        <f aca="false">IF(H529&lt;=0,999,ROUND(F529/H529,1))</f>
        <v>4</v>
      </c>
      <c r="J529" s="9" t="n">
        <f aca="false">SUMIFS(ROBA_U_DOLASKU!$C$6:$C$95,ROBA_U_DOLASKU!$A$6:$A$95,A529,ROBA_U_DOLASKU!$H$6:$H$95,1)</f>
        <v>0</v>
      </c>
      <c r="K529" s="9" t="n">
        <f aca="false">SUMIFS(ROBA_U_DOLASKU!$B$6:$B$95,ROBA_U_DOLASKU!$A$6:$A$95,A529,ROBA_U_DOLASKU!$H$6:$H$95,1)</f>
        <v>0</v>
      </c>
      <c r="L529" s="9" t="n">
        <f aca="false">SUMIFS(ROBA_U_DOLASKU!$C$6:$C$95,ROBA_U_DOLASKU!$A$6:$A$95,A529,ROBA_U_DOLASKU!$H$6:$H$95,2)</f>
        <v>0</v>
      </c>
      <c r="M529" s="9" t="n">
        <f aca="false">SUMIFS(ROBA_U_DOLASKU!$B$6:$B$95,ROBA_U_DOLASKU!$A$6:$A$95,A529,ROBA_U_DOLASKU!$H$6:$H$95,2)</f>
        <v>0</v>
      </c>
      <c r="N529" s="9" t="n">
        <f aca="false">SUMIFS(ROBA_U_DOLASKU!$C$6:$C$95,ROBA_U_DOLASKU!$A$6:$A$95,A529,ROBA_U_DOLASKU!$H$6:$H$95,3)</f>
        <v>0</v>
      </c>
      <c r="O529" s="9" t="n">
        <f aca="false">SUMIFS(ROBA_U_DOLASKU!$B$6:$B$95,ROBA_U_DOLASKU!$A$6:$A$95,A529,ROBA_U_DOLASKU!$H$6:$H$95,3)</f>
        <v>0</v>
      </c>
      <c r="P529" s="9" t="n">
        <f aca="false">IF(H529&lt;=0,999,IF(O529&gt;0,ROUND((F529-H529*N529+K529+M529+O529)/H529,1),IF(M529&gt;0,ROUND((F529-H529*L529+K529+M529)/H529,1),IF(K529&gt;0,ROUND((F529-H529*J529+K529)/H529,1),I529))))</f>
        <v>4</v>
      </c>
      <c r="Q529" s="22" t="str">
        <f aca="false">IF(H529&lt;=0,"Nema prodaje",IF(AND(K529=0,M529=0,O529=0),IF(I529&lt;POSTAVKE!$B$6,"Naruči odmah","Sve u redu"),IF(F529-H529*J529&lt;0,"Rupa za ~"&amp;TEXT(I529,"0.0")&amp;" mj.",IF(AND(M529&gt;0,F529-H529*L529+K529&lt;0),"Rupa nakon 1. dolaska",IF(AND(O529&gt;0,F529-H529*N529+K529+M529&lt;0),"Rupa nakon 2. dolaska",IF(P529&lt;POSTAVKE!$B$6,"Količina nije dovoljna",IF(I529&gt;=POSTAVKE!$B$6,"Sve u redu","Stiže na vrijeme")))))))</f>
        <v>Naruči odmah</v>
      </c>
      <c r="S529" s="23" t="n">
        <f aca="false">IFERROR(INDEX(PODACI_PRODAJA!B:B,MATCH($A529,PODACI_PRODAJA!$A:$A,0)),0)</f>
        <v>0</v>
      </c>
      <c r="T529" s="23" t="n">
        <f aca="false">IFERROR(INDEX(PODACI_PRODAJA!C:C,MATCH($A529,PODACI_PRODAJA!$A:$A,0)),0)</f>
        <v>1</v>
      </c>
      <c r="U529" s="23" t="n">
        <f aca="false">IFERROR(INDEX(PODACI_PRODAJA!D:D,MATCH($A529,PODACI_PRODAJA!$A:$A,0)),0)</f>
        <v>1</v>
      </c>
      <c r="V529" s="23" t="n">
        <f aca="false">IFERROR(INDEX(PODACI_PRODAJA!E:E,MATCH($A529,PODACI_PRODAJA!$A:$A,0)),0)</f>
        <v>2</v>
      </c>
      <c r="W529" s="23" t="n">
        <f aca="false">IFERROR(INDEX(PODACI_PRODAJA!F:F,MATCH($A529,PODACI_PRODAJA!$A:$A,0)),0)</f>
        <v>1</v>
      </c>
      <c r="X529" s="23" t="n">
        <f aca="false">IFERROR(INDEX(PODACI_PRODAJA!G:G,MATCH($A529,PODACI_PRODAJA!$A:$A,0)),0)</f>
        <v>0</v>
      </c>
      <c r="Y529" s="23" t="n">
        <f aca="false">IFERROR(INDEX(PODACI_PRODAJA!H:H,MATCH($A529,PODACI_PRODAJA!$A:$A,0)),0)</f>
        <v>1</v>
      </c>
      <c r="Z529" s="23" t="n">
        <f aca="false">IFERROR(INDEX(PODACI_PRODAJA!I:I,MATCH($A529,PODACI_PRODAJA!$A:$A,0)),0)</f>
        <v>2</v>
      </c>
      <c r="AA529" s="23" t="n">
        <f aca="false">IFERROR(INDEX(PODACI_PRODAJA!J:J,MATCH($A529,PODACI_PRODAJA!$A:$A,0)),0)</f>
        <v>1</v>
      </c>
      <c r="AB529" s="23" t="n">
        <f aca="false">IFERROR(INDEX(PODACI_PRODAJA!K:K,MATCH($A529,PODACI_PRODAJA!$A:$A,0)),0)</f>
        <v>0</v>
      </c>
      <c r="AC529" s="23" t="n">
        <f aca="false">IFERROR(INDEX(PODACI_PRODAJA!L:L,MATCH($A529,PODACI_PRODAJA!$A:$A,0)),0)</f>
        <v>0</v>
      </c>
      <c r="AD529" s="23" t="n">
        <f aca="false">IFERROR(INDEX(PODACI_PRODAJA!M:M,MATCH($A529,PODACI_PRODAJA!$A:$A,0)),0)</f>
        <v>0</v>
      </c>
    </row>
    <row r="530" customFormat="false" ht="15" hidden="false" customHeight="false" outlineLevel="0" collapsed="false">
      <c r="A530" s="11" t="str">
        <f aca="false">PODACI_ZALIHE!A527</f>
        <v>1577900</v>
      </c>
      <c r="B530" s="8" t="str">
        <f aca="false">PODACI_ZALIHE!B527</f>
        <v>BOLD S CRNA 80120 MINERALSOLID TUŠ KADA 800x1200x30 mm</v>
      </c>
      <c r="C530" s="9" t="str">
        <f aca="false">PODACI_ZALIHE!C527</f>
        <v>5140</v>
      </c>
      <c r="D530" s="8" t="str">
        <f aca="false">PODACI_ZALIHE!D527</f>
        <v>GUANGDONG OCEAN SANITARY WARE CO., LTD.</v>
      </c>
      <c r="E530" s="19" t="n">
        <f aca="false">IF(PODACI_ZALIHE!E527="","",PODACI_ZALIHE!E527)</f>
        <v>4</v>
      </c>
      <c r="F530" s="20" t="n">
        <f aca="false">PODACI_ZALIHE!F527</f>
        <v>4</v>
      </c>
      <c r="G530" s="19" t="n">
        <f aca="false">IF(E530="","",E530-F530)</f>
        <v>0</v>
      </c>
      <c r="H530" s="9" t="n">
        <f aca="false">PODACI_PRODAJA!N528</f>
        <v>0.38</v>
      </c>
      <c r="I530" s="21" t="n">
        <f aca="false">IF(H530&lt;=0,999,ROUND(F530/H530,1))</f>
        <v>10.5</v>
      </c>
      <c r="J530" s="9" t="n">
        <f aca="false">SUMIFS(ROBA_U_DOLASKU!$C$6:$C$95,ROBA_U_DOLASKU!$A$6:$A$95,A530,ROBA_U_DOLASKU!$H$6:$H$95,1)</f>
        <v>0</v>
      </c>
      <c r="K530" s="9" t="n">
        <f aca="false">SUMIFS(ROBA_U_DOLASKU!$B$6:$B$95,ROBA_U_DOLASKU!$A$6:$A$95,A530,ROBA_U_DOLASKU!$H$6:$H$95,1)</f>
        <v>0</v>
      </c>
      <c r="L530" s="9" t="n">
        <f aca="false">SUMIFS(ROBA_U_DOLASKU!$C$6:$C$95,ROBA_U_DOLASKU!$A$6:$A$95,A530,ROBA_U_DOLASKU!$H$6:$H$95,2)</f>
        <v>0</v>
      </c>
      <c r="M530" s="9" t="n">
        <f aca="false">SUMIFS(ROBA_U_DOLASKU!$B$6:$B$95,ROBA_U_DOLASKU!$A$6:$A$95,A530,ROBA_U_DOLASKU!$H$6:$H$95,2)</f>
        <v>0</v>
      </c>
      <c r="N530" s="9" t="n">
        <f aca="false">SUMIFS(ROBA_U_DOLASKU!$C$6:$C$95,ROBA_U_DOLASKU!$A$6:$A$95,A530,ROBA_U_DOLASKU!$H$6:$H$95,3)</f>
        <v>0</v>
      </c>
      <c r="O530" s="9" t="n">
        <f aca="false">SUMIFS(ROBA_U_DOLASKU!$B$6:$B$95,ROBA_U_DOLASKU!$A$6:$A$95,A530,ROBA_U_DOLASKU!$H$6:$H$95,3)</f>
        <v>0</v>
      </c>
      <c r="P530" s="9" t="n">
        <f aca="false">IF(H530&lt;=0,999,IF(O530&gt;0,ROUND((F530-H530*N530+K530+M530+O530)/H530,1),IF(M530&gt;0,ROUND((F530-H530*L530+K530+M530)/H530,1),IF(K530&gt;0,ROUND((F530-H530*J530+K530)/H530,1),I530))))</f>
        <v>10.5</v>
      </c>
      <c r="Q530" s="22" t="str">
        <f aca="false">IF(H530&lt;=0,"Nema prodaje",IF(AND(K530=0,M530=0,O530=0),IF(I530&lt;POSTAVKE!$B$6,"Naruči odmah","Sve u redu"),IF(F530-H530*J530&lt;0,"Rupa za ~"&amp;TEXT(I530,"0.0")&amp;" mj.",IF(AND(M530&gt;0,F530-H530*L530+K530&lt;0),"Rupa nakon 1. dolaska",IF(AND(O530&gt;0,F530-H530*N530+K530+M530&lt;0),"Rupa nakon 2. dolaska",IF(P530&lt;POSTAVKE!$B$6,"Količina nije dovoljna",IF(I530&gt;=POSTAVKE!$B$6,"Sve u redu","Stiže na vrijeme")))))))</f>
        <v>Sve u redu</v>
      </c>
      <c r="S530" s="23" t="n">
        <f aca="false">IFERROR(INDEX(PODACI_PRODAJA!B:B,MATCH($A530,PODACI_PRODAJA!$A:$A,0)),0)</f>
        <v>0</v>
      </c>
      <c r="T530" s="23" t="n">
        <f aca="false">IFERROR(INDEX(PODACI_PRODAJA!C:C,MATCH($A530,PODACI_PRODAJA!$A:$A,0)),0)</f>
        <v>0</v>
      </c>
      <c r="U530" s="23" t="n">
        <f aca="false">IFERROR(INDEX(PODACI_PRODAJA!D:D,MATCH($A530,PODACI_PRODAJA!$A:$A,0)),0)</f>
        <v>1</v>
      </c>
      <c r="V530" s="23" t="n">
        <f aca="false">IFERROR(INDEX(PODACI_PRODAJA!E:E,MATCH($A530,PODACI_PRODAJA!$A:$A,0)),0)</f>
        <v>1</v>
      </c>
      <c r="W530" s="23" t="n">
        <f aca="false">IFERROR(INDEX(PODACI_PRODAJA!F:F,MATCH($A530,PODACI_PRODAJA!$A:$A,0)),0)</f>
        <v>0</v>
      </c>
      <c r="X530" s="23" t="n">
        <f aca="false">IFERROR(INDEX(PODACI_PRODAJA!G:G,MATCH($A530,PODACI_PRODAJA!$A:$A,0)),0)</f>
        <v>1</v>
      </c>
      <c r="Y530" s="23" t="n">
        <f aca="false">IFERROR(INDEX(PODACI_PRODAJA!H:H,MATCH($A530,PODACI_PRODAJA!$A:$A,0)),0)</f>
        <v>0</v>
      </c>
      <c r="Z530" s="23" t="n">
        <f aca="false">IFERROR(INDEX(PODACI_PRODAJA!I:I,MATCH($A530,PODACI_PRODAJA!$A:$A,0)),0)</f>
        <v>0</v>
      </c>
      <c r="AA530" s="23" t="n">
        <f aca="false">IFERROR(INDEX(PODACI_PRODAJA!J:J,MATCH($A530,PODACI_PRODAJA!$A:$A,0)),0)</f>
        <v>0</v>
      </c>
      <c r="AB530" s="23" t="n">
        <f aca="false">IFERROR(INDEX(PODACI_PRODAJA!K:K,MATCH($A530,PODACI_PRODAJA!$A:$A,0)),0)</f>
        <v>0</v>
      </c>
      <c r="AC530" s="23" t="n">
        <f aca="false">IFERROR(INDEX(PODACI_PRODAJA!L:L,MATCH($A530,PODACI_PRODAJA!$A:$A,0)),0)</f>
        <v>0</v>
      </c>
      <c r="AD530" s="23" t="n">
        <f aca="false">IFERROR(INDEX(PODACI_PRODAJA!M:M,MATCH($A530,PODACI_PRODAJA!$A:$A,0)),0)</f>
        <v>0</v>
      </c>
    </row>
    <row r="531" customFormat="false" ht="15" hidden="false" customHeight="false" outlineLevel="0" collapsed="false">
      <c r="A531" s="11" t="str">
        <f aca="false">PODACI_ZALIHE!A528</f>
        <v>16100</v>
      </c>
      <c r="B531" s="8" t="str">
        <f aca="false">PODACI_ZALIHE!B528</f>
        <v>VETRO BLACK TRS 130 TUŠ STIJENA 130x200 cm</v>
      </c>
      <c r="C531" s="9" t="str">
        <f aca="false">PODACI_ZALIHE!C528</f>
        <v>4328</v>
      </c>
      <c r="D531" s="8" t="str">
        <f aca="false">PODACI_ZALIHE!D528</f>
        <v>HANGZHOU DUHUI IMPORT AND EXPORT CO.,LTD</v>
      </c>
      <c r="E531" s="19" t="n">
        <f aca="false">IF(PODACI_ZALIHE!E528="","",PODACI_ZALIHE!E528)</f>
        <v>4</v>
      </c>
      <c r="F531" s="20" t="n">
        <f aca="false">PODACI_ZALIHE!F528</f>
        <v>4</v>
      </c>
      <c r="G531" s="19" t="n">
        <f aca="false">IF(E531="","",E531-F531)</f>
        <v>0</v>
      </c>
      <c r="H531" s="9" t="n">
        <f aca="false">PODACI_PRODAJA!N563</f>
        <v>0.38</v>
      </c>
      <c r="I531" s="21" t="n">
        <f aca="false">IF(H531&lt;=0,999,ROUND(F531/H531,1))</f>
        <v>10.5</v>
      </c>
      <c r="J531" s="9" t="n">
        <f aca="false">SUMIFS(ROBA_U_DOLASKU!$C$6:$C$95,ROBA_U_DOLASKU!$A$6:$A$95,A531,ROBA_U_DOLASKU!$H$6:$H$95,1)</f>
        <v>0</v>
      </c>
      <c r="K531" s="9" t="n">
        <f aca="false">SUMIFS(ROBA_U_DOLASKU!$B$6:$B$95,ROBA_U_DOLASKU!$A$6:$A$95,A531,ROBA_U_DOLASKU!$H$6:$H$95,1)</f>
        <v>0</v>
      </c>
      <c r="L531" s="9" t="n">
        <f aca="false">SUMIFS(ROBA_U_DOLASKU!$C$6:$C$95,ROBA_U_DOLASKU!$A$6:$A$95,A531,ROBA_U_DOLASKU!$H$6:$H$95,2)</f>
        <v>0</v>
      </c>
      <c r="M531" s="9" t="n">
        <f aca="false">SUMIFS(ROBA_U_DOLASKU!$B$6:$B$95,ROBA_U_DOLASKU!$A$6:$A$95,A531,ROBA_U_DOLASKU!$H$6:$H$95,2)</f>
        <v>0</v>
      </c>
      <c r="N531" s="9" t="n">
        <f aca="false">SUMIFS(ROBA_U_DOLASKU!$C$6:$C$95,ROBA_U_DOLASKU!$A$6:$A$95,A531,ROBA_U_DOLASKU!$H$6:$H$95,3)</f>
        <v>0</v>
      </c>
      <c r="O531" s="9" t="n">
        <f aca="false">SUMIFS(ROBA_U_DOLASKU!$B$6:$B$95,ROBA_U_DOLASKU!$A$6:$A$95,A531,ROBA_U_DOLASKU!$H$6:$H$95,3)</f>
        <v>0</v>
      </c>
      <c r="P531" s="9" t="n">
        <f aca="false">IF(H531&lt;=0,999,IF(O531&gt;0,ROUND((F531-H531*N531+K531+M531+O531)/H531,1),IF(M531&gt;0,ROUND((F531-H531*L531+K531+M531)/H531,1),IF(K531&gt;0,ROUND((F531-H531*J531+K531)/H531,1),I531))))</f>
        <v>10.5</v>
      </c>
      <c r="Q531" s="22" t="str">
        <f aca="false">IF(H531&lt;=0,"Nema prodaje",IF(AND(K531=0,M531=0,O531=0),IF(I531&lt;POSTAVKE!$B$6,"Naruči odmah","Sve u redu"),IF(F531-H531*J531&lt;0,"Rupa za ~"&amp;TEXT(I531,"0.0")&amp;" mj.",IF(AND(M531&gt;0,F531-H531*L531+K531&lt;0),"Rupa nakon 1. dolaska",IF(AND(O531&gt;0,F531-H531*N531+K531+M531&lt;0),"Rupa nakon 2. dolaska",IF(P531&lt;POSTAVKE!$B$6,"Količina nije dovoljna",IF(I531&gt;=POSTAVKE!$B$6,"Sve u redu","Stiže na vrijeme")))))))</f>
        <v>Sve u redu</v>
      </c>
      <c r="S531" s="23" t="n">
        <f aca="false">IFERROR(INDEX(PODACI_PRODAJA!B:B,MATCH($A531,PODACI_PRODAJA!$A:$A,0)),0)</f>
        <v>0</v>
      </c>
      <c r="T531" s="23" t="n">
        <f aca="false">IFERROR(INDEX(PODACI_PRODAJA!C:C,MATCH($A531,PODACI_PRODAJA!$A:$A,0)),0)</f>
        <v>0</v>
      </c>
      <c r="U531" s="23" t="n">
        <f aca="false">IFERROR(INDEX(PODACI_PRODAJA!D:D,MATCH($A531,PODACI_PRODAJA!$A:$A,0)),0)</f>
        <v>0</v>
      </c>
      <c r="V531" s="23" t="n">
        <f aca="false">IFERROR(INDEX(PODACI_PRODAJA!E:E,MATCH($A531,PODACI_PRODAJA!$A:$A,0)),0)</f>
        <v>2</v>
      </c>
      <c r="W531" s="23" t="n">
        <f aca="false">IFERROR(INDEX(PODACI_PRODAJA!F:F,MATCH($A531,PODACI_PRODAJA!$A:$A,0)),0)</f>
        <v>1</v>
      </c>
      <c r="X531" s="23" t="n">
        <f aca="false">IFERROR(INDEX(PODACI_PRODAJA!G:G,MATCH($A531,PODACI_PRODAJA!$A:$A,0)),0)</f>
        <v>0</v>
      </c>
      <c r="Y531" s="23" t="n">
        <f aca="false">IFERROR(INDEX(PODACI_PRODAJA!H:H,MATCH($A531,PODACI_PRODAJA!$A:$A,0)),0)</f>
        <v>0</v>
      </c>
      <c r="Z531" s="23" t="n">
        <f aca="false">IFERROR(INDEX(PODACI_PRODAJA!I:I,MATCH($A531,PODACI_PRODAJA!$A:$A,0)),0)</f>
        <v>0</v>
      </c>
      <c r="AA531" s="23" t="n">
        <f aca="false">IFERROR(INDEX(PODACI_PRODAJA!J:J,MATCH($A531,PODACI_PRODAJA!$A:$A,0)),0)</f>
        <v>0</v>
      </c>
      <c r="AB531" s="23" t="n">
        <f aca="false">IFERROR(INDEX(PODACI_PRODAJA!K:K,MATCH($A531,PODACI_PRODAJA!$A:$A,0)),0)</f>
        <v>0</v>
      </c>
      <c r="AC531" s="23" t="n">
        <f aca="false">IFERROR(INDEX(PODACI_PRODAJA!L:L,MATCH($A531,PODACI_PRODAJA!$A:$A,0)),0)</f>
        <v>0</v>
      </c>
      <c r="AD531" s="23" t="n">
        <f aca="false">IFERROR(INDEX(PODACI_PRODAJA!M:M,MATCH($A531,PODACI_PRODAJA!$A:$A,0)),0)</f>
        <v>0</v>
      </c>
    </row>
    <row r="532" customFormat="false" ht="15" hidden="false" customHeight="false" outlineLevel="0" collapsed="false">
      <c r="A532" s="11" t="str">
        <f aca="false">PODACI_ZALIHE!A529</f>
        <v>16115</v>
      </c>
      <c r="B532" s="8" t="str">
        <f aca="false">PODACI_ZALIHE!B529</f>
        <v>CLEAR 80-6 PARAVAN ZA KADU 80X140 CM</v>
      </c>
      <c r="C532" s="9" t="n">
        <f aca="false">PODACI_ZALIHE!C529</f>
        <v>0</v>
      </c>
      <c r="D532" s="8" t="n">
        <f aca="false">PODACI_ZALIHE!D529</f>
        <v>0</v>
      </c>
      <c r="E532" s="19" t="n">
        <f aca="false">IF(PODACI_ZALIHE!E529="","",PODACI_ZALIHE!E529)</f>
        <v>4</v>
      </c>
      <c r="F532" s="20" t="n">
        <f aca="false">PODACI_ZALIHE!F529</f>
        <v>4</v>
      </c>
      <c r="G532" s="19" t="n">
        <f aca="false">IF(E532="","",E532-F532)</f>
        <v>0</v>
      </c>
      <c r="H532" s="9" t="n">
        <f aca="false">PODACI_PRODAJA!N252</f>
        <v>1</v>
      </c>
      <c r="I532" s="21" t="n">
        <f aca="false">IF(H532&lt;=0,999,ROUND(F532/H532,1))</f>
        <v>4</v>
      </c>
      <c r="J532" s="9" t="n">
        <f aca="false">SUMIFS(ROBA_U_DOLASKU!$C$6:$C$95,ROBA_U_DOLASKU!$A$6:$A$95,A532,ROBA_U_DOLASKU!$H$6:$H$95,1)</f>
        <v>0</v>
      </c>
      <c r="K532" s="9" t="n">
        <f aca="false">SUMIFS(ROBA_U_DOLASKU!$B$6:$B$95,ROBA_U_DOLASKU!$A$6:$A$95,A532,ROBA_U_DOLASKU!$H$6:$H$95,1)</f>
        <v>0</v>
      </c>
      <c r="L532" s="9" t="n">
        <f aca="false">SUMIFS(ROBA_U_DOLASKU!$C$6:$C$95,ROBA_U_DOLASKU!$A$6:$A$95,A532,ROBA_U_DOLASKU!$H$6:$H$95,2)</f>
        <v>0</v>
      </c>
      <c r="M532" s="9" t="n">
        <f aca="false">SUMIFS(ROBA_U_DOLASKU!$B$6:$B$95,ROBA_U_DOLASKU!$A$6:$A$95,A532,ROBA_U_DOLASKU!$H$6:$H$95,2)</f>
        <v>0</v>
      </c>
      <c r="N532" s="9" t="n">
        <f aca="false">SUMIFS(ROBA_U_DOLASKU!$C$6:$C$95,ROBA_U_DOLASKU!$A$6:$A$95,A532,ROBA_U_DOLASKU!$H$6:$H$95,3)</f>
        <v>0</v>
      </c>
      <c r="O532" s="9" t="n">
        <f aca="false">SUMIFS(ROBA_U_DOLASKU!$B$6:$B$95,ROBA_U_DOLASKU!$A$6:$A$95,A532,ROBA_U_DOLASKU!$H$6:$H$95,3)</f>
        <v>0</v>
      </c>
      <c r="P532" s="9" t="n">
        <f aca="false">IF(H532&lt;=0,999,IF(O532&gt;0,ROUND((F532-H532*N532+K532+M532+O532)/H532,1),IF(M532&gt;0,ROUND((F532-H532*L532+K532+M532)/H532,1),IF(K532&gt;0,ROUND((F532-H532*J532+K532)/H532,1),I532))))</f>
        <v>4</v>
      </c>
      <c r="Q532" s="22" t="str">
        <f aca="false">IF(H532&lt;=0,"Nema prodaje",IF(AND(K532=0,M532=0,O532=0),IF(I532&lt;POSTAVKE!$B$6,"Naruči odmah","Sve u redu"),IF(F532-H532*J532&lt;0,"Rupa za ~"&amp;TEXT(I532,"0.0")&amp;" mj.",IF(AND(M532&gt;0,F532-H532*L532+K532&lt;0),"Rupa nakon 1. dolaska",IF(AND(O532&gt;0,F532-H532*N532+K532+M532&lt;0),"Rupa nakon 2. dolaska",IF(P532&lt;POSTAVKE!$B$6,"Količina nije dovoljna",IF(I532&gt;=POSTAVKE!$B$6,"Sve u redu","Stiže na vrijeme")))))))</f>
        <v>Naruči odmah</v>
      </c>
      <c r="S532" s="23" t="n">
        <f aca="false">IFERROR(INDEX(PODACI_PRODAJA!B:B,MATCH($A532,PODACI_PRODAJA!$A:$A,0)),0)</f>
        <v>1</v>
      </c>
      <c r="T532" s="23" t="n">
        <f aca="false">IFERROR(INDEX(PODACI_PRODAJA!C:C,MATCH($A532,PODACI_PRODAJA!$A:$A,0)),0)</f>
        <v>0</v>
      </c>
      <c r="U532" s="23" t="n">
        <f aca="false">IFERROR(INDEX(PODACI_PRODAJA!D:D,MATCH($A532,PODACI_PRODAJA!$A:$A,0)),0)</f>
        <v>0</v>
      </c>
      <c r="V532" s="23" t="n">
        <f aca="false">IFERROR(INDEX(PODACI_PRODAJA!E:E,MATCH($A532,PODACI_PRODAJA!$A:$A,0)),0)</f>
        <v>1</v>
      </c>
      <c r="W532" s="23" t="n">
        <f aca="false">IFERROR(INDEX(PODACI_PRODAJA!F:F,MATCH($A532,PODACI_PRODAJA!$A:$A,0)),0)</f>
        <v>0</v>
      </c>
      <c r="X532" s="23" t="n">
        <f aca="false">IFERROR(INDEX(PODACI_PRODAJA!G:G,MATCH($A532,PODACI_PRODAJA!$A:$A,0)),0)</f>
        <v>0</v>
      </c>
      <c r="Y532" s="23" t="n">
        <f aca="false">IFERROR(INDEX(PODACI_PRODAJA!H:H,MATCH($A532,PODACI_PRODAJA!$A:$A,0)),0)</f>
        <v>1</v>
      </c>
      <c r="Z532" s="23" t="n">
        <f aca="false">IFERROR(INDEX(PODACI_PRODAJA!I:I,MATCH($A532,PODACI_PRODAJA!$A:$A,0)),0)</f>
        <v>5</v>
      </c>
      <c r="AA532" s="23" t="n">
        <f aca="false">IFERROR(INDEX(PODACI_PRODAJA!J:J,MATCH($A532,PODACI_PRODAJA!$A:$A,0)),0)</f>
        <v>0</v>
      </c>
      <c r="AB532" s="23" t="n">
        <f aca="false">IFERROR(INDEX(PODACI_PRODAJA!K:K,MATCH($A532,PODACI_PRODAJA!$A:$A,0)),0)</f>
        <v>0</v>
      </c>
      <c r="AC532" s="23" t="n">
        <f aca="false">IFERROR(INDEX(PODACI_PRODAJA!L:L,MATCH($A532,PODACI_PRODAJA!$A:$A,0)),0)</f>
        <v>0</v>
      </c>
      <c r="AD532" s="23" t="n">
        <f aca="false">IFERROR(INDEX(PODACI_PRODAJA!M:M,MATCH($A532,PODACI_PRODAJA!$A:$A,0)),0)</f>
        <v>0</v>
      </c>
    </row>
    <row r="533" customFormat="false" ht="15" hidden="false" customHeight="false" outlineLevel="0" collapsed="false">
      <c r="A533" s="11" t="str">
        <f aca="false">PODACI_ZALIHE!A530</f>
        <v>16143</v>
      </c>
      <c r="B533" s="8" t="str">
        <f aca="false">PODACI_ZALIHE!B530</f>
        <v>SET ZA REPARACIJU KADA BIJELI</v>
      </c>
      <c r="C533" s="9" t="str">
        <f aca="false">PODACI_ZALIHE!C530</f>
        <v>5517</v>
      </c>
      <c r="D533" s="8" t="str">
        <f aca="false">PODACI_ZALIHE!D530</f>
        <v>NICOS INTERNATIONAL S.P.A.</v>
      </c>
      <c r="E533" s="19" t="n">
        <f aca="false">IF(PODACI_ZALIHE!E530="","",PODACI_ZALIHE!E530)</f>
        <v>4</v>
      </c>
      <c r="F533" s="20" t="n">
        <f aca="false">PODACI_ZALIHE!F530</f>
        <v>4</v>
      </c>
      <c r="G533" s="19" t="n">
        <f aca="false">IF(E533="","",E533-F533)</f>
        <v>0</v>
      </c>
      <c r="H533" s="9" t="n">
        <f aca="false">PODACI_PRODAJA!N197</f>
        <v>1.25</v>
      </c>
      <c r="I533" s="21" t="n">
        <f aca="false">IF(H533&lt;=0,999,ROUND(F533/H533,1))</f>
        <v>3.2</v>
      </c>
      <c r="J533" s="9" t="n">
        <f aca="false">SUMIFS(ROBA_U_DOLASKU!$C$6:$C$95,ROBA_U_DOLASKU!$A$6:$A$95,A533,ROBA_U_DOLASKU!$H$6:$H$95,1)</f>
        <v>0</v>
      </c>
      <c r="K533" s="9" t="n">
        <f aca="false">SUMIFS(ROBA_U_DOLASKU!$B$6:$B$95,ROBA_U_DOLASKU!$A$6:$A$95,A533,ROBA_U_DOLASKU!$H$6:$H$95,1)</f>
        <v>0</v>
      </c>
      <c r="L533" s="9" t="n">
        <f aca="false">SUMIFS(ROBA_U_DOLASKU!$C$6:$C$95,ROBA_U_DOLASKU!$A$6:$A$95,A533,ROBA_U_DOLASKU!$H$6:$H$95,2)</f>
        <v>0</v>
      </c>
      <c r="M533" s="9" t="n">
        <f aca="false">SUMIFS(ROBA_U_DOLASKU!$B$6:$B$95,ROBA_U_DOLASKU!$A$6:$A$95,A533,ROBA_U_DOLASKU!$H$6:$H$95,2)</f>
        <v>0</v>
      </c>
      <c r="N533" s="9" t="n">
        <f aca="false">SUMIFS(ROBA_U_DOLASKU!$C$6:$C$95,ROBA_U_DOLASKU!$A$6:$A$95,A533,ROBA_U_DOLASKU!$H$6:$H$95,3)</f>
        <v>0</v>
      </c>
      <c r="O533" s="9" t="n">
        <f aca="false">SUMIFS(ROBA_U_DOLASKU!$B$6:$B$95,ROBA_U_DOLASKU!$A$6:$A$95,A533,ROBA_U_DOLASKU!$H$6:$H$95,3)</f>
        <v>0</v>
      </c>
      <c r="P533" s="9" t="n">
        <f aca="false">IF(H533&lt;=0,999,IF(O533&gt;0,ROUND((F533-H533*N533+K533+M533+O533)/H533,1),IF(M533&gt;0,ROUND((F533-H533*L533+K533+M533)/H533,1),IF(K533&gt;0,ROUND((F533-H533*J533+K533)/H533,1),I533))))</f>
        <v>3.2</v>
      </c>
      <c r="Q533" s="22" t="str">
        <f aca="false">IF(H533&lt;=0,"Nema prodaje",IF(AND(K533=0,M533=0,O533=0),IF(I533&lt;POSTAVKE!$B$6,"Naruči odmah","Sve u redu"),IF(F533-H533*J533&lt;0,"Rupa za ~"&amp;TEXT(I533,"0.0")&amp;" mj.",IF(AND(M533&gt;0,F533-H533*L533+K533&lt;0),"Rupa nakon 1. dolaska",IF(AND(O533&gt;0,F533-H533*N533+K533+M533&lt;0),"Rupa nakon 2. dolaska",IF(P533&lt;POSTAVKE!$B$6,"Količina nije dovoljna",IF(I533&gt;=POSTAVKE!$B$6,"Sve u redu","Stiže na vrijeme")))))))</f>
        <v>Naruči odmah</v>
      </c>
      <c r="S533" s="23" t="n">
        <f aca="false">IFERROR(INDEX(PODACI_PRODAJA!B:B,MATCH($A533,PODACI_PRODAJA!$A:$A,0)),0)</f>
        <v>2</v>
      </c>
      <c r="T533" s="23" t="n">
        <f aca="false">IFERROR(INDEX(PODACI_PRODAJA!C:C,MATCH($A533,PODACI_PRODAJA!$A:$A,0)),0)</f>
        <v>0</v>
      </c>
      <c r="U533" s="23" t="n">
        <f aca="false">IFERROR(INDEX(PODACI_PRODAJA!D:D,MATCH($A533,PODACI_PRODAJA!$A:$A,0)),0)</f>
        <v>2</v>
      </c>
      <c r="V533" s="23" t="n">
        <f aca="false">IFERROR(INDEX(PODACI_PRODAJA!E:E,MATCH($A533,PODACI_PRODAJA!$A:$A,0)),0)</f>
        <v>0</v>
      </c>
      <c r="W533" s="23" t="n">
        <f aca="false">IFERROR(INDEX(PODACI_PRODAJA!F:F,MATCH($A533,PODACI_PRODAJA!$A:$A,0)),0)</f>
        <v>5</v>
      </c>
      <c r="X533" s="23" t="n">
        <f aca="false">IFERROR(INDEX(PODACI_PRODAJA!G:G,MATCH($A533,PODACI_PRODAJA!$A:$A,0)),0)</f>
        <v>1</v>
      </c>
      <c r="Y533" s="23" t="n">
        <f aca="false">IFERROR(INDEX(PODACI_PRODAJA!H:H,MATCH($A533,PODACI_PRODAJA!$A:$A,0)),0)</f>
        <v>0</v>
      </c>
      <c r="Z533" s="23" t="n">
        <f aca="false">IFERROR(INDEX(PODACI_PRODAJA!I:I,MATCH($A533,PODACI_PRODAJA!$A:$A,0)),0)</f>
        <v>0</v>
      </c>
      <c r="AA533" s="23" t="n">
        <f aca="false">IFERROR(INDEX(PODACI_PRODAJA!J:J,MATCH($A533,PODACI_PRODAJA!$A:$A,0)),0)</f>
        <v>0</v>
      </c>
      <c r="AB533" s="23" t="n">
        <f aca="false">IFERROR(INDEX(PODACI_PRODAJA!K:K,MATCH($A533,PODACI_PRODAJA!$A:$A,0)),0)</f>
        <v>0</v>
      </c>
      <c r="AC533" s="23" t="n">
        <f aca="false">IFERROR(INDEX(PODACI_PRODAJA!L:L,MATCH($A533,PODACI_PRODAJA!$A:$A,0)),0)</f>
        <v>0</v>
      </c>
      <c r="AD533" s="23" t="n">
        <f aca="false">IFERROR(INDEX(PODACI_PRODAJA!M:M,MATCH($A533,PODACI_PRODAJA!$A:$A,0)),0)</f>
        <v>0</v>
      </c>
    </row>
    <row r="534" customFormat="false" ht="15" hidden="false" customHeight="false" outlineLevel="0" collapsed="false">
      <c r="A534" s="11" t="str">
        <f aca="false">PODACI_ZALIHE!A531</f>
        <v>171440</v>
      </c>
      <c r="B534" s="8" t="str">
        <f aca="false">PODACI_ZALIHE!B531</f>
        <v>VETRO GOLD TRS 120 TUŠ STIJENA 1200x200 cm</v>
      </c>
      <c r="C534" s="9" t="n">
        <f aca="false">PODACI_ZALIHE!C531</f>
        <v>0</v>
      </c>
      <c r="D534" s="8" t="n">
        <f aca="false">PODACI_ZALIHE!D531</f>
        <v>0</v>
      </c>
      <c r="E534" s="19" t="n">
        <f aca="false">IF(PODACI_ZALIHE!E531="","",PODACI_ZALIHE!E531)</f>
        <v>4</v>
      </c>
      <c r="F534" s="20" t="n">
        <f aca="false">PODACI_ZALIHE!F531</f>
        <v>4</v>
      </c>
      <c r="G534" s="19" t="n">
        <f aca="false">IF(E534="","",E534-F534)</f>
        <v>0</v>
      </c>
      <c r="H534" s="9" t="n">
        <f aca="false">PODACI_PRODAJA!N589</f>
        <v>1.25</v>
      </c>
      <c r="I534" s="21" t="n">
        <f aca="false">IF(H534&lt;=0,999,ROUND(F534/H534,1))</f>
        <v>3.2</v>
      </c>
      <c r="J534" s="9" t="n">
        <f aca="false">SUMIFS(ROBA_U_DOLASKU!$C$6:$C$95,ROBA_U_DOLASKU!$A$6:$A$95,A534,ROBA_U_DOLASKU!$H$6:$H$95,1)</f>
        <v>0</v>
      </c>
      <c r="K534" s="9" t="n">
        <f aca="false">SUMIFS(ROBA_U_DOLASKU!$B$6:$B$95,ROBA_U_DOLASKU!$A$6:$A$95,A534,ROBA_U_DOLASKU!$H$6:$H$95,1)</f>
        <v>0</v>
      </c>
      <c r="L534" s="9" t="n">
        <f aca="false">SUMIFS(ROBA_U_DOLASKU!$C$6:$C$95,ROBA_U_DOLASKU!$A$6:$A$95,A534,ROBA_U_DOLASKU!$H$6:$H$95,2)</f>
        <v>0</v>
      </c>
      <c r="M534" s="9" t="n">
        <f aca="false">SUMIFS(ROBA_U_DOLASKU!$B$6:$B$95,ROBA_U_DOLASKU!$A$6:$A$95,A534,ROBA_U_DOLASKU!$H$6:$H$95,2)</f>
        <v>0</v>
      </c>
      <c r="N534" s="9" t="n">
        <f aca="false">SUMIFS(ROBA_U_DOLASKU!$C$6:$C$95,ROBA_U_DOLASKU!$A$6:$A$95,A534,ROBA_U_DOLASKU!$H$6:$H$95,3)</f>
        <v>0</v>
      </c>
      <c r="O534" s="9" t="n">
        <f aca="false">SUMIFS(ROBA_U_DOLASKU!$B$6:$B$95,ROBA_U_DOLASKU!$A$6:$A$95,A534,ROBA_U_DOLASKU!$H$6:$H$95,3)</f>
        <v>0</v>
      </c>
      <c r="P534" s="9" t="n">
        <f aca="false">IF(H534&lt;=0,999,IF(O534&gt;0,ROUND((F534-H534*N534+K534+M534+O534)/H534,1),IF(M534&gt;0,ROUND((F534-H534*L534+K534+M534)/H534,1),IF(K534&gt;0,ROUND((F534-H534*J534+K534)/H534,1),I534))))</f>
        <v>3.2</v>
      </c>
      <c r="Q534" s="22" t="str">
        <f aca="false">IF(H534&lt;=0,"Nema prodaje",IF(AND(K534=0,M534=0,O534=0),IF(I534&lt;POSTAVKE!$B$6,"Naruči odmah","Sve u redu"),IF(F534-H534*J534&lt;0,"Rupa za ~"&amp;TEXT(I534,"0.0")&amp;" mj.",IF(AND(M534&gt;0,F534-H534*L534+K534&lt;0),"Rupa nakon 1. dolaska",IF(AND(O534&gt;0,F534-H534*N534+K534+M534&lt;0),"Rupa nakon 2. dolaska",IF(P534&lt;POSTAVKE!$B$6,"Količina nije dovoljna",IF(I534&gt;=POSTAVKE!$B$6,"Sve u redu","Stiže na vrijeme")))))))</f>
        <v>Naruči odmah</v>
      </c>
      <c r="S534" s="23" t="n">
        <f aca="false">IFERROR(INDEX(PODACI_PRODAJA!B:B,MATCH($A534,PODACI_PRODAJA!$A:$A,0)),0)</f>
        <v>0</v>
      </c>
      <c r="T534" s="23" t="n">
        <f aca="false">IFERROR(INDEX(PODACI_PRODAJA!C:C,MATCH($A534,PODACI_PRODAJA!$A:$A,0)),0)</f>
        <v>1</v>
      </c>
      <c r="U534" s="23" t="n">
        <f aca="false">IFERROR(INDEX(PODACI_PRODAJA!D:D,MATCH($A534,PODACI_PRODAJA!$A:$A,0)),0)</f>
        <v>3</v>
      </c>
      <c r="V534" s="23" t="n">
        <f aca="false">IFERROR(INDEX(PODACI_PRODAJA!E:E,MATCH($A534,PODACI_PRODAJA!$A:$A,0)),0)</f>
        <v>2</v>
      </c>
      <c r="W534" s="23" t="n">
        <f aca="false">IFERROR(INDEX(PODACI_PRODAJA!F:F,MATCH($A534,PODACI_PRODAJA!$A:$A,0)),0)</f>
        <v>2</v>
      </c>
      <c r="X534" s="23" t="n">
        <f aca="false">IFERROR(INDEX(PODACI_PRODAJA!G:G,MATCH($A534,PODACI_PRODAJA!$A:$A,0)),0)</f>
        <v>0</v>
      </c>
      <c r="Y534" s="23" t="n">
        <f aca="false">IFERROR(INDEX(PODACI_PRODAJA!H:H,MATCH($A534,PODACI_PRODAJA!$A:$A,0)),0)</f>
        <v>1</v>
      </c>
      <c r="Z534" s="23" t="n">
        <f aca="false">IFERROR(INDEX(PODACI_PRODAJA!I:I,MATCH($A534,PODACI_PRODAJA!$A:$A,0)),0)</f>
        <v>1</v>
      </c>
      <c r="AA534" s="23" t="n">
        <f aca="false">IFERROR(INDEX(PODACI_PRODAJA!J:J,MATCH($A534,PODACI_PRODAJA!$A:$A,0)),0)</f>
        <v>0</v>
      </c>
      <c r="AB534" s="23" t="n">
        <f aca="false">IFERROR(INDEX(PODACI_PRODAJA!K:K,MATCH($A534,PODACI_PRODAJA!$A:$A,0)),0)</f>
        <v>0</v>
      </c>
      <c r="AC534" s="23" t="n">
        <f aca="false">IFERROR(INDEX(PODACI_PRODAJA!L:L,MATCH($A534,PODACI_PRODAJA!$A:$A,0)),0)</f>
        <v>0</v>
      </c>
      <c r="AD534" s="23" t="n">
        <f aca="false">IFERROR(INDEX(PODACI_PRODAJA!M:M,MATCH($A534,PODACI_PRODAJA!$A:$A,0)),0)</f>
        <v>0</v>
      </c>
    </row>
    <row r="535" customFormat="false" ht="15" hidden="false" customHeight="false" outlineLevel="0" collapsed="false">
      <c r="A535" s="11" t="str">
        <f aca="false">PODACI_ZALIHE!A532</f>
        <v>17261</v>
      </c>
      <c r="B535" s="8" t="str">
        <f aca="false">PODACI_ZALIHE!B532</f>
        <v>S PARLA SIDE 80 BLACK 80X195 cm STAKLENA STRANICA</v>
      </c>
      <c r="C535" s="9" t="str">
        <f aca="false">PODACI_ZALIHE!C532</f>
        <v>6762</v>
      </c>
      <c r="D535" s="8" t="str">
        <f aca="false">PODACI_ZALIHE!D532</f>
        <v>ZHEJIANG QUICKLINE SHOWERING CO., LTD.</v>
      </c>
      <c r="E535" s="19" t="n">
        <f aca="false">IF(PODACI_ZALIHE!E532="","",PODACI_ZALIHE!E532)</f>
        <v>4</v>
      </c>
      <c r="F535" s="20" t="n">
        <f aca="false">PODACI_ZALIHE!F532</f>
        <v>4</v>
      </c>
      <c r="G535" s="19" t="n">
        <f aca="false">IF(E535="","",E535-F535)</f>
        <v>0</v>
      </c>
      <c r="H535" s="9" t="n">
        <f aca="false">PODACI_PRODAJA!N633</f>
        <v>0.13</v>
      </c>
      <c r="I535" s="21" t="n">
        <f aca="false">IF(H535&lt;=0,999,ROUND(F535/H535,1))</f>
        <v>30.8</v>
      </c>
      <c r="J535" s="9" t="n">
        <f aca="false">SUMIFS(ROBA_U_DOLASKU!$C$6:$C$95,ROBA_U_DOLASKU!$A$6:$A$95,A535,ROBA_U_DOLASKU!$H$6:$H$95,1)</f>
        <v>0</v>
      </c>
      <c r="K535" s="9" t="n">
        <f aca="false">SUMIFS(ROBA_U_DOLASKU!$B$6:$B$95,ROBA_U_DOLASKU!$A$6:$A$95,A535,ROBA_U_DOLASKU!$H$6:$H$95,1)</f>
        <v>0</v>
      </c>
      <c r="L535" s="9" t="n">
        <f aca="false">SUMIFS(ROBA_U_DOLASKU!$C$6:$C$95,ROBA_U_DOLASKU!$A$6:$A$95,A535,ROBA_U_DOLASKU!$H$6:$H$95,2)</f>
        <v>0</v>
      </c>
      <c r="M535" s="9" t="n">
        <f aca="false">SUMIFS(ROBA_U_DOLASKU!$B$6:$B$95,ROBA_U_DOLASKU!$A$6:$A$95,A535,ROBA_U_DOLASKU!$H$6:$H$95,2)</f>
        <v>0</v>
      </c>
      <c r="N535" s="9" t="n">
        <f aca="false">SUMIFS(ROBA_U_DOLASKU!$C$6:$C$95,ROBA_U_DOLASKU!$A$6:$A$95,A535,ROBA_U_DOLASKU!$H$6:$H$95,3)</f>
        <v>0</v>
      </c>
      <c r="O535" s="9" t="n">
        <f aca="false">SUMIFS(ROBA_U_DOLASKU!$B$6:$B$95,ROBA_U_DOLASKU!$A$6:$A$95,A535,ROBA_U_DOLASKU!$H$6:$H$95,3)</f>
        <v>0</v>
      </c>
      <c r="P535" s="9" t="n">
        <f aca="false">IF(H535&lt;=0,999,IF(O535&gt;0,ROUND((F535-H535*N535+K535+M535+O535)/H535,1),IF(M535&gt;0,ROUND((F535-H535*L535+K535+M535)/H535,1),IF(K535&gt;0,ROUND((F535-H535*J535+K535)/H535,1),I535))))</f>
        <v>30.8</v>
      </c>
      <c r="Q535" s="22" t="str">
        <f aca="false">IF(H535&lt;=0,"Nema prodaje",IF(AND(K535=0,M535=0,O535=0),IF(I535&lt;POSTAVKE!$B$6,"Naruči odmah","Sve u redu"),IF(F535-H535*J535&lt;0,"Rupa za ~"&amp;TEXT(I535,"0.0")&amp;" mj.",IF(AND(M535&gt;0,F535-H535*L535+K535&lt;0),"Rupa nakon 1. dolaska",IF(AND(O535&gt;0,F535-H535*N535+K535+M535&lt;0),"Rupa nakon 2. dolaska",IF(P535&lt;POSTAVKE!$B$6,"Količina nije dovoljna",IF(I535&gt;=POSTAVKE!$B$6,"Sve u redu","Stiže na vrijeme")))))))</f>
        <v>Sve u redu</v>
      </c>
      <c r="S535" s="23" t="n">
        <f aca="false">IFERROR(INDEX(PODACI_PRODAJA!B:B,MATCH($A535,PODACI_PRODAJA!$A:$A,0)),0)</f>
        <v>0</v>
      </c>
      <c r="T535" s="23" t="n">
        <f aca="false">IFERROR(INDEX(PODACI_PRODAJA!C:C,MATCH($A535,PODACI_PRODAJA!$A:$A,0)),0)</f>
        <v>0</v>
      </c>
      <c r="U535" s="23" t="n">
        <f aca="false">IFERROR(INDEX(PODACI_PRODAJA!D:D,MATCH($A535,PODACI_PRODAJA!$A:$A,0)),0)</f>
        <v>0</v>
      </c>
      <c r="V535" s="23" t="n">
        <f aca="false">IFERROR(INDEX(PODACI_PRODAJA!E:E,MATCH($A535,PODACI_PRODAJA!$A:$A,0)),0)</f>
        <v>0</v>
      </c>
      <c r="W535" s="23" t="n">
        <f aca="false">IFERROR(INDEX(PODACI_PRODAJA!F:F,MATCH($A535,PODACI_PRODAJA!$A:$A,0)),0)</f>
        <v>0</v>
      </c>
      <c r="X535" s="23" t="n">
        <f aca="false">IFERROR(INDEX(PODACI_PRODAJA!G:G,MATCH($A535,PODACI_PRODAJA!$A:$A,0)),0)</f>
        <v>0</v>
      </c>
      <c r="Y535" s="23" t="n">
        <f aca="false">IFERROR(INDEX(PODACI_PRODAJA!H:H,MATCH($A535,PODACI_PRODAJA!$A:$A,0)),0)</f>
        <v>0</v>
      </c>
      <c r="Z535" s="23" t="n">
        <f aca="false">IFERROR(INDEX(PODACI_PRODAJA!I:I,MATCH($A535,PODACI_PRODAJA!$A:$A,0)),0)</f>
        <v>1</v>
      </c>
      <c r="AA535" s="23" t="n">
        <f aca="false">IFERROR(INDEX(PODACI_PRODAJA!J:J,MATCH($A535,PODACI_PRODAJA!$A:$A,0)),0)</f>
        <v>0</v>
      </c>
      <c r="AB535" s="23" t="n">
        <f aca="false">IFERROR(INDEX(PODACI_PRODAJA!K:K,MATCH($A535,PODACI_PRODAJA!$A:$A,0)),0)</f>
        <v>0</v>
      </c>
      <c r="AC535" s="23" t="n">
        <f aca="false">IFERROR(INDEX(PODACI_PRODAJA!L:L,MATCH($A535,PODACI_PRODAJA!$A:$A,0)),0)</f>
        <v>0</v>
      </c>
      <c r="AD535" s="23" t="n">
        <f aca="false">IFERROR(INDEX(PODACI_PRODAJA!M:M,MATCH($A535,PODACI_PRODAJA!$A:$A,0)),0)</f>
        <v>0</v>
      </c>
    </row>
    <row r="536" customFormat="false" ht="15" hidden="false" customHeight="false" outlineLevel="0" collapsed="false">
      <c r="A536" s="11" t="str">
        <f aca="false">PODACI_ZALIHE!A533</f>
        <v>17276</v>
      </c>
      <c r="B536" s="8" t="str">
        <f aca="false">PODACI_ZALIHE!B533</f>
        <v>COSY 150 SAMOSTOJEĆA KUPAONSKA KADA 1500X720X560 MM</v>
      </c>
      <c r="C536" s="9" t="n">
        <f aca="false">PODACI_ZALIHE!C533</f>
        <v>0</v>
      </c>
      <c r="D536" s="8" t="n">
        <f aca="false">PODACI_ZALIHE!D533</f>
        <v>0</v>
      </c>
      <c r="E536" s="19" t="n">
        <f aca="false">IF(PODACI_ZALIHE!E533="","",PODACI_ZALIHE!E533)</f>
        <v>4</v>
      </c>
      <c r="F536" s="20" t="n">
        <f aca="false">PODACI_ZALIHE!F533</f>
        <v>4</v>
      </c>
      <c r="G536" s="19" t="n">
        <f aca="false">IF(E536="","",E536-F536)</f>
        <v>0</v>
      </c>
      <c r="H536" s="9" t="n">
        <f aca="false">PODACI_PRODAJA!N281</f>
        <v>0.63</v>
      </c>
      <c r="I536" s="21" t="n">
        <f aca="false">IF(H536&lt;=0,999,ROUND(F536/H536,1))</f>
        <v>6.3</v>
      </c>
      <c r="J536" s="9" t="n">
        <f aca="false">SUMIFS(ROBA_U_DOLASKU!$C$6:$C$95,ROBA_U_DOLASKU!$A$6:$A$95,A536,ROBA_U_DOLASKU!$H$6:$H$95,1)</f>
        <v>0</v>
      </c>
      <c r="K536" s="9" t="n">
        <f aca="false">SUMIFS(ROBA_U_DOLASKU!$B$6:$B$95,ROBA_U_DOLASKU!$A$6:$A$95,A536,ROBA_U_DOLASKU!$H$6:$H$95,1)</f>
        <v>0</v>
      </c>
      <c r="L536" s="9" t="n">
        <f aca="false">SUMIFS(ROBA_U_DOLASKU!$C$6:$C$95,ROBA_U_DOLASKU!$A$6:$A$95,A536,ROBA_U_DOLASKU!$H$6:$H$95,2)</f>
        <v>0</v>
      </c>
      <c r="M536" s="9" t="n">
        <f aca="false">SUMIFS(ROBA_U_DOLASKU!$B$6:$B$95,ROBA_U_DOLASKU!$A$6:$A$95,A536,ROBA_U_DOLASKU!$H$6:$H$95,2)</f>
        <v>0</v>
      </c>
      <c r="N536" s="9" t="n">
        <f aca="false">SUMIFS(ROBA_U_DOLASKU!$C$6:$C$95,ROBA_U_DOLASKU!$A$6:$A$95,A536,ROBA_U_DOLASKU!$H$6:$H$95,3)</f>
        <v>0</v>
      </c>
      <c r="O536" s="9" t="n">
        <f aca="false">SUMIFS(ROBA_U_DOLASKU!$B$6:$B$95,ROBA_U_DOLASKU!$A$6:$A$95,A536,ROBA_U_DOLASKU!$H$6:$H$95,3)</f>
        <v>0</v>
      </c>
      <c r="P536" s="9" t="n">
        <f aca="false">IF(H536&lt;=0,999,IF(O536&gt;0,ROUND((F536-H536*N536+K536+M536+O536)/H536,1),IF(M536&gt;0,ROUND((F536-H536*L536+K536+M536)/H536,1),IF(K536&gt;0,ROUND((F536-H536*J536+K536)/H536,1),I536))))</f>
        <v>6.3</v>
      </c>
      <c r="Q536" s="22" t="str">
        <f aca="false">IF(H536&lt;=0,"Nema prodaje",IF(AND(K536=0,M536=0,O536=0),IF(I536&lt;POSTAVKE!$B$6,"Naruči odmah","Sve u redu"),IF(F536-H536*J536&lt;0,"Rupa za ~"&amp;TEXT(I536,"0.0")&amp;" mj.",IF(AND(M536&gt;0,F536-H536*L536+K536&lt;0),"Rupa nakon 1. dolaska",IF(AND(O536&gt;0,F536-H536*N536+K536+M536&lt;0),"Rupa nakon 2. dolaska",IF(P536&lt;POSTAVKE!$B$6,"Količina nije dovoljna",IF(I536&gt;=POSTAVKE!$B$6,"Sve u redu","Stiže na vrijeme")))))))</f>
        <v>Sve u redu</v>
      </c>
      <c r="S536" s="23" t="n">
        <f aca="false">IFERROR(INDEX(PODACI_PRODAJA!B:B,MATCH($A536,PODACI_PRODAJA!$A:$A,0)),0)</f>
        <v>1</v>
      </c>
      <c r="T536" s="23" t="n">
        <f aca="false">IFERROR(INDEX(PODACI_PRODAJA!C:C,MATCH($A536,PODACI_PRODAJA!$A:$A,0)),0)</f>
        <v>1</v>
      </c>
      <c r="U536" s="23" t="n">
        <f aca="false">IFERROR(INDEX(PODACI_PRODAJA!D:D,MATCH($A536,PODACI_PRODAJA!$A:$A,0)),0)</f>
        <v>1</v>
      </c>
      <c r="V536" s="23" t="n">
        <f aca="false">IFERROR(INDEX(PODACI_PRODAJA!E:E,MATCH($A536,PODACI_PRODAJA!$A:$A,0)),0)</f>
        <v>1</v>
      </c>
      <c r="W536" s="23" t="n">
        <f aca="false">IFERROR(INDEX(PODACI_PRODAJA!F:F,MATCH($A536,PODACI_PRODAJA!$A:$A,0)),0)</f>
        <v>0</v>
      </c>
      <c r="X536" s="23" t="n">
        <f aca="false">IFERROR(INDEX(PODACI_PRODAJA!G:G,MATCH($A536,PODACI_PRODAJA!$A:$A,0)),0)</f>
        <v>0</v>
      </c>
      <c r="Y536" s="23" t="n">
        <f aca="false">IFERROR(INDEX(PODACI_PRODAJA!H:H,MATCH($A536,PODACI_PRODAJA!$A:$A,0)),0)</f>
        <v>0</v>
      </c>
      <c r="Z536" s="23" t="n">
        <f aca="false">IFERROR(INDEX(PODACI_PRODAJA!I:I,MATCH($A536,PODACI_PRODAJA!$A:$A,0)),0)</f>
        <v>1</v>
      </c>
      <c r="AA536" s="23" t="n">
        <f aca="false">IFERROR(INDEX(PODACI_PRODAJA!J:J,MATCH($A536,PODACI_PRODAJA!$A:$A,0)),0)</f>
        <v>0</v>
      </c>
      <c r="AB536" s="23" t="n">
        <f aca="false">IFERROR(INDEX(PODACI_PRODAJA!K:K,MATCH($A536,PODACI_PRODAJA!$A:$A,0)),0)</f>
        <v>0</v>
      </c>
      <c r="AC536" s="23" t="n">
        <f aca="false">IFERROR(INDEX(PODACI_PRODAJA!L:L,MATCH($A536,PODACI_PRODAJA!$A:$A,0)),0)</f>
        <v>0</v>
      </c>
      <c r="AD536" s="23" t="n">
        <f aca="false">IFERROR(INDEX(PODACI_PRODAJA!M:M,MATCH($A536,PODACI_PRODAJA!$A:$A,0)),0)</f>
        <v>0</v>
      </c>
    </row>
    <row r="537" customFormat="false" ht="15" hidden="false" customHeight="false" outlineLevel="0" collapsed="false">
      <c r="A537" s="11" t="str">
        <f aca="false">PODACI_ZALIHE!A534</f>
        <v>267462433</v>
      </c>
      <c r="B537" s="8" t="str">
        <f aca="false">PODACI_ZALIHE!B534</f>
        <v>GROHE TEMPESTA 110 CUBE TUŠ SLUŠALICA, 2 MLAZA, CRNA</v>
      </c>
      <c r="C537" s="9" t="str">
        <f aca="false">PODACI_ZALIHE!C534</f>
        <v>4499</v>
      </c>
      <c r="D537" s="8" t="str">
        <f aca="false">PODACI_ZALIHE!D534</f>
        <v>THS D.O.O.</v>
      </c>
      <c r="E537" s="19" t="n">
        <f aca="false">IF(PODACI_ZALIHE!E534="","",PODACI_ZALIHE!E534)</f>
        <v>5</v>
      </c>
      <c r="F537" s="20" t="n">
        <f aca="false">PODACI_ZALIHE!F534</f>
        <v>4</v>
      </c>
      <c r="G537" s="19" t="n">
        <f aca="false">IF(E537="","",E537-F537)</f>
        <v>1</v>
      </c>
      <c r="H537" s="9" t="n">
        <f aca="false">PODACI_PRODAJA!N743</f>
        <v>0</v>
      </c>
      <c r="I537" s="21" t="n">
        <f aca="false">IF(H537&lt;=0,999,ROUND(F537/H537,1))</f>
        <v>999</v>
      </c>
      <c r="J537" s="9" t="n">
        <f aca="false">SUMIFS(ROBA_U_DOLASKU!$C$6:$C$95,ROBA_U_DOLASKU!$A$6:$A$95,A537,ROBA_U_DOLASKU!$H$6:$H$95,1)</f>
        <v>0</v>
      </c>
      <c r="K537" s="9" t="n">
        <f aca="false">SUMIFS(ROBA_U_DOLASKU!$B$6:$B$95,ROBA_U_DOLASKU!$A$6:$A$95,A537,ROBA_U_DOLASKU!$H$6:$H$95,1)</f>
        <v>0</v>
      </c>
      <c r="L537" s="9" t="n">
        <f aca="false">SUMIFS(ROBA_U_DOLASKU!$C$6:$C$95,ROBA_U_DOLASKU!$A$6:$A$95,A537,ROBA_U_DOLASKU!$H$6:$H$95,2)</f>
        <v>0</v>
      </c>
      <c r="M537" s="9" t="n">
        <f aca="false">SUMIFS(ROBA_U_DOLASKU!$B$6:$B$95,ROBA_U_DOLASKU!$A$6:$A$95,A537,ROBA_U_DOLASKU!$H$6:$H$95,2)</f>
        <v>0</v>
      </c>
      <c r="N537" s="9" t="n">
        <f aca="false">SUMIFS(ROBA_U_DOLASKU!$C$6:$C$95,ROBA_U_DOLASKU!$A$6:$A$95,A537,ROBA_U_DOLASKU!$H$6:$H$95,3)</f>
        <v>0</v>
      </c>
      <c r="O537" s="9" t="n">
        <f aca="false">SUMIFS(ROBA_U_DOLASKU!$B$6:$B$95,ROBA_U_DOLASKU!$A$6:$A$95,A537,ROBA_U_DOLASKU!$H$6:$H$95,3)</f>
        <v>0</v>
      </c>
      <c r="P537" s="9" t="n">
        <f aca="false">IF(H537&lt;=0,999,IF(O537&gt;0,ROUND((F537-H537*N537+K537+M537+O537)/H537,1),IF(M537&gt;0,ROUND((F537-H537*L537+K537+M537)/H537,1),IF(K537&gt;0,ROUND((F537-H537*J537+K537)/H537,1),I537))))</f>
        <v>999</v>
      </c>
      <c r="Q537" s="22" t="str">
        <f aca="false">IF(H537&lt;=0,"Nema prodaje",IF(AND(K537=0,M537=0,O537=0),IF(I537&lt;POSTAVKE!$B$6,"Naruči odmah","Sve u redu"),IF(F537-H537*J537&lt;0,"Rupa za ~"&amp;TEXT(I537,"0.0")&amp;" mj.",IF(AND(M537&gt;0,F537-H537*L537+K537&lt;0),"Rupa nakon 1. dolaska",IF(AND(O537&gt;0,F537-H537*N537+K537+M537&lt;0),"Rupa nakon 2. dolaska",IF(P537&lt;POSTAVKE!$B$6,"Količina nije dovoljna",IF(I537&gt;=POSTAVKE!$B$6,"Sve u redu","Stiže na vrijeme")))))))</f>
        <v>Nema prodaje</v>
      </c>
      <c r="S537" s="23" t="n">
        <f aca="false">IFERROR(INDEX(PODACI_PRODAJA!B:B,MATCH($A537,PODACI_PRODAJA!$A:$A,0)),0)</f>
        <v>0</v>
      </c>
      <c r="T537" s="23" t="n">
        <f aca="false">IFERROR(INDEX(PODACI_PRODAJA!C:C,MATCH($A537,PODACI_PRODAJA!$A:$A,0)),0)</f>
        <v>0</v>
      </c>
      <c r="U537" s="23" t="n">
        <f aca="false">IFERROR(INDEX(PODACI_PRODAJA!D:D,MATCH($A537,PODACI_PRODAJA!$A:$A,0)),0)</f>
        <v>0</v>
      </c>
      <c r="V537" s="23" t="n">
        <f aca="false">IFERROR(INDEX(PODACI_PRODAJA!E:E,MATCH($A537,PODACI_PRODAJA!$A:$A,0)),0)</f>
        <v>0</v>
      </c>
      <c r="W537" s="23" t="n">
        <f aca="false">IFERROR(INDEX(PODACI_PRODAJA!F:F,MATCH($A537,PODACI_PRODAJA!$A:$A,0)),0)</f>
        <v>0</v>
      </c>
      <c r="X537" s="23" t="n">
        <f aca="false">IFERROR(INDEX(PODACI_PRODAJA!G:G,MATCH($A537,PODACI_PRODAJA!$A:$A,0)),0)</f>
        <v>0</v>
      </c>
      <c r="Y537" s="23" t="n">
        <f aca="false">IFERROR(INDEX(PODACI_PRODAJA!H:H,MATCH($A537,PODACI_PRODAJA!$A:$A,0)),0)</f>
        <v>0</v>
      </c>
      <c r="Z537" s="23" t="n">
        <f aca="false">IFERROR(INDEX(PODACI_PRODAJA!I:I,MATCH($A537,PODACI_PRODAJA!$A:$A,0)),0)</f>
        <v>0</v>
      </c>
      <c r="AA537" s="23" t="n">
        <f aca="false">IFERROR(INDEX(PODACI_PRODAJA!J:J,MATCH($A537,PODACI_PRODAJA!$A:$A,0)),0)</f>
        <v>0</v>
      </c>
      <c r="AB537" s="23" t="n">
        <f aca="false">IFERROR(INDEX(PODACI_PRODAJA!K:K,MATCH($A537,PODACI_PRODAJA!$A:$A,0)),0)</f>
        <v>0</v>
      </c>
      <c r="AC537" s="23" t="n">
        <f aca="false">IFERROR(INDEX(PODACI_PRODAJA!L:L,MATCH($A537,PODACI_PRODAJA!$A:$A,0)),0)</f>
        <v>0</v>
      </c>
      <c r="AD537" s="23" t="n">
        <f aca="false">IFERROR(INDEX(PODACI_PRODAJA!M:M,MATCH($A537,PODACI_PRODAJA!$A:$A,0)),0)</f>
        <v>0</v>
      </c>
    </row>
    <row r="538" customFormat="false" ht="15" hidden="false" customHeight="false" outlineLevel="0" collapsed="false">
      <c r="A538" s="11" t="str">
        <f aca="false">PODACI_ZALIHE!A535</f>
        <v>428310575</v>
      </c>
      <c r="B538" s="8" t="str">
        <f aca="false">PODACI_ZALIHE!B535</f>
        <v>KLUDI RENON MIJEŠALICA ZA TUŠ, KROM</v>
      </c>
      <c r="C538" s="9" t="str">
        <f aca="false">PODACI_ZALIHE!C535</f>
        <v>7485</v>
      </c>
      <c r="D538" s="8" t="str">
        <f aca="false">PODACI_ZALIHE!D535</f>
        <v>KLUDI GmbH &amp; Co. KG.,</v>
      </c>
      <c r="E538" s="19" t="n">
        <f aca="false">IF(PODACI_ZALIHE!E535="","",PODACI_ZALIHE!E535)</f>
        <v>4</v>
      </c>
      <c r="F538" s="20" t="n">
        <f aca="false">PODACI_ZALIHE!F535</f>
        <v>4</v>
      </c>
      <c r="G538" s="19" t="n">
        <f aca="false">IF(E538="","",E538-F538)</f>
        <v>0</v>
      </c>
      <c r="H538" s="9" t="n">
        <f aca="false">PODACI_PRODAJA!N797</f>
        <v>0</v>
      </c>
      <c r="I538" s="21" t="n">
        <f aca="false">IF(H538&lt;=0,999,ROUND(F538/H538,1))</f>
        <v>999</v>
      </c>
      <c r="J538" s="9" t="n">
        <f aca="false">SUMIFS(ROBA_U_DOLASKU!$C$6:$C$95,ROBA_U_DOLASKU!$A$6:$A$95,A538,ROBA_U_DOLASKU!$H$6:$H$95,1)</f>
        <v>0</v>
      </c>
      <c r="K538" s="9" t="n">
        <f aca="false">SUMIFS(ROBA_U_DOLASKU!$B$6:$B$95,ROBA_U_DOLASKU!$A$6:$A$95,A538,ROBA_U_DOLASKU!$H$6:$H$95,1)</f>
        <v>0</v>
      </c>
      <c r="L538" s="9" t="n">
        <f aca="false">SUMIFS(ROBA_U_DOLASKU!$C$6:$C$95,ROBA_U_DOLASKU!$A$6:$A$95,A538,ROBA_U_DOLASKU!$H$6:$H$95,2)</f>
        <v>0</v>
      </c>
      <c r="M538" s="9" t="n">
        <f aca="false">SUMIFS(ROBA_U_DOLASKU!$B$6:$B$95,ROBA_U_DOLASKU!$A$6:$A$95,A538,ROBA_U_DOLASKU!$H$6:$H$95,2)</f>
        <v>0</v>
      </c>
      <c r="N538" s="9" t="n">
        <f aca="false">SUMIFS(ROBA_U_DOLASKU!$C$6:$C$95,ROBA_U_DOLASKU!$A$6:$A$95,A538,ROBA_U_DOLASKU!$H$6:$H$95,3)</f>
        <v>0</v>
      </c>
      <c r="O538" s="9" t="n">
        <f aca="false">SUMIFS(ROBA_U_DOLASKU!$B$6:$B$95,ROBA_U_DOLASKU!$A$6:$A$95,A538,ROBA_U_DOLASKU!$H$6:$H$95,3)</f>
        <v>0</v>
      </c>
      <c r="P538" s="9" t="n">
        <f aca="false">IF(H538&lt;=0,999,IF(O538&gt;0,ROUND((F538-H538*N538+K538+M538+O538)/H538,1),IF(M538&gt;0,ROUND((F538-H538*L538+K538+M538)/H538,1),IF(K538&gt;0,ROUND((F538-H538*J538+K538)/H538,1),I538))))</f>
        <v>999</v>
      </c>
      <c r="Q538" s="22" t="str">
        <f aca="false">IF(H538&lt;=0,"Nema prodaje",IF(AND(K538=0,M538=0,O538=0),IF(I538&lt;POSTAVKE!$B$6,"Naruči odmah","Sve u redu"),IF(F538-H538*J538&lt;0,"Rupa za ~"&amp;TEXT(I538,"0.0")&amp;" mj.",IF(AND(M538&gt;0,F538-H538*L538+K538&lt;0),"Rupa nakon 1. dolaska",IF(AND(O538&gt;0,F538-H538*N538+K538+M538&lt;0),"Rupa nakon 2. dolaska",IF(P538&lt;POSTAVKE!$B$6,"Količina nije dovoljna",IF(I538&gt;=POSTAVKE!$B$6,"Sve u redu","Stiže na vrijeme")))))))</f>
        <v>Nema prodaje</v>
      </c>
      <c r="S538" s="23" t="n">
        <f aca="false">IFERROR(INDEX(PODACI_PRODAJA!B:B,MATCH($A538,PODACI_PRODAJA!$A:$A,0)),0)</f>
        <v>0</v>
      </c>
      <c r="T538" s="23" t="n">
        <f aca="false">IFERROR(INDEX(PODACI_PRODAJA!C:C,MATCH($A538,PODACI_PRODAJA!$A:$A,0)),0)</f>
        <v>0</v>
      </c>
      <c r="U538" s="23" t="n">
        <f aca="false">IFERROR(INDEX(PODACI_PRODAJA!D:D,MATCH($A538,PODACI_PRODAJA!$A:$A,0)),0)</f>
        <v>0</v>
      </c>
      <c r="V538" s="23" t="n">
        <f aca="false">IFERROR(INDEX(PODACI_PRODAJA!E:E,MATCH($A538,PODACI_PRODAJA!$A:$A,0)),0)</f>
        <v>0</v>
      </c>
      <c r="W538" s="23" t="n">
        <f aca="false">IFERROR(INDEX(PODACI_PRODAJA!F:F,MATCH($A538,PODACI_PRODAJA!$A:$A,0)),0)</f>
        <v>0</v>
      </c>
      <c r="X538" s="23" t="n">
        <f aca="false">IFERROR(INDEX(PODACI_PRODAJA!G:G,MATCH($A538,PODACI_PRODAJA!$A:$A,0)),0)</f>
        <v>0</v>
      </c>
      <c r="Y538" s="23" t="n">
        <f aca="false">IFERROR(INDEX(PODACI_PRODAJA!H:H,MATCH($A538,PODACI_PRODAJA!$A:$A,0)),0)</f>
        <v>0</v>
      </c>
      <c r="Z538" s="23" t="n">
        <f aca="false">IFERROR(INDEX(PODACI_PRODAJA!I:I,MATCH($A538,PODACI_PRODAJA!$A:$A,0)),0)</f>
        <v>0</v>
      </c>
      <c r="AA538" s="23" t="n">
        <f aca="false">IFERROR(INDEX(PODACI_PRODAJA!J:J,MATCH($A538,PODACI_PRODAJA!$A:$A,0)),0)</f>
        <v>0</v>
      </c>
      <c r="AB538" s="23" t="n">
        <f aca="false">IFERROR(INDEX(PODACI_PRODAJA!K:K,MATCH($A538,PODACI_PRODAJA!$A:$A,0)),0)</f>
        <v>0</v>
      </c>
      <c r="AC538" s="23" t="n">
        <f aca="false">IFERROR(INDEX(PODACI_PRODAJA!L:L,MATCH($A538,PODACI_PRODAJA!$A:$A,0)),0)</f>
        <v>0</v>
      </c>
      <c r="AD538" s="23" t="n">
        <f aca="false">IFERROR(INDEX(PODACI_PRODAJA!M:M,MATCH($A538,PODACI_PRODAJA!$A:$A,0)),0)</f>
        <v>0</v>
      </c>
    </row>
    <row r="539" customFormat="false" ht="15" hidden="false" customHeight="false" outlineLevel="0" collapsed="false">
      <c r="A539" s="11" t="str">
        <f aca="false">PODACI_ZALIHE!A536</f>
        <v>00513</v>
      </c>
      <c r="B539" s="8" t="str">
        <f aca="false">PODACI_ZALIHE!B536</f>
        <v>OGLEDALO GLE45 80x60 cm</v>
      </c>
      <c r="C539" s="9" t="str">
        <f aca="false">PODACI_ZALIHE!C536</f>
        <v>2515</v>
      </c>
      <c r="D539" s="8" t="str">
        <f aca="false">PODACI_ZALIHE!D536</f>
        <v>HANGZHOU ZHUGELAI JINGYI CO., LTD.</v>
      </c>
      <c r="E539" s="19" t="n">
        <f aca="false">IF(PODACI_ZALIHE!E536="","",PODACI_ZALIHE!E536)</f>
        <v>3</v>
      </c>
      <c r="F539" s="20" t="n">
        <f aca="false">PODACI_ZALIHE!F536</f>
        <v>3</v>
      </c>
      <c r="G539" s="19" t="n">
        <f aca="false">IF(E539="","",E539-F539)</f>
        <v>0</v>
      </c>
      <c r="H539" s="9" t="n">
        <f aca="false">PODACI_PRODAJA!N126</f>
        <v>34.63</v>
      </c>
      <c r="I539" s="21" t="n">
        <f aca="false">IF(H539&lt;=0,999,ROUND(F539/H539,1))</f>
        <v>0.1</v>
      </c>
      <c r="J539" s="9" t="n">
        <f aca="false">SUMIFS(ROBA_U_DOLASKU!$C$6:$C$95,ROBA_U_DOLASKU!$A$6:$A$95,A539,ROBA_U_DOLASKU!$H$6:$H$95,1)</f>
        <v>0</v>
      </c>
      <c r="K539" s="9" t="n">
        <f aca="false">SUMIFS(ROBA_U_DOLASKU!$B$6:$B$95,ROBA_U_DOLASKU!$A$6:$A$95,A539,ROBA_U_DOLASKU!$H$6:$H$95,1)</f>
        <v>0</v>
      </c>
      <c r="L539" s="9" t="n">
        <f aca="false">SUMIFS(ROBA_U_DOLASKU!$C$6:$C$95,ROBA_U_DOLASKU!$A$6:$A$95,A539,ROBA_U_DOLASKU!$H$6:$H$95,2)</f>
        <v>0</v>
      </c>
      <c r="M539" s="9" t="n">
        <f aca="false">SUMIFS(ROBA_U_DOLASKU!$B$6:$B$95,ROBA_U_DOLASKU!$A$6:$A$95,A539,ROBA_U_DOLASKU!$H$6:$H$95,2)</f>
        <v>0</v>
      </c>
      <c r="N539" s="9" t="n">
        <f aca="false">SUMIFS(ROBA_U_DOLASKU!$C$6:$C$95,ROBA_U_DOLASKU!$A$6:$A$95,A539,ROBA_U_DOLASKU!$H$6:$H$95,3)</f>
        <v>0</v>
      </c>
      <c r="O539" s="9" t="n">
        <f aca="false">SUMIFS(ROBA_U_DOLASKU!$B$6:$B$95,ROBA_U_DOLASKU!$A$6:$A$95,A539,ROBA_U_DOLASKU!$H$6:$H$95,3)</f>
        <v>0</v>
      </c>
      <c r="P539" s="9" t="n">
        <f aca="false">IF(H539&lt;=0,999,IF(O539&gt;0,ROUND((F539-H539*N539+K539+M539+O539)/H539,1),IF(M539&gt;0,ROUND((F539-H539*L539+K539+M539)/H539,1),IF(K539&gt;0,ROUND((F539-H539*J539+K539)/H539,1),I539))))</f>
        <v>0.1</v>
      </c>
      <c r="Q539" s="22" t="str">
        <f aca="false">IF(H539&lt;=0,"Nema prodaje",IF(AND(K539=0,M539=0,O539=0),IF(I539&lt;POSTAVKE!$B$6,"Naruči odmah","Sve u redu"),IF(F539-H539*J539&lt;0,"Rupa za ~"&amp;TEXT(I539,"0.0")&amp;" mj.",IF(AND(M539&gt;0,F539-H539*L539+K539&lt;0),"Rupa nakon 1. dolaska",IF(AND(O539&gt;0,F539-H539*N539+K539+M539&lt;0),"Rupa nakon 2. dolaska",IF(P539&lt;POSTAVKE!$B$6,"Količina nije dovoljna",IF(I539&gt;=POSTAVKE!$B$6,"Sve u redu","Stiže na vrijeme")))))))</f>
        <v>Naruči odmah</v>
      </c>
      <c r="S539" s="23" t="n">
        <f aca="false">IFERROR(INDEX(PODACI_PRODAJA!B:B,MATCH($A539,PODACI_PRODAJA!$A:$A,0)),0)</f>
        <v>4</v>
      </c>
      <c r="T539" s="23" t="n">
        <f aca="false">IFERROR(INDEX(PODACI_PRODAJA!C:C,MATCH($A539,PODACI_PRODAJA!$A:$A,0)),0)</f>
        <v>125</v>
      </c>
      <c r="U539" s="23" t="n">
        <f aca="false">IFERROR(INDEX(PODACI_PRODAJA!D:D,MATCH($A539,PODACI_PRODAJA!$A:$A,0)),0)</f>
        <v>35</v>
      </c>
      <c r="V539" s="23" t="n">
        <f aca="false">IFERROR(INDEX(PODACI_PRODAJA!E:E,MATCH($A539,PODACI_PRODAJA!$A:$A,0)),0)</f>
        <v>25</v>
      </c>
      <c r="W539" s="23" t="n">
        <f aca="false">IFERROR(INDEX(PODACI_PRODAJA!F:F,MATCH($A539,PODACI_PRODAJA!$A:$A,0)),0)</f>
        <v>30</v>
      </c>
      <c r="X539" s="23" t="n">
        <f aca="false">IFERROR(INDEX(PODACI_PRODAJA!G:G,MATCH($A539,PODACI_PRODAJA!$A:$A,0)),0)</f>
        <v>24</v>
      </c>
      <c r="Y539" s="23" t="n">
        <f aca="false">IFERROR(INDEX(PODACI_PRODAJA!H:H,MATCH($A539,PODACI_PRODAJA!$A:$A,0)),0)</f>
        <v>24</v>
      </c>
      <c r="Z539" s="23" t="n">
        <f aca="false">IFERROR(INDEX(PODACI_PRODAJA!I:I,MATCH($A539,PODACI_PRODAJA!$A:$A,0)),0)</f>
        <v>10</v>
      </c>
      <c r="AA539" s="23" t="n">
        <f aca="false">IFERROR(INDEX(PODACI_PRODAJA!J:J,MATCH($A539,PODACI_PRODAJA!$A:$A,0)),0)</f>
        <v>0</v>
      </c>
      <c r="AB539" s="23" t="n">
        <f aca="false">IFERROR(INDEX(PODACI_PRODAJA!K:K,MATCH($A539,PODACI_PRODAJA!$A:$A,0)),0)</f>
        <v>0</v>
      </c>
      <c r="AC539" s="23" t="n">
        <f aca="false">IFERROR(INDEX(PODACI_PRODAJA!L:L,MATCH($A539,PODACI_PRODAJA!$A:$A,0)),0)</f>
        <v>0</v>
      </c>
      <c r="AD539" s="23" t="n">
        <f aca="false">IFERROR(INDEX(PODACI_PRODAJA!M:M,MATCH($A539,PODACI_PRODAJA!$A:$A,0)),0)</f>
        <v>0</v>
      </c>
    </row>
    <row r="540" customFormat="false" ht="15" hidden="false" customHeight="false" outlineLevel="0" collapsed="false">
      <c r="A540" s="11" t="str">
        <f aca="false">PODACI_ZALIHE!A537</f>
        <v>006261</v>
      </c>
      <c r="B540" s="8" t="str">
        <f aca="false">PODACI_ZALIHE!B537</f>
        <v>TK-A80120-6S TUŠ KABINA 80x120x185cm</v>
      </c>
      <c r="C540" s="9" t="str">
        <f aca="false">PODACI_ZALIHE!C537</f>
        <v>5590</v>
      </c>
      <c r="D540" s="8" t="str">
        <f aca="false">PODACI_ZALIHE!D537</f>
        <v>PINGHU YINUO SANITARY WARE CO.,LTD</v>
      </c>
      <c r="E540" s="19" t="n">
        <f aca="false">IF(PODACI_ZALIHE!E537="","",PODACI_ZALIHE!E537)</f>
        <v>3</v>
      </c>
      <c r="F540" s="20" t="n">
        <f aca="false">PODACI_ZALIHE!F537</f>
        <v>3</v>
      </c>
      <c r="G540" s="19" t="n">
        <f aca="false">IF(E540="","",E540-F540)</f>
        <v>0</v>
      </c>
      <c r="H540" s="9" t="n">
        <f aca="false">PODACI_PRODAJA!N388</f>
        <v>0</v>
      </c>
      <c r="I540" s="21" t="n">
        <f aca="false">IF(H540&lt;=0,999,ROUND(F540/H540,1))</f>
        <v>999</v>
      </c>
      <c r="J540" s="9" t="n">
        <f aca="false">SUMIFS(ROBA_U_DOLASKU!$C$6:$C$95,ROBA_U_DOLASKU!$A$6:$A$95,A540,ROBA_U_DOLASKU!$H$6:$H$95,1)</f>
        <v>0</v>
      </c>
      <c r="K540" s="9" t="n">
        <f aca="false">SUMIFS(ROBA_U_DOLASKU!$B$6:$B$95,ROBA_U_DOLASKU!$A$6:$A$95,A540,ROBA_U_DOLASKU!$H$6:$H$95,1)</f>
        <v>0</v>
      </c>
      <c r="L540" s="9" t="n">
        <f aca="false">SUMIFS(ROBA_U_DOLASKU!$C$6:$C$95,ROBA_U_DOLASKU!$A$6:$A$95,A540,ROBA_U_DOLASKU!$H$6:$H$95,2)</f>
        <v>0</v>
      </c>
      <c r="M540" s="9" t="n">
        <f aca="false">SUMIFS(ROBA_U_DOLASKU!$B$6:$B$95,ROBA_U_DOLASKU!$A$6:$A$95,A540,ROBA_U_DOLASKU!$H$6:$H$95,2)</f>
        <v>0</v>
      </c>
      <c r="N540" s="9" t="n">
        <f aca="false">SUMIFS(ROBA_U_DOLASKU!$C$6:$C$95,ROBA_U_DOLASKU!$A$6:$A$95,A540,ROBA_U_DOLASKU!$H$6:$H$95,3)</f>
        <v>0</v>
      </c>
      <c r="O540" s="9" t="n">
        <f aca="false">SUMIFS(ROBA_U_DOLASKU!$B$6:$B$95,ROBA_U_DOLASKU!$A$6:$A$95,A540,ROBA_U_DOLASKU!$H$6:$H$95,3)</f>
        <v>0</v>
      </c>
      <c r="P540" s="9" t="n">
        <f aca="false">IF(H540&lt;=0,999,IF(O540&gt;0,ROUND((F540-H540*N540+K540+M540+O540)/H540,1),IF(M540&gt;0,ROUND((F540-H540*L540+K540+M540)/H540,1),IF(K540&gt;0,ROUND((F540-H540*J540+K540)/H540,1),I540))))</f>
        <v>999</v>
      </c>
      <c r="Q540" s="22" t="str">
        <f aca="false">IF(H540&lt;=0,"Nema prodaje",IF(AND(K540=0,M540=0,O540=0),IF(I540&lt;POSTAVKE!$B$6,"Naruči odmah","Sve u redu"),IF(F540-H540*J540&lt;0,"Rupa za ~"&amp;TEXT(I540,"0.0")&amp;" mj.",IF(AND(M540&gt;0,F540-H540*L540+K540&lt;0),"Rupa nakon 1. dolaska",IF(AND(O540&gt;0,F540-H540*N540+K540+M540&lt;0),"Rupa nakon 2. dolaska",IF(P540&lt;POSTAVKE!$B$6,"Količina nije dovoljna",IF(I540&gt;=POSTAVKE!$B$6,"Sve u redu","Stiže na vrijeme")))))))</f>
        <v>Nema prodaje</v>
      </c>
      <c r="S540" s="23" t="n">
        <f aca="false">IFERROR(INDEX(PODACI_PRODAJA!B:B,MATCH($A540,PODACI_PRODAJA!$A:$A,0)),0)</f>
        <v>0</v>
      </c>
      <c r="T540" s="23" t="n">
        <f aca="false">IFERROR(INDEX(PODACI_PRODAJA!C:C,MATCH($A540,PODACI_PRODAJA!$A:$A,0)),0)</f>
        <v>0</v>
      </c>
      <c r="U540" s="23" t="n">
        <f aca="false">IFERROR(INDEX(PODACI_PRODAJA!D:D,MATCH($A540,PODACI_PRODAJA!$A:$A,0)),0)</f>
        <v>0</v>
      </c>
      <c r="V540" s="23" t="n">
        <f aca="false">IFERROR(INDEX(PODACI_PRODAJA!E:E,MATCH($A540,PODACI_PRODAJA!$A:$A,0)),0)</f>
        <v>0</v>
      </c>
      <c r="W540" s="23" t="n">
        <f aca="false">IFERROR(INDEX(PODACI_PRODAJA!F:F,MATCH($A540,PODACI_PRODAJA!$A:$A,0)),0)</f>
        <v>0</v>
      </c>
      <c r="X540" s="23" t="n">
        <f aca="false">IFERROR(INDEX(PODACI_PRODAJA!G:G,MATCH($A540,PODACI_PRODAJA!$A:$A,0)),0)</f>
        <v>0</v>
      </c>
      <c r="Y540" s="23" t="n">
        <f aca="false">IFERROR(INDEX(PODACI_PRODAJA!H:H,MATCH($A540,PODACI_PRODAJA!$A:$A,0)),0)</f>
        <v>0</v>
      </c>
      <c r="Z540" s="23" t="n">
        <f aca="false">IFERROR(INDEX(PODACI_PRODAJA!I:I,MATCH($A540,PODACI_PRODAJA!$A:$A,0)),0)</f>
        <v>0</v>
      </c>
      <c r="AA540" s="23" t="n">
        <f aca="false">IFERROR(INDEX(PODACI_PRODAJA!J:J,MATCH($A540,PODACI_PRODAJA!$A:$A,0)),0)</f>
        <v>0</v>
      </c>
      <c r="AB540" s="23" t="n">
        <f aca="false">IFERROR(INDEX(PODACI_PRODAJA!K:K,MATCH($A540,PODACI_PRODAJA!$A:$A,0)),0)</f>
        <v>0</v>
      </c>
      <c r="AC540" s="23" t="n">
        <f aca="false">IFERROR(INDEX(PODACI_PRODAJA!L:L,MATCH($A540,PODACI_PRODAJA!$A:$A,0)),0)</f>
        <v>0</v>
      </c>
      <c r="AD540" s="23" t="n">
        <f aca="false">IFERROR(INDEX(PODACI_PRODAJA!M:M,MATCH($A540,PODACI_PRODAJA!$A:$A,0)),0)</f>
        <v>0</v>
      </c>
    </row>
    <row r="541" customFormat="false" ht="15" hidden="false" customHeight="false" outlineLevel="0" collapsed="false">
      <c r="A541" s="11" t="str">
        <f aca="false">PODACI_ZALIHE!A538</f>
        <v>1578800</v>
      </c>
      <c r="B541" s="8" t="str">
        <f aca="false">PODACI_ZALIHE!B538</f>
        <v>BOLD S CRNA 90120 MINERALSOLID TUŠ KADA 900x1200x30 mm</v>
      </c>
      <c r="C541" s="9" t="str">
        <f aca="false">PODACI_ZALIHE!C538</f>
        <v>5140</v>
      </c>
      <c r="D541" s="8" t="str">
        <f aca="false">PODACI_ZALIHE!D538</f>
        <v>GUANGDONG OCEAN SANITARY WARE CO., LTD.</v>
      </c>
      <c r="E541" s="19" t="n">
        <f aca="false">IF(PODACI_ZALIHE!E538="","",PODACI_ZALIHE!E538)</f>
        <v>3</v>
      </c>
      <c r="F541" s="20" t="n">
        <f aca="false">PODACI_ZALIHE!F538</f>
        <v>3</v>
      </c>
      <c r="G541" s="19" t="n">
        <f aca="false">IF(E541="","",E541-F541)</f>
        <v>0</v>
      </c>
      <c r="H541" s="9" t="n">
        <f aca="false">PODACI_PRODAJA!N530</f>
        <v>0.13</v>
      </c>
      <c r="I541" s="21" t="n">
        <f aca="false">IF(H541&lt;=0,999,ROUND(F541/H541,1))</f>
        <v>23.1</v>
      </c>
      <c r="J541" s="9" t="n">
        <f aca="false">SUMIFS(ROBA_U_DOLASKU!$C$6:$C$95,ROBA_U_DOLASKU!$A$6:$A$95,A541,ROBA_U_DOLASKU!$H$6:$H$95,1)</f>
        <v>0</v>
      </c>
      <c r="K541" s="9" t="n">
        <f aca="false">SUMIFS(ROBA_U_DOLASKU!$B$6:$B$95,ROBA_U_DOLASKU!$A$6:$A$95,A541,ROBA_U_DOLASKU!$H$6:$H$95,1)</f>
        <v>0</v>
      </c>
      <c r="L541" s="9" t="n">
        <f aca="false">SUMIFS(ROBA_U_DOLASKU!$C$6:$C$95,ROBA_U_DOLASKU!$A$6:$A$95,A541,ROBA_U_DOLASKU!$H$6:$H$95,2)</f>
        <v>0</v>
      </c>
      <c r="M541" s="9" t="n">
        <f aca="false">SUMIFS(ROBA_U_DOLASKU!$B$6:$B$95,ROBA_U_DOLASKU!$A$6:$A$95,A541,ROBA_U_DOLASKU!$H$6:$H$95,2)</f>
        <v>0</v>
      </c>
      <c r="N541" s="9" t="n">
        <f aca="false">SUMIFS(ROBA_U_DOLASKU!$C$6:$C$95,ROBA_U_DOLASKU!$A$6:$A$95,A541,ROBA_U_DOLASKU!$H$6:$H$95,3)</f>
        <v>0</v>
      </c>
      <c r="O541" s="9" t="n">
        <f aca="false">SUMIFS(ROBA_U_DOLASKU!$B$6:$B$95,ROBA_U_DOLASKU!$A$6:$A$95,A541,ROBA_U_DOLASKU!$H$6:$H$95,3)</f>
        <v>0</v>
      </c>
      <c r="P541" s="9" t="n">
        <f aca="false">IF(H541&lt;=0,999,IF(O541&gt;0,ROUND((F541-H541*N541+K541+M541+O541)/H541,1),IF(M541&gt;0,ROUND((F541-H541*L541+K541+M541)/H541,1),IF(K541&gt;0,ROUND((F541-H541*J541+K541)/H541,1),I541))))</f>
        <v>23.1</v>
      </c>
      <c r="Q541" s="22" t="str">
        <f aca="false">IF(H541&lt;=0,"Nema prodaje",IF(AND(K541=0,M541=0,O541=0),IF(I541&lt;POSTAVKE!$B$6,"Naruči odmah","Sve u redu"),IF(F541-H541*J541&lt;0,"Rupa za ~"&amp;TEXT(I541,"0.0")&amp;" mj.",IF(AND(M541&gt;0,F541-H541*L541+K541&lt;0),"Rupa nakon 1. dolaska",IF(AND(O541&gt;0,F541-H541*N541+K541+M541&lt;0),"Rupa nakon 2. dolaska",IF(P541&lt;POSTAVKE!$B$6,"Količina nije dovoljna",IF(I541&gt;=POSTAVKE!$B$6,"Sve u redu","Stiže na vrijeme")))))))</f>
        <v>Sve u redu</v>
      </c>
      <c r="S541" s="23" t="n">
        <f aca="false">IFERROR(INDEX(PODACI_PRODAJA!B:B,MATCH($A541,PODACI_PRODAJA!$A:$A,0)),0)</f>
        <v>0</v>
      </c>
      <c r="T541" s="23" t="n">
        <f aca="false">IFERROR(INDEX(PODACI_PRODAJA!C:C,MATCH($A541,PODACI_PRODAJA!$A:$A,0)),0)</f>
        <v>0</v>
      </c>
      <c r="U541" s="23" t="n">
        <f aca="false">IFERROR(INDEX(PODACI_PRODAJA!D:D,MATCH($A541,PODACI_PRODAJA!$A:$A,0)),0)</f>
        <v>0</v>
      </c>
      <c r="V541" s="23" t="n">
        <f aca="false">IFERROR(INDEX(PODACI_PRODAJA!E:E,MATCH($A541,PODACI_PRODAJA!$A:$A,0)),0)</f>
        <v>0</v>
      </c>
      <c r="W541" s="23" t="n">
        <f aca="false">IFERROR(INDEX(PODACI_PRODAJA!F:F,MATCH($A541,PODACI_PRODAJA!$A:$A,0)),0)</f>
        <v>0</v>
      </c>
      <c r="X541" s="23" t="n">
        <f aca="false">IFERROR(INDEX(PODACI_PRODAJA!G:G,MATCH($A541,PODACI_PRODAJA!$A:$A,0)),0)</f>
        <v>1</v>
      </c>
      <c r="Y541" s="23" t="n">
        <f aca="false">IFERROR(INDEX(PODACI_PRODAJA!H:H,MATCH($A541,PODACI_PRODAJA!$A:$A,0)),0)</f>
        <v>0</v>
      </c>
      <c r="Z541" s="23" t="n">
        <f aca="false">IFERROR(INDEX(PODACI_PRODAJA!I:I,MATCH($A541,PODACI_PRODAJA!$A:$A,0)),0)</f>
        <v>0</v>
      </c>
      <c r="AA541" s="23" t="n">
        <f aca="false">IFERROR(INDEX(PODACI_PRODAJA!J:J,MATCH($A541,PODACI_PRODAJA!$A:$A,0)),0)</f>
        <v>0</v>
      </c>
      <c r="AB541" s="23" t="n">
        <f aca="false">IFERROR(INDEX(PODACI_PRODAJA!K:K,MATCH($A541,PODACI_PRODAJA!$A:$A,0)),0)</f>
        <v>0</v>
      </c>
      <c r="AC541" s="23" t="n">
        <f aca="false">IFERROR(INDEX(PODACI_PRODAJA!L:L,MATCH($A541,PODACI_PRODAJA!$A:$A,0)),0)</f>
        <v>0</v>
      </c>
      <c r="AD541" s="23" t="n">
        <f aca="false">IFERROR(INDEX(PODACI_PRODAJA!M:M,MATCH($A541,PODACI_PRODAJA!$A:$A,0)),0)</f>
        <v>0</v>
      </c>
    </row>
    <row r="542" customFormat="false" ht="15" hidden="false" customHeight="false" outlineLevel="0" collapsed="false">
      <c r="A542" s="11" t="str">
        <f aca="false">PODACI_ZALIHE!A539</f>
        <v>17262</v>
      </c>
      <c r="B542" s="8" t="str">
        <f aca="false">PODACI_ZALIHE!B539</f>
        <v>S PARLA SIDE 90 BLACK 90X195 cm STAKLENA STRANICA</v>
      </c>
      <c r="C542" s="9" t="str">
        <f aca="false">PODACI_ZALIHE!C539</f>
        <v>6762</v>
      </c>
      <c r="D542" s="8" t="str">
        <f aca="false">PODACI_ZALIHE!D539</f>
        <v>ZHEJIANG QUICKLINE SHOWERING CO., LTD.</v>
      </c>
      <c r="E542" s="19" t="n">
        <f aca="false">IF(PODACI_ZALIHE!E539="","",PODACI_ZALIHE!E539)</f>
        <v>3</v>
      </c>
      <c r="F542" s="20" t="n">
        <f aca="false">PODACI_ZALIHE!F539</f>
        <v>3</v>
      </c>
      <c r="G542" s="19" t="n">
        <f aca="false">IF(E542="","",E542-F542)</f>
        <v>0</v>
      </c>
      <c r="H542" s="9" t="n">
        <f aca="false">PODACI_PRODAJA!N634</f>
        <v>0.13</v>
      </c>
      <c r="I542" s="21" t="n">
        <f aca="false">IF(H542&lt;=0,999,ROUND(F542/H542,1))</f>
        <v>23.1</v>
      </c>
      <c r="J542" s="9" t="n">
        <f aca="false">SUMIFS(ROBA_U_DOLASKU!$C$6:$C$95,ROBA_U_DOLASKU!$A$6:$A$95,A542,ROBA_U_DOLASKU!$H$6:$H$95,1)</f>
        <v>0</v>
      </c>
      <c r="K542" s="9" t="n">
        <f aca="false">SUMIFS(ROBA_U_DOLASKU!$B$6:$B$95,ROBA_U_DOLASKU!$A$6:$A$95,A542,ROBA_U_DOLASKU!$H$6:$H$95,1)</f>
        <v>0</v>
      </c>
      <c r="L542" s="9" t="n">
        <f aca="false">SUMIFS(ROBA_U_DOLASKU!$C$6:$C$95,ROBA_U_DOLASKU!$A$6:$A$95,A542,ROBA_U_DOLASKU!$H$6:$H$95,2)</f>
        <v>0</v>
      </c>
      <c r="M542" s="9" t="n">
        <f aca="false">SUMIFS(ROBA_U_DOLASKU!$B$6:$B$95,ROBA_U_DOLASKU!$A$6:$A$95,A542,ROBA_U_DOLASKU!$H$6:$H$95,2)</f>
        <v>0</v>
      </c>
      <c r="N542" s="9" t="n">
        <f aca="false">SUMIFS(ROBA_U_DOLASKU!$C$6:$C$95,ROBA_U_DOLASKU!$A$6:$A$95,A542,ROBA_U_DOLASKU!$H$6:$H$95,3)</f>
        <v>0</v>
      </c>
      <c r="O542" s="9" t="n">
        <f aca="false">SUMIFS(ROBA_U_DOLASKU!$B$6:$B$95,ROBA_U_DOLASKU!$A$6:$A$95,A542,ROBA_U_DOLASKU!$H$6:$H$95,3)</f>
        <v>0</v>
      </c>
      <c r="P542" s="9" t="n">
        <f aca="false">IF(H542&lt;=0,999,IF(O542&gt;0,ROUND((F542-H542*N542+K542+M542+O542)/H542,1),IF(M542&gt;0,ROUND((F542-H542*L542+K542+M542)/H542,1),IF(K542&gt;0,ROUND((F542-H542*J542+K542)/H542,1),I542))))</f>
        <v>23.1</v>
      </c>
      <c r="Q542" s="22" t="str">
        <f aca="false">IF(H542&lt;=0,"Nema prodaje",IF(AND(K542=0,M542=0,O542=0),IF(I542&lt;POSTAVKE!$B$6,"Naruči odmah","Sve u redu"),IF(F542-H542*J542&lt;0,"Rupa za ~"&amp;TEXT(I542,"0.0")&amp;" mj.",IF(AND(M542&gt;0,F542-H542*L542+K542&lt;0),"Rupa nakon 1. dolaska",IF(AND(O542&gt;0,F542-H542*N542+K542+M542&lt;0),"Rupa nakon 2. dolaska",IF(P542&lt;POSTAVKE!$B$6,"Količina nije dovoljna",IF(I542&gt;=POSTAVKE!$B$6,"Sve u redu","Stiže na vrijeme")))))))</f>
        <v>Sve u redu</v>
      </c>
      <c r="S542" s="23" t="n">
        <f aca="false">IFERROR(INDEX(PODACI_PRODAJA!B:B,MATCH($A542,PODACI_PRODAJA!$A:$A,0)),0)</f>
        <v>0</v>
      </c>
      <c r="T542" s="23" t="n">
        <f aca="false">IFERROR(INDEX(PODACI_PRODAJA!C:C,MATCH($A542,PODACI_PRODAJA!$A:$A,0)),0)</f>
        <v>0</v>
      </c>
      <c r="U542" s="23" t="n">
        <f aca="false">IFERROR(INDEX(PODACI_PRODAJA!D:D,MATCH($A542,PODACI_PRODAJA!$A:$A,0)),0)</f>
        <v>0</v>
      </c>
      <c r="V542" s="23" t="n">
        <f aca="false">IFERROR(INDEX(PODACI_PRODAJA!E:E,MATCH($A542,PODACI_PRODAJA!$A:$A,0)),0)</f>
        <v>0</v>
      </c>
      <c r="W542" s="23" t="n">
        <f aca="false">IFERROR(INDEX(PODACI_PRODAJA!F:F,MATCH($A542,PODACI_PRODAJA!$A:$A,0)),0)</f>
        <v>0</v>
      </c>
      <c r="X542" s="23" t="n">
        <f aca="false">IFERROR(INDEX(PODACI_PRODAJA!G:G,MATCH($A542,PODACI_PRODAJA!$A:$A,0)),0)</f>
        <v>0</v>
      </c>
      <c r="Y542" s="23" t="n">
        <f aca="false">IFERROR(INDEX(PODACI_PRODAJA!H:H,MATCH($A542,PODACI_PRODAJA!$A:$A,0)),0)</f>
        <v>0</v>
      </c>
      <c r="Z542" s="23" t="n">
        <f aca="false">IFERROR(INDEX(PODACI_PRODAJA!I:I,MATCH($A542,PODACI_PRODAJA!$A:$A,0)),0)</f>
        <v>1</v>
      </c>
      <c r="AA542" s="23" t="n">
        <f aca="false">IFERROR(INDEX(PODACI_PRODAJA!J:J,MATCH($A542,PODACI_PRODAJA!$A:$A,0)),0)</f>
        <v>0</v>
      </c>
      <c r="AB542" s="23" t="n">
        <f aca="false">IFERROR(INDEX(PODACI_PRODAJA!K:K,MATCH($A542,PODACI_PRODAJA!$A:$A,0)),0)</f>
        <v>0</v>
      </c>
      <c r="AC542" s="23" t="n">
        <f aca="false">IFERROR(INDEX(PODACI_PRODAJA!L:L,MATCH($A542,PODACI_PRODAJA!$A:$A,0)),0)</f>
        <v>0</v>
      </c>
      <c r="AD542" s="23" t="n">
        <f aca="false">IFERROR(INDEX(PODACI_PRODAJA!M:M,MATCH($A542,PODACI_PRODAJA!$A:$A,0)),0)</f>
        <v>0</v>
      </c>
    </row>
    <row r="543" customFormat="false" ht="15" hidden="false" customHeight="false" outlineLevel="0" collapsed="false">
      <c r="A543" s="11" t="str">
        <f aca="false">PODACI_ZALIHE!A540</f>
        <v>261612433</v>
      </c>
      <c r="B543" s="8" t="str">
        <f aca="false">PODACI_ZALIHE!B540</f>
        <v>GROHE TEMPESTA 110 TUŠ SLUŠALICA, 2 MLAZA, CRNA</v>
      </c>
      <c r="C543" s="9" t="str">
        <f aca="false">PODACI_ZALIHE!C540</f>
        <v>4499</v>
      </c>
      <c r="D543" s="8" t="str">
        <f aca="false">PODACI_ZALIHE!D540</f>
        <v>THS D.O.O.</v>
      </c>
      <c r="E543" s="19" t="n">
        <f aca="false">IF(PODACI_ZALIHE!E540="","",PODACI_ZALIHE!E540)</f>
        <v>4</v>
      </c>
      <c r="F543" s="20" t="n">
        <f aca="false">PODACI_ZALIHE!F540</f>
        <v>3</v>
      </c>
      <c r="G543" s="19" t="n">
        <f aca="false">IF(E543="","",E543-F543)</f>
        <v>1</v>
      </c>
      <c r="H543" s="9" t="n">
        <f aca="false">PODACI_PRODAJA!N736</f>
        <v>0</v>
      </c>
      <c r="I543" s="21" t="n">
        <f aca="false">IF(H543&lt;=0,999,ROUND(F543/H543,1))</f>
        <v>999</v>
      </c>
      <c r="J543" s="9" t="n">
        <f aca="false">SUMIFS(ROBA_U_DOLASKU!$C$6:$C$95,ROBA_U_DOLASKU!$A$6:$A$95,A543,ROBA_U_DOLASKU!$H$6:$H$95,1)</f>
        <v>0</v>
      </c>
      <c r="K543" s="9" t="n">
        <f aca="false">SUMIFS(ROBA_U_DOLASKU!$B$6:$B$95,ROBA_U_DOLASKU!$A$6:$A$95,A543,ROBA_U_DOLASKU!$H$6:$H$95,1)</f>
        <v>0</v>
      </c>
      <c r="L543" s="9" t="n">
        <f aca="false">SUMIFS(ROBA_U_DOLASKU!$C$6:$C$95,ROBA_U_DOLASKU!$A$6:$A$95,A543,ROBA_U_DOLASKU!$H$6:$H$95,2)</f>
        <v>0</v>
      </c>
      <c r="M543" s="9" t="n">
        <f aca="false">SUMIFS(ROBA_U_DOLASKU!$B$6:$B$95,ROBA_U_DOLASKU!$A$6:$A$95,A543,ROBA_U_DOLASKU!$H$6:$H$95,2)</f>
        <v>0</v>
      </c>
      <c r="N543" s="9" t="n">
        <f aca="false">SUMIFS(ROBA_U_DOLASKU!$C$6:$C$95,ROBA_U_DOLASKU!$A$6:$A$95,A543,ROBA_U_DOLASKU!$H$6:$H$95,3)</f>
        <v>0</v>
      </c>
      <c r="O543" s="9" t="n">
        <f aca="false">SUMIFS(ROBA_U_DOLASKU!$B$6:$B$95,ROBA_U_DOLASKU!$A$6:$A$95,A543,ROBA_U_DOLASKU!$H$6:$H$95,3)</f>
        <v>0</v>
      </c>
      <c r="P543" s="9" t="n">
        <f aca="false">IF(H543&lt;=0,999,IF(O543&gt;0,ROUND((F543-H543*N543+K543+M543+O543)/H543,1),IF(M543&gt;0,ROUND((F543-H543*L543+K543+M543)/H543,1),IF(K543&gt;0,ROUND((F543-H543*J543+K543)/H543,1),I543))))</f>
        <v>999</v>
      </c>
      <c r="Q543" s="22" t="str">
        <f aca="false">IF(H543&lt;=0,"Nema prodaje",IF(AND(K543=0,M543=0,O543=0),IF(I543&lt;POSTAVKE!$B$6,"Naruči odmah","Sve u redu"),IF(F543-H543*J543&lt;0,"Rupa za ~"&amp;TEXT(I543,"0.0")&amp;" mj.",IF(AND(M543&gt;0,F543-H543*L543+K543&lt;0),"Rupa nakon 1. dolaska",IF(AND(O543&gt;0,F543-H543*N543+K543+M543&lt;0),"Rupa nakon 2. dolaska",IF(P543&lt;POSTAVKE!$B$6,"Količina nije dovoljna",IF(I543&gt;=POSTAVKE!$B$6,"Sve u redu","Stiže na vrijeme")))))))</f>
        <v>Nema prodaje</v>
      </c>
      <c r="S543" s="23" t="n">
        <f aca="false">IFERROR(INDEX(PODACI_PRODAJA!B:B,MATCH($A543,PODACI_PRODAJA!$A:$A,0)),0)</f>
        <v>0</v>
      </c>
      <c r="T543" s="23" t="n">
        <f aca="false">IFERROR(INDEX(PODACI_PRODAJA!C:C,MATCH($A543,PODACI_PRODAJA!$A:$A,0)),0)</f>
        <v>0</v>
      </c>
      <c r="U543" s="23" t="n">
        <f aca="false">IFERROR(INDEX(PODACI_PRODAJA!D:D,MATCH($A543,PODACI_PRODAJA!$A:$A,0)),0)</f>
        <v>0</v>
      </c>
      <c r="V543" s="23" t="n">
        <f aca="false">IFERROR(INDEX(PODACI_PRODAJA!E:E,MATCH($A543,PODACI_PRODAJA!$A:$A,0)),0)</f>
        <v>0</v>
      </c>
      <c r="W543" s="23" t="n">
        <f aca="false">IFERROR(INDEX(PODACI_PRODAJA!F:F,MATCH($A543,PODACI_PRODAJA!$A:$A,0)),0)</f>
        <v>0</v>
      </c>
      <c r="X543" s="23" t="n">
        <f aca="false">IFERROR(INDEX(PODACI_PRODAJA!G:G,MATCH($A543,PODACI_PRODAJA!$A:$A,0)),0)</f>
        <v>0</v>
      </c>
      <c r="Y543" s="23" t="n">
        <f aca="false">IFERROR(INDEX(PODACI_PRODAJA!H:H,MATCH($A543,PODACI_PRODAJA!$A:$A,0)),0)</f>
        <v>0</v>
      </c>
      <c r="Z543" s="23" t="n">
        <f aca="false">IFERROR(INDEX(PODACI_PRODAJA!I:I,MATCH($A543,PODACI_PRODAJA!$A:$A,0)),0)</f>
        <v>0</v>
      </c>
      <c r="AA543" s="23" t="n">
        <f aca="false">IFERROR(INDEX(PODACI_PRODAJA!J:J,MATCH($A543,PODACI_PRODAJA!$A:$A,0)),0)</f>
        <v>0</v>
      </c>
      <c r="AB543" s="23" t="n">
        <f aca="false">IFERROR(INDEX(PODACI_PRODAJA!K:K,MATCH($A543,PODACI_PRODAJA!$A:$A,0)),0)</f>
        <v>0</v>
      </c>
      <c r="AC543" s="23" t="n">
        <f aca="false">IFERROR(INDEX(PODACI_PRODAJA!L:L,MATCH($A543,PODACI_PRODAJA!$A:$A,0)),0)</f>
        <v>0</v>
      </c>
      <c r="AD543" s="23" t="n">
        <f aca="false">IFERROR(INDEX(PODACI_PRODAJA!M:M,MATCH($A543,PODACI_PRODAJA!$A:$A,0)),0)</f>
        <v>0</v>
      </c>
    </row>
    <row r="544" customFormat="false" ht="15" hidden="false" customHeight="false" outlineLevel="0" collapsed="false">
      <c r="A544" s="11" t="str">
        <f aca="false">PODACI_ZALIHE!A541</f>
        <v>261622433</v>
      </c>
      <c r="B544" s="8" t="str">
        <f aca="false">PODACI_ZALIHE!B541</f>
        <v>GROHE TEMPESTA 110 TUŠ SISTEM, VODILICA + TUŠ SLUŠALICA, 2 MLAZA, CRNA</v>
      </c>
      <c r="C544" s="9" t="str">
        <f aca="false">PODACI_ZALIHE!C541</f>
        <v>4499</v>
      </c>
      <c r="D544" s="8" t="str">
        <f aca="false">PODACI_ZALIHE!D541</f>
        <v>THS D.O.O.</v>
      </c>
      <c r="E544" s="19" t="n">
        <f aca="false">IF(PODACI_ZALIHE!E541="","",PODACI_ZALIHE!E541)</f>
        <v>4</v>
      </c>
      <c r="F544" s="20" t="n">
        <f aca="false">PODACI_ZALIHE!F541</f>
        <v>3</v>
      </c>
      <c r="G544" s="19" t="n">
        <f aca="false">IF(E544="","",E544-F544)</f>
        <v>1</v>
      </c>
      <c r="H544" s="9" t="n">
        <f aca="false">PODACI_PRODAJA!N738</f>
        <v>0</v>
      </c>
      <c r="I544" s="21" t="n">
        <f aca="false">IF(H544&lt;=0,999,ROUND(F544/H544,1))</f>
        <v>999</v>
      </c>
      <c r="J544" s="9" t="n">
        <f aca="false">SUMIFS(ROBA_U_DOLASKU!$C$6:$C$95,ROBA_U_DOLASKU!$A$6:$A$95,A544,ROBA_U_DOLASKU!$H$6:$H$95,1)</f>
        <v>0</v>
      </c>
      <c r="K544" s="9" t="n">
        <f aca="false">SUMIFS(ROBA_U_DOLASKU!$B$6:$B$95,ROBA_U_DOLASKU!$A$6:$A$95,A544,ROBA_U_DOLASKU!$H$6:$H$95,1)</f>
        <v>0</v>
      </c>
      <c r="L544" s="9" t="n">
        <f aca="false">SUMIFS(ROBA_U_DOLASKU!$C$6:$C$95,ROBA_U_DOLASKU!$A$6:$A$95,A544,ROBA_U_DOLASKU!$H$6:$H$95,2)</f>
        <v>0</v>
      </c>
      <c r="M544" s="9" t="n">
        <f aca="false">SUMIFS(ROBA_U_DOLASKU!$B$6:$B$95,ROBA_U_DOLASKU!$A$6:$A$95,A544,ROBA_U_DOLASKU!$H$6:$H$95,2)</f>
        <v>0</v>
      </c>
      <c r="N544" s="9" t="n">
        <f aca="false">SUMIFS(ROBA_U_DOLASKU!$C$6:$C$95,ROBA_U_DOLASKU!$A$6:$A$95,A544,ROBA_U_DOLASKU!$H$6:$H$95,3)</f>
        <v>0</v>
      </c>
      <c r="O544" s="9" t="n">
        <f aca="false">SUMIFS(ROBA_U_DOLASKU!$B$6:$B$95,ROBA_U_DOLASKU!$A$6:$A$95,A544,ROBA_U_DOLASKU!$H$6:$H$95,3)</f>
        <v>0</v>
      </c>
      <c r="P544" s="9" t="n">
        <f aca="false">IF(H544&lt;=0,999,IF(O544&gt;0,ROUND((F544-H544*N544+K544+M544+O544)/H544,1),IF(M544&gt;0,ROUND((F544-H544*L544+K544+M544)/H544,1),IF(K544&gt;0,ROUND((F544-H544*J544+K544)/H544,1),I544))))</f>
        <v>999</v>
      </c>
      <c r="Q544" s="22" t="str">
        <f aca="false">IF(H544&lt;=0,"Nema prodaje",IF(AND(K544=0,M544=0,O544=0),IF(I544&lt;POSTAVKE!$B$6,"Naruči odmah","Sve u redu"),IF(F544-H544*J544&lt;0,"Rupa za ~"&amp;TEXT(I544,"0.0")&amp;" mj.",IF(AND(M544&gt;0,F544-H544*L544+K544&lt;0),"Rupa nakon 1. dolaska",IF(AND(O544&gt;0,F544-H544*N544+K544+M544&lt;0),"Rupa nakon 2. dolaska",IF(P544&lt;POSTAVKE!$B$6,"Količina nije dovoljna",IF(I544&gt;=POSTAVKE!$B$6,"Sve u redu","Stiže na vrijeme")))))))</f>
        <v>Nema prodaje</v>
      </c>
      <c r="S544" s="23" t="n">
        <f aca="false">IFERROR(INDEX(PODACI_PRODAJA!B:B,MATCH($A544,PODACI_PRODAJA!$A:$A,0)),0)</f>
        <v>0</v>
      </c>
      <c r="T544" s="23" t="n">
        <f aca="false">IFERROR(INDEX(PODACI_PRODAJA!C:C,MATCH($A544,PODACI_PRODAJA!$A:$A,0)),0)</f>
        <v>0</v>
      </c>
      <c r="U544" s="23" t="n">
        <f aca="false">IFERROR(INDEX(PODACI_PRODAJA!D:D,MATCH($A544,PODACI_PRODAJA!$A:$A,0)),0)</f>
        <v>0</v>
      </c>
      <c r="V544" s="23" t="n">
        <f aca="false">IFERROR(INDEX(PODACI_PRODAJA!E:E,MATCH($A544,PODACI_PRODAJA!$A:$A,0)),0)</f>
        <v>0</v>
      </c>
      <c r="W544" s="23" t="n">
        <f aca="false">IFERROR(INDEX(PODACI_PRODAJA!F:F,MATCH($A544,PODACI_PRODAJA!$A:$A,0)),0)</f>
        <v>0</v>
      </c>
      <c r="X544" s="23" t="n">
        <f aca="false">IFERROR(INDEX(PODACI_PRODAJA!G:G,MATCH($A544,PODACI_PRODAJA!$A:$A,0)),0)</f>
        <v>0</v>
      </c>
      <c r="Y544" s="23" t="n">
        <f aca="false">IFERROR(INDEX(PODACI_PRODAJA!H:H,MATCH($A544,PODACI_PRODAJA!$A:$A,0)),0)</f>
        <v>0</v>
      </c>
      <c r="Z544" s="23" t="n">
        <f aca="false">IFERROR(INDEX(PODACI_PRODAJA!I:I,MATCH($A544,PODACI_PRODAJA!$A:$A,0)),0)</f>
        <v>0</v>
      </c>
      <c r="AA544" s="23" t="n">
        <f aca="false">IFERROR(INDEX(PODACI_PRODAJA!J:J,MATCH($A544,PODACI_PRODAJA!$A:$A,0)),0)</f>
        <v>0</v>
      </c>
      <c r="AB544" s="23" t="n">
        <f aca="false">IFERROR(INDEX(PODACI_PRODAJA!K:K,MATCH($A544,PODACI_PRODAJA!$A:$A,0)),0)</f>
        <v>0</v>
      </c>
      <c r="AC544" s="23" t="n">
        <f aca="false">IFERROR(INDEX(PODACI_PRODAJA!L:L,MATCH($A544,PODACI_PRODAJA!$A:$A,0)),0)</f>
        <v>0</v>
      </c>
      <c r="AD544" s="23" t="n">
        <f aca="false">IFERROR(INDEX(PODACI_PRODAJA!M:M,MATCH($A544,PODACI_PRODAJA!$A:$A,0)),0)</f>
        <v>0</v>
      </c>
    </row>
    <row r="545" customFormat="false" ht="15" hidden="false" customHeight="false" outlineLevel="0" collapsed="false">
      <c r="A545" s="11" t="str">
        <f aca="false">PODACI_ZALIHE!A542</f>
        <v>26748003</v>
      </c>
      <c r="B545" s="8" t="str">
        <f aca="false">PODACI_ZALIHE!B542</f>
        <v>GROHE TEMPESTA 110 CUBE TUŠ SISTEM, VODILICA + TUŠ SLUŠALICA, 2 MLAZA, KROM</v>
      </c>
      <c r="C545" s="9" t="str">
        <f aca="false">PODACI_ZALIHE!C542</f>
        <v>4499</v>
      </c>
      <c r="D545" s="8" t="str">
        <f aca="false">PODACI_ZALIHE!D542</f>
        <v>THS D.O.O.</v>
      </c>
      <c r="E545" s="19" t="n">
        <f aca="false">IF(PODACI_ZALIHE!E542="","",PODACI_ZALIHE!E542)</f>
        <v>4</v>
      </c>
      <c r="F545" s="20" t="n">
        <f aca="false">PODACI_ZALIHE!F542</f>
        <v>3</v>
      </c>
      <c r="G545" s="19" t="n">
        <f aca="false">IF(E545="","",E545-F545)</f>
        <v>1</v>
      </c>
      <c r="H545" s="9" t="n">
        <f aca="false">PODACI_PRODAJA!N744</f>
        <v>0</v>
      </c>
      <c r="I545" s="21" t="n">
        <f aca="false">IF(H545&lt;=0,999,ROUND(F545/H545,1))</f>
        <v>999</v>
      </c>
      <c r="J545" s="9" t="n">
        <f aca="false">SUMIFS(ROBA_U_DOLASKU!$C$6:$C$95,ROBA_U_DOLASKU!$A$6:$A$95,A545,ROBA_U_DOLASKU!$H$6:$H$95,1)</f>
        <v>0</v>
      </c>
      <c r="K545" s="9" t="n">
        <f aca="false">SUMIFS(ROBA_U_DOLASKU!$B$6:$B$95,ROBA_U_DOLASKU!$A$6:$A$95,A545,ROBA_U_DOLASKU!$H$6:$H$95,1)</f>
        <v>0</v>
      </c>
      <c r="L545" s="9" t="n">
        <f aca="false">SUMIFS(ROBA_U_DOLASKU!$C$6:$C$95,ROBA_U_DOLASKU!$A$6:$A$95,A545,ROBA_U_DOLASKU!$H$6:$H$95,2)</f>
        <v>0</v>
      </c>
      <c r="M545" s="9" t="n">
        <f aca="false">SUMIFS(ROBA_U_DOLASKU!$B$6:$B$95,ROBA_U_DOLASKU!$A$6:$A$95,A545,ROBA_U_DOLASKU!$H$6:$H$95,2)</f>
        <v>0</v>
      </c>
      <c r="N545" s="9" t="n">
        <f aca="false">SUMIFS(ROBA_U_DOLASKU!$C$6:$C$95,ROBA_U_DOLASKU!$A$6:$A$95,A545,ROBA_U_DOLASKU!$H$6:$H$95,3)</f>
        <v>0</v>
      </c>
      <c r="O545" s="9" t="n">
        <f aca="false">SUMIFS(ROBA_U_DOLASKU!$B$6:$B$95,ROBA_U_DOLASKU!$A$6:$A$95,A545,ROBA_U_DOLASKU!$H$6:$H$95,3)</f>
        <v>0</v>
      </c>
      <c r="P545" s="9" t="n">
        <f aca="false">IF(H545&lt;=0,999,IF(O545&gt;0,ROUND((F545-H545*N545+K545+M545+O545)/H545,1),IF(M545&gt;0,ROUND((F545-H545*L545+K545+M545)/H545,1),IF(K545&gt;0,ROUND((F545-H545*J545+K545)/H545,1),I545))))</f>
        <v>999</v>
      </c>
      <c r="Q545" s="22" t="str">
        <f aca="false">IF(H545&lt;=0,"Nema prodaje",IF(AND(K545=0,M545=0,O545=0),IF(I545&lt;POSTAVKE!$B$6,"Naruči odmah","Sve u redu"),IF(F545-H545*J545&lt;0,"Rupa za ~"&amp;TEXT(I545,"0.0")&amp;" mj.",IF(AND(M545&gt;0,F545-H545*L545+K545&lt;0),"Rupa nakon 1. dolaska",IF(AND(O545&gt;0,F545-H545*N545+K545+M545&lt;0),"Rupa nakon 2. dolaska",IF(P545&lt;POSTAVKE!$B$6,"Količina nije dovoljna",IF(I545&gt;=POSTAVKE!$B$6,"Sve u redu","Stiže na vrijeme")))))))</f>
        <v>Nema prodaje</v>
      </c>
      <c r="S545" s="23" t="n">
        <f aca="false">IFERROR(INDEX(PODACI_PRODAJA!B:B,MATCH($A545,PODACI_PRODAJA!$A:$A,0)),0)</f>
        <v>0</v>
      </c>
      <c r="T545" s="23" t="n">
        <f aca="false">IFERROR(INDEX(PODACI_PRODAJA!C:C,MATCH($A545,PODACI_PRODAJA!$A:$A,0)),0)</f>
        <v>0</v>
      </c>
      <c r="U545" s="23" t="n">
        <f aca="false">IFERROR(INDEX(PODACI_PRODAJA!D:D,MATCH($A545,PODACI_PRODAJA!$A:$A,0)),0)</f>
        <v>0</v>
      </c>
      <c r="V545" s="23" t="n">
        <f aca="false">IFERROR(INDEX(PODACI_PRODAJA!E:E,MATCH($A545,PODACI_PRODAJA!$A:$A,0)),0)</f>
        <v>0</v>
      </c>
      <c r="W545" s="23" t="n">
        <f aca="false">IFERROR(INDEX(PODACI_PRODAJA!F:F,MATCH($A545,PODACI_PRODAJA!$A:$A,0)),0)</f>
        <v>0</v>
      </c>
      <c r="X545" s="23" t="n">
        <f aca="false">IFERROR(INDEX(PODACI_PRODAJA!G:G,MATCH($A545,PODACI_PRODAJA!$A:$A,0)),0)</f>
        <v>0</v>
      </c>
      <c r="Y545" s="23" t="n">
        <f aca="false">IFERROR(INDEX(PODACI_PRODAJA!H:H,MATCH($A545,PODACI_PRODAJA!$A:$A,0)),0)</f>
        <v>0</v>
      </c>
      <c r="Z545" s="23" t="n">
        <f aca="false">IFERROR(INDEX(PODACI_PRODAJA!I:I,MATCH($A545,PODACI_PRODAJA!$A:$A,0)),0)</f>
        <v>0</v>
      </c>
      <c r="AA545" s="23" t="n">
        <f aca="false">IFERROR(INDEX(PODACI_PRODAJA!J:J,MATCH($A545,PODACI_PRODAJA!$A:$A,0)),0)</f>
        <v>0</v>
      </c>
      <c r="AB545" s="23" t="n">
        <f aca="false">IFERROR(INDEX(PODACI_PRODAJA!K:K,MATCH($A545,PODACI_PRODAJA!$A:$A,0)),0)</f>
        <v>0</v>
      </c>
      <c r="AC545" s="23" t="n">
        <f aca="false">IFERROR(INDEX(PODACI_PRODAJA!L:L,MATCH($A545,PODACI_PRODAJA!$A:$A,0)),0)</f>
        <v>0</v>
      </c>
      <c r="AD545" s="23" t="n">
        <f aca="false">IFERROR(INDEX(PODACI_PRODAJA!M:M,MATCH($A545,PODACI_PRODAJA!$A:$A,0)),0)</f>
        <v>0</v>
      </c>
    </row>
    <row r="546" customFormat="false" ht="15" hidden="false" customHeight="false" outlineLevel="0" collapsed="false">
      <c r="A546" s="11" t="str">
        <f aca="false">PODACI_ZALIHE!A543</f>
        <v>28362KF1</v>
      </c>
      <c r="B546" s="8" t="str">
        <f aca="false">PODACI_ZALIHE!B543</f>
        <v>GROHE SILVERFLEX TUŠ CRIJEVO, 1250 MM, CRNA</v>
      </c>
      <c r="C546" s="9" t="str">
        <f aca="false">PODACI_ZALIHE!C543</f>
        <v>4499</v>
      </c>
      <c r="D546" s="8" t="str">
        <f aca="false">PODACI_ZALIHE!D543</f>
        <v>THS D.O.O.</v>
      </c>
      <c r="E546" s="19" t="n">
        <f aca="false">IF(PODACI_ZALIHE!E543="","",PODACI_ZALIHE!E543)</f>
        <v>4</v>
      </c>
      <c r="F546" s="20" t="n">
        <f aca="false">PODACI_ZALIHE!F543</f>
        <v>3</v>
      </c>
      <c r="G546" s="19" t="n">
        <f aca="false">IF(E546="","",E546-F546)</f>
        <v>1</v>
      </c>
      <c r="H546" s="9" t="n">
        <f aca="false">PODACI_PRODAJA!N747</f>
        <v>0</v>
      </c>
      <c r="I546" s="21" t="n">
        <f aca="false">IF(H546&lt;=0,999,ROUND(F546/H546,1))</f>
        <v>999</v>
      </c>
      <c r="J546" s="9" t="n">
        <f aca="false">SUMIFS(ROBA_U_DOLASKU!$C$6:$C$95,ROBA_U_DOLASKU!$A$6:$A$95,A546,ROBA_U_DOLASKU!$H$6:$H$95,1)</f>
        <v>0</v>
      </c>
      <c r="K546" s="9" t="n">
        <f aca="false">SUMIFS(ROBA_U_DOLASKU!$B$6:$B$95,ROBA_U_DOLASKU!$A$6:$A$95,A546,ROBA_U_DOLASKU!$H$6:$H$95,1)</f>
        <v>0</v>
      </c>
      <c r="L546" s="9" t="n">
        <f aca="false">SUMIFS(ROBA_U_DOLASKU!$C$6:$C$95,ROBA_U_DOLASKU!$A$6:$A$95,A546,ROBA_U_DOLASKU!$H$6:$H$95,2)</f>
        <v>0</v>
      </c>
      <c r="M546" s="9" t="n">
        <f aca="false">SUMIFS(ROBA_U_DOLASKU!$B$6:$B$95,ROBA_U_DOLASKU!$A$6:$A$95,A546,ROBA_U_DOLASKU!$H$6:$H$95,2)</f>
        <v>0</v>
      </c>
      <c r="N546" s="9" t="n">
        <f aca="false">SUMIFS(ROBA_U_DOLASKU!$C$6:$C$95,ROBA_U_DOLASKU!$A$6:$A$95,A546,ROBA_U_DOLASKU!$H$6:$H$95,3)</f>
        <v>0</v>
      </c>
      <c r="O546" s="9" t="n">
        <f aca="false">SUMIFS(ROBA_U_DOLASKU!$B$6:$B$95,ROBA_U_DOLASKU!$A$6:$A$95,A546,ROBA_U_DOLASKU!$H$6:$H$95,3)</f>
        <v>0</v>
      </c>
      <c r="P546" s="9" t="n">
        <f aca="false">IF(H546&lt;=0,999,IF(O546&gt;0,ROUND((F546-H546*N546+K546+M546+O546)/H546,1),IF(M546&gt;0,ROUND((F546-H546*L546+K546+M546)/H546,1),IF(K546&gt;0,ROUND((F546-H546*J546+K546)/H546,1),I546))))</f>
        <v>999</v>
      </c>
      <c r="Q546" s="22" t="str">
        <f aca="false">IF(H546&lt;=0,"Nema prodaje",IF(AND(K546=0,M546=0,O546=0),IF(I546&lt;POSTAVKE!$B$6,"Naruči odmah","Sve u redu"),IF(F546-H546*J546&lt;0,"Rupa za ~"&amp;TEXT(I546,"0.0")&amp;" mj.",IF(AND(M546&gt;0,F546-H546*L546+K546&lt;0),"Rupa nakon 1. dolaska",IF(AND(O546&gt;0,F546-H546*N546+K546+M546&lt;0),"Rupa nakon 2. dolaska",IF(P546&lt;POSTAVKE!$B$6,"Količina nije dovoljna",IF(I546&gt;=POSTAVKE!$B$6,"Sve u redu","Stiže na vrijeme")))))))</f>
        <v>Nema prodaje</v>
      </c>
      <c r="S546" s="23" t="n">
        <f aca="false">IFERROR(INDEX(PODACI_PRODAJA!B:B,MATCH($A546,PODACI_PRODAJA!$A:$A,0)),0)</f>
        <v>0</v>
      </c>
      <c r="T546" s="23" t="n">
        <f aca="false">IFERROR(INDEX(PODACI_PRODAJA!C:C,MATCH($A546,PODACI_PRODAJA!$A:$A,0)),0)</f>
        <v>0</v>
      </c>
      <c r="U546" s="23" t="n">
        <f aca="false">IFERROR(INDEX(PODACI_PRODAJA!D:D,MATCH($A546,PODACI_PRODAJA!$A:$A,0)),0)</f>
        <v>0</v>
      </c>
      <c r="V546" s="23" t="n">
        <f aca="false">IFERROR(INDEX(PODACI_PRODAJA!E:E,MATCH($A546,PODACI_PRODAJA!$A:$A,0)),0)</f>
        <v>0</v>
      </c>
      <c r="W546" s="23" t="n">
        <f aca="false">IFERROR(INDEX(PODACI_PRODAJA!F:F,MATCH($A546,PODACI_PRODAJA!$A:$A,0)),0)</f>
        <v>0</v>
      </c>
      <c r="X546" s="23" t="n">
        <f aca="false">IFERROR(INDEX(PODACI_PRODAJA!G:G,MATCH($A546,PODACI_PRODAJA!$A:$A,0)),0)</f>
        <v>0</v>
      </c>
      <c r="Y546" s="23" t="n">
        <f aca="false">IFERROR(INDEX(PODACI_PRODAJA!H:H,MATCH($A546,PODACI_PRODAJA!$A:$A,0)),0)</f>
        <v>0</v>
      </c>
      <c r="Z546" s="23" t="n">
        <f aca="false">IFERROR(INDEX(PODACI_PRODAJA!I:I,MATCH($A546,PODACI_PRODAJA!$A:$A,0)),0)</f>
        <v>0</v>
      </c>
      <c r="AA546" s="23" t="n">
        <f aca="false">IFERROR(INDEX(PODACI_PRODAJA!J:J,MATCH($A546,PODACI_PRODAJA!$A:$A,0)),0)</f>
        <v>0</v>
      </c>
      <c r="AB546" s="23" t="n">
        <f aca="false">IFERROR(INDEX(PODACI_PRODAJA!K:K,MATCH($A546,PODACI_PRODAJA!$A:$A,0)),0)</f>
        <v>0</v>
      </c>
      <c r="AC546" s="23" t="n">
        <f aca="false">IFERROR(INDEX(PODACI_PRODAJA!L:L,MATCH($A546,PODACI_PRODAJA!$A:$A,0)),0)</f>
        <v>0</v>
      </c>
      <c r="AD546" s="23" t="n">
        <f aca="false">IFERROR(INDEX(PODACI_PRODAJA!M:M,MATCH($A546,PODACI_PRODAJA!$A:$A,0)),0)</f>
        <v>0</v>
      </c>
    </row>
    <row r="547" customFormat="false" ht="15" hidden="false" customHeight="false" outlineLevel="0" collapsed="false">
      <c r="A547" s="11" t="str">
        <f aca="false">PODACI_ZALIHE!A544</f>
        <v>28388KF1</v>
      </c>
      <c r="B547" s="8" t="str">
        <f aca="false">PODACI_ZALIHE!B544</f>
        <v>GROHE SILVERFLEX TUŠ CRIJEVO, 1750 MM, CRNA</v>
      </c>
      <c r="C547" s="9" t="str">
        <f aca="false">PODACI_ZALIHE!C544</f>
        <v>4499</v>
      </c>
      <c r="D547" s="8" t="str">
        <f aca="false">PODACI_ZALIHE!D544</f>
        <v>THS D.O.O.</v>
      </c>
      <c r="E547" s="19" t="n">
        <f aca="false">IF(PODACI_ZALIHE!E544="","",PODACI_ZALIHE!E544)</f>
        <v>4</v>
      </c>
      <c r="F547" s="20" t="n">
        <f aca="false">PODACI_ZALIHE!F544</f>
        <v>3</v>
      </c>
      <c r="G547" s="19" t="n">
        <f aca="false">IF(E547="","",E547-F547)</f>
        <v>1</v>
      </c>
      <c r="H547" s="9" t="n">
        <f aca="false">PODACI_PRODAJA!N748</f>
        <v>0</v>
      </c>
      <c r="I547" s="21" t="n">
        <f aca="false">IF(H547&lt;=0,999,ROUND(F547/H547,1))</f>
        <v>999</v>
      </c>
      <c r="J547" s="9" t="n">
        <f aca="false">SUMIFS(ROBA_U_DOLASKU!$C$6:$C$95,ROBA_U_DOLASKU!$A$6:$A$95,A547,ROBA_U_DOLASKU!$H$6:$H$95,1)</f>
        <v>0</v>
      </c>
      <c r="K547" s="9" t="n">
        <f aca="false">SUMIFS(ROBA_U_DOLASKU!$B$6:$B$95,ROBA_U_DOLASKU!$A$6:$A$95,A547,ROBA_U_DOLASKU!$H$6:$H$95,1)</f>
        <v>0</v>
      </c>
      <c r="L547" s="9" t="n">
        <f aca="false">SUMIFS(ROBA_U_DOLASKU!$C$6:$C$95,ROBA_U_DOLASKU!$A$6:$A$95,A547,ROBA_U_DOLASKU!$H$6:$H$95,2)</f>
        <v>0</v>
      </c>
      <c r="M547" s="9" t="n">
        <f aca="false">SUMIFS(ROBA_U_DOLASKU!$B$6:$B$95,ROBA_U_DOLASKU!$A$6:$A$95,A547,ROBA_U_DOLASKU!$H$6:$H$95,2)</f>
        <v>0</v>
      </c>
      <c r="N547" s="9" t="n">
        <f aca="false">SUMIFS(ROBA_U_DOLASKU!$C$6:$C$95,ROBA_U_DOLASKU!$A$6:$A$95,A547,ROBA_U_DOLASKU!$H$6:$H$95,3)</f>
        <v>0</v>
      </c>
      <c r="O547" s="9" t="n">
        <f aca="false">SUMIFS(ROBA_U_DOLASKU!$B$6:$B$95,ROBA_U_DOLASKU!$A$6:$A$95,A547,ROBA_U_DOLASKU!$H$6:$H$95,3)</f>
        <v>0</v>
      </c>
      <c r="P547" s="9" t="n">
        <f aca="false">IF(H547&lt;=0,999,IF(O547&gt;0,ROUND((F547-H547*N547+K547+M547+O547)/H547,1),IF(M547&gt;0,ROUND((F547-H547*L547+K547+M547)/H547,1),IF(K547&gt;0,ROUND((F547-H547*J547+K547)/H547,1),I547))))</f>
        <v>999</v>
      </c>
      <c r="Q547" s="22" t="str">
        <f aca="false">IF(H547&lt;=0,"Nema prodaje",IF(AND(K547=0,M547=0,O547=0),IF(I547&lt;POSTAVKE!$B$6,"Naruči odmah","Sve u redu"),IF(F547-H547*J547&lt;0,"Rupa za ~"&amp;TEXT(I547,"0.0")&amp;" mj.",IF(AND(M547&gt;0,F547-H547*L547+K547&lt;0),"Rupa nakon 1. dolaska",IF(AND(O547&gt;0,F547-H547*N547+K547+M547&lt;0),"Rupa nakon 2. dolaska",IF(P547&lt;POSTAVKE!$B$6,"Količina nije dovoljna",IF(I547&gt;=POSTAVKE!$B$6,"Sve u redu","Stiže na vrijeme")))))))</f>
        <v>Nema prodaje</v>
      </c>
      <c r="S547" s="23" t="n">
        <f aca="false">IFERROR(INDEX(PODACI_PRODAJA!B:B,MATCH($A547,PODACI_PRODAJA!$A:$A,0)),0)</f>
        <v>0</v>
      </c>
      <c r="T547" s="23" t="n">
        <f aca="false">IFERROR(INDEX(PODACI_PRODAJA!C:C,MATCH($A547,PODACI_PRODAJA!$A:$A,0)),0)</f>
        <v>0</v>
      </c>
      <c r="U547" s="23" t="n">
        <f aca="false">IFERROR(INDEX(PODACI_PRODAJA!D:D,MATCH($A547,PODACI_PRODAJA!$A:$A,0)),0)</f>
        <v>0</v>
      </c>
      <c r="V547" s="23" t="n">
        <f aca="false">IFERROR(INDEX(PODACI_PRODAJA!E:E,MATCH($A547,PODACI_PRODAJA!$A:$A,0)),0)</f>
        <v>0</v>
      </c>
      <c r="W547" s="23" t="n">
        <f aca="false">IFERROR(INDEX(PODACI_PRODAJA!F:F,MATCH($A547,PODACI_PRODAJA!$A:$A,0)),0)</f>
        <v>0</v>
      </c>
      <c r="X547" s="23" t="n">
        <f aca="false">IFERROR(INDEX(PODACI_PRODAJA!G:G,MATCH($A547,PODACI_PRODAJA!$A:$A,0)),0)</f>
        <v>0</v>
      </c>
      <c r="Y547" s="23" t="n">
        <f aca="false">IFERROR(INDEX(PODACI_PRODAJA!H:H,MATCH($A547,PODACI_PRODAJA!$A:$A,0)),0)</f>
        <v>0</v>
      </c>
      <c r="Z547" s="23" t="n">
        <f aca="false">IFERROR(INDEX(PODACI_PRODAJA!I:I,MATCH($A547,PODACI_PRODAJA!$A:$A,0)),0)</f>
        <v>0</v>
      </c>
      <c r="AA547" s="23" t="n">
        <f aca="false">IFERROR(INDEX(PODACI_PRODAJA!J:J,MATCH($A547,PODACI_PRODAJA!$A:$A,0)),0)</f>
        <v>0</v>
      </c>
      <c r="AB547" s="23" t="n">
        <f aca="false">IFERROR(INDEX(PODACI_PRODAJA!K:K,MATCH($A547,PODACI_PRODAJA!$A:$A,0)),0)</f>
        <v>0</v>
      </c>
      <c r="AC547" s="23" t="n">
        <f aca="false">IFERROR(INDEX(PODACI_PRODAJA!L:L,MATCH($A547,PODACI_PRODAJA!$A:$A,0)),0)</f>
        <v>0</v>
      </c>
      <c r="AD547" s="23" t="n">
        <f aca="false">IFERROR(INDEX(PODACI_PRODAJA!M:M,MATCH($A547,PODACI_PRODAJA!$A:$A,0)),0)</f>
        <v>0</v>
      </c>
    </row>
    <row r="548" customFormat="false" ht="15" hidden="false" customHeight="false" outlineLevel="0" collapsed="false">
      <c r="A548" s="11" t="str">
        <f aca="false">PODACI_ZALIHE!A545</f>
        <v>3810205</v>
      </c>
      <c r="B548" s="8" t="str">
        <f aca="false">PODACI_ZALIHE!B545</f>
        <v>KLUDI ZENTA MIJEŠALICA SENZORSKA, 6V, KROM</v>
      </c>
      <c r="C548" s="9" t="str">
        <f aca="false">PODACI_ZALIHE!C545</f>
        <v>7485</v>
      </c>
      <c r="D548" s="8" t="str">
        <f aca="false">PODACI_ZALIHE!D545</f>
        <v>KLUDI GmbH &amp; Co. KG.,</v>
      </c>
      <c r="E548" s="19" t="n">
        <f aca="false">IF(PODACI_ZALIHE!E545="","",PODACI_ZALIHE!E545)</f>
        <v>3</v>
      </c>
      <c r="F548" s="20" t="n">
        <f aca="false">PODACI_ZALIHE!F545</f>
        <v>3</v>
      </c>
      <c r="G548" s="19" t="n">
        <f aca="false">IF(E548="","",E548-F548)</f>
        <v>0</v>
      </c>
      <c r="H548" s="9" t="n">
        <f aca="false">PODACI_PRODAJA!N763</f>
        <v>0</v>
      </c>
      <c r="I548" s="21" t="n">
        <f aca="false">IF(H548&lt;=0,999,ROUND(F548/H548,1))</f>
        <v>999</v>
      </c>
      <c r="J548" s="9" t="n">
        <f aca="false">SUMIFS(ROBA_U_DOLASKU!$C$6:$C$95,ROBA_U_DOLASKU!$A$6:$A$95,A548,ROBA_U_DOLASKU!$H$6:$H$95,1)</f>
        <v>0</v>
      </c>
      <c r="K548" s="9" t="n">
        <f aca="false">SUMIFS(ROBA_U_DOLASKU!$B$6:$B$95,ROBA_U_DOLASKU!$A$6:$A$95,A548,ROBA_U_DOLASKU!$H$6:$H$95,1)</f>
        <v>0</v>
      </c>
      <c r="L548" s="9" t="n">
        <f aca="false">SUMIFS(ROBA_U_DOLASKU!$C$6:$C$95,ROBA_U_DOLASKU!$A$6:$A$95,A548,ROBA_U_DOLASKU!$H$6:$H$95,2)</f>
        <v>0</v>
      </c>
      <c r="M548" s="9" t="n">
        <f aca="false">SUMIFS(ROBA_U_DOLASKU!$B$6:$B$95,ROBA_U_DOLASKU!$A$6:$A$95,A548,ROBA_U_DOLASKU!$H$6:$H$95,2)</f>
        <v>0</v>
      </c>
      <c r="N548" s="9" t="n">
        <f aca="false">SUMIFS(ROBA_U_DOLASKU!$C$6:$C$95,ROBA_U_DOLASKU!$A$6:$A$95,A548,ROBA_U_DOLASKU!$H$6:$H$95,3)</f>
        <v>0</v>
      </c>
      <c r="O548" s="9" t="n">
        <f aca="false">SUMIFS(ROBA_U_DOLASKU!$B$6:$B$95,ROBA_U_DOLASKU!$A$6:$A$95,A548,ROBA_U_DOLASKU!$H$6:$H$95,3)</f>
        <v>0</v>
      </c>
      <c r="P548" s="9" t="n">
        <f aca="false">IF(H548&lt;=0,999,IF(O548&gt;0,ROUND((F548-H548*N548+K548+M548+O548)/H548,1),IF(M548&gt;0,ROUND((F548-H548*L548+K548+M548)/H548,1),IF(K548&gt;0,ROUND((F548-H548*J548+K548)/H548,1),I548))))</f>
        <v>999</v>
      </c>
      <c r="Q548" s="22" t="str">
        <f aca="false">IF(H548&lt;=0,"Nema prodaje",IF(AND(K548=0,M548=0,O548=0),IF(I548&lt;POSTAVKE!$B$6,"Naruči odmah","Sve u redu"),IF(F548-H548*J548&lt;0,"Rupa za ~"&amp;TEXT(I548,"0.0")&amp;" mj.",IF(AND(M548&gt;0,F548-H548*L548+K548&lt;0),"Rupa nakon 1. dolaska",IF(AND(O548&gt;0,F548-H548*N548+K548+M548&lt;0),"Rupa nakon 2. dolaska",IF(P548&lt;POSTAVKE!$B$6,"Količina nije dovoljna",IF(I548&gt;=POSTAVKE!$B$6,"Sve u redu","Stiže na vrijeme")))))))</f>
        <v>Nema prodaje</v>
      </c>
      <c r="S548" s="23" t="n">
        <f aca="false">IFERROR(INDEX(PODACI_PRODAJA!B:B,MATCH($A548,PODACI_PRODAJA!$A:$A,0)),0)</f>
        <v>0</v>
      </c>
      <c r="T548" s="23" t="n">
        <f aca="false">IFERROR(INDEX(PODACI_PRODAJA!C:C,MATCH($A548,PODACI_PRODAJA!$A:$A,0)),0)</f>
        <v>0</v>
      </c>
      <c r="U548" s="23" t="n">
        <f aca="false">IFERROR(INDEX(PODACI_PRODAJA!D:D,MATCH($A548,PODACI_PRODAJA!$A:$A,0)),0)</f>
        <v>0</v>
      </c>
      <c r="V548" s="23" t="n">
        <f aca="false">IFERROR(INDEX(PODACI_PRODAJA!E:E,MATCH($A548,PODACI_PRODAJA!$A:$A,0)),0)</f>
        <v>0</v>
      </c>
      <c r="W548" s="23" t="n">
        <f aca="false">IFERROR(INDEX(PODACI_PRODAJA!F:F,MATCH($A548,PODACI_PRODAJA!$A:$A,0)),0)</f>
        <v>0</v>
      </c>
      <c r="X548" s="23" t="n">
        <f aca="false">IFERROR(INDEX(PODACI_PRODAJA!G:G,MATCH($A548,PODACI_PRODAJA!$A:$A,0)),0)</f>
        <v>0</v>
      </c>
      <c r="Y548" s="23" t="n">
        <f aca="false">IFERROR(INDEX(PODACI_PRODAJA!H:H,MATCH($A548,PODACI_PRODAJA!$A:$A,0)),0)</f>
        <v>0</v>
      </c>
      <c r="Z548" s="23" t="n">
        <f aca="false">IFERROR(INDEX(PODACI_PRODAJA!I:I,MATCH($A548,PODACI_PRODAJA!$A:$A,0)),0)</f>
        <v>0</v>
      </c>
      <c r="AA548" s="23" t="n">
        <f aca="false">IFERROR(INDEX(PODACI_PRODAJA!J:J,MATCH($A548,PODACI_PRODAJA!$A:$A,0)),0)</f>
        <v>0</v>
      </c>
      <c r="AB548" s="23" t="n">
        <f aca="false">IFERROR(INDEX(PODACI_PRODAJA!K:K,MATCH($A548,PODACI_PRODAJA!$A:$A,0)),0)</f>
        <v>0</v>
      </c>
      <c r="AC548" s="23" t="n">
        <f aca="false">IFERROR(INDEX(PODACI_PRODAJA!L:L,MATCH($A548,PODACI_PRODAJA!$A:$A,0)),0)</f>
        <v>0</v>
      </c>
      <c r="AD548" s="23" t="n">
        <f aca="false">IFERROR(INDEX(PODACI_PRODAJA!M:M,MATCH($A548,PODACI_PRODAJA!$A:$A,0)),0)</f>
        <v>0</v>
      </c>
    </row>
    <row r="549" customFormat="false" ht="15" hidden="false" customHeight="false" outlineLevel="0" collapsed="false">
      <c r="A549" s="11" t="str">
        <f aca="false">PODACI_ZALIHE!A546</f>
        <v>3820205</v>
      </c>
      <c r="B549" s="8" t="str">
        <f aca="false">PODACI_ZALIHE!B546</f>
        <v>KLUDI ZENTA MIJEŠALICA SENZORSKA, 230V, KROM</v>
      </c>
      <c r="C549" s="9" t="str">
        <f aca="false">PODACI_ZALIHE!C546</f>
        <v>7485</v>
      </c>
      <c r="D549" s="8" t="str">
        <f aca="false">PODACI_ZALIHE!D546</f>
        <v>KLUDI GmbH &amp; Co. KG.,</v>
      </c>
      <c r="E549" s="19" t="n">
        <f aca="false">IF(PODACI_ZALIHE!E546="","",PODACI_ZALIHE!E546)</f>
        <v>3</v>
      </c>
      <c r="F549" s="20" t="n">
        <f aca="false">PODACI_ZALIHE!F546</f>
        <v>3</v>
      </c>
      <c r="G549" s="19" t="n">
        <f aca="false">IF(E549="","",E549-F549)</f>
        <v>0</v>
      </c>
      <c r="H549" s="9" t="n">
        <f aca="false">PODACI_PRODAJA!N764</f>
        <v>0</v>
      </c>
      <c r="I549" s="21" t="n">
        <f aca="false">IF(H549&lt;=0,999,ROUND(F549/H549,1))</f>
        <v>999</v>
      </c>
      <c r="J549" s="9" t="n">
        <f aca="false">SUMIFS(ROBA_U_DOLASKU!$C$6:$C$95,ROBA_U_DOLASKU!$A$6:$A$95,A549,ROBA_U_DOLASKU!$H$6:$H$95,1)</f>
        <v>0</v>
      </c>
      <c r="K549" s="9" t="n">
        <f aca="false">SUMIFS(ROBA_U_DOLASKU!$B$6:$B$95,ROBA_U_DOLASKU!$A$6:$A$95,A549,ROBA_U_DOLASKU!$H$6:$H$95,1)</f>
        <v>0</v>
      </c>
      <c r="L549" s="9" t="n">
        <f aca="false">SUMIFS(ROBA_U_DOLASKU!$C$6:$C$95,ROBA_U_DOLASKU!$A$6:$A$95,A549,ROBA_U_DOLASKU!$H$6:$H$95,2)</f>
        <v>0</v>
      </c>
      <c r="M549" s="9" t="n">
        <f aca="false">SUMIFS(ROBA_U_DOLASKU!$B$6:$B$95,ROBA_U_DOLASKU!$A$6:$A$95,A549,ROBA_U_DOLASKU!$H$6:$H$95,2)</f>
        <v>0</v>
      </c>
      <c r="N549" s="9" t="n">
        <f aca="false">SUMIFS(ROBA_U_DOLASKU!$C$6:$C$95,ROBA_U_DOLASKU!$A$6:$A$95,A549,ROBA_U_DOLASKU!$H$6:$H$95,3)</f>
        <v>0</v>
      </c>
      <c r="O549" s="9" t="n">
        <f aca="false">SUMIFS(ROBA_U_DOLASKU!$B$6:$B$95,ROBA_U_DOLASKU!$A$6:$A$95,A549,ROBA_U_DOLASKU!$H$6:$H$95,3)</f>
        <v>0</v>
      </c>
      <c r="P549" s="9" t="n">
        <f aca="false">IF(H549&lt;=0,999,IF(O549&gt;0,ROUND((F549-H549*N549+K549+M549+O549)/H549,1),IF(M549&gt;0,ROUND((F549-H549*L549+K549+M549)/H549,1),IF(K549&gt;0,ROUND((F549-H549*J549+K549)/H549,1),I549))))</f>
        <v>999</v>
      </c>
      <c r="Q549" s="22" t="str">
        <f aca="false">IF(H549&lt;=0,"Nema prodaje",IF(AND(K549=0,M549=0,O549=0),IF(I549&lt;POSTAVKE!$B$6,"Naruči odmah","Sve u redu"),IF(F549-H549*J549&lt;0,"Rupa za ~"&amp;TEXT(I549,"0.0")&amp;" mj.",IF(AND(M549&gt;0,F549-H549*L549+K549&lt;0),"Rupa nakon 1. dolaska",IF(AND(O549&gt;0,F549-H549*N549+K549+M549&lt;0),"Rupa nakon 2. dolaska",IF(P549&lt;POSTAVKE!$B$6,"Količina nije dovoljna",IF(I549&gt;=POSTAVKE!$B$6,"Sve u redu","Stiže na vrijeme")))))))</f>
        <v>Nema prodaje</v>
      </c>
      <c r="S549" s="23" t="n">
        <f aca="false">IFERROR(INDEX(PODACI_PRODAJA!B:B,MATCH($A549,PODACI_PRODAJA!$A:$A,0)),0)</f>
        <v>0</v>
      </c>
      <c r="T549" s="23" t="n">
        <f aca="false">IFERROR(INDEX(PODACI_PRODAJA!C:C,MATCH($A549,PODACI_PRODAJA!$A:$A,0)),0)</f>
        <v>0</v>
      </c>
      <c r="U549" s="23" t="n">
        <f aca="false">IFERROR(INDEX(PODACI_PRODAJA!D:D,MATCH($A549,PODACI_PRODAJA!$A:$A,0)),0)</f>
        <v>0</v>
      </c>
      <c r="V549" s="23" t="n">
        <f aca="false">IFERROR(INDEX(PODACI_PRODAJA!E:E,MATCH($A549,PODACI_PRODAJA!$A:$A,0)),0)</f>
        <v>0</v>
      </c>
      <c r="W549" s="23" t="n">
        <f aca="false">IFERROR(INDEX(PODACI_PRODAJA!F:F,MATCH($A549,PODACI_PRODAJA!$A:$A,0)),0)</f>
        <v>0</v>
      </c>
      <c r="X549" s="23" t="n">
        <f aca="false">IFERROR(INDEX(PODACI_PRODAJA!G:G,MATCH($A549,PODACI_PRODAJA!$A:$A,0)),0)</f>
        <v>0</v>
      </c>
      <c r="Y549" s="23" t="n">
        <f aca="false">IFERROR(INDEX(PODACI_PRODAJA!H:H,MATCH($A549,PODACI_PRODAJA!$A:$A,0)),0)</f>
        <v>0</v>
      </c>
      <c r="Z549" s="23" t="n">
        <f aca="false">IFERROR(INDEX(PODACI_PRODAJA!I:I,MATCH($A549,PODACI_PRODAJA!$A:$A,0)),0)</f>
        <v>0</v>
      </c>
      <c r="AA549" s="23" t="n">
        <f aca="false">IFERROR(INDEX(PODACI_PRODAJA!J:J,MATCH($A549,PODACI_PRODAJA!$A:$A,0)),0)</f>
        <v>0</v>
      </c>
      <c r="AB549" s="23" t="n">
        <f aca="false">IFERROR(INDEX(PODACI_PRODAJA!K:K,MATCH($A549,PODACI_PRODAJA!$A:$A,0)),0)</f>
        <v>0</v>
      </c>
      <c r="AC549" s="23" t="n">
        <f aca="false">IFERROR(INDEX(PODACI_PRODAJA!L:L,MATCH($A549,PODACI_PRODAJA!$A:$A,0)),0)</f>
        <v>0</v>
      </c>
      <c r="AD549" s="23" t="n">
        <f aca="false">IFERROR(INDEX(PODACI_PRODAJA!M:M,MATCH($A549,PODACI_PRODAJA!$A:$A,0)),0)</f>
        <v>0</v>
      </c>
    </row>
    <row r="550" customFormat="false" ht="15" hidden="false" customHeight="false" outlineLevel="0" collapsed="false">
      <c r="A550" s="11" t="str">
        <f aca="false">PODACI_ZALIHE!A547</f>
        <v>382440576</v>
      </c>
      <c r="B550" s="8" t="str">
        <f aca="false">PODACI_ZALIHE!B547</f>
        <v>KLUDI BOZZ MIJEŠALICA PODŽBUKNA ZIDNA ZA UMIVAONIK,KROM</v>
      </c>
      <c r="C550" s="9" t="str">
        <f aca="false">PODACI_ZALIHE!C547</f>
        <v>7485</v>
      </c>
      <c r="D550" s="8" t="str">
        <f aca="false">PODACI_ZALIHE!D547</f>
        <v>KLUDI GmbH &amp; Co. KG.,</v>
      </c>
      <c r="E550" s="19" t="n">
        <f aca="false">IF(PODACI_ZALIHE!E547="","",PODACI_ZALIHE!E547)</f>
        <v>3</v>
      </c>
      <c r="F550" s="20" t="n">
        <f aca="false">PODACI_ZALIHE!F547</f>
        <v>3</v>
      </c>
      <c r="G550" s="19" t="n">
        <f aca="false">IF(E550="","",E550-F550)</f>
        <v>0</v>
      </c>
      <c r="H550" s="9" t="n">
        <f aca="false">PODACI_PRODAJA!N767</f>
        <v>0</v>
      </c>
      <c r="I550" s="21" t="n">
        <f aca="false">IF(H550&lt;=0,999,ROUND(F550/H550,1))</f>
        <v>999</v>
      </c>
      <c r="J550" s="9" t="n">
        <f aca="false">SUMIFS(ROBA_U_DOLASKU!$C$6:$C$95,ROBA_U_DOLASKU!$A$6:$A$95,A550,ROBA_U_DOLASKU!$H$6:$H$95,1)</f>
        <v>0</v>
      </c>
      <c r="K550" s="9" t="n">
        <f aca="false">SUMIFS(ROBA_U_DOLASKU!$B$6:$B$95,ROBA_U_DOLASKU!$A$6:$A$95,A550,ROBA_U_DOLASKU!$H$6:$H$95,1)</f>
        <v>0</v>
      </c>
      <c r="L550" s="9" t="n">
        <f aca="false">SUMIFS(ROBA_U_DOLASKU!$C$6:$C$95,ROBA_U_DOLASKU!$A$6:$A$95,A550,ROBA_U_DOLASKU!$H$6:$H$95,2)</f>
        <v>0</v>
      </c>
      <c r="M550" s="9" t="n">
        <f aca="false">SUMIFS(ROBA_U_DOLASKU!$B$6:$B$95,ROBA_U_DOLASKU!$A$6:$A$95,A550,ROBA_U_DOLASKU!$H$6:$H$95,2)</f>
        <v>0</v>
      </c>
      <c r="N550" s="9" t="n">
        <f aca="false">SUMIFS(ROBA_U_DOLASKU!$C$6:$C$95,ROBA_U_DOLASKU!$A$6:$A$95,A550,ROBA_U_DOLASKU!$H$6:$H$95,3)</f>
        <v>0</v>
      </c>
      <c r="O550" s="9" t="n">
        <f aca="false">SUMIFS(ROBA_U_DOLASKU!$B$6:$B$95,ROBA_U_DOLASKU!$A$6:$A$95,A550,ROBA_U_DOLASKU!$H$6:$H$95,3)</f>
        <v>0</v>
      </c>
      <c r="P550" s="9" t="n">
        <f aca="false">IF(H550&lt;=0,999,IF(O550&gt;0,ROUND((F550-H550*N550+K550+M550+O550)/H550,1),IF(M550&gt;0,ROUND((F550-H550*L550+K550+M550)/H550,1),IF(K550&gt;0,ROUND((F550-H550*J550+K550)/H550,1),I550))))</f>
        <v>999</v>
      </c>
      <c r="Q550" s="22" t="str">
        <f aca="false">IF(H550&lt;=0,"Nema prodaje",IF(AND(K550=0,M550=0,O550=0),IF(I550&lt;POSTAVKE!$B$6,"Naruči odmah","Sve u redu"),IF(F550-H550*J550&lt;0,"Rupa za ~"&amp;TEXT(I550,"0.0")&amp;" mj.",IF(AND(M550&gt;0,F550-H550*L550+K550&lt;0),"Rupa nakon 1. dolaska",IF(AND(O550&gt;0,F550-H550*N550+K550+M550&lt;0),"Rupa nakon 2. dolaska",IF(P550&lt;POSTAVKE!$B$6,"Količina nije dovoljna",IF(I550&gt;=POSTAVKE!$B$6,"Sve u redu","Stiže na vrijeme")))))))</f>
        <v>Nema prodaje</v>
      </c>
      <c r="S550" s="23" t="n">
        <f aca="false">IFERROR(INDEX(PODACI_PRODAJA!B:B,MATCH($A550,PODACI_PRODAJA!$A:$A,0)),0)</f>
        <v>0</v>
      </c>
      <c r="T550" s="23" t="n">
        <f aca="false">IFERROR(INDEX(PODACI_PRODAJA!C:C,MATCH($A550,PODACI_PRODAJA!$A:$A,0)),0)</f>
        <v>0</v>
      </c>
      <c r="U550" s="23" t="n">
        <f aca="false">IFERROR(INDEX(PODACI_PRODAJA!D:D,MATCH($A550,PODACI_PRODAJA!$A:$A,0)),0)</f>
        <v>0</v>
      </c>
      <c r="V550" s="23" t="n">
        <f aca="false">IFERROR(INDEX(PODACI_PRODAJA!E:E,MATCH($A550,PODACI_PRODAJA!$A:$A,0)),0)</f>
        <v>0</v>
      </c>
      <c r="W550" s="23" t="n">
        <f aca="false">IFERROR(INDEX(PODACI_PRODAJA!F:F,MATCH($A550,PODACI_PRODAJA!$A:$A,0)),0)</f>
        <v>0</v>
      </c>
      <c r="X550" s="23" t="n">
        <f aca="false">IFERROR(INDEX(PODACI_PRODAJA!G:G,MATCH($A550,PODACI_PRODAJA!$A:$A,0)),0)</f>
        <v>0</v>
      </c>
      <c r="Y550" s="23" t="n">
        <f aca="false">IFERROR(INDEX(PODACI_PRODAJA!H:H,MATCH($A550,PODACI_PRODAJA!$A:$A,0)),0)</f>
        <v>0</v>
      </c>
      <c r="Z550" s="23" t="n">
        <f aca="false">IFERROR(INDEX(PODACI_PRODAJA!I:I,MATCH($A550,PODACI_PRODAJA!$A:$A,0)),0)</f>
        <v>0</v>
      </c>
      <c r="AA550" s="23" t="n">
        <f aca="false">IFERROR(INDEX(PODACI_PRODAJA!J:J,MATCH($A550,PODACI_PRODAJA!$A:$A,0)),0)</f>
        <v>0</v>
      </c>
      <c r="AB550" s="23" t="n">
        <f aca="false">IFERROR(INDEX(PODACI_PRODAJA!K:K,MATCH($A550,PODACI_PRODAJA!$A:$A,0)),0)</f>
        <v>0</v>
      </c>
      <c r="AC550" s="23" t="n">
        <f aca="false">IFERROR(INDEX(PODACI_PRODAJA!L:L,MATCH($A550,PODACI_PRODAJA!$A:$A,0)),0)</f>
        <v>0</v>
      </c>
      <c r="AD550" s="23" t="n">
        <f aca="false">IFERROR(INDEX(PODACI_PRODAJA!M:M,MATCH($A550,PODACI_PRODAJA!$A:$A,0)),0)</f>
        <v>0</v>
      </c>
    </row>
    <row r="551" customFormat="false" ht="15" hidden="false" customHeight="false" outlineLevel="0" collapsed="false">
      <c r="A551" s="11" t="str">
        <f aca="false">PODACI_ZALIHE!A548</f>
        <v>382820576</v>
      </c>
      <c r="B551" s="8" t="str">
        <f aca="false">PODACI_ZALIHE!B548</f>
        <v>KLUDI BOZZ MIJEŠALICA ZA UMIVAONIK, 100MM, KROM</v>
      </c>
      <c r="C551" s="9" t="str">
        <f aca="false">PODACI_ZALIHE!C548</f>
        <v>7485</v>
      </c>
      <c r="D551" s="8" t="str">
        <f aca="false">PODACI_ZALIHE!D548</f>
        <v>KLUDI GmbH &amp; Co. KG.,</v>
      </c>
      <c r="E551" s="19" t="n">
        <f aca="false">IF(PODACI_ZALIHE!E548="","",PODACI_ZALIHE!E548)</f>
        <v>3</v>
      </c>
      <c r="F551" s="20" t="n">
        <f aca="false">PODACI_ZALIHE!F548</f>
        <v>3</v>
      </c>
      <c r="G551" s="19" t="n">
        <f aca="false">IF(E551="","",E551-F551)</f>
        <v>0</v>
      </c>
      <c r="H551" s="9" t="n">
        <f aca="false">PODACI_PRODAJA!N768</f>
        <v>0</v>
      </c>
      <c r="I551" s="21" t="n">
        <f aca="false">IF(H551&lt;=0,999,ROUND(F551/H551,1))</f>
        <v>999</v>
      </c>
      <c r="J551" s="9" t="n">
        <f aca="false">SUMIFS(ROBA_U_DOLASKU!$C$6:$C$95,ROBA_U_DOLASKU!$A$6:$A$95,A551,ROBA_U_DOLASKU!$H$6:$H$95,1)</f>
        <v>0</v>
      </c>
      <c r="K551" s="9" t="n">
        <f aca="false">SUMIFS(ROBA_U_DOLASKU!$B$6:$B$95,ROBA_U_DOLASKU!$A$6:$A$95,A551,ROBA_U_DOLASKU!$H$6:$H$95,1)</f>
        <v>0</v>
      </c>
      <c r="L551" s="9" t="n">
        <f aca="false">SUMIFS(ROBA_U_DOLASKU!$C$6:$C$95,ROBA_U_DOLASKU!$A$6:$A$95,A551,ROBA_U_DOLASKU!$H$6:$H$95,2)</f>
        <v>0</v>
      </c>
      <c r="M551" s="9" t="n">
        <f aca="false">SUMIFS(ROBA_U_DOLASKU!$B$6:$B$95,ROBA_U_DOLASKU!$A$6:$A$95,A551,ROBA_U_DOLASKU!$H$6:$H$95,2)</f>
        <v>0</v>
      </c>
      <c r="N551" s="9" t="n">
        <f aca="false">SUMIFS(ROBA_U_DOLASKU!$C$6:$C$95,ROBA_U_DOLASKU!$A$6:$A$95,A551,ROBA_U_DOLASKU!$H$6:$H$95,3)</f>
        <v>0</v>
      </c>
      <c r="O551" s="9" t="n">
        <f aca="false">SUMIFS(ROBA_U_DOLASKU!$B$6:$B$95,ROBA_U_DOLASKU!$A$6:$A$95,A551,ROBA_U_DOLASKU!$H$6:$H$95,3)</f>
        <v>0</v>
      </c>
      <c r="P551" s="9" t="n">
        <f aca="false">IF(H551&lt;=0,999,IF(O551&gt;0,ROUND((F551-H551*N551+K551+M551+O551)/H551,1),IF(M551&gt;0,ROUND((F551-H551*L551+K551+M551)/H551,1),IF(K551&gt;0,ROUND((F551-H551*J551+K551)/H551,1),I551))))</f>
        <v>999</v>
      </c>
      <c r="Q551" s="22" t="str">
        <f aca="false">IF(H551&lt;=0,"Nema prodaje",IF(AND(K551=0,M551=0,O551=0),IF(I551&lt;POSTAVKE!$B$6,"Naruči odmah","Sve u redu"),IF(F551-H551*J551&lt;0,"Rupa za ~"&amp;TEXT(I551,"0.0")&amp;" mj.",IF(AND(M551&gt;0,F551-H551*L551+K551&lt;0),"Rupa nakon 1. dolaska",IF(AND(O551&gt;0,F551-H551*N551+K551+M551&lt;0),"Rupa nakon 2. dolaska",IF(P551&lt;POSTAVKE!$B$6,"Količina nije dovoljna",IF(I551&gt;=POSTAVKE!$B$6,"Sve u redu","Stiže na vrijeme")))))))</f>
        <v>Nema prodaje</v>
      </c>
      <c r="S551" s="23" t="n">
        <f aca="false">IFERROR(INDEX(PODACI_PRODAJA!B:B,MATCH($A551,PODACI_PRODAJA!$A:$A,0)),0)</f>
        <v>0</v>
      </c>
      <c r="T551" s="23" t="n">
        <f aca="false">IFERROR(INDEX(PODACI_PRODAJA!C:C,MATCH($A551,PODACI_PRODAJA!$A:$A,0)),0)</f>
        <v>0</v>
      </c>
      <c r="U551" s="23" t="n">
        <f aca="false">IFERROR(INDEX(PODACI_PRODAJA!D:D,MATCH($A551,PODACI_PRODAJA!$A:$A,0)),0)</f>
        <v>0</v>
      </c>
      <c r="V551" s="23" t="n">
        <f aca="false">IFERROR(INDEX(PODACI_PRODAJA!E:E,MATCH($A551,PODACI_PRODAJA!$A:$A,0)),0)</f>
        <v>0</v>
      </c>
      <c r="W551" s="23" t="n">
        <f aca="false">IFERROR(INDEX(PODACI_PRODAJA!F:F,MATCH($A551,PODACI_PRODAJA!$A:$A,0)),0)</f>
        <v>0</v>
      </c>
      <c r="X551" s="23" t="n">
        <f aca="false">IFERROR(INDEX(PODACI_PRODAJA!G:G,MATCH($A551,PODACI_PRODAJA!$A:$A,0)),0)</f>
        <v>0</v>
      </c>
      <c r="Y551" s="23" t="n">
        <f aca="false">IFERROR(INDEX(PODACI_PRODAJA!H:H,MATCH($A551,PODACI_PRODAJA!$A:$A,0)),0)</f>
        <v>0</v>
      </c>
      <c r="Z551" s="23" t="n">
        <f aca="false">IFERROR(INDEX(PODACI_PRODAJA!I:I,MATCH($A551,PODACI_PRODAJA!$A:$A,0)),0)</f>
        <v>0</v>
      </c>
      <c r="AA551" s="23" t="n">
        <f aca="false">IFERROR(INDEX(PODACI_PRODAJA!J:J,MATCH($A551,PODACI_PRODAJA!$A:$A,0)),0)</f>
        <v>0</v>
      </c>
      <c r="AB551" s="23" t="n">
        <f aca="false">IFERROR(INDEX(PODACI_PRODAJA!K:K,MATCH($A551,PODACI_PRODAJA!$A:$A,0)),0)</f>
        <v>0</v>
      </c>
      <c r="AC551" s="23" t="n">
        <f aca="false">IFERROR(INDEX(PODACI_PRODAJA!L:L,MATCH($A551,PODACI_PRODAJA!$A:$A,0)),0)</f>
        <v>0</v>
      </c>
      <c r="AD551" s="23" t="n">
        <f aca="false">IFERROR(INDEX(PODACI_PRODAJA!M:M,MATCH($A551,PODACI_PRODAJA!$A:$A,0)),0)</f>
        <v>0</v>
      </c>
    </row>
    <row r="552" customFormat="false" ht="15" hidden="false" customHeight="false" outlineLevel="0" collapsed="false">
      <c r="A552" s="11" t="str">
        <f aca="false">PODACI_ZALIHE!A549</f>
        <v>382860576</v>
      </c>
      <c r="B552" s="8" t="str">
        <f aca="false">PODACI_ZALIHE!B549</f>
        <v>KLUDI BOZZ MIJEŠALICA ZA UMIVAONIK, 240MM, KROM</v>
      </c>
      <c r="C552" s="9" t="str">
        <f aca="false">PODACI_ZALIHE!C549</f>
        <v>7485</v>
      </c>
      <c r="D552" s="8" t="str">
        <f aca="false">PODACI_ZALIHE!D549</f>
        <v>KLUDI GmbH &amp; Co. KG.,</v>
      </c>
      <c r="E552" s="19" t="n">
        <f aca="false">IF(PODACI_ZALIHE!E549="","",PODACI_ZALIHE!E549)</f>
        <v>3</v>
      </c>
      <c r="F552" s="20" t="n">
        <f aca="false">PODACI_ZALIHE!F549</f>
        <v>3</v>
      </c>
      <c r="G552" s="19" t="n">
        <f aca="false">IF(E552="","",E552-F552)</f>
        <v>0</v>
      </c>
      <c r="H552" s="9" t="n">
        <f aca="false">PODACI_PRODAJA!N769</f>
        <v>0</v>
      </c>
      <c r="I552" s="21" t="n">
        <f aca="false">IF(H552&lt;=0,999,ROUND(F552/H552,1))</f>
        <v>999</v>
      </c>
      <c r="J552" s="9" t="n">
        <f aca="false">SUMIFS(ROBA_U_DOLASKU!$C$6:$C$95,ROBA_U_DOLASKU!$A$6:$A$95,A552,ROBA_U_DOLASKU!$H$6:$H$95,1)</f>
        <v>0</v>
      </c>
      <c r="K552" s="9" t="n">
        <f aca="false">SUMIFS(ROBA_U_DOLASKU!$B$6:$B$95,ROBA_U_DOLASKU!$A$6:$A$95,A552,ROBA_U_DOLASKU!$H$6:$H$95,1)</f>
        <v>0</v>
      </c>
      <c r="L552" s="9" t="n">
        <f aca="false">SUMIFS(ROBA_U_DOLASKU!$C$6:$C$95,ROBA_U_DOLASKU!$A$6:$A$95,A552,ROBA_U_DOLASKU!$H$6:$H$95,2)</f>
        <v>0</v>
      </c>
      <c r="M552" s="9" t="n">
        <f aca="false">SUMIFS(ROBA_U_DOLASKU!$B$6:$B$95,ROBA_U_DOLASKU!$A$6:$A$95,A552,ROBA_U_DOLASKU!$H$6:$H$95,2)</f>
        <v>0</v>
      </c>
      <c r="N552" s="9" t="n">
        <f aca="false">SUMIFS(ROBA_U_DOLASKU!$C$6:$C$95,ROBA_U_DOLASKU!$A$6:$A$95,A552,ROBA_U_DOLASKU!$H$6:$H$95,3)</f>
        <v>0</v>
      </c>
      <c r="O552" s="9" t="n">
        <f aca="false">SUMIFS(ROBA_U_DOLASKU!$B$6:$B$95,ROBA_U_DOLASKU!$A$6:$A$95,A552,ROBA_U_DOLASKU!$H$6:$H$95,3)</f>
        <v>0</v>
      </c>
      <c r="P552" s="9" t="n">
        <f aca="false">IF(H552&lt;=0,999,IF(O552&gt;0,ROUND((F552-H552*N552+K552+M552+O552)/H552,1),IF(M552&gt;0,ROUND((F552-H552*L552+K552+M552)/H552,1),IF(K552&gt;0,ROUND((F552-H552*J552+K552)/H552,1),I552))))</f>
        <v>999</v>
      </c>
      <c r="Q552" s="22" t="str">
        <f aca="false">IF(H552&lt;=0,"Nema prodaje",IF(AND(K552=0,M552=0,O552=0),IF(I552&lt;POSTAVKE!$B$6,"Naruči odmah","Sve u redu"),IF(F552-H552*J552&lt;0,"Rupa za ~"&amp;TEXT(I552,"0.0")&amp;" mj.",IF(AND(M552&gt;0,F552-H552*L552+K552&lt;0),"Rupa nakon 1. dolaska",IF(AND(O552&gt;0,F552-H552*N552+K552+M552&lt;0),"Rupa nakon 2. dolaska",IF(P552&lt;POSTAVKE!$B$6,"Količina nije dovoljna",IF(I552&gt;=POSTAVKE!$B$6,"Sve u redu","Stiže na vrijeme")))))))</f>
        <v>Nema prodaje</v>
      </c>
      <c r="S552" s="23" t="n">
        <f aca="false">IFERROR(INDEX(PODACI_PRODAJA!B:B,MATCH($A552,PODACI_PRODAJA!$A:$A,0)),0)</f>
        <v>0</v>
      </c>
      <c r="T552" s="23" t="n">
        <f aca="false">IFERROR(INDEX(PODACI_PRODAJA!C:C,MATCH($A552,PODACI_PRODAJA!$A:$A,0)),0)</f>
        <v>0</v>
      </c>
      <c r="U552" s="23" t="n">
        <f aca="false">IFERROR(INDEX(PODACI_PRODAJA!D:D,MATCH($A552,PODACI_PRODAJA!$A:$A,0)),0)</f>
        <v>0</v>
      </c>
      <c r="V552" s="23" t="n">
        <f aca="false">IFERROR(INDEX(PODACI_PRODAJA!E:E,MATCH($A552,PODACI_PRODAJA!$A:$A,0)),0)</f>
        <v>0</v>
      </c>
      <c r="W552" s="23" t="n">
        <f aca="false">IFERROR(INDEX(PODACI_PRODAJA!F:F,MATCH($A552,PODACI_PRODAJA!$A:$A,0)),0)</f>
        <v>0</v>
      </c>
      <c r="X552" s="23" t="n">
        <f aca="false">IFERROR(INDEX(PODACI_PRODAJA!G:G,MATCH($A552,PODACI_PRODAJA!$A:$A,0)),0)</f>
        <v>0</v>
      </c>
      <c r="Y552" s="23" t="n">
        <f aca="false">IFERROR(INDEX(PODACI_PRODAJA!H:H,MATCH($A552,PODACI_PRODAJA!$A:$A,0)),0)</f>
        <v>0</v>
      </c>
      <c r="Z552" s="23" t="n">
        <f aca="false">IFERROR(INDEX(PODACI_PRODAJA!I:I,MATCH($A552,PODACI_PRODAJA!$A:$A,0)),0)</f>
        <v>0</v>
      </c>
      <c r="AA552" s="23" t="n">
        <f aca="false">IFERROR(INDEX(PODACI_PRODAJA!J:J,MATCH($A552,PODACI_PRODAJA!$A:$A,0)),0)</f>
        <v>0</v>
      </c>
      <c r="AB552" s="23" t="n">
        <f aca="false">IFERROR(INDEX(PODACI_PRODAJA!K:K,MATCH($A552,PODACI_PRODAJA!$A:$A,0)),0)</f>
        <v>0</v>
      </c>
      <c r="AC552" s="23" t="n">
        <f aca="false">IFERROR(INDEX(PODACI_PRODAJA!L:L,MATCH($A552,PODACI_PRODAJA!$A:$A,0)),0)</f>
        <v>0</v>
      </c>
      <c r="AD552" s="23" t="n">
        <f aca="false">IFERROR(INDEX(PODACI_PRODAJA!M:M,MATCH($A552,PODACI_PRODAJA!$A:$A,0)),0)</f>
        <v>0</v>
      </c>
    </row>
    <row r="553" customFormat="false" ht="15" hidden="false" customHeight="false" outlineLevel="0" collapsed="false">
      <c r="A553" s="11" t="str">
        <f aca="false">PODACI_ZALIHE!A550</f>
        <v>387590576</v>
      </c>
      <c r="B553" s="8" t="str">
        <f aca="false">PODACI_ZALIHE!B550</f>
        <v>KLUDI BOZZ PODŽBUKNA MIJEŠALICA ZA KADU I TUŠ, KROM</v>
      </c>
      <c r="C553" s="9" t="str">
        <f aca="false">PODACI_ZALIHE!C550</f>
        <v>7485</v>
      </c>
      <c r="D553" s="8" t="str">
        <f aca="false">PODACI_ZALIHE!D550</f>
        <v>KLUDI GmbH &amp; Co. KG.,</v>
      </c>
      <c r="E553" s="19" t="n">
        <f aca="false">IF(PODACI_ZALIHE!E550="","",PODACI_ZALIHE!E550)</f>
        <v>3</v>
      </c>
      <c r="F553" s="20" t="n">
        <f aca="false">PODACI_ZALIHE!F550</f>
        <v>3</v>
      </c>
      <c r="G553" s="19" t="n">
        <f aca="false">IF(E553="","",E553-F553)</f>
        <v>0</v>
      </c>
      <c r="H553" s="9" t="n">
        <f aca="false">PODACI_PRODAJA!N776</f>
        <v>0</v>
      </c>
      <c r="I553" s="21" t="n">
        <f aca="false">IF(H553&lt;=0,999,ROUND(F553/H553,1))</f>
        <v>999</v>
      </c>
      <c r="J553" s="9" t="n">
        <f aca="false">SUMIFS(ROBA_U_DOLASKU!$C$6:$C$95,ROBA_U_DOLASKU!$A$6:$A$95,A553,ROBA_U_DOLASKU!$H$6:$H$95,1)</f>
        <v>0</v>
      </c>
      <c r="K553" s="9" t="n">
        <f aca="false">SUMIFS(ROBA_U_DOLASKU!$B$6:$B$95,ROBA_U_DOLASKU!$A$6:$A$95,A553,ROBA_U_DOLASKU!$H$6:$H$95,1)</f>
        <v>0</v>
      </c>
      <c r="L553" s="9" t="n">
        <f aca="false">SUMIFS(ROBA_U_DOLASKU!$C$6:$C$95,ROBA_U_DOLASKU!$A$6:$A$95,A553,ROBA_U_DOLASKU!$H$6:$H$95,2)</f>
        <v>0</v>
      </c>
      <c r="M553" s="9" t="n">
        <f aca="false">SUMIFS(ROBA_U_DOLASKU!$B$6:$B$95,ROBA_U_DOLASKU!$A$6:$A$95,A553,ROBA_U_DOLASKU!$H$6:$H$95,2)</f>
        <v>0</v>
      </c>
      <c r="N553" s="9" t="n">
        <f aca="false">SUMIFS(ROBA_U_DOLASKU!$C$6:$C$95,ROBA_U_DOLASKU!$A$6:$A$95,A553,ROBA_U_DOLASKU!$H$6:$H$95,3)</f>
        <v>0</v>
      </c>
      <c r="O553" s="9" t="n">
        <f aca="false">SUMIFS(ROBA_U_DOLASKU!$B$6:$B$95,ROBA_U_DOLASKU!$A$6:$A$95,A553,ROBA_U_DOLASKU!$H$6:$H$95,3)</f>
        <v>0</v>
      </c>
      <c r="P553" s="9" t="n">
        <f aca="false">IF(H553&lt;=0,999,IF(O553&gt;0,ROUND((F553-H553*N553+K553+M553+O553)/H553,1),IF(M553&gt;0,ROUND((F553-H553*L553+K553+M553)/H553,1),IF(K553&gt;0,ROUND((F553-H553*J553+K553)/H553,1),I553))))</f>
        <v>999</v>
      </c>
      <c r="Q553" s="22" t="str">
        <f aca="false">IF(H553&lt;=0,"Nema prodaje",IF(AND(K553=0,M553=0,O553=0),IF(I553&lt;POSTAVKE!$B$6,"Naruči odmah","Sve u redu"),IF(F553-H553*J553&lt;0,"Rupa za ~"&amp;TEXT(I553,"0.0")&amp;" mj.",IF(AND(M553&gt;0,F553-H553*L553+K553&lt;0),"Rupa nakon 1. dolaska",IF(AND(O553&gt;0,F553-H553*N553+K553+M553&lt;0),"Rupa nakon 2. dolaska",IF(P553&lt;POSTAVKE!$B$6,"Količina nije dovoljna",IF(I553&gt;=POSTAVKE!$B$6,"Sve u redu","Stiže na vrijeme")))))))</f>
        <v>Nema prodaje</v>
      </c>
      <c r="S553" s="23" t="n">
        <f aca="false">IFERROR(INDEX(PODACI_PRODAJA!B:B,MATCH($A553,PODACI_PRODAJA!$A:$A,0)),0)</f>
        <v>0</v>
      </c>
      <c r="T553" s="23" t="n">
        <f aca="false">IFERROR(INDEX(PODACI_PRODAJA!C:C,MATCH($A553,PODACI_PRODAJA!$A:$A,0)),0)</f>
        <v>0</v>
      </c>
      <c r="U553" s="23" t="n">
        <f aca="false">IFERROR(INDEX(PODACI_PRODAJA!D:D,MATCH($A553,PODACI_PRODAJA!$A:$A,0)),0)</f>
        <v>0</v>
      </c>
      <c r="V553" s="23" t="n">
        <f aca="false">IFERROR(INDEX(PODACI_PRODAJA!E:E,MATCH($A553,PODACI_PRODAJA!$A:$A,0)),0)</f>
        <v>0</v>
      </c>
      <c r="W553" s="23" t="n">
        <f aca="false">IFERROR(INDEX(PODACI_PRODAJA!F:F,MATCH($A553,PODACI_PRODAJA!$A:$A,0)),0)</f>
        <v>0</v>
      </c>
      <c r="X553" s="23" t="n">
        <f aca="false">IFERROR(INDEX(PODACI_PRODAJA!G:G,MATCH($A553,PODACI_PRODAJA!$A:$A,0)),0)</f>
        <v>0</v>
      </c>
      <c r="Y553" s="23" t="n">
        <f aca="false">IFERROR(INDEX(PODACI_PRODAJA!H:H,MATCH($A553,PODACI_PRODAJA!$A:$A,0)),0)</f>
        <v>0</v>
      </c>
      <c r="Z553" s="23" t="n">
        <f aca="false">IFERROR(INDEX(PODACI_PRODAJA!I:I,MATCH($A553,PODACI_PRODAJA!$A:$A,0)),0)</f>
        <v>0</v>
      </c>
      <c r="AA553" s="23" t="n">
        <f aca="false">IFERROR(INDEX(PODACI_PRODAJA!J:J,MATCH($A553,PODACI_PRODAJA!$A:$A,0)),0)</f>
        <v>0</v>
      </c>
      <c r="AB553" s="23" t="n">
        <f aca="false">IFERROR(INDEX(PODACI_PRODAJA!K:K,MATCH($A553,PODACI_PRODAJA!$A:$A,0)),0)</f>
        <v>0</v>
      </c>
      <c r="AC553" s="23" t="n">
        <f aca="false">IFERROR(INDEX(PODACI_PRODAJA!L:L,MATCH($A553,PODACI_PRODAJA!$A:$A,0)),0)</f>
        <v>0</v>
      </c>
      <c r="AD553" s="23" t="n">
        <f aca="false">IFERROR(INDEX(PODACI_PRODAJA!M:M,MATCH($A553,PODACI_PRODAJA!$A:$A,0)),0)</f>
        <v>0</v>
      </c>
    </row>
    <row r="554" customFormat="false" ht="15" hidden="false" customHeight="false" outlineLevel="0" collapsed="false">
      <c r="A554" s="11" t="str">
        <f aca="false">PODACI_ZALIHE!A551</f>
        <v>389980576</v>
      </c>
      <c r="B554" s="8" t="str">
        <f aca="false">PODACI_ZALIHE!B551</f>
        <v>KLUDI BOZZ HIGIJENSKI SET ZA PODŽBUKNU INSTALACIJU</v>
      </c>
      <c r="C554" s="9" t="str">
        <f aca="false">PODACI_ZALIHE!C551</f>
        <v>7485</v>
      </c>
      <c r="D554" s="8" t="str">
        <f aca="false">PODACI_ZALIHE!D551</f>
        <v>KLUDI GmbH &amp; Co. KG.,</v>
      </c>
      <c r="E554" s="19" t="n">
        <f aca="false">IF(PODACI_ZALIHE!E551="","",PODACI_ZALIHE!E551)</f>
        <v>3</v>
      </c>
      <c r="F554" s="20" t="n">
        <f aca="false">PODACI_ZALIHE!F551</f>
        <v>3</v>
      </c>
      <c r="G554" s="19" t="n">
        <f aca="false">IF(E554="","",E554-F554)</f>
        <v>0</v>
      </c>
      <c r="H554" s="9" t="n">
        <f aca="false">PODACI_PRODAJA!N777</f>
        <v>0</v>
      </c>
      <c r="I554" s="21" t="n">
        <f aca="false">IF(H554&lt;=0,999,ROUND(F554/H554,1))</f>
        <v>999</v>
      </c>
      <c r="J554" s="9" t="n">
        <f aca="false">SUMIFS(ROBA_U_DOLASKU!$C$6:$C$95,ROBA_U_DOLASKU!$A$6:$A$95,A554,ROBA_U_DOLASKU!$H$6:$H$95,1)</f>
        <v>0</v>
      </c>
      <c r="K554" s="9" t="n">
        <f aca="false">SUMIFS(ROBA_U_DOLASKU!$B$6:$B$95,ROBA_U_DOLASKU!$A$6:$A$95,A554,ROBA_U_DOLASKU!$H$6:$H$95,1)</f>
        <v>0</v>
      </c>
      <c r="L554" s="9" t="n">
        <f aca="false">SUMIFS(ROBA_U_DOLASKU!$C$6:$C$95,ROBA_U_DOLASKU!$A$6:$A$95,A554,ROBA_U_DOLASKU!$H$6:$H$95,2)</f>
        <v>0</v>
      </c>
      <c r="M554" s="9" t="n">
        <f aca="false">SUMIFS(ROBA_U_DOLASKU!$B$6:$B$95,ROBA_U_DOLASKU!$A$6:$A$95,A554,ROBA_U_DOLASKU!$H$6:$H$95,2)</f>
        <v>0</v>
      </c>
      <c r="N554" s="9" t="n">
        <f aca="false">SUMIFS(ROBA_U_DOLASKU!$C$6:$C$95,ROBA_U_DOLASKU!$A$6:$A$95,A554,ROBA_U_DOLASKU!$H$6:$H$95,3)</f>
        <v>0</v>
      </c>
      <c r="O554" s="9" t="n">
        <f aca="false">SUMIFS(ROBA_U_DOLASKU!$B$6:$B$95,ROBA_U_DOLASKU!$A$6:$A$95,A554,ROBA_U_DOLASKU!$H$6:$H$95,3)</f>
        <v>0</v>
      </c>
      <c r="P554" s="9" t="n">
        <f aca="false">IF(H554&lt;=0,999,IF(O554&gt;0,ROUND((F554-H554*N554+K554+M554+O554)/H554,1),IF(M554&gt;0,ROUND((F554-H554*L554+K554+M554)/H554,1),IF(K554&gt;0,ROUND((F554-H554*J554+K554)/H554,1),I554))))</f>
        <v>999</v>
      </c>
      <c r="Q554" s="22" t="str">
        <f aca="false">IF(H554&lt;=0,"Nema prodaje",IF(AND(K554=0,M554=0,O554=0),IF(I554&lt;POSTAVKE!$B$6,"Naruči odmah","Sve u redu"),IF(F554-H554*J554&lt;0,"Rupa za ~"&amp;TEXT(I554,"0.0")&amp;" mj.",IF(AND(M554&gt;0,F554-H554*L554+K554&lt;0),"Rupa nakon 1. dolaska",IF(AND(O554&gt;0,F554-H554*N554+K554+M554&lt;0),"Rupa nakon 2. dolaska",IF(P554&lt;POSTAVKE!$B$6,"Količina nije dovoljna",IF(I554&gt;=POSTAVKE!$B$6,"Sve u redu","Stiže na vrijeme")))))))</f>
        <v>Nema prodaje</v>
      </c>
      <c r="S554" s="23" t="n">
        <f aca="false">IFERROR(INDEX(PODACI_PRODAJA!B:B,MATCH($A554,PODACI_PRODAJA!$A:$A,0)),0)</f>
        <v>0</v>
      </c>
      <c r="T554" s="23" t="n">
        <f aca="false">IFERROR(INDEX(PODACI_PRODAJA!C:C,MATCH($A554,PODACI_PRODAJA!$A:$A,0)),0)</f>
        <v>0</v>
      </c>
      <c r="U554" s="23" t="n">
        <f aca="false">IFERROR(INDEX(PODACI_PRODAJA!D:D,MATCH($A554,PODACI_PRODAJA!$A:$A,0)),0)</f>
        <v>0</v>
      </c>
      <c r="V554" s="23" t="n">
        <f aca="false">IFERROR(INDEX(PODACI_PRODAJA!E:E,MATCH($A554,PODACI_PRODAJA!$A:$A,0)),0)</f>
        <v>0</v>
      </c>
      <c r="W554" s="23" t="n">
        <f aca="false">IFERROR(INDEX(PODACI_PRODAJA!F:F,MATCH($A554,PODACI_PRODAJA!$A:$A,0)),0)</f>
        <v>0</v>
      </c>
      <c r="X554" s="23" t="n">
        <f aca="false">IFERROR(INDEX(PODACI_PRODAJA!G:G,MATCH($A554,PODACI_PRODAJA!$A:$A,0)),0)</f>
        <v>0</v>
      </c>
      <c r="Y554" s="23" t="n">
        <f aca="false">IFERROR(INDEX(PODACI_PRODAJA!H:H,MATCH($A554,PODACI_PRODAJA!$A:$A,0)),0)</f>
        <v>0</v>
      </c>
      <c r="Z554" s="23" t="n">
        <f aca="false">IFERROR(INDEX(PODACI_PRODAJA!I:I,MATCH($A554,PODACI_PRODAJA!$A:$A,0)),0)</f>
        <v>0</v>
      </c>
      <c r="AA554" s="23" t="n">
        <f aca="false">IFERROR(INDEX(PODACI_PRODAJA!J:J,MATCH($A554,PODACI_PRODAJA!$A:$A,0)),0)</f>
        <v>0</v>
      </c>
      <c r="AB554" s="23" t="n">
        <f aca="false">IFERROR(INDEX(PODACI_PRODAJA!K:K,MATCH($A554,PODACI_PRODAJA!$A:$A,0)),0)</f>
        <v>0</v>
      </c>
      <c r="AC554" s="23" t="n">
        <f aca="false">IFERROR(INDEX(PODACI_PRODAJA!L:L,MATCH($A554,PODACI_PRODAJA!$A:$A,0)),0)</f>
        <v>0</v>
      </c>
      <c r="AD554" s="23" t="n">
        <f aca="false">IFERROR(INDEX(PODACI_PRODAJA!M:M,MATCH($A554,PODACI_PRODAJA!$A:$A,0)),0)</f>
        <v>0</v>
      </c>
    </row>
    <row r="555" customFormat="false" ht="15" hidden="false" customHeight="false" outlineLevel="0" collapsed="false">
      <c r="A555" s="11" t="str">
        <f aca="false">PODACI_ZALIHE!A552</f>
        <v>406810575</v>
      </c>
      <c r="B555" s="8" t="str">
        <f aca="false">PODACI_ZALIHE!B552</f>
        <v>KLUDI PURE&amp;STYLE MIJEŠALICA ZA KADU I TUŠ, KROM</v>
      </c>
      <c r="C555" s="9" t="str">
        <f aca="false">PODACI_ZALIHE!C552</f>
        <v>7485</v>
      </c>
      <c r="D555" s="8" t="str">
        <f aca="false">PODACI_ZALIHE!D552</f>
        <v>KLUDI GmbH &amp; Co. KG.,</v>
      </c>
      <c r="E555" s="19" t="n">
        <f aca="false">IF(PODACI_ZALIHE!E552="","",PODACI_ZALIHE!E552)</f>
        <v>3</v>
      </c>
      <c r="F555" s="20" t="n">
        <f aca="false">PODACI_ZALIHE!F552</f>
        <v>3</v>
      </c>
      <c r="G555" s="19" t="n">
        <f aca="false">IF(E555="","",E555-F555)</f>
        <v>0</v>
      </c>
      <c r="H555" s="9" t="n">
        <f aca="false">PODACI_PRODAJA!N781</f>
        <v>0</v>
      </c>
      <c r="I555" s="21" t="n">
        <f aca="false">IF(H555&lt;=0,999,ROUND(F555/H555,1))</f>
        <v>999</v>
      </c>
      <c r="J555" s="9" t="n">
        <f aca="false">SUMIFS(ROBA_U_DOLASKU!$C$6:$C$95,ROBA_U_DOLASKU!$A$6:$A$95,A555,ROBA_U_DOLASKU!$H$6:$H$95,1)</f>
        <v>0</v>
      </c>
      <c r="K555" s="9" t="n">
        <f aca="false">SUMIFS(ROBA_U_DOLASKU!$B$6:$B$95,ROBA_U_DOLASKU!$A$6:$A$95,A555,ROBA_U_DOLASKU!$H$6:$H$95,1)</f>
        <v>0</v>
      </c>
      <c r="L555" s="9" t="n">
        <f aca="false">SUMIFS(ROBA_U_DOLASKU!$C$6:$C$95,ROBA_U_DOLASKU!$A$6:$A$95,A555,ROBA_U_DOLASKU!$H$6:$H$95,2)</f>
        <v>0</v>
      </c>
      <c r="M555" s="9" t="n">
        <f aca="false">SUMIFS(ROBA_U_DOLASKU!$B$6:$B$95,ROBA_U_DOLASKU!$A$6:$A$95,A555,ROBA_U_DOLASKU!$H$6:$H$95,2)</f>
        <v>0</v>
      </c>
      <c r="N555" s="9" t="n">
        <f aca="false">SUMIFS(ROBA_U_DOLASKU!$C$6:$C$95,ROBA_U_DOLASKU!$A$6:$A$95,A555,ROBA_U_DOLASKU!$H$6:$H$95,3)</f>
        <v>0</v>
      </c>
      <c r="O555" s="9" t="n">
        <f aca="false">SUMIFS(ROBA_U_DOLASKU!$B$6:$B$95,ROBA_U_DOLASKU!$A$6:$A$95,A555,ROBA_U_DOLASKU!$H$6:$H$95,3)</f>
        <v>0</v>
      </c>
      <c r="P555" s="9" t="n">
        <f aca="false">IF(H555&lt;=0,999,IF(O555&gt;0,ROUND((F555-H555*N555+K555+M555+O555)/H555,1),IF(M555&gt;0,ROUND((F555-H555*L555+K555+M555)/H555,1),IF(K555&gt;0,ROUND((F555-H555*J555+K555)/H555,1),I555))))</f>
        <v>999</v>
      </c>
      <c r="Q555" s="22" t="str">
        <f aca="false">IF(H555&lt;=0,"Nema prodaje",IF(AND(K555=0,M555=0,O555=0),IF(I555&lt;POSTAVKE!$B$6,"Naruči odmah","Sve u redu"),IF(F555-H555*J555&lt;0,"Rupa za ~"&amp;TEXT(I555,"0.0")&amp;" mj.",IF(AND(M555&gt;0,F555-H555*L555+K555&lt;0),"Rupa nakon 1. dolaska",IF(AND(O555&gt;0,F555-H555*N555+K555+M555&lt;0),"Rupa nakon 2. dolaska",IF(P555&lt;POSTAVKE!$B$6,"Količina nije dovoljna",IF(I555&gt;=POSTAVKE!$B$6,"Sve u redu","Stiže na vrijeme")))))))</f>
        <v>Nema prodaje</v>
      </c>
      <c r="S555" s="23" t="n">
        <f aca="false">IFERROR(INDEX(PODACI_PRODAJA!B:B,MATCH($A555,PODACI_PRODAJA!$A:$A,0)),0)</f>
        <v>0</v>
      </c>
      <c r="T555" s="23" t="n">
        <f aca="false">IFERROR(INDEX(PODACI_PRODAJA!C:C,MATCH($A555,PODACI_PRODAJA!$A:$A,0)),0)</f>
        <v>0</v>
      </c>
      <c r="U555" s="23" t="n">
        <f aca="false">IFERROR(INDEX(PODACI_PRODAJA!D:D,MATCH($A555,PODACI_PRODAJA!$A:$A,0)),0)</f>
        <v>0</v>
      </c>
      <c r="V555" s="23" t="n">
        <f aca="false">IFERROR(INDEX(PODACI_PRODAJA!E:E,MATCH($A555,PODACI_PRODAJA!$A:$A,0)),0)</f>
        <v>0</v>
      </c>
      <c r="W555" s="23" t="n">
        <f aca="false">IFERROR(INDEX(PODACI_PRODAJA!F:F,MATCH($A555,PODACI_PRODAJA!$A:$A,0)),0)</f>
        <v>0</v>
      </c>
      <c r="X555" s="23" t="n">
        <f aca="false">IFERROR(INDEX(PODACI_PRODAJA!G:G,MATCH($A555,PODACI_PRODAJA!$A:$A,0)),0)</f>
        <v>0</v>
      </c>
      <c r="Y555" s="23" t="n">
        <f aca="false">IFERROR(INDEX(PODACI_PRODAJA!H:H,MATCH($A555,PODACI_PRODAJA!$A:$A,0)),0)</f>
        <v>0</v>
      </c>
      <c r="Z555" s="23" t="n">
        <f aca="false">IFERROR(INDEX(PODACI_PRODAJA!I:I,MATCH($A555,PODACI_PRODAJA!$A:$A,0)),0)</f>
        <v>0</v>
      </c>
      <c r="AA555" s="23" t="n">
        <f aca="false">IFERROR(INDEX(PODACI_PRODAJA!J:J,MATCH($A555,PODACI_PRODAJA!$A:$A,0)),0)</f>
        <v>0</v>
      </c>
      <c r="AB555" s="23" t="n">
        <f aca="false">IFERROR(INDEX(PODACI_PRODAJA!K:K,MATCH($A555,PODACI_PRODAJA!$A:$A,0)),0)</f>
        <v>0</v>
      </c>
      <c r="AC555" s="23" t="n">
        <f aca="false">IFERROR(INDEX(PODACI_PRODAJA!L:L,MATCH($A555,PODACI_PRODAJA!$A:$A,0)),0)</f>
        <v>0</v>
      </c>
      <c r="AD555" s="23" t="n">
        <f aca="false">IFERROR(INDEX(PODACI_PRODAJA!M:M,MATCH($A555,PODACI_PRODAJA!$A:$A,0)),0)</f>
        <v>0</v>
      </c>
    </row>
    <row r="556" customFormat="false" ht="15" hidden="false" customHeight="false" outlineLevel="0" collapsed="false">
      <c r="A556" s="11" t="str">
        <f aca="false">PODACI_ZALIHE!A553</f>
        <v>407590575</v>
      </c>
      <c r="B556" s="8" t="str">
        <f aca="false">PODACI_ZALIHE!B553</f>
        <v>KLUDI PURE&amp;STYLE MIJEŠALICA PODŽBUKNA ZA KADU I TUŠ, KROM</v>
      </c>
      <c r="C556" s="9" t="str">
        <f aca="false">PODACI_ZALIHE!C553</f>
        <v>7485</v>
      </c>
      <c r="D556" s="8" t="str">
        <f aca="false">PODACI_ZALIHE!D553</f>
        <v>KLUDI GmbH &amp; Co. KG.,</v>
      </c>
      <c r="E556" s="19" t="n">
        <f aca="false">IF(PODACI_ZALIHE!E553="","",PODACI_ZALIHE!E553)</f>
        <v>3</v>
      </c>
      <c r="F556" s="20" t="n">
        <f aca="false">PODACI_ZALIHE!F553</f>
        <v>3</v>
      </c>
      <c r="G556" s="19" t="n">
        <f aca="false">IF(E556="","",E556-F556)</f>
        <v>0</v>
      </c>
      <c r="H556" s="9" t="n">
        <f aca="false">PODACI_PRODAJA!N782</f>
        <v>0</v>
      </c>
      <c r="I556" s="21" t="n">
        <f aca="false">IF(H556&lt;=0,999,ROUND(F556/H556,1))</f>
        <v>999</v>
      </c>
      <c r="J556" s="9" t="n">
        <f aca="false">SUMIFS(ROBA_U_DOLASKU!$C$6:$C$95,ROBA_U_DOLASKU!$A$6:$A$95,A556,ROBA_U_DOLASKU!$H$6:$H$95,1)</f>
        <v>0</v>
      </c>
      <c r="K556" s="9" t="n">
        <f aca="false">SUMIFS(ROBA_U_DOLASKU!$B$6:$B$95,ROBA_U_DOLASKU!$A$6:$A$95,A556,ROBA_U_DOLASKU!$H$6:$H$95,1)</f>
        <v>0</v>
      </c>
      <c r="L556" s="9" t="n">
        <f aca="false">SUMIFS(ROBA_U_DOLASKU!$C$6:$C$95,ROBA_U_DOLASKU!$A$6:$A$95,A556,ROBA_U_DOLASKU!$H$6:$H$95,2)</f>
        <v>0</v>
      </c>
      <c r="M556" s="9" t="n">
        <f aca="false">SUMIFS(ROBA_U_DOLASKU!$B$6:$B$95,ROBA_U_DOLASKU!$A$6:$A$95,A556,ROBA_U_DOLASKU!$H$6:$H$95,2)</f>
        <v>0</v>
      </c>
      <c r="N556" s="9" t="n">
        <f aca="false">SUMIFS(ROBA_U_DOLASKU!$C$6:$C$95,ROBA_U_DOLASKU!$A$6:$A$95,A556,ROBA_U_DOLASKU!$H$6:$H$95,3)</f>
        <v>0</v>
      </c>
      <c r="O556" s="9" t="n">
        <f aca="false">SUMIFS(ROBA_U_DOLASKU!$B$6:$B$95,ROBA_U_DOLASKU!$A$6:$A$95,A556,ROBA_U_DOLASKU!$H$6:$H$95,3)</f>
        <v>0</v>
      </c>
      <c r="P556" s="9" t="n">
        <f aca="false">IF(H556&lt;=0,999,IF(O556&gt;0,ROUND((F556-H556*N556+K556+M556+O556)/H556,1),IF(M556&gt;0,ROUND((F556-H556*L556+K556+M556)/H556,1),IF(K556&gt;0,ROUND((F556-H556*J556+K556)/H556,1),I556))))</f>
        <v>999</v>
      </c>
      <c r="Q556" s="22" t="str">
        <f aca="false">IF(H556&lt;=0,"Nema prodaje",IF(AND(K556=0,M556=0,O556=0),IF(I556&lt;POSTAVKE!$B$6,"Naruči odmah","Sve u redu"),IF(F556-H556*J556&lt;0,"Rupa za ~"&amp;TEXT(I556,"0.0")&amp;" mj.",IF(AND(M556&gt;0,F556-H556*L556+K556&lt;0),"Rupa nakon 1. dolaska",IF(AND(O556&gt;0,F556-H556*N556+K556+M556&lt;0),"Rupa nakon 2. dolaska",IF(P556&lt;POSTAVKE!$B$6,"Količina nije dovoljna",IF(I556&gt;=POSTAVKE!$B$6,"Sve u redu","Stiže na vrijeme")))))))</f>
        <v>Nema prodaje</v>
      </c>
      <c r="S556" s="23" t="n">
        <f aca="false">IFERROR(INDEX(PODACI_PRODAJA!B:B,MATCH($A556,PODACI_PRODAJA!$A:$A,0)),0)</f>
        <v>0</v>
      </c>
      <c r="T556" s="23" t="n">
        <f aca="false">IFERROR(INDEX(PODACI_PRODAJA!C:C,MATCH($A556,PODACI_PRODAJA!$A:$A,0)),0)</f>
        <v>0</v>
      </c>
      <c r="U556" s="23" t="n">
        <f aca="false">IFERROR(INDEX(PODACI_PRODAJA!D:D,MATCH($A556,PODACI_PRODAJA!$A:$A,0)),0)</f>
        <v>0</v>
      </c>
      <c r="V556" s="23" t="n">
        <f aca="false">IFERROR(INDEX(PODACI_PRODAJA!E:E,MATCH($A556,PODACI_PRODAJA!$A:$A,0)),0)</f>
        <v>0</v>
      </c>
      <c r="W556" s="23" t="n">
        <f aca="false">IFERROR(INDEX(PODACI_PRODAJA!F:F,MATCH($A556,PODACI_PRODAJA!$A:$A,0)),0)</f>
        <v>0</v>
      </c>
      <c r="X556" s="23" t="n">
        <f aca="false">IFERROR(INDEX(PODACI_PRODAJA!G:G,MATCH($A556,PODACI_PRODAJA!$A:$A,0)),0)</f>
        <v>0</v>
      </c>
      <c r="Y556" s="23" t="n">
        <f aca="false">IFERROR(INDEX(PODACI_PRODAJA!H:H,MATCH($A556,PODACI_PRODAJA!$A:$A,0)),0)</f>
        <v>0</v>
      </c>
      <c r="Z556" s="23" t="n">
        <f aca="false">IFERROR(INDEX(PODACI_PRODAJA!I:I,MATCH($A556,PODACI_PRODAJA!$A:$A,0)),0)</f>
        <v>0</v>
      </c>
      <c r="AA556" s="23" t="n">
        <f aca="false">IFERROR(INDEX(PODACI_PRODAJA!J:J,MATCH($A556,PODACI_PRODAJA!$A:$A,0)),0)</f>
        <v>0</v>
      </c>
      <c r="AB556" s="23" t="n">
        <f aca="false">IFERROR(INDEX(PODACI_PRODAJA!K:K,MATCH($A556,PODACI_PRODAJA!$A:$A,0)),0)</f>
        <v>0</v>
      </c>
      <c r="AC556" s="23" t="n">
        <f aca="false">IFERROR(INDEX(PODACI_PRODAJA!L:L,MATCH($A556,PODACI_PRODAJA!$A:$A,0)),0)</f>
        <v>0</v>
      </c>
      <c r="AD556" s="23" t="n">
        <f aca="false">IFERROR(INDEX(PODACI_PRODAJA!M:M,MATCH($A556,PODACI_PRODAJA!$A:$A,0)),0)</f>
        <v>0</v>
      </c>
    </row>
    <row r="557" customFormat="false" ht="15" hidden="false" customHeight="false" outlineLevel="0" collapsed="false">
      <c r="A557" s="11" t="str">
        <f aca="false">PODACI_ZALIHE!A554</f>
        <v>422440575</v>
      </c>
      <c r="B557" s="8" t="str">
        <f aca="false">PODACI_ZALIHE!B554</f>
        <v>KLUDI RENON PODŽBUKNA ZIDNA MIJEŠALICA ZA UMIVAONIK,KROM</v>
      </c>
      <c r="C557" s="9" t="str">
        <f aca="false">PODACI_ZALIHE!C554</f>
        <v>7485</v>
      </c>
      <c r="D557" s="8" t="str">
        <f aca="false">PODACI_ZALIHE!D554</f>
        <v>KLUDI GmbH &amp; Co. KG.,</v>
      </c>
      <c r="E557" s="19" t="n">
        <f aca="false">IF(PODACI_ZALIHE!E554="","",PODACI_ZALIHE!E554)</f>
        <v>3</v>
      </c>
      <c r="F557" s="20" t="n">
        <f aca="false">PODACI_ZALIHE!F554</f>
        <v>3</v>
      </c>
      <c r="G557" s="19" t="n">
        <f aca="false">IF(E557="","",E557-F557)</f>
        <v>0</v>
      </c>
      <c r="H557" s="9" t="n">
        <f aca="false">PODACI_PRODAJA!N783</f>
        <v>0</v>
      </c>
      <c r="I557" s="21" t="n">
        <f aca="false">IF(H557&lt;=0,999,ROUND(F557/H557,1))</f>
        <v>999</v>
      </c>
      <c r="J557" s="9" t="n">
        <f aca="false">SUMIFS(ROBA_U_DOLASKU!$C$6:$C$95,ROBA_U_DOLASKU!$A$6:$A$95,A557,ROBA_U_DOLASKU!$H$6:$H$95,1)</f>
        <v>0</v>
      </c>
      <c r="K557" s="9" t="n">
        <f aca="false">SUMIFS(ROBA_U_DOLASKU!$B$6:$B$95,ROBA_U_DOLASKU!$A$6:$A$95,A557,ROBA_U_DOLASKU!$H$6:$H$95,1)</f>
        <v>0</v>
      </c>
      <c r="L557" s="9" t="n">
        <f aca="false">SUMIFS(ROBA_U_DOLASKU!$C$6:$C$95,ROBA_U_DOLASKU!$A$6:$A$95,A557,ROBA_U_DOLASKU!$H$6:$H$95,2)</f>
        <v>0</v>
      </c>
      <c r="M557" s="9" t="n">
        <f aca="false">SUMIFS(ROBA_U_DOLASKU!$B$6:$B$95,ROBA_U_DOLASKU!$A$6:$A$95,A557,ROBA_U_DOLASKU!$H$6:$H$95,2)</f>
        <v>0</v>
      </c>
      <c r="N557" s="9" t="n">
        <f aca="false">SUMIFS(ROBA_U_DOLASKU!$C$6:$C$95,ROBA_U_DOLASKU!$A$6:$A$95,A557,ROBA_U_DOLASKU!$H$6:$H$95,3)</f>
        <v>0</v>
      </c>
      <c r="O557" s="9" t="n">
        <f aca="false">SUMIFS(ROBA_U_DOLASKU!$B$6:$B$95,ROBA_U_DOLASKU!$A$6:$A$95,A557,ROBA_U_DOLASKU!$H$6:$H$95,3)</f>
        <v>0</v>
      </c>
      <c r="P557" s="9" t="n">
        <f aca="false">IF(H557&lt;=0,999,IF(O557&gt;0,ROUND((F557-H557*N557+K557+M557+O557)/H557,1),IF(M557&gt;0,ROUND((F557-H557*L557+K557+M557)/H557,1),IF(K557&gt;0,ROUND((F557-H557*J557+K557)/H557,1),I557))))</f>
        <v>999</v>
      </c>
      <c r="Q557" s="22" t="str">
        <f aca="false">IF(H557&lt;=0,"Nema prodaje",IF(AND(K557=0,M557=0,O557=0),IF(I557&lt;POSTAVKE!$B$6,"Naruči odmah","Sve u redu"),IF(F557-H557*J557&lt;0,"Rupa za ~"&amp;TEXT(I557,"0.0")&amp;" mj.",IF(AND(M557&gt;0,F557-H557*L557+K557&lt;0),"Rupa nakon 1. dolaska",IF(AND(O557&gt;0,F557-H557*N557+K557+M557&lt;0),"Rupa nakon 2. dolaska",IF(P557&lt;POSTAVKE!$B$6,"Količina nije dovoljna",IF(I557&gt;=POSTAVKE!$B$6,"Sve u redu","Stiže na vrijeme")))))))</f>
        <v>Nema prodaje</v>
      </c>
      <c r="S557" s="23" t="n">
        <f aca="false">IFERROR(INDEX(PODACI_PRODAJA!B:B,MATCH($A557,PODACI_PRODAJA!$A:$A,0)),0)</f>
        <v>0</v>
      </c>
      <c r="T557" s="23" t="n">
        <f aca="false">IFERROR(INDEX(PODACI_PRODAJA!C:C,MATCH($A557,PODACI_PRODAJA!$A:$A,0)),0)</f>
        <v>0</v>
      </c>
      <c r="U557" s="23" t="n">
        <f aca="false">IFERROR(INDEX(PODACI_PRODAJA!D:D,MATCH($A557,PODACI_PRODAJA!$A:$A,0)),0)</f>
        <v>0</v>
      </c>
      <c r="V557" s="23" t="n">
        <f aca="false">IFERROR(INDEX(PODACI_PRODAJA!E:E,MATCH($A557,PODACI_PRODAJA!$A:$A,0)),0)</f>
        <v>0</v>
      </c>
      <c r="W557" s="23" t="n">
        <f aca="false">IFERROR(INDEX(PODACI_PRODAJA!F:F,MATCH($A557,PODACI_PRODAJA!$A:$A,0)),0)</f>
        <v>0</v>
      </c>
      <c r="X557" s="23" t="n">
        <f aca="false">IFERROR(INDEX(PODACI_PRODAJA!G:G,MATCH($A557,PODACI_PRODAJA!$A:$A,0)),0)</f>
        <v>0</v>
      </c>
      <c r="Y557" s="23" t="n">
        <f aca="false">IFERROR(INDEX(PODACI_PRODAJA!H:H,MATCH($A557,PODACI_PRODAJA!$A:$A,0)),0)</f>
        <v>0</v>
      </c>
      <c r="Z557" s="23" t="n">
        <f aca="false">IFERROR(INDEX(PODACI_PRODAJA!I:I,MATCH($A557,PODACI_PRODAJA!$A:$A,0)),0)</f>
        <v>0</v>
      </c>
      <c r="AA557" s="23" t="n">
        <f aca="false">IFERROR(INDEX(PODACI_PRODAJA!J:J,MATCH($A557,PODACI_PRODAJA!$A:$A,0)),0)</f>
        <v>0</v>
      </c>
      <c r="AB557" s="23" t="n">
        <f aca="false">IFERROR(INDEX(PODACI_PRODAJA!K:K,MATCH($A557,PODACI_PRODAJA!$A:$A,0)),0)</f>
        <v>0</v>
      </c>
      <c r="AC557" s="23" t="n">
        <f aca="false">IFERROR(INDEX(PODACI_PRODAJA!L:L,MATCH($A557,PODACI_PRODAJA!$A:$A,0)),0)</f>
        <v>0</v>
      </c>
      <c r="AD557" s="23" t="n">
        <f aca="false">IFERROR(INDEX(PODACI_PRODAJA!M:M,MATCH($A557,PODACI_PRODAJA!$A:$A,0)),0)</f>
        <v>0</v>
      </c>
    </row>
    <row r="558" customFormat="false" ht="15" hidden="false" customHeight="false" outlineLevel="0" collapsed="false">
      <c r="A558" s="11" t="str">
        <f aca="false">PODACI_ZALIHE!A555</f>
        <v>422980575</v>
      </c>
      <c r="B558" s="8" t="str">
        <f aca="false">PODACI_ZALIHE!B555</f>
        <v>KLUDI RENON MIJEŠALICA ZA UMIVAONIK, 240MM, KROM</v>
      </c>
      <c r="C558" s="9" t="str">
        <f aca="false">PODACI_ZALIHE!C555</f>
        <v>7485</v>
      </c>
      <c r="D558" s="8" t="str">
        <f aca="false">PODACI_ZALIHE!D555</f>
        <v>KLUDI GmbH &amp; Co. KG.,</v>
      </c>
      <c r="E558" s="19" t="n">
        <f aca="false">IF(PODACI_ZALIHE!E555="","",PODACI_ZALIHE!E555)</f>
        <v>3</v>
      </c>
      <c r="F558" s="20" t="n">
        <f aca="false">PODACI_ZALIHE!F555</f>
        <v>3</v>
      </c>
      <c r="G558" s="19" t="n">
        <f aca="false">IF(E558="","",E558-F558)</f>
        <v>0</v>
      </c>
      <c r="H558" s="9" t="n">
        <f aca="false">PODACI_PRODAJA!N794</f>
        <v>0</v>
      </c>
      <c r="I558" s="21" t="n">
        <f aca="false">IF(H558&lt;=0,999,ROUND(F558/H558,1))</f>
        <v>999</v>
      </c>
      <c r="J558" s="9" t="n">
        <f aca="false">SUMIFS(ROBA_U_DOLASKU!$C$6:$C$95,ROBA_U_DOLASKU!$A$6:$A$95,A558,ROBA_U_DOLASKU!$H$6:$H$95,1)</f>
        <v>0</v>
      </c>
      <c r="K558" s="9" t="n">
        <f aca="false">SUMIFS(ROBA_U_DOLASKU!$B$6:$B$95,ROBA_U_DOLASKU!$A$6:$A$95,A558,ROBA_U_DOLASKU!$H$6:$H$95,1)</f>
        <v>0</v>
      </c>
      <c r="L558" s="9" t="n">
        <f aca="false">SUMIFS(ROBA_U_DOLASKU!$C$6:$C$95,ROBA_U_DOLASKU!$A$6:$A$95,A558,ROBA_U_DOLASKU!$H$6:$H$95,2)</f>
        <v>0</v>
      </c>
      <c r="M558" s="9" t="n">
        <f aca="false">SUMIFS(ROBA_U_DOLASKU!$B$6:$B$95,ROBA_U_DOLASKU!$A$6:$A$95,A558,ROBA_U_DOLASKU!$H$6:$H$95,2)</f>
        <v>0</v>
      </c>
      <c r="N558" s="9" t="n">
        <f aca="false">SUMIFS(ROBA_U_DOLASKU!$C$6:$C$95,ROBA_U_DOLASKU!$A$6:$A$95,A558,ROBA_U_DOLASKU!$H$6:$H$95,3)</f>
        <v>0</v>
      </c>
      <c r="O558" s="9" t="n">
        <f aca="false">SUMIFS(ROBA_U_DOLASKU!$B$6:$B$95,ROBA_U_DOLASKU!$A$6:$A$95,A558,ROBA_U_DOLASKU!$H$6:$H$95,3)</f>
        <v>0</v>
      </c>
      <c r="P558" s="9" t="n">
        <f aca="false">IF(H558&lt;=0,999,IF(O558&gt;0,ROUND((F558-H558*N558+K558+M558+O558)/H558,1),IF(M558&gt;0,ROUND((F558-H558*L558+K558+M558)/H558,1),IF(K558&gt;0,ROUND((F558-H558*J558+K558)/H558,1),I558))))</f>
        <v>999</v>
      </c>
      <c r="Q558" s="22" t="str">
        <f aca="false">IF(H558&lt;=0,"Nema prodaje",IF(AND(K558=0,M558=0,O558=0),IF(I558&lt;POSTAVKE!$B$6,"Naruči odmah","Sve u redu"),IF(F558-H558*J558&lt;0,"Rupa za ~"&amp;TEXT(I558,"0.0")&amp;" mj.",IF(AND(M558&gt;0,F558-H558*L558+K558&lt;0),"Rupa nakon 1. dolaska",IF(AND(O558&gt;0,F558-H558*N558+K558+M558&lt;0),"Rupa nakon 2. dolaska",IF(P558&lt;POSTAVKE!$B$6,"Količina nije dovoljna",IF(I558&gt;=POSTAVKE!$B$6,"Sve u redu","Stiže na vrijeme")))))))</f>
        <v>Nema prodaje</v>
      </c>
      <c r="S558" s="23" t="n">
        <f aca="false">IFERROR(INDEX(PODACI_PRODAJA!B:B,MATCH($A558,PODACI_PRODAJA!$A:$A,0)),0)</f>
        <v>0</v>
      </c>
      <c r="T558" s="23" t="n">
        <f aca="false">IFERROR(INDEX(PODACI_PRODAJA!C:C,MATCH($A558,PODACI_PRODAJA!$A:$A,0)),0)</f>
        <v>0</v>
      </c>
      <c r="U558" s="23" t="n">
        <f aca="false">IFERROR(INDEX(PODACI_PRODAJA!D:D,MATCH($A558,PODACI_PRODAJA!$A:$A,0)),0)</f>
        <v>0</v>
      </c>
      <c r="V558" s="23" t="n">
        <f aca="false">IFERROR(INDEX(PODACI_PRODAJA!E:E,MATCH($A558,PODACI_PRODAJA!$A:$A,0)),0)</f>
        <v>0</v>
      </c>
      <c r="W558" s="23" t="n">
        <f aca="false">IFERROR(INDEX(PODACI_PRODAJA!F:F,MATCH($A558,PODACI_PRODAJA!$A:$A,0)),0)</f>
        <v>0</v>
      </c>
      <c r="X558" s="23" t="n">
        <f aca="false">IFERROR(INDEX(PODACI_PRODAJA!G:G,MATCH($A558,PODACI_PRODAJA!$A:$A,0)),0)</f>
        <v>0</v>
      </c>
      <c r="Y558" s="23" t="n">
        <f aca="false">IFERROR(INDEX(PODACI_PRODAJA!H:H,MATCH($A558,PODACI_PRODAJA!$A:$A,0)),0)</f>
        <v>0</v>
      </c>
      <c r="Z558" s="23" t="n">
        <f aca="false">IFERROR(INDEX(PODACI_PRODAJA!I:I,MATCH($A558,PODACI_PRODAJA!$A:$A,0)),0)</f>
        <v>0</v>
      </c>
      <c r="AA558" s="23" t="n">
        <f aca="false">IFERROR(INDEX(PODACI_PRODAJA!J:J,MATCH($A558,PODACI_PRODAJA!$A:$A,0)),0)</f>
        <v>0</v>
      </c>
      <c r="AB558" s="23" t="n">
        <f aca="false">IFERROR(INDEX(PODACI_PRODAJA!K:K,MATCH($A558,PODACI_PRODAJA!$A:$A,0)),0)</f>
        <v>0</v>
      </c>
      <c r="AC558" s="23" t="n">
        <f aca="false">IFERROR(INDEX(PODACI_PRODAJA!L:L,MATCH($A558,PODACI_PRODAJA!$A:$A,0)),0)</f>
        <v>0</v>
      </c>
      <c r="AD558" s="23" t="n">
        <f aca="false">IFERROR(INDEX(PODACI_PRODAJA!M:M,MATCH($A558,PODACI_PRODAJA!$A:$A,0)),0)</f>
        <v>0</v>
      </c>
    </row>
    <row r="559" customFormat="false" ht="15" hidden="false" customHeight="false" outlineLevel="0" collapsed="false">
      <c r="A559" s="11" t="str">
        <f aca="false">PODACI_ZALIHE!A556</f>
        <v>426910575</v>
      </c>
      <c r="B559" s="8" t="str">
        <f aca="false">PODACI_ZALIHE!B556</f>
        <v>KLUDI RENON MIJEŠALICA ZA KADU I TUŠ, KROM</v>
      </c>
      <c r="C559" s="9" t="str">
        <f aca="false">PODACI_ZALIHE!C556</f>
        <v>7485</v>
      </c>
      <c r="D559" s="8" t="str">
        <f aca="false">PODACI_ZALIHE!D556</f>
        <v>KLUDI GmbH &amp; Co. KG.,</v>
      </c>
      <c r="E559" s="19" t="n">
        <f aca="false">IF(PODACI_ZALIHE!E556="","",PODACI_ZALIHE!E556)</f>
        <v>3</v>
      </c>
      <c r="F559" s="20" t="n">
        <f aca="false">PODACI_ZALIHE!F556</f>
        <v>3</v>
      </c>
      <c r="G559" s="19" t="n">
        <f aca="false">IF(E559="","",E559-F559)</f>
        <v>0</v>
      </c>
      <c r="H559" s="9" t="n">
        <f aca="false">PODACI_PRODAJA!N795</f>
        <v>0</v>
      </c>
      <c r="I559" s="21" t="n">
        <f aca="false">IF(H559&lt;=0,999,ROUND(F559/H559,1))</f>
        <v>999</v>
      </c>
      <c r="J559" s="9" t="n">
        <f aca="false">SUMIFS(ROBA_U_DOLASKU!$C$6:$C$95,ROBA_U_DOLASKU!$A$6:$A$95,A559,ROBA_U_DOLASKU!$H$6:$H$95,1)</f>
        <v>0</v>
      </c>
      <c r="K559" s="9" t="n">
        <f aca="false">SUMIFS(ROBA_U_DOLASKU!$B$6:$B$95,ROBA_U_DOLASKU!$A$6:$A$95,A559,ROBA_U_DOLASKU!$H$6:$H$95,1)</f>
        <v>0</v>
      </c>
      <c r="L559" s="9" t="n">
        <f aca="false">SUMIFS(ROBA_U_DOLASKU!$C$6:$C$95,ROBA_U_DOLASKU!$A$6:$A$95,A559,ROBA_U_DOLASKU!$H$6:$H$95,2)</f>
        <v>0</v>
      </c>
      <c r="M559" s="9" t="n">
        <f aca="false">SUMIFS(ROBA_U_DOLASKU!$B$6:$B$95,ROBA_U_DOLASKU!$A$6:$A$95,A559,ROBA_U_DOLASKU!$H$6:$H$95,2)</f>
        <v>0</v>
      </c>
      <c r="N559" s="9" t="n">
        <f aca="false">SUMIFS(ROBA_U_DOLASKU!$C$6:$C$95,ROBA_U_DOLASKU!$A$6:$A$95,A559,ROBA_U_DOLASKU!$H$6:$H$95,3)</f>
        <v>0</v>
      </c>
      <c r="O559" s="9" t="n">
        <f aca="false">SUMIFS(ROBA_U_DOLASKU!$B$6:$B$95,ROBA_U_DOLASKU!$A$6:$A$95,A559,ROBA_U_DOLASKU!$H$6:$H$95,3)</f>
        <v>0</v>
      </c>
      <c r="P559" s="9" t="n">
        <f aca="false">IF(H559&lt;=0,999,IF(O559&gt;0,ROUND((F559-H559*N559+K559+M559+O559)/H559,1),IF(M559&gt;0,ROUND((F559-H559*L559+K559+M559)/H559,1),IF(K559&gt;0,ROUND((F559-H559*J559+K559)/H559,1),I559))))</f>
        <v>999</v>
      </c>
      <c r="Q559" s="22" t="str">
        <f aca="false">IF(H559&lt;=0,"Nema prodaje",IF(AND(K559=0,M559=0,O559=0),IF(I559&lt;POSTAVKE!$B$6,"Naruči odmah","Sve u redu"),IF(F559-H559*J559&lt;0,"Rupa za ~"&amp;TEXT(I559,"0.0")&amp;" mj.",IF(AND(M559&gt;0,F559-H559*L559+K559&lt;0),"Rupa nakon 1. dolaska",IF(AND(O559&gt;0,F559-H559*N559+K559+M559&lt;0),"Rupa nakon 2. dolaska",IF(P559&lt;POSTAVKE!$B$6,"Količina nije dovoljna",IF(I559&gt;=POSTAVKE!$B$6,"Sve u redu","Stiže na vrijeme")))))))</f>
        <v>Nema prodaje</v>
      </c>
      <c r="S559" s="23" t="n">
        <f aca="false">IFERROR(INDEX(PODACI_PRODAJA!B:B,MATCH($A559,PODACI_PRODAJA!$A:$A,0)),0)</f>
        <v>0</v>
      </c>
      <c r="T559" s="23" t="n">
        <f aca="false">IFERROR(INDEX(PODACI_PRODAJA!C:C,MATCH($A559,PODACI_PRODAJA!$A:$A,0)),0)</f>
        <v>0</v>
      </c>
      <c r="U559" s="23" t="n">
        <f aca="false">IFERROR(INDEX(PODACI_PRODAJA!D:D,MATCH($A559,PODACI_PRODAJA!$A:$A,0)),0)</f>
        <v>0</v>
      </c>
      <c r="V559" s="23" t="n">
        <f aca="false">IFERROR(INDEX(PODACI_PRODAJA!E:E,MATCH($A559,PODACI_PRODAJA!$A:$A,0)),0)</f>
        <v>0</v>
      </c>
      <c r="W559" s="23" t="n">
        <f aca="false">IFERROR(INDEX(PODACI_PRODAJA!F:F,MATCH($A559,PODACI_PRODAJA!$A:$A,0)),0)</f>
        <v>0</v>
      </c>
      <c r="X559" s="23" t="n">
        <f aca="false">IFERROR(INDEX(PODACI_PRODAJA!G:G,MATCH($A559,PODACI_PRODAJA!$A:$A,0)),0)</f>
        <v>0</v>
      </c>
      <c r="Y559" s="23" t="n">
        <f aca="false">IFERROR(INDEX(PODACI_PRODAJA!H:H,MATCH($A559,PODACI_PRODAJA!$A:$A,0)),0)</f>
        <v>0</v>
      </c>
      <c r="Z559" s="23" t="n">
        <f aca="false">IFERROR(INDEX(PODACI_PRODAJA!I:I,MATCH($A559,PODACI_PRODAJA!$A:$A,0)),0)</f>
        <v>0</v>
      </c>
      <c r="AA559" s="23" t="n">
        <f aca="false">IFERROR(INDEX(PODACI_PRODAJA!J:J,MATCH($A559,PODACI_PRODAJA!$A:$A,0)),0)</f>
        <v>0</v>
      </c>
      <c r="AB559" s="23" t="n">
        <f aca="false">IFERROR(INDEX(PODACI_PRODAJA!K:K,MATCH($A559,PODACI_PRODAJA!$A:$A,0)),0)</f>
        <v>0</v>
      </c>
      <c r="AC559" s="23" t="n">
        <f aca="false">IFERROR(INDEX(PODACI_PRODAJA!L:L,MATCH($A559,PODACI_PRODAJA!$A:$A,0)),0)</f>
        <v>0</v>
      </c>
      <c r="AD559" s="23" t="n">
        <f aca="false">IFERROR(INDEX(PODACI_PRODAJA!M:M,MATCH($A559,PODACI_PRODAJA!$A:$A,0)),0)</f>
        <v>0</v>
      </c>
    </row>
    <row r="560" customFormat="false" ht="15" hidden="false" customHeight="false" outlineLevel="0" collapsed="false">
      <c r="A560" s="11" t="str">
        <f aca="false">PODACI_ZALIHE!A557</f>
        <v>427590575</v>
      </c>
      <c r="B560" s="8" t="str">
        <f aca="false">PODACI_ZALIHE!B557</f>
        <v>KLUDI RENON MIJEŠALICA PODŽBUKNA ZA KADU I TUŠ</v>
      </c>
      <c r="C560" s="9" t="str">
        <f aca="false">PODACI_ZALIHE!C557</f>
        <v>7485</v>
      </c>
      <c r="D560" s="8" t="str">
        <f aca="false">PODACI_ZALIHE!D557</f>
        <v>KLUDI GmbH &amp; Co. KG.,</v>
      </c>
      <c r="E560" s="19" t="n">
        <f aca="false">IF(PODACI_ZALIHE!E557="","",PODACI_ZALIHE!E557)</f>
        <v>3</v>
      </c>
      <c r="F560" s="20" t="n">
        <f aca="false">PODACI_ZALIHE!F557</f>
        <v>3</v>
      </c>
      <c r="G560" s="19" t="n">
        <f aca="false">IF(E560="","",E560-F560)</f>
        <v>0</v>
      </c>
      <c r="H560" s="9" t="n">
        <f aca="false">PODACI_PRODAJA!N796</f>
        <v>0</v>
      </c>
      <c r="I560" s="21" t="n">
        <f aca="false">IF(H560&lt;=0,999,ROUND(F560/H560,1))</f>
        <v>999</v>
      </c>
      <c r="J560" s="9" t="n">
        <f aca="false">SUMIFS(ROBA_U_DOLASKU!$C$6:$C$95,ROBA_U_DOLASKU!$A$6:$A$95,A560,ROBA_U_DOLASKU!$H$6:$H$95,1)</f>
        <v>0</v>
      </c>
      <c r="K560" s="9" t="n">
        <f aca="false">SUMIFS(ROBA_U_DOLASKU!$B$6:$B$95,ROBA_U_DOLASKU!$A$6:$A$95,A560,ROBA_U_DOLASKU!$H$6:$H$95,1)</f>
        <v>0</v>
      </c>
      <c r="L560" s="9" t="n">
        <f aca="false">SUMIFS(ROBA_U_DOLASKU!$C$6:$C$95,ROBA_U_DOLASKU!$A$6:$A$95,A560,ROBA_U_DOLASKU!$H$6:$H$95,2)</f>
        <v>0</v>
      </c>
      <c r="M560" s="9" t="n">
        <f aca="false">SUMIFS(ROBA_U_DOLASKU!$B$6:$B$95,ROBA_U_DOLASKU!$A$6:$A$95,A560,ROBA_U_DOLASKU!$H$6:$H$95,2)</f>
        <v>0</v>
      </c>
      <c r="N560" s="9" t="n">
        <f aca="false">SUMIFS(ROBA_U_DOLASKU!$C$6:$C$95,ROBA_U_DOLASKU!$A$6:$A$95,A560,ROBA_U_DOLASKU!$H$6:$H$95,3)</f>
        <v>0</v>
      </c>
      <c r="O560" s="9" t="n">
        <f aca="false">SUMIFS(ROBA_U_DOLASKU!$B$6:$B$95,ROBA_U_DOLASKU!$A$6:$A$95,A560,ROBA_U_DOLASKU!$H$6:$H$95,3)</f>
        <v>0</v>
      </c>
      <c r="P560" s="9" t="n">
        <f aca="false">IF(H560&lt;=0,999,IF(O560&gt;0,ROUND((F560-H560*N560+K560+M560+O560)/H560,1),IF(M560&gt;0,ROUND((F560-H560*L560+K560+M560)/H560,1),IF(K560&gt;0,ROUND((F560-H560*J560+K560)/H560,1),I560))))</f>
        <v>999</v>
      </c>
      <c r="Q560" s="22" t="str">
        <f aca="false">IF(H560&lt;=0,"Nema prodaje",IF(AND(K560=0,M560=0,O560=0),IF(I560&lt;POSTAVKE!$B$6,"Naruči odmah","Sve u redu"),IF(F560-H560*J560&lt;0,"Rupa za ~"&amp;TEXT(I560,"0.0")&amp;" mj.",IF(AND(M560&gt;0,F560-H560*L560+K560&lt;0),"Rupa nakon 1. dolaska",IF(AND(O560&gt;0,F560-H560*N560+K560+M560&lt;0),"Rupa nakon 2. dolaska",IF(P560&lt;POSTAVKE!$B$6,"Količina nije dovoljna",IF(I560&gt;=POSTAVKE!$B$6,"Sve u redu","Stiže na vrijeme")))))))</f>
        <v>Nema prodaje</v>
      </c>
      <c r="S560" s="23" t="n">
        <f aca="false">IFERROR(INDEX(PODACI_PRODAJA!B:B,MATCH($A560,PODACI_PRODAJA!$A:$A,0)),0)</f>
        <v>0</v>
      </c>
      <c r="T560" s="23" t="n">
        <f aca="false">IFERROR(INDEX(PODACI_PRODAJA!C:C,MATCH($A560,PODACI_PRODAJA!$A:$A,0)),0)</f>
        <v>0</v>
      </c>
      <c r="U560" s="23" t="n">
        <f aca="false">IFERROR(INDEX(PODACI_PRODAJA!D:D,MATCH($A560,PODACI_PRODAJA!$A:$A,0)),0)</f>
        <v>0</v>
      </c>
      <c r="V560" s="23" t="n">
        <f aca="false">IFERROR(INDEX(PODACI_PRODAJA!E:E,MATCH($A560,PODACI_PRODAJA!$A:$A,0)),0)</f>
        <v>0</v>
      </c>
      <c r="W560" s="23" t="n">
        <f aca="false">IFERROR(INDEX(PODACI_PRODAJA!F:F,MATCH($A560,PODACI_PRODAJA!$A:$A,0)),0)</f>
        <v>0</v>
      </c>
      <c r="X560" s="23" t="n">
        <f aca="false">IFERROR(INDEX(PODACI_PRODAJA!G:G,MATCH($A560,PODACI_PRODAJA!$A:$A,0)),0)</f>
        <v>0</v>
      </c>
      <c r="Y560" s="23" t="n">
        <f aca="false">IFERROR(INDEX(PODACI_PRODAJA!H:H,MATCH($A560,PODACI_PRODAJA!$A:$A,0)),0)</f>
        <v>0</v>
      </c>
      <c r="Z560" s="23" t="n">
        <f aca="false">IFERROR(INDEX(PODACI_PRODAJA!I:I,MATCH($A560,PODACI_PRODAJA!$A:$A,0)),0)</f>
        <v>0</v>
      </c>
      <c r="AA560" s="23" t="n">
        <f aca="false">IFERROR(INDEX(PODACI_PRODAJA!J:J,MATCH($A560,PODACI_PRODAJA!$A:$A,0)),0)</f>
        <v>0</v>
      </c>
      <c r="AB560" s="23" t="n">
        <f aca="false">IFERROR(INDEX(PODACI_PRODAJA!K:K,MATCH($A560,PODACI_PRODAJA!$A:$A,0)),0)</f>
        <v>0</v>
      </c>
      <c r="AC560" s="23" t="n">
        <f aca="false">IFERROR(INDEX(PODACI_PRODAJA!L:L,MATCH($A560,PODACI_PRODAJA!$A:$A,0)),0)</f>
        <v>0</v>
      </c>
      <c r="AD560" s="23" t="n">
        <f aca="false">IFERROR(INDEX(PODACI_PRODAJA!M:M,MATCH($A560,PODACI_PRODAJA!$A:$A,0)),0)</f>
        <v>0</v>
      </c>
    </row>
    <row r="561" customFormat="false" ht="15" hidden="false" customHeight="false" outlineLevel="0" collapsed="false">
      <c r="A561" s="11" t="str">
        <f aca="false">PODACI_ZALIHE!A558</f>
        <v>6808305-00</v>
      </c>
      <c r="B561" s="8" t="str">
        <f aca="false">PODACI_ZALIHE!B558</f>
        <v>KLUDI LOGO DUAL TUŠ SET S MIJEŠALICOM, KROM</v>
      </c>
      <c r="C561" s="9" t="str">
        <f aca="false">PODACI_ZALIHE!C558</f>
        <v>7485</v>
      </c>
      <c r="D561" s="8" t="str">
        <f aca="false">PODACI_ZALIHE!D558</f>
        <v>KLUDI GmbH &amp; Co. KG.,</v>
      </c>
      <c r="E561" s="19" t="n">
        <f aca="false">IF(PODACI_ZALIHE!E558="","",PODACI_ZALIHE!E558)</f>
        <v>3</v>
      </c>
      <c r="F561" s="20" t="n">
        <f aca="false">PODACI_ZALIHE!F558</f>
        <v>3</v>
      </c>
      <c r="G561" s="19" t="n">
        <f aca="false">IF(E561="","",E561-F561)</f>
        <v>0</v>
      </c>
      <c r="H561" s="9" t="n">
        <f aca="false">PODACI_PRODAJA!N811</f>
        <v>0</v>
      </c>
      <c r="I561" s="21" t="n">
        <f aca="false">IF(H561&lt;=0,999,ROUND(F561/H561,1))</f>
        <v>999</v>
      </c>
      <c r="J561" s="9" t="n">
        <f aca="false">SUMIFS(ROBA_U_DOLASKU!$C$6:$C$95,ROBA_U_DOLASKU!$A$6:$A$95,A561,ROBA_U_DOLASKU!$H$6:$H$95,1)</f>
        <v>0</v>
      </c>
      <c r="K561" s="9" t="n">
        <f aca="false">SUMIFS(ROBA_U_DOLASKU!$B$6:$B$95,ROBA_U_DOLASKU!$A$6:$A$95,A561,ROBA_U_DOLASKU!$H$6:$H$95,1)</f>
        <v>0</v>
      </c>
      <c r="L561" s="9" t="n">
        <f aca="false">SUMIFS(ROBA_U_DOLASKU!$C$6:$C$95,ROBA_U_DOLASKU!$A$6:$A$95,A561,ROBA_U_DOLASKU!$H$6:$H$95,2)</f>
        <v>0</v>
      </c>
      <c r="M561" s="9" t="n">
        <f aca="false">SUMIFS(ROBA_U_DOLASKU!$B$6:$B$95,ROBA_U_DOLASKU!$A$6:$A$95,A561,ROBA_U_DOLASKU!$H$6:$H$95,2)</f>
        <v>0</v>
      </c>
      <c r="N561" s="9" t="n">
        <f aca="false">SUMIFS(ROBA_U_DOLASKU!$C$6:$C$95,ROBA_U_DOLASKU!$A$6:$A$95,A561,ROBA_U_DOLASKU!$H$6:$H$95,3)</f>
        <v>0</v>
      </c>
      <c r="O561" s="9" t="n">
        <f aca="false">SUMIFS(ROBA_U_DOLASKU!$B$6:$B$95,ROBA_U_DOLASKU!$A$6:$A$95,A561,ROBA_U_DOLASKU!$H$6:$H$95,3)</f>
        <v>0</v>
      </c>
      <c r="P561" s="9" t="n">
        <f aca="false">IF(H561&lt;=0,999,IF(O561&gt;0,ROUND((F561-H561*N561+K561+M561+O561)/H561,1),IF(M561&gt;0,ROUND((F561-H561*L561+K561+M561)/H561,1),IF(K561&gt;0,ROUND((F561-H561*J561+K561)/H561,1),I561))))</f>
        <v>999</v>
      </c>
      <c r="Q561" s="22" t="str">
        <f aca="false">IF(H561&lt;=0,"Nema prodaje",IF(AND(K561=0,M561=0,O561=0),IF(I561&lt;POSTAVKE!$B$6,"Naruči odmah","Sve u redu"),IF(F561-H561*J561&lt;0,"Rupa za ~"&amp;TEXT(I561,"0.0")&amp;" mj.",IF(AND(M561&gt;0,F561-H561*L561+K561&lt;0),"Rupa nakon 1. dolaska",IF(AND(O561&gt;0,F561-H561*N561+K561+M561&lt;0),"Rupa nakon 2. dolaska",IF(P561&lt;POSTAVKE!$B$6,"Količina nije dovoljna",IF(I561&gt;=POSTAVKE!$B$6,"Sve u redu","Stiže na vrijeme")))))))</f>
        <v>Nema prodaje</v>
      </c>
      <c r="S561" s="23" t="n">
        <f aca="false">IFERROR(INDEX(PODACI_PRODAJA!B:B,MATCH($A561,PODACI_PRODAJA!$A:$A,0)),0)</f>
        <v>0</v>
      </c>
      <c r="T561" s="23" t="n">
        <f aca="false">IFERROR(INDEX(PODACI_PRODAJA!C:C,MATCH($A561,PODACI_PRODAJA!$A:$A,0)),0)</f>
        <v>0</v>
      </c>
      <c r="U561" s="23" t="n">
        <f aca="false">IFERROR(INDEX(PODACI_PRODAJA!D:D,MATCH($A561,PODACI_PRODAJA!$A:$A,0)),0)</f>
        <v>0</v>
      </c>
      <c r="V561" s="23" t="n">
        <f aca="false">IFERROR(INDEX(PODACI_PRODAJA!E:E,MATCH($A561,PODACI_PRODAJA!$A:$A,0)),0)</f>
        <v>0</v>
      </c>
      <c r="W561" s="23" t="n">
        <f aca="false">IFERROR(INDEX(PODACI_PRODAJA!F:F,MATCH($A561,PODACI_PRODAJA!$A:$A,0)),0)</f>
        <v>0</v>
      </c>
      <c r="X561" s="23" t="n">
        <f aca="false">IFERROR(INDEX(PODACI_PRODAJA!G:G,MATCH($A561,PODACI_PRODAJA!$A:$A,0)),0)</f>
        <v>0</v>
      </c>
      <c r="Y561" s="23" t="n">
        <f aca="false">IFERROR(INDEX(PODACI_PRODAJA!H:H,MATCH($A561,PODACI_PRODAJA!$A:$A,0)),0)</f>
        <v>0</v>
      </c>
      <c r="Z561" s="23" t="n">
        <f aca="false">IFERROR(INDEX(PODACI_PRODAJA!I:I,MATCH($A561,PODACI_PRODAJA!$A:$A,0)),0)</f>
        <v>0</v>
      </c>
      <c r="AA561" s="23" t="n">
        <f aca="false">IFERROR(INDEX(PODACI_PRODAJA!J:J,MATCH($A561,PODACI_PRODAJA!$A:$A,0)),0)</f>
        <v>0</v>
      </c>
      <c r="AB561" s="23" t="n">
        <f aca="false">IFERROR(INDEX(PODACI_PRODAJA!K:K,MATCH($A561,PODACI_PRODAJA!$A:$A,0)),0)</f>
        <v>0</v>
      </c>
      <c r="AC561" s="23" t="n">
        <f aca="false">IFERROR(INDEX(PODACI_PRODAJA!L:L,MATCH($A561,PODACI_PRODAJA!$A:$A,0)),0)</f>
        <v>0</v>
      </c>
      <c r="AD561" s="23" t="n">
        <f aca="false">IFERROR(INDEX(PODACI_PRODAJA!M:M,MATCH($A561,PODACI_PRODAJA!$A:$A,0)),0)</f>
        <v>0</v>
      </c>
    </row>
    <row r="562" customFormat="false" ht="15" hidden="false" customHeight="false" outlineLevel="0" collapsed="false">
      <c r="A562" s="11" t="str">
        <f aca="false">PODACI_ZALIHE!A559</f>
        <v>6906705-00</v>
      </c>
      <c r="B562" s="8" t="str">
        <f aca="false">PODACI_ZALIHE!B559</f>
        <v>KLUDI DIVE X TUŠ SET TERMOSTATSKI, KROM</v>
      </c>
      <c r="C562" s="9" t="str">
        <f aca="false">PODACI_ZALIHE!C559</f>
        <v>7485</v>
      </c>
      <c r="D562" s="8" t="str">
        <f aca="false">PODACI_ZALIHE!D559</f>
        <v>KLUDI GmbH &amp; Co. KG.,</v>
      </c>
      <c r="E562" s="19" t="n">
        <f aca="false">IF(PODACI_ZALIHE!E559="","",PODACI_ZALIHE!E559)</f>
        <v>3</v>
      </c>
      <c r="F562" s="20" t="n">
        <f aca="false">PODACI_ZALIHE!F559</f>
        <v>3</v>
      </c>
      <c r="G562" s="19" t="n">
        <f aca="false">IF(E562="","",E562-F562)</f>
        <v>0</v>
      </c>
      <c r="H562" s="9" t="n">
        <f aca="false">PODACI_PRODAJA!N815</f>
        <v>0</v>
      </c>
      <c r="I562" s="21" t="n">
        <f aca="false">IF(H562&lt;=0,999,ROUND(F562/H562,1))</f>
        <v>999</v>
      </c>
      <c r="J562" s="9" t="n">
        <f aca="false">SUMIFS(ROBA_U_DOLASKU!$C$6:$C$95,ROBA_U_DOLASKU!$A$6:$A$95,A562,ROBA_U_DOLASKU!$H$6:$H$95,1)</f>
        <v>0</v>
      </c>
      <c r="K562" s="9" t="n">
        <f aca="false">SUMIFS(ROBA_U_DOLASKU!$B$6:$B$95,ROBA_U_DOLASKU!$A$6:$A$95,A562,ROBA_U_DOLASKU!$H$6:$H$95,1)</f>
        <v>0</v>
      </c>
      <c r="L562" s="9" t="n">
        <f aca="false">SUMIFS(ROBA_U_DOLASKU!$C$6:$C$95,ROBA_U_DOLASKU!$A$6:$A$95,A562,ROBA_U_DOLASKU!$H$6:$H$95,2)</f>
        <v>0</v>
      </c>
      <c r="M562" s="9" t="n">
        <f aca="false">SUMIFS(ROBA_U_DOLASKU!$B$6:$B$95,ROBA_U_DOLASKU!$A$6:$A$95,A562,ROBA_U_DOLASKU!$H$6:$H$95,2)</f>
        <v>0</v>
      </c>
      <c r="N562" s="9" t="n">
        <f aca="false">SUMIFS(ROBA_U_DOLASKU!$C$6:$C$95,ROBA_U_DOLASKU!$A$6:$A$95,A562,ROBA_U_DOLASKU!$H$6:$H$95,3)</f>
        <v>0</v>
      </c>
      <c r="O562" s="9" t="n">
        <f aca="false">SUMIFS(ROBA_U_DOLASKU!$B$6:$B$95,ROBA_U_DOLASKU!$A$6:$A$95,A562,ROBA_U_DOLASKU!$H$6:$H$95,3)</f>
        <v>0</v>
      </c>
      <c r="P562" s="9" t="n">
        <f aca="false">IF(H562&lt;=0,999,IF(O562&gt;0,ROUND((F562-H562*N562+K562+M562+O562)/H562,1),IF(M562&gt;0,ROUND((F562-H562*L562+K562+M562)/H562,1),IF(K562&gt;0,ROUND((F562-H562*J562+K562)/H562,1),I562))))</f>
        <v>999</v>
      </c>
      <c r="Q562" s="22" t="str">
        <f aca="false">IF(H562&lt;=0,"Nema prodaje",IF(AND(K562=0,M562=0,O562=0),IF(I562&lt;POSTAVKE!$B$6,"Naruči odmah","Sve u redu"),IF(F562-H562*J562&lt;0,"Rupa za ~"&amp;TEXT(I562,"0.0")&amp;" mj.",IF(AND(M562&gt;0,F562-H562*L562+K562&lt;0),"Rupa nakon 1. dolaska",IF(AND(O562&gt;0,F562-H562*N562+K562+M562&lt;0),"Rupa nakon 2. dolaska",IF(P562&lt;POSTAVKE!$B$6,"Količina nije dovoljna",IF(I562&gt;=POSTAVKE!$B$6,"Sve u redu","Stiže na vrijeme")))))))</f>
        <v>Nema prodaje</v>
      </c>
      <c r="S562" s="23" t="n">
        <f aca="false">IFERROR(INDEX(PODACI_PRODAJA!B:B,MATCH($A562,PODACI_PRODAJA!$A:$A,0)),0)</f>
        <v>0</v>
      </c>
      <c r="T562" s="23" t="n">
        <f aca="false">IFERROR(INDEX(PODACI_PRODAJA!C:C,MATCH($A562,PODACI_PRODAJA!$A:$A,0)),0)</f>
        <v>0</v>
      </c>
      <c r="U562" s="23" t="n">
        <f aca="false">IFERROR(INDEX(PODACI_PRODAJA!D:D,MATCH($A562,PODACI_PRODAJA!$A:$A,0)),0)</f>
        <v>0</v>
      </c>
      <c r="V562" s="23" t="n">
        <f aca="false">IFERROR(INDEX(PODACI_PRODAJA!E:E,MATCH($A562,PODACI_PRODAJA!$A:$A,0)),0)</f>
        <v>0</v>
      </c>
      <c r="W562" s="23" t="n">
        <f aca="false">IFERROR(INDEX(PODACI_PRODAJA!F:F,MATCH($A562,PODACI_PRODAJA!$A:$A,0)),0)</f>
        <v>0</v>
      </c>
      <c r="X562" s="23" t="n">
        <f aca="false">IFERROR(INDEX(PODACI_PRODAJA!G:G,MATCH($A562,PODACI_PRODAJA!$A:$A,0)),0)</f>
        <v>0</v>
      </c>
      <c r="Y562" s="23" t="n">
        <f aca="false">IFERROR(INDEX(PODACI_PRODAJA!H:H,MATCH($A562,PODACI_PRODAJA!$A:$A,0)),0)</f>
        <v>0</v>
      </c>
      <c r="Z562" s="23" t="n">
        <f aca="false">IFERROR(INDEX(PODACI_PRODAJA!I:I,MATCH($A562,PODACI_PRODAJA!$A:$A,0)),0)</f>
        <v>0</v>
      </c>
      <c r="AA562" s="23" t="n">
        <f aca="false">IFERROR(INDEX(PODACI_PRODAJA!J:J,MATCH($A562,PODACI_PRODAJA!$A:$A,0)),0)</f>
        <v>0</v>
      </c>
      <c r="AB562" s="23" t="n">
        <f aca="false">IFERROR(INDEX(PODACI_PRODAJA!K:K,MATCH($A562,PODACI_PRODAJA!$A:$A,0)),0)</f>
        <v>0</v>
      </c>
      <c r="AC562" s="23" t="n">
        <f aca="false">IFERROR(INDEX(PODACI_PRODAJA!L:L,MATCH($A562,PODACI_PRODAJA!$A:$A,0)),0)</f>
        <v>0</v>
      </c>
      <c r="AD562" s="23" t="n">
        <f aca="false">IFERROR(INDEX(PODACI_PRODAJA!M:M,MATCH($A562,PODACI_PRODAJA!$A:$A,0)),0)</f>
        <v>0</v>
      </c>
    </row>
    <row r="563" customFormat="false" ht="15" hidden="false" customHeight="false" outlineLevel="0" collapsed="false">
      <c r="A563" s="11" t="str">
        <f aca="false">PODACI_ZALIHE!A560</f>
        <v>6963005-00</v>
      </c>
      <c r="B563" s="8" t="str">
        <f aca="false">PODACI_ZALIHE!B560</f>
        <v>KLUDI XDIVE TUŠ SET, KROM</v>
      </c>
      <c r="C563" s="9" t="str">
        <f aca="false">PODACI_ZALIHE!C560</f>
        <v>7485</v>
      </c>
      <c r="D563" s="8" t="str">
        <f aca="false">PODACI_ZALIHE!D560</f>
        <v>KLUDI GmbH &amp; Co. KG.,</v>
      </c>
      <c r="E563" s="19" t="n">
        <f aca="false">IF(PODACI_ZALIHE!E560="","",PODACI_ZALIHE!E560)</f>
        <v>3</v>
      </c>
      <c r="F563" s="20" t="n">
        <f aca="false">PODACI_ZALIHE!F560</f>
        <v>3</v>
      </c>
      <c r="G563" s="19" t="n">
        <f aca="false">IF(E563="","",E563-F563)</f>
        <v>0</v>
      </c>
      <c r="H563" s="9" t="n">
        <f aca="false">PODACI_PRODAJA!N816</f>
        <v>0</v>
      </c>
      <c r="I563" s="21" t="n">
        <f aca="false">IF(H563&lt;=0,999,ROUND(F563/H563,1))</f>
        <v>999</v>
      </c>
      <c r="J563" s="9" t="n">
        <f aca="false">SUMIFS(ROBA_U_DOLASKU!$C$6:$C$95,ROBA_U_DOLASKU!$A$6:$A$95,A563,ROBA_U_DOLASKU!$H$6:$H$95,1)</f>
        <v>0</v>
      </c>
      <c r="K563" s="9" t="n">
        <f aca="false">SUMIFS(ROBA_U_DOLASKU!$B$6:$B$95,ROBA_U_DOLASKU!$A$6:$A$95,A563,ROBA_U_DOLASKU!$H$6:$H$95,1)</f>
        <v>0</v>
      </c>
      <c r="L563" s="9" t="n">
        <f aca="false">SUMIFS(ROBA_U_DOLASKU!$C$6:$C$95,ROBA_U_DOLASKU!$A$6:$A$95,A563,ROBA_U_DOLASKU!$H$6:$H$95,2)</f>
        <v>0</v>
      </c>
      <c r="M563" s="9" t="n">
        <f aca="false">SUMIFS(ROBA_U_DOLASKU!$B$6:$B$95,ROBA_U_DOLASKU!$A$6:$A$95,A563,ROBA_U_DOLASKU!$H$6:$H$95,2)</f>
        <v>0</v>
      </c>
      <c r="N563" s="9" t="n">
        <f aca="false">SUMIFS(ROBA_U_DOLASKU!$C$6:$C$95,ROBA_U_DOLASKU!$A$6:$A$95,A563,ROBA_U_DOLASKU!$H$6:$H$95,3)</f>
        <v>0</v>
      </c>
      <c r="O563" s="9" t="n">
        <f aca="false">SUMIFS(ROBA_U_DOLASKU!$B$6:$B$95,ROBA_U_DOLASKU!$A$6:$A$95,A563,ROBA_U_DOLASKU!$H$6:$H$95,3)</f>
        <v>0</v>
      </c>
      <c r="P563" s="9" t="n">
        <f aca="false">IF(H563&lt;=0,999,IF(O563&gt;0,ROUND((F563-H563*N563+K563+M563+O563)/H563,1),IF(M563&gt;0,ROUND((F563-H563*L563+K563+M563)/H563,1),IF(K563&gt;0,ROUND((F563-H563*J563+K563)/H563,1),I563))))</f>
        <v>999</v>
      </c>
      <c r="Q563" s="22" t="str">
        <f aca="false">IF(H563&lt;=0,"Nema prodaje",IF(AND(K563=0,M563=0,O563=0),IF(I563&lt;POSTAVKE!$B$6,"Naruči odmah","Sve u redu"),IF(F563-H563*J563&lt;0,"Rupa za ~"&amp;TEXT(I563,"0.0")&amp;" mj.",IF(AND(M563&gt;0,F563-H563*L563+K563&lt;0),"Rupa nakon 1. dolaska",IF(AND(O563&gt;0,F563-H563*N563+K563+M563&lt;0),"Rupa nakon 2. dolaska",IF(P563&lt;POSTAVKE!$B$6,"Količina nije dovoljna",IF(I563&gt;=POSTAVKE!$B$6,"Sve u redu","Stiže na vrijeme")))))))</f>
        <v>Nema prodaje</v>
      </c>
      <c r="S563" s="23" t="n">
        <f aca="false">IFERROR(INDEX(PODACI_PRODAJA!B:B,MATCH($A563,PODACI_PRODAJA!$A:$A,0)),0)</f>
        <v>0</v>
      </c>
      <c r="T563" s="23" t="n">
        <f aca="false">IFERROR(INDEX(PODACI_PRODAJA!C:C,MATCH($A563,PODACI_PRODAJA!$A:$A,0)),0)</f>
        <v>0</v>
      </c>
      <c r="U563" s="23" t="n">
        <f aca="false">IFERROR(INDEX(PODACI_PRODAJA!D:D,MATCH($A563,PODACI_PRODAJA!$A:$A,0)),0)</f>
        <v>0</v>
      </c>
      <c r="V563" s="23" t="n">
        <f aca="false">IFERROR(INDEX(PODACI_PRODAJA!E:E,MATCH($A563,PODACI_PRODAJA!$A:$A,0)),0)</f>
        <v>0</v>
      </c>
      <c r="W563" s="23" t="n">
        <f aca="false">IFERROR(INDEX(PODACI_PRODAJA!F:F,MATCH($A563,PODACI_PRODAJA!$A:$A,0)),0)</f>
        <v>0</v>
      </c>
      <c r="X563" s="23" t="n">
        <f aca="false">IFERROR(INDEX(PODACI_PRODAJA!G:G,MATCH($A563,PODACI_PRODAJA!$A:$A,0)),0)</f>
        <v>0</v>
      </c>
      <c r="Y563" s="23" t="n">
        <f aca="false">IFERROR(INDEX(PODACI_PRODAJA!H:H,MATCH($A563,PODACI_PRODAJA!$A:$A,0)),0)</f>
        <v>0</v>
      </c>
      <c r="Z563" s="23" t="n">
        <f aca="false">IFERROR(INDEX(PODACI_PRODAJA!I:I,MATCH($A563,PODACI_PRODAJA!$A:$A,0)),0)</f>
        <v>0</v>
      </c>
      <c r="AA563" s="23" t="n">
        <f aca="false">IFERROR(INDEX(PODACI_PRODAJA!J:J,MATCH($A563,PODACI_PRODAJA!$A:$A,0)),0)</f>
        <v>0</v>
      </c>
      <c r="AB563" s="23" t="n">
        <f aca="false">IFERROR(INDEX(PODACI_PRODAJA!K:K,MATCH($A563,PODACI_PRODAJA!$A:$A,0)),0)</f>
        <v>0</v>
      </c>
      <c r="AC563" s="23" t="n">
        <f aca="false">IFERROR(INDEX(PODACI_PRODAJA!L:L,MATCH($A563,PODACI_PRODAJA!$A:$A,0)),0)</f>
        <v>0</v>
      </c>
      <c r="AD563" s="23" t="n">
        <f aca="false">IFERROR(INDEX(PODACI_PRODAJA!M:M,MATCH($A563,PODACI_PRODAJA!$A:$A,0)),0)</f>
        <v>0</v>
      </c>
    </row>
    <row r="564" customFormat="false" ht="15" hidden="false" customHeight="false" outlineLevel="0" collapsed="false">
      <c r="A564" s="11" t="str">
        <f aca="false">PODACI_ZALIHE!A561</f>
        <v>P158253</v>
      </c>
      <c r="B564" s="8" t="str">
        <f aca="false">PODACI_ZALIHE!B561</f>
        <v>BOLD LUX 80 KV MINERALSOLID TUŠ KADA BIJELA SJAJNA B</v>
      </c>
      <c r="C564" s="9" t="n">
        <f aca="false">PODACI_ZALIHE!C561</f>
        <v>0</v>
      </c>
      <c r="D564" s="8" t="n">
        <f aca="false">PODACI_ZALIHE!D561</f>
        <v>0</v>
      </c>
      <c r="E564" s="19" t="n">
        <f aca="false">IF(PODACI_ZALIHE!E561="","",PODACI_ZALIHE!E561)</f>
        <v>2</v>
      </c>
      <c r="F564" s="20" t="n">
        <f aca="false">PODACI_ZALIHE!F561</f>
        <v>2</v>
      </c>
      <c r="G564" s="19" t="n">
        <f aca="false">IF(E564="","",E564-F564)</f>
        <v>0</v>
      </c>
      <c r="H564" s="9" t="n">
        <v>0</v>
      </c>
      <c r="I564" s="21" t="n">
        <f aca="false">IF(H564&lt;=0,999,ROUND(F564/H564,1))</f>
        <v>999</v>
      </c>
      <c r="J564" s="9" t="n">
        <f aca="false">SUMIFS(ROBA_U_DOLASKU!$C$6:$C$95,ROBA_U_DOLASKU!$A$6:$A$95,A564,ROBA_U_DOLASKU!$H$6:$H$95,1)</f>
        <v>0</v>
      </c>
      <c r="K564" s="9" t="n">
        <f aca="false">SUMIFS(ROBA_U_DOLASKU!$B$6:$B$95,ROBA_U_DOLASKU!$A$6:$A$95,A564,ROBA_U_DOLASKU!$H$6:$H$95,1)</f>
        <v>0</v>
      </c>
      <c r="L564" s="9" t="n">
        <f aca="false">SUMIFS(ROBA_U_DOLASKU!$C$6:$C$95,ROBA_U_DOLASKU!$A$6:$A$95,A564,ROBA_U_DOLASKU!$H$6:$H$95,2)</f>
        <v>0</v>
      </c>
      <c r="M564" s="9" t="n">
        <f aca="false">SUMIFS(ROBA_U_DOLASKU!$B$6:$B$95,ROBA_U_DOLASKU!$A$6:$A$95,A564,ROBA_U_DOLASKU!$H$6:$H$95,2)</f>
        <v>0</v>
      </c>
      <c r="N564" s="9" t="n">
        <f aca="false">SUMIFS(ROBA_U_DOLASKU!$C$6:$C$95,ROBA_U_DOLASKU!$A$6:$A$95,A564,ROBA_U_DOLASKU!$H$6:$H$95,3)</f>
        <v>0</v>
      </c>
      <c r="O564" s="9" t="n">
        <f aca="false">SUMIFS(ROBA_U_DOLASKU!$B$6:$B$95,ROBA_U_DOLASKU!$A$6:$A$95,A564,ROBA_U_DOLASKU!$H$6:$H$95,3)</f>
        <v>0</v>
      </c>
      <c r="P564" s="9" t="n">
        <f aca="false">IF(H564&lt;=0,999,IF(O564&gt;0,ROUND((F564-H564*N564+K564+M564+O564)/H564,1),IF(M564&gt;0,ROUND((F564-H564*L564+K564+M564)/H564,1),IF(K564&gt;0,ROUND((F564-H564*J564+K564)/H564,1),I564))))</f>
        <v>999</v>
      </c>
      <c r="Q564" s="22" t="str">
        <f aca="false">IF(H564&lt;=0,"Nema prodaje",IF(AND(K564=0,M564=0,O564=0),IF(I564&lt;POSTAVKE!$B$6,"Naruči odmah","Sve u redu"),IF(F564-H564*J564&lt;0,"Rupa za ~"&amp;TEXT(I564,"0.0")&amp;" mj.",IF(AND(M564&gt;0,F564-H564*L564+K564&lt;0),"Rupa nakon 1. dolaska",IF(AND(O564&gt;0,F564-H564*N564+K564+M564&lt;0),"Rupa nakon 2. dolaska",IF(P564&lt;POSTAVKE!$B$6,"Količina nije dovoljna",IF(I564&gt;=POSTAVKE!$B$6,"Sve u redu","Stiže na vrijeme")))))))</f>
        <v>Nema prodaje</v>
      </c>
      <c r="S564" s="23" t="n">
        <f aca="false">IFERROR(INDEX(PODACI_PRODAJA!B:B,MATCH($A564,PODACI_PRODAJA!$A:$A,0)),0)</f>
        <v>0</v>
      </c>
      <c r="T564" s="23" t="n">
        <f aca="false">IFERROR(INDEX(PODACI_PRODAJA!C:C,MATCH($A564,PODACI_PRODAJA!$A:$A,0)),0)</f>
        <v>0</v>
      </c>
      <c r="U564" s="23" t="n">
        <f aca="false">IFERROR(INDEX(PODACI_PRODAJA!D:D,MATCH($A564,PODACI_PRODAJA!$A:$A,0)),0)</f>
        <v>0</v>
      </c>
      <c r="V564" s="23" t="n">
        <f aca="false">IFERROR(INDEX(PODACI_PRODAJA!E:E,MATCH($A564,PODACI_PRODAJA!$A:$A,0)),0)</f>
        <v>0</v>
      </c>
      <c r="W564" s="23" t="n">
        <f aca="false">IFERROR(INDEX(PODACI_PRODAJA!F:F,MATCH($A564,PODACI_PRODAJA!$A:$A,0)),0)</f>
        <v>0</v>
      </c>
      <c r="X564" s="23" t="n">
        <f aca="false">IFERROR(INDEX(PODACI_PRODAJA!G:G,MATCH($A564,PODACI_PRODAJA!$A:$A,0)),0)</f>
        <v>0</v>
      </c>
      <c r="Y564" s="23" t="n">
        <f aca="false">IFERROR(INDEX(PODACI_PRODAJA!H:H,MATCH($A564,PODACI_PRODAJA!$A:$A,0)),0)</f>
        <v>0</v>
      </c>
      <c r="Z564" s="23" t="n">
        <f aca="false">IFERROR(INDEX(PODACI_PRODAJA!I:I,MATCH($A564,PODACI_PRODAJA!$A:$A,0)),0)</f>
        <v>0</v>
      </c>
      <c r="AA564" s="23" t="n">
        <f aca="false">IFERROR(INDEX(PODACI_PRODAJA!J:J,MATCH($A564,PODACI_PRODAJA!$A:$A,0)),0)</f>
        <v>0</v>
      </c>
      <c r="AB564" s="23" t="n">
        <f aca="false">IFERROR(INDEX(PODACI_PRODAJA!K:K,MATCH($A564,PODACI_PRODAJA!$A:$A,0)),0)</f>
        <v>0</v>
      </c>
      <c r="AC564" s="23" t="n">
        <f aca="false">IFERROR(INDEX(PODACI_PRODAJA!L:L,MATCH($A564,PODACI_PRODAJA!$A:$A,0)),0)</f>
        <v>0</v>
      </c>
      <c r="AD564" s="23" t="n">
        <f aca="false">IFERROR(INDEX(PODACI_PRODAJA!M:M,MATCH($A564,PODACI_PRODAJA!$A:$A,0)),0)</f>
        <v>0</v>
      </c>
    </row>
    <row r="565" customFormat="false" ht="15" hidden="false" customHeight="false" outlineLevel="0" collapsed="false">
      <c r="A565" s="11" t="str">
        <f aca="false">PODACI_ZALIHE!A562</f>
        <v>002944</v>
      </c>
      <c r="B565" s="8" t="str">
        <f aca="false">PODACI_ZALIHE!B562</f>
        <v>BASIC 80 POLUKRUŽNA TUŠ KABINA 80X80X198</v>
      </c>
      <c r="C565" s="9" t="str">
        <f aca="false">PODACI_ZALIHE!C562</f>
        <v>4838</v>
      </c>
      <c r="D565" s="8" t="str">
        <f aca="false">PODACI_ZALIHE!D562</f>
        <v>JIAXING DANNI SANITARY AND KITCHEN EQUIPMENT CO.LTD</v>
      </c>
      <c r="E565" s="19" t="n">
        <f aca="false">IF(PODACI_ZALIHE!E562="","",PODACI_ZALIHE!E562)</f>
        <v>2</v>
      </c>
      <c r="F565" s="20" t="n">
        <f aca="false">PODACI_ZALIHE!F562</f>
        <v>2</v>
      </c>
      <c r="G565" s="19" t="n">
        <f aca="false">IF(E565="","",E565-F565)</f>
        <v>0</v>
      </c>
      <c r="H565" s="9" t="n">
        <f aca="false">PODACI_PRODAJA!N34</f>
        <v>15.13</v>
      </c>
      <c r="I565" s="21" t="n">
        <f aca="false">IF(H565&lt;=0,999,ROUND(F565/H565,1))</f>
        <v>0.1</v>
      </c>
      <c r="J565" s="9" t="n">
        <f aca="false">SUMIFS(ROBA_U_DOLASKU!$C$6:$C$95,ROBA_U_DOLASKU!$A$6:$A$95,A565,ROBA_U_DOLASKU!$H$6:$H$95,1)</f>
        <v>0</v>
      </c>
      <c r="K565" s="9" t="n">
        <f aca="false">SUMIFS(ROBA_U_DOLASKU!$B$6:$B$95,ROBA_U_DOLASKU!$A$6:$A$95,A565,ROBA_U_DOLASKU!$H$6:$H$95,1)</f>
        <v>0</v>
      </c>
      <c r="L565" s="9" t="n">
        <f aca="false">SUMIFS(ROBA_U_DOLASKU!$C$6:$C$95,ROBA_U_DOLASKU!$A$6:$A$95,A565,ROBA_U_DOLASKU!$H$6:$H$95,2)</f>
        <v>0</v>
      </c>
      <c r="M565" s="9" t="n">
        <f aca="false">SUMIFS(ROBA_U_DOLASKU!$B$6:$B$95,ROBA_U_DOLASKU!$A$6:$A$95,A565,ROBA_U_DOLASKU!$H$6:$H$95,2)</f>
        <v>0</v>
      </c>
      <c r="N565" s="9" t="n">
        <f aca="false">SUMIFS(ROBA_U_DOLASKU!$C$6:$C$95,ROBA_U_DOLASKU!$A$6:$A$95,A565,ROBA_U_DOLASKU!$H$6:$H$95,3)</f>
        <v>0</v>
      </c>
      <c r="O565" s="9" t="n">
        <f aca="false">SUMIFS(ROBA_U_DOLASKU!$B$6:$B$95,ROBA_U_DOLASKU!$A$6:$A$95,A565,ROBA_U_DOLASKU!$H$6:$H$95,3)</f>
        <v>0</v>
      </c>
      <c r="P565" s="9" t="n">
        <f aca="false">IF(H565&lt;=0,999,IF(O565&gt;0,ROUND((F565-H565*N565+K565+M565+O565)/H565,1),IF(M565&gt;0,ROUND((F565-H565*L565+K565+M565)/H565,1),IF(K565&gt;0,ROUND((F565-H565*J565+K565)/H565,1),I565))))</f>
        <v>0.1</v>
      </c>
      <c r="Q565" s="22" t="str">
        <f aca="false">IF(H565&lt;=0,"Nema prodaje",IF(AND(K565=0,M565=0,O565=0),IF(I565&lt;POSTAVKE!$B$6,"Naruči odmah","Sve u redu"),IF(F565-H565*J565&lt;0,"Rupa za ~"&amp;TEXT(I565,"0.0")&amp;" mj.",IF(AND(M565&gt;0,F565-H565*L565+K565&lt;0),"Rupa nakon 1. dolaska",IF(AND(O565&gt;0,F565-H565*N565+K565+M565&lt;0),"Rupa nakon 2. dolaska",IF(P565&lt;POSTAVKE!$B$6,"Količina nije dovoljna",IF(I565&gt;=POSTAVKE!$B$6,"Sve u redu","Stiže na vrijeme")))))))</f>
        <v>Naruči odmah</v>
      </c>
      <c r="S565" s="23" t="n">
        <f aca="false">IFERROR(INDEX(PODACI_PRODAJA!B:B,MATCH($A565,PODACI_PRODAJA!$A:$A,0)),0)</f>
        <v>28</v>
      </c>
      <c r="T565" s="23" t="n">
        <f aca="false">IFERROR(INDEX(PODACI_PRODAJA!C:C,MATCH($A565,PODACI_PRODAJA!$A:$A,0)),0)</f>
        <v>11</v>
      </c>
      <c r="U565" s="23" t="n">
        <f aca="false">IFERROR(INDEX(PODACI_PRODAJA!D:D,MATCH($A565,PODACI_PRODAJA!$A:$A,0)),0)</f>
        <v>15</v>
      </c>
      <c r="V565" s="23" t="n">
        <f aca="false">IFERROR(INDEX(PODACI_PRODAJA!E:E,MATCH($A565,PODACI_PRODAJA!$A:$A,0)),0)</f>
        <v>13</v>
      </c>
      <c r="W565" s="23" t="n">
        <f aca="false">IFERROR(INDEX(PODACI_PRODAJA!F:F,MATCH($A565,PODACI_PRODAJA!$A:$A,0)),0)</f>
        <v>20</v>
      </c>
      <c r="X565" s="23" t="n">
        <f aca="false">IFERROR(INDEX(PODACI_PRODAJA!G:G,MATCH($A565,PODACI_PRODAJA!$A:$A,0)),0)</f>
        <v>7</v>
      </c>
      <c r="Y565" s="23" t="n">
        <f aca="false">IFERROR(INDEX(PODACI_PRODAJA!H:H,MATCH($A565,PODACI_PRODAJA!$A:$A,0)),0)</f>
        <v>19</v>
      </c>
      <c r="Z565" s="23" t="n">
        <f aca="false">IFERROR(INDEX(PODACI_PRODAJA!I:I,MATCH($A565,PODACI_PRODAJA!$A:$A,0)),0)</f>
        <v>8</v>
      </c>
      <c r="AA565" s="23" t="n">
        <f aca="false">IFERROR(INDEX(PODACI_PRODAJA!J:J,MATCH($A565,PODACI_PRODAJA!$A:$A,0)),0)</f>
        <v>0</v>
      </c>
      <c r="AB565" s="23" t="n">
        <f aca="false">IFERROR(INDEX(PODACI_PRODAJA!K:K,MATCH($A565,PODACI_PRODAJA!$A:$A,0)),0)</f>
        <v>0</v>
      </c>
      <c r="AC565" s="23" t="n">
        <f aca="false">IFERROR(INDEX(PODACI_PRODAJA!L:L,MATCH($A565,PODACI_PRODAJA!$A:$A,0)),0)</f>
        <v>0</v>
      </c>
      <c r="AD565" s="23" t="n">
        <f aca="false">IFERROR(INDEX(PODACI_PRODAJA!M:M,MATCH($A565,PODACI_PRODAJA!$A:$A,0)),0)</f>
        <v>0</v>
      </c>
    </row>
    <row r="566" customFormat="false" ht="15" hidden="false" customHeight="false" outlineLevel="0" collapsed="false">
      <c r="A566" s="11" t="str">
        <f aca="false">PODACI_ZALIHE!A563</f>
        <v>003385</v>
      </c>
      <c r="B566" s="8" t="str">
        <f aca="false">PODACI_ZALIHE!B563</f>
        <v>SIFON ZA UMIVAONIK 5/4  MESING</v>
      </c>
      <c r="C566" s="9" t="str">
        <f aca="false">PODACI_ZALIHE!C563</f>
        <v>4826</v>
      </c>
      <c r="D566" s="8" t="str">
        <f aca="false">PODACI_ZALIHE!D563</f>
        <v>TAIZHOU NIXI SANITARY WARE CO.,LTD</v>
      </c>
      <c r="E566" s="19" t="n">
        <f aca="false">IF(PODACI_ZALIHE!E563="","",PODACI_ZALIHE!E563)</f>
        <v>2</v>
      </c>
      <c r="F566" s="20" t="n">
        <f aca="false">PODACI_ZALIHE!F563</f>
        <v>2</v>
      </c>
      <c r="G566" s="19" t="n">
        <f aca="false">IF(E566="","",E566-F566)</f>
        <v>0</v>
      </c>
      <c r="H566" s="9" t="n">
        <f aca="false">PODACI_PRODAJA!N35</f>
        <v>27.13</v>
      </c>
      <c r="I566" s="21" t="n">
        <f aca="false">IF(H566&lt;=0,999,ROUND(F566/H566,1))</f>
        <v>0.1</v>
      </c>
      <c r="J566" s="9" t="n">
        <f aca="false">SUMIFS(ROBA_U_DOLASKU!$C$6:$C$95,ROBA_U_DOLASKU!$A$6:$A$95,A566,ROBA_U_DOLASKU!$H$6:$H$95,1)</f>
        <v>0</v>
      </c>
      <c r="K566" s="9" t="n">
        <f aca="false">SUMIFS(ROBA_U_DOLASKU!$B$6:$B$95,ROBA_U_DOLASKU!$A$6:$A$95,A566,ROBA_U_DOLASKU!$H$6:$H$95,1)</f>
        <v>0</v>
      </c>
      <c r="L566" s="9" t="n">
        <f aca="false">SUMIFS(ROBA_U_DOLASKU!$C$6:$C$95,ROBA_U_DOLASKU!$A$6:$A$95,A566,ROBA_U_DOLASKU!$H$6:$H$95,2)</f>
        <v>0</v>
      </c>
      <c r="M566" s="9" t="n">
        <f aca="false">SUMIFS(ROBA_U_DOLASKU!$B$6:$B$95,ROBA_U_DOLASKU!$A$6:$A$95,A566,ROBA_U_DOLASKU!$H$6:$H$95,2)</f>
        <v>0</v>
      </c>
      <c r="N566" s="9" t="n">
        <f aca="false">SUMIFS(ROBA_U_DOLASKU!$C$6:$C$95,ROBA_U_DOLASKU!$A$6:$A$95,A566,ROBA_U_DOLASKU!$H$6:$H$95,3)</f>
        <v>0</v>
      </c>
      <c r="O566" s="9" t="n">
        <f aca="false">SUMIFS(ROBA_U_DOLASKU!$B$6:$B$95,ROBA_U_DOLASKU!$A$6:$A$95,A566,ROBA_U_DOLASKU!$H$6:$H$95,3)</f>
        <v>0</v>
      </c>
      <c r="P566" s="9" t="n">
        <f aca="false">IF(H566&lt;=0,999,IF(O566&gt;0,ROUND((F566-H566*N566+K566+M566+O566)/H566,1),IF(M566&gt;0,ROUND((F566-H566*L566+K566+M566)/H566,1),IF(K566&gt;0,ROUND((F566-H566*J566+K566)/H566,1),I566))))</f>
        <v>0.1</v>
      </c>
      <c r="Q566" s="22" t="str">
        <f aca="false">IF(H566&lt;=0,"Nema prodaje",IF(AND(K566=0,M566=0,O566=0),IF(I566&lt;POSTAVKE!$B$6,"Naruči odmah","Sve u redu"),IF(F566-H566*J566&lt;0,"Rupa za ~"&amp;TEXT(I566,"0.0")&amp;" mj.",IF(AND(M566&gt;0,F566-H566*L566+K566&lt;0),"Rupa nakon 1. dolaska",IF(AND(O566&gt;0,F566-H566*N566+K566+M566&lt;0),"Rupa nakon 2. dolaska",IF(P566&lt;POSTAVKE!$B$6,"Količina nije dovoljna",IF(I566&gt;=POSTAVKE!$B$6,"Sve u redu","Stiže na vrijeme")))))))</f>
        <v>Naruči odmah</v>
      </c>
      <c r="S566" s="23" t="n">
        <f aca="false">IFERROR(INDEX(PODACI_PRODAJA!B:B,MATCH($A566,PODACI_PRODAJA!$A:$A,0)),0)</f>
        <v>27</v>
      </c>
      <c r="T566" s="23" t="n">
        <f aca="false">IFERROR(INDEX(PODACI_PRODAJA!C:C,MATCH($A566,PODACI_PRODAJA!$A:$A,0)),0)</f>
        <v>28</v>
      </c>
      <c r="U566" s="23" t="n">
        <f aca="false">IFERROR(INDEX(PODACI_PRODAJA!D:D,MATCH($A566,PODACI_PRODAJA!$A:$A,0)),0)</f>
        <v>64</v>
      </c>
      <c r="V566" s="23" t="n">
        <f aca="false">IFERROR(INDEX(PODACI_PRODAJA!E:E,MATCH($A566,PODACI_PRODAJA!$A:$A,0)),0)</f>
        <v>0</v>
      </c>
      <c r="W566" s="23" t="n">
        <f aca="false">IFERROR(INDEX(PODACI_PRODAJA!F:F,MATCH($A566,PODACI_PRODAJA!$A:$A,0)),0)</f>
        <v>0</v>
      </c>
      <c r="X566" s="23" t="n">
        <f aca="false">IFERROR(INDEX(PODACI_PRODAJA!G:G,MATCH($A566,PODACI_PRODAJA!$A:$A,0)),0)</f>
        <v>0</v>
      </c>
      <c r="Y566" s="23" t="n">
        <f aca="false">IFERROR(INDEX(PODACI_PRODAJA!H:H,MATCH($A566,PODACI_PRODAJA!$A:$A,0)),0)</f>
        <v>32</v>
      </c>
      <c r="Z566" s="23" t="n">
        <f aca="false">IFERROR(INDEX(PODACI_PRODAJA!I:I,MATCH($A566,PODACI_PRODAJA!$A:$A,0)),0)</f>
        <v>66</v>
      </c>
      <c r="AA566" s="23" t="n">
        <f aca="false">IFERROR(INDEX(PODACI_PRODAJA!J:J,MATCH($A566,PODACI_PRODAJA!$A:$A,0)),0)</f>
        <v>0</v>
      </c>
      <c r="AB566" s="23" t="n">
        <f aca="false">IFERROR(INDEX(PODACI_PRODAJA!K:K,MATCH($A566,PODACI_PRODAJA!$A:$A,0)),0)</f>
        <v>0</v>
      </c>
      <c r="AC566" s="23" t="n">
        <f aca="false">IFERROR(INDEX(PODACI_PRODAJA!L:L,MATCH($A566,PODACI_PRODAJA!$A:$A,0)),0)</f>
        <v>0</v>
      </c>
      <c r="AD566" s="23" t="n">
        <f aca="false">IFERROR(INDEX(PODACI_PRODAJA!M:M,MATCH($A566,PODACI_PRODAJA!$A:$A,0)),0)</f>
        <v>0</v>
      </c>
    </row>
    <row r="567" customFormat="false" ht="15" hidden="false" customHeight="false" outlineLevel="0" collapsed="false">
      <c r="A567" s="11" t="str">
        <f aca="false">PODACI_ZALIHE!A564</f>
        <v>0361410</v>
      </c>
      <c r="B567" s="8" t="str">
        <f aca="false">PODACI_ZALIHE!B564</f>
        <v>UZORAK SIFONA ZA PPR8010 CHROME</v>
      </c>
      <c r="C567" s="9" t="n">
        <f aca="false">PODACI_ZALIHE!C564</f>
        <v>0</v>
      </c>
      <c r="D567" s="8" t="n">
        <f aca="false">PODACI_ZALIHE!D564</f>
        <v>0</v>
      </c>
      <c r="E567" s="19" t="n">
        <f aca="false">IF(PODACI_ZALIHE!E564="","",PODACI_ZALIHE!E564)</f>
        <v>2</v>
      </c>
      <c r="F567" s="20" t="n">
        <f aca="false">PODACI_ZALIHE!F564</f>
        <v>2</v>
      </c>
      <c r="G567" s="19" t="n">
        <f aca="false">IF(E567="","",E567-F567)</f>
        <v>0</v>
      </c>
      <c r="H567" s="9" t="n">
        <v>0</v>
      </c>
      <c r="I567" s="21" t="n">
        <f aca="false">IF(H567&lt;=0,999,ROUND(F567/H567,1))</f>
        <v>999</v>
      </c>
      <c r="J567" s="9" t="n">
        <f aca="false">SUMIFS(ROBA_U_DOLASKU!$C$6:$C$95,ROBA_U_DOLASKU!$A$6:$A$95,A567,ROBA_U_DOLASKU!$H$6:$H$95,1)</f>
        <v>0</v>
      </c>
      <c r="K567" s="9" t="n">
        <f aca="false">SUMIFS(ROBA_U_DOLASKU!$B$6:$B$95,ROBA_U_DOLASKU!$A$6:$A$95,A567,ROBA_U_DOLASKU!$H$6:$H$95,1)</f>
        <v>0</v>
      </c>
      <c r="L567" s="9" t="n">
        <f aca="false">SUMIFS(ROBA_U_DOLASKU!$C$6:$C$95,ROBA_U_DOLASKU!$A$6:$A$95,A567,ROBA_U_DOLASKU!$H$6:$H$95,2)</f>
        <v>0</v>
      </c>
      <c r="M567" s="9" t="n">
        <f aca="false">SUMIFS(ROBA_U_DOLASKU!$B$6:$B$95,ROBA_U_DOLASKU!$A$6:$A$95,A567,ROBA_U_DOLASKU!$H$6:$H$95,2)</f>
        <v>0</v>
      </c>
      <c r="N567" s="9" t="n">
        <f aca="false">SUMIFS(ROBA_U_DOLASKU!$C$6:$C$95,ROBA_U_DOLASKU!$A$6:$A$95,A567,ROBA_U_DOLASKU!$H$6:$H$95,3)</f>
        <v>0</v>
      </c>
      <c r="O567" s="9" t="n">
        <f aca="false">SUMIFS(ROBA_U_DOLASKU!$B$6:$B$95,ROBA_U_DOLASKU!$A$6:$A$95,A567,ROBA_U_DOLASKU!$H$6:$H$95,3)</f>
        <v>0</v>
      </c>
      <c r="P567" s="9" t="n">
        <f aca="false">IF(H567&lt;=0,999,IF(O567&gt;0,ROUND((F567-H567*N567+K567+M567+O567)/H567,1),IF(M567&gt;0,ROUND((F567-H567*L567+K567+M567)/H567,1),IF(K567&gt;0,ROUND((F567-H567*J567+K567)/H567,1),I567))))</f>
        <v>999</v>
      </c>
      <c r="Q567" s="22" t="str">
        <f aca="false">IF(H567&lt;=0,"Nema prodaje",IF(AND(K567=0,M567=0,O567=0),IF(I567&lt;POSTAVKE!$B$6,"Naruči odmah","Sve u redu"),IF(F567-H567*J567&lt;0,"Rupa za ~"&amp;TEXT(I567,"0.0")&amp;" mj.",IF(AND(M567&gt;0,F567-H567*L567+K567&lt;0),"Rupa nakon 1. dolaska",IF(AND(O567&gt;0,F567-H567*N567+K567+M567&lt;0),"Rupa nakon 2. dolaska",IF(P567&lt;POSTAVKE!$B$6,"Količina nije dovoljna",IF(I567&gt;=POSTAVKE!$B$6,"Sve u redu","Stiže na vrijeme")))))))</f>
        <v>Nema prodaje</v>
      </c>
      <c r="S567" s="23" t="n">
        <f aca="false">IFERROR(INDEX(PODACI_PRODAJA!B:B,MATCH($A567,PODACI_PRODAJA!$A:$A,0)),0)</f>
        <v>0</v>
      </c>
      <c r="T567" s="23" t="n">
        <f aca="false">IFERROR(INDEX(PODACI_PRODAJA!C:C,MATCH($A567,PODACI_PRODAJA!$A:$A,0)),0)</f>
        <v>0</v>
      </c>
      <c r="U567" s="23" t="n">
        <f aca="false">IFERROR(INDEX(PODACI_PRODAJA!D:D,MATCH($A567,PODACI_PRODAJA!$A:$A,0)),0)</f>
        <v>0</v>
      </c>
      <c r="V567" s="23" t="n">
        <f aca="false">IFERROR(INDEX(PODACI_PRODAJA!E:E,MATCH($A567,PODACI_PRODAJA!$A:$A,0)),0)</f>
        <v>0</v>
      </c>
      <c r="W567" s="23" t="n">
        <f aca="false">IFERROR(INDEX(PODACI_PRODAJA!F:F,MATCH($A567,PODACI_PRODAJA!$A:$A,0)),0)</f>
        <v>0</v>
      </c>
      <c r="X567" s="23" t="n">
        <f aca="false">IFERROR(INDEX(PODACI_PRODAJA!G:G,MATCH($A567,PODACI_PRODAJA!$A:$A,0)),0)</f>
        <v>0</v>
      </c>
      <c r="Y567" s="23" t="n">
        <f aca="false">IFERROR(INDEX(PODACI_PRODAJA!H:H,MATCH($A567,PODACI_PRODAJA!$A:$A,0)),0)</f>
        <v>0</v>
      </c>
      <c r="Z567" s="23" t="n">
        <f aca="false">IFERROR(INDEX(PODACI_PRODAJA!I:I,MATCH($A567,PODACI_PRODAJA!$A:$A,0)),0)</f>
        <v>0</v>
      </c>
      <c r="AA567" s="23" t="n">
        <f aca="false">IFERROR(INDEX(PODACI_PRODAJA!J:J,MATCH($A567,PODACI_PRODAJA!$A:$A,0)),0)</f>
        <v>0</v>
      </c>
      <c r="AB567" s="23" t="n">
        <f aca="false">IFERROR(INDEX(PODACI_PRODAJA!K:K,MATCH($A567,PODACI_PRODAJA!$A:$A,0)),0)</f>
        <v>0</v>
      </c>
      <c r="AC567" s="23" t="n">
        <f aca="false">IFERROR(INDEX(PODACI_PRODAJA!L:L,MATCH($A567,PODACI_PRODAJA!$A:$A,0)),0)</f>
        <v>0</v>
      </c>
      <c r="AD567" s="23" t="n">
        <f aca="false">IFERROR(INDEX(PODACI_PRODAJA!M:M,MATCH($A567,PODACI_PRODAJA!$A:$A,0)),0)</f>
        <v>0</v>
      </c>
    </row>
    <row r="568" customFormat="false" ht="15" hidden="false" customHeight="false" outlineLevel="0" collapsed="false">
      <c r="A568" s="11" t="str">
        <f aca="false">PODACI_ZALIHE!A565</f>
        <v>041880</v>
      </c>
      <c r="B568" s="8" t="str">
        <f aca="false">PODACI_ZALIHE!B565</f>
        <v>VETRO BLACK 140 TUŠ STIJENA 140x200 cm</v>
      </c>
      <c r="C568" s="9" t="str">
        <f aca="false">PODACI_ZALIHE!C565</f>
        <v>6762</v>
      </c>
      <c r="D568" s="8" t="str">
        <f aca="false">PODACI_ZALIHE!D565</f>
        <v>ZHEJIANG QUICKLINE SHOWERING CO., LTD.</v>
      </c>
      <c r="E568" s="19" t="n">
        <f aca="false">IF(PODACI_ZALIHE!E565="","",PODACI_ZALIHE!E565)</f>
        <v>2</v>
      </c>
      <c r="F568" s="20" t="n">
        <f aca="false">PODACI_ZALIHE!F565</f>
        <v>2</v>
      </c>
      <c r="G568" s="19" t="n">
        <f aca="false">IF(E568="","",E568-F568)</f>
        <v>0</v>
      </c>
      <c r="H568" s="9" t="n">
        <f aca="false">PODACI_PRODAJA!N175</f>
        <v>2.63</v>
      </c>
      <c r="I568" s="21" t="n">
        <f aca="false">IF(H568&lt;=0,999,ROUND(F568/H568,1))</f>
        <v>0.8</v>
      </c>
      <c r="J568" s="9" t="n">
        <f aca="false">SUMIFS(ROBA_U_DOLASKU!$C$6:$C$95,ROBA_U_DOLASKU!$A$6:$A$95,A568,ROBA_U_DOLASKU!$H$6:$H$95,1)</f>
        <v>1</v>
      </c>
      <c r="K568" s="9" t="n">
        <f aca="false">SUMIFS(ROBA_U_DOLASKU!$B$6:$B$95,ROBA_U_DOLASKU!$A$6:$A$95,A568,ROBA_U_DOLASKU!$H$6:$H$95,1)</f>
        <v>15</v>
      </c>
      <c r="L568" s="9" t="n">
        <f aca="false">SUMIFS(ROBA_U_DOLASKU!$C$6:$C$95,ROBA_U_DOLASKU!$A$6:$A$95,A568,ROBA_U_DOLASKU!$H$6:$H$95,2)</f>
        <v>0</v>
      </c>
      <c r="M568" s="9" t="n">
        <f aca="false">SUMIFS(ROBA_U_DOLASKU!$B$6:$B$95,ROBA_U_DOLASKU!$A$6:$A$95,A568,ROBA_U_DOLASKU!$H$6:$H$95,2)</f>
        <v>0</v>
      </c>
      <c r="N568" s="9" t="n">
        <f aca="false">SUMIFS(ROBA_U_DOLASKU!$C$6:$C$95,ROBA_U_DOLASKU!$A$6:$A$95,A568,ROBA_U_DOLASKU!$H$6:$H$95,3)</f>
        <v>0</v>
      </c>
      <c r="O568" s="9" t="n">
        <f aca="false">SUMIFS(ROBA_U_DOLASKU!$B$6:$B$95,ROBA_U_DOLASKU!$A$6:$A$95,A568,ROBA_U_DOLASKU!$H$6:$H$95,3)</f>
        <v>0</v>
      </c>
      <c r="P568" s="9" t="n">
        <f aca="false">IF(H568&lt;=0,999,IF(O568&gt;0,ROUND((F568-H568*N568+K568+M568+O568)/H568,1),IF(M568&gt;0,ROUND((F568-H568*L568+K568+M568)/H568,1),IF(K568&gt;0,ROUND((F568-H568*J568+K568)/H568,1),I568))))</f>
        <v>5.5</v>
      </c>
      <c r="Q568" s="22" t="str">
        <f aca="false">IF(H568&lt;=0,"Nema prodaje",IF(AND(K568=0,M568=0,O568=0),IF(I568&lt;POSTAVKE!$B$6,"Naruči odmah","Sve u redu"),IF(F568-H568*J568&lt;0,"Rupa za ~"&amp;TEXT(I568,"0.0")&amp;" mj.",IF(AND(M568&gt;0,F568-H568*L568+K568&lt;0),"Rupa nakon 1. dolaska",IF(AND(O568&gt;0,F568-H568*N568+K568+M568&lt;0),"Rupa nakon 2. dolaska",IF(P568&lt;POSTAVKE!$B$6,"Količina nije dovoljna",IF(I568&gt;=POSTAVKE!$B$6,"Sve u redu","Stiže na vrijeme")))))))</f>
        <v>Rupa za ~0.8 mj.</v>
      </c>
      <c r="S568" s="23" t="n">
        <f aca="false">IFERROR(INDEX(PODACI_PRODAJA!B:B,MATCH($A568,PODACI_PRODAJA!$A:$A,0)),0)</f>
        <v>2</v>
      </c>
      <c r="T568" s="23" t="n">
        <f aca="false">IFERROR(INDEX(PODACI_PRODAJA!C:C,MATCH($A568,PODACI_PRODAJA!$A:$A,0)),0)</f>
        <v>1</v>
      </c>
      <c r="U568" s="23" t="n">
        <f aca="false">IFERROR(INDEX(PODACI_PRODAJA!D:D,MATCH($A568,PODACI_PRODAJA!$A:$A,0)),0)</f>
        <v>4</v>
      </c>
      <c r="V568" s="23" t="n">
        <f aca="false">IFERROR(INDEX(PODACI_PRODAJA!E:E,MATCH($A568,PODACI_PRODAJA!$A:$A,0)),0)</f>
        <v>3</v>
      </c>
      <c r="W568" s="23" t="n">
        <f aca="false">IFERROR(INDEX(PODACI_PRODAJA!F:F,MATCH($A568,PODACI_PRODAJA!$A:$A,0)),0)</f>
        <v>1</v>
      </c>
      <c r="X568" s="23" t="n">
        <f aca="false">IFERROR(INDEX(PODACI_PRODAJA!G:G,MATCH($A568,PODACI_PRODAJA!$A:$A,0)),0)</f>
        <v>1</v>
      </c>
      <c r="Y568" s="23" t="n">
        <f aca="false">IFERROR(INDEX(PODACI_PRODAJA!H:H,MATCH($A568,PODACI_PRODAJA!$A:$A,0)),0)</f>
        <v>4</v>
      </c>
      <c r="Z568" s="23" t="n">
        <f aca="false">IFERROR(INDEX(PODACI_PRODAJA!I:I,MATCH($A568,PODACI_PRODAJA!$A:$A,0)),0)</f>
        <v>5</v>
      </c>
      <c r="AA568" s="23" t="n">
        <f aca="false">IFERROR(INDEX(PODACI_PRODAJA!J:J,MATCH($A568,PODACI_PRODAJA!$A:$A,0)),0)</f>
        <v>0</v>
      </c>
      <c r="AB568" s="23" t="n">
        <f aca="false">IFERROR(INDEX(PODACI_PRODAJA!K:K,MATCH($A568,PODACI_PRODAJA!$A:$A,0)),0)</f>
        <v>0</v>
      </c>
      <c r="AC568" s="23" t="n">
        <f aca="false">IFERROR(INDEX(PODACI_PRODAJA!L:L,MATCH($A568,PODACI_PRODAJA!$A:$A,0)),0)</f>
        <v>0</v>
      </c>
      <c r="AD568" s="23" t="n">
        <f aca="false">IFERROR(INDEX(PODACI_PRODAJA!M:M,MATCH($A568,PODACI_PRODAJA!$A:$A,0)),0)</f>
        <v>0</v>
      </c>
    </row>
    <row r="569" customFormat="false" ht="15" hidden="false" customHeight="false" outlineLevel="0" collapsed="false">
      <c r="A569" s="11" t="str">
        <f aca="false">PODACI_ZALIHE!A566</f>
        <v>111.516.00.2</v>
      </c>
      <c r="B569" s="8" t="str">
        <f aca="false">PODACI_ZALIHE!B566</f>
        <v>GEBERIT DUOFIX ELEMENT ZA BIDE, 112 CM,UNIVERZALNI</v>
      </c>
      <c r="C569" s="9" t="str">
        <f aca="false">PODACI_ZALIHE!C566</f>
        <v>7564</v>
      </c>
      <c r="D569" s="8" t="str">
        <f aca="false">PODACI_ZALIHE!D566</f>
        <v>MAVI d.o.o.</v>
      </c>
      <c r="E569" s="19" t="n">
        <f aca="false">IF(PODACI_ZALIHE!E566="","",PODACI_ZALIHE!E566)</f>
        <v>2</v>
      </c>
      <c r="F569" s="20" t="n">
        <f aca="false">PODACI_ZALIHE!F566</f>
        <v>2</v>
      </c>
      <c r="G569" s="19" t="n">
        <f aca="false">IF(E569="","",E569-F569)</f>
        <v>0</v>
      </c>
      <c r="H569" s="9" t="n">
        <f aca="false">PODACI_PRODAJA!N457</f>
        <v>0</v>
      </c>
      <c r="I569" s="21" t="n">
        <f aca="false">IF(H569&lt;=0,999,ROUND(F569/H569,1))</f>
        <v>999</v>
      </c>
      <c r="J569" s="9" t="n">
        <f aca="false">SUMIFS(ROBA_U_DOLASKU!$C$6:$C$95,ROBA_U_DOLASKU!$A$6:$A$95,A569,ROBA_U_DOLASKU!$H$6:$H$95,1)</f>
        <v>0</v>
      </c>
      <c r="K569" s="9" t="n">
        <f aca="false">SUMIFS(ROBA_U_DOLASKU!$B$6:$B$95,ROBA_U_DOLASKU!$A$6:$A$95,A569,ROBA_U_DOLASKU!$H$6:$H$95,1)</f>
        <v>0</v>
      </c>
      <c r="L569" s="9" t="n">
        <f aca="false">SUMIFS(ROBA_U_DOLASKU!$C$6:$C$95,ROBA_U_DOLASKU!$A$6:$A$95,A569,ROBA_U_DOLASKU!$H$6:$H$95,2)</f>
        <v>0</v>
      </c>
      <c r="M569" s="9" t="n">
        <f aca="false">SUMIFS(ROBA_U_DOLASKU!$B$6:$B$95,ROBA_U_DOLASKU!$A$6:$A$95,A569,ROBA_U_DOLASKU!$H$6:$H$95,2)</f>
        <v>0</v>
      </c>
      <c r="N569" s="9" t="n">
        <f aca="false">SUMIFS(ROBA_U_DOLASKU!$C$6:$C$95,ROBA_U_DOLASKU!$A$6:$A$95,A569,ROBA_U_DOLASKU!$H$6:$H$95,3)</f>
        <v>0</v>
      </c>
      <c r="O569" s="9" t="n">
        <f aca="false">SUMIFS(ROBA_U_DOLASKU!$B$6:$B$95,ROBA_U_DOLASKU!$A$6:$A$95,A569,ROBA_U_DOLASKU!$H$6:$H$95,3)</f>
        <v>0</v>
      </c>
      <c r="P569" s="9" t="n">
        <f aca="false">IF(H569&lt;=0,999,IF(O569&gt;0,ROUND((F569-H569*N569+K569+M569+O569)/H569,1),IF(M569&gt;0,ROUND((F569-H569*L569+K569+M569)/H569,1),IF(K569&gt;0,ROUND((F569-H569*J569+K569)/H569,1),I569))))</f>
        <v>999</v>
      </c>
      <c r="Q569" s="22" t="str">
        <f aca="false">IF(H569&lt;=0,"Nema prodaje",IF(AND(K569=0,M569=0,O569=0),IF(I569&lt;POSTAVKE!$B$6,"Naruči odmah","Sve u redu"),IF(F569-H569*J569&lt;0,"Rupa za ~"&amp;TEXT(I569,"0.0")&amp;" mj.",IF(AND(M569&gt;0,F569-H569*L569+K569&lt;0),"Rupa nakon 1. dolaska",IF(AND(O569&gt;0,F569-H569*N569+K569+M569&lt;0),"Rupa nakon 2. dolaska",IF(P569&lt;POSTAVKE!$B$6,"Količina nije dovoljna",IF(I569&gt;=POSTAVKE!$B$6,"Sve u redu","Stiže na vrijeme")))))))</f>
        <v>Nema prodaje</v>
      </c>
      <c r="S569" s="23" t="n">
        <f aca="false">IFERROR(INDEX(PODACI_PRODAJA!B:B,MATCH($A569,PODACI_PRODAJA!$A:$A,0)),0)</f>
        <v>0</v>
      </c>
      <c r="T569" s="23" t="n">
        <f aca="false">IFERROR(INDEX(PODACI_PRODAJA!C:C,MATCH($A569,PODACI_PRODAJA!$A:$A,0)),0)</f>
        <v>0</v>
      </c>
      <c r="U569" s="23" t="n">
        <f aca="false">IFERROR(INDEX(PODACI_PRODAJA!D:D,MATCH($A569,PODACI_PRODAJA!$A:$A,0)),0)</f>
        <v>0</v>
      </c>
      <c r="V569" s="23" t="n">
        <f aca="false">IFERROR(INDEX(PODACI_PRODAJA!E:E,MATCH($A569,PODACI_PRODAJA!$A:$A,0)),0)</f>
        <v>0</v>
      </c>
      <c r="W569" s="23" t="n">
        <f aca="false">IFERROR(INDEX(PODACI_PRODAJA!F:F,MATCH($A569,PODACI_PRODAJA!$A:$A,0)),0)</f>
        <v>0</v>
      </c>
      <c r="X569" s="23" t="n">
        <f aca="false">IFERROR(INDEX(PODACI_PRODAJA!G:G,MATCH($A569,PODACI_PRODAJA!$A:$A,0)),0)</f>
        <v>0</v>
      </c>
      <c r="Y569" s="23" t="n">
        <f aca="false">IFERROR(INDEX(PODACI_PRODAJA!H:H,MATCH($A569,PODACI_PRODAJA!$A:$A,0)),0)</f>
        <v>0</v>
      </c>
      <c r="Z569" s="23" t="n">
        <f aca="false">IFERROR(INDEX(PODACI_PRODAJA!I:I,MATCH($A569,PODACI_PRODAJA!$A:$A,0)),0)</f>
        <v>0</v>
      </c>
      <c r="AA569" s="23" t="n">
        <f aca="false">IFERROR(INDEX(PODACI_PRODAJA!J:J,MATCH($A569,PODACI_PRODAJA!$A:$A,0)),0)</f>
        <v>0</v>
      </c>
      <c r="AB569" s="23" t="n">
        <f aca="false">IFERROR(INDEX(PODACI_PRODAJA!K:K,MATCH($A569,PODACI_PRODAJA!$A:$A,0)),0)</f>
        <v>0</v>
      </c>
      <c r="AC569" s="23" t="n">
        <f aca="false">IFERROR(INDEX(PODACI_PRODAJA!L:L,MATCH($A569,PODACI_PRODAJA!$A:$A,0)),0)</f>
        <v>0</v>
      </c>
      <c r="AD569" s="23" t="n">
        <f aca="false">IFERROR(INDEX(PODACI_PRODAJA!M:M,MATCH($A569,PODACI_PRODAJA!$A:$A,0)),0)</f>
        <v>0</v>
      </c>
    </row>
    <row r="570" customFormat="false" ht="15" hidden="false" customHeight="false" outlineLevel="0" collapsed="false">
      <c r="A570" s="11" t="str">
        <f aca="false">PODACI_ZALIHE!A567</f>
        <v>111.796.00.2</v>
      </c>
      <c r="B570" s="8" t="str">
        <f aca="false">PODACI_ZALIHE!B567</f>
        <v>GEBERIT DUOFIX SIGMA VODOKOTLIĆ UGRADBENI, DEBLJINA 8 CM</v>
      </c>
      <c r="C570" s="9" t="str">
        <f aca="false">PODACI_ZALIHE!C567</f>
        <v>7564</v>
      </c>
      <c r="D570" s="8" t="str">
        <f aca="false">PODACI_ZALIHE!D567</f>
        <v>MAVI d.o.o.</v>
      </c>
      <c r="E570" s="19" t="n">
        <f aca="false">IF(PODACI_ZALIHE!E567="","",PODACI_ZALIHE!E567)</f>
        <v>2</v>
      </c>
      <c r="F570" s="20" t="n">
        <f aca="false">PODACI_ZALIHE!F567</f>
        <v>2</v>
      </c>
      <c r="G570" s="19" t="n">
        <f aca="false">IF(E570="","",E570-F570)</f>
        <v>0</v>
      </c>
      <c r="H570" s="9" t="n">
        <f aca="false">PODACI_PRODAJA!N458</f>
        <v>0</v>
      </c>
      <c r="I570" s="21" t="n">
        <f aca="false">IF(H570&lt;=0,999,ROUND(F570/H570,1))</f>
        <v>999</v>
      </c>
      <c r="J570" s="9" t="n">
        <f aca="false">SUMIFS(ROBA_U_DOLASKU!$C$6:$C$95,ROBA_U_DOLASKU!$A$6:$A$95,A570,ROBA_U_DOLASKU!$H$6:$H$95,1)</f>
        <v>0</v>
      </c>
      <c r="K570" s="9" t="n">
        <f aca="false">SUMIFS(ROBA_U_DOLASKU!$B$6:$B$95,ROBA_U_DOLASKU!$A$6:$A$95,A570,ROBA_U_DOLASKU!$H$6:$H$95,1)</f>
        <v>0</v>
      </c>
      <c r="L570" s="9" t="n">
        <f aca="false">SUMIFS(ROBA_U_DOLASKU!$C$6:$C$95,ROBA_U_DOLASKU!$A$6:$A$95,A570,ROBA_U_DOLASKU!$H$6:$H$95,2)</f>
        <v>0</v>
      </c>
      <c r="M570" s="9" t="n">
        <f aca="false">SUMIFS(ROBA_U_DOLASKU!$B$6:$B$95,ROBA_U_DOLASKU!$A$6:$A$95,A570,ROBA_U_DOLASKU!$H$6:$H$95,2)</f>
        <v>0</v>
      </c>
      <c r="N570" s="9" t="n">
        <f aca="false">SUMIFS(ROBA_U_DOLASKU!$C$6:$C$95,ROBA_U_DOLASKU!$A$6:$A$95,A570,ROBA_U_DOLASKU!$H$6:$H$95,3)</f>
        <v>0</v>
      </c>
      <c r="O570" s="9" t="n">
        <f aca="false">SUMIFS(ROBA_U_DOLASKU!$B$6:$B$95,ROBA_U_DOLASKU!$A$6:$A$95,A570,ROBA_U_DOLASKU!$H$6:$H$95,3)</f>
        <v>0</v>
      </c>
      <c r="P570" s="9" t="n">
        <f aca="false">IF(H570&lt;=0,999,IF(O570&gt;0,ROUND((F570-H570*N570+K570+M570+O570)/H570,1),IF(M570&gt;0,ROUND((F570-H570*L570+K570+M570)/H570,1),IF(K570&gt;0,ROUND((F570-H570*J570+K570)/H570,1),I570))))</f>
        <v>999</v>
      </c>
      <c r="Q570" s="22" t="str">
        <f aca="false">IF(H570&lt;=0,"Nema prodaje",IF(AND(K570=0,M570=0,O570=0),IF(I570&lt;POSTAVKE!$B$6,"Naruči odmah","Sve u redu"),IF(F570-H570*J570&lt;0,"Rupa za ~"&amp;TEXT(I570,"0.0")&amp;" mj.",IF(AND(M570&gt;0,F570-H570*L570+K570&lt;0),"Rupa nakon 1. dolaska",IF(AND(O570&gt;0,F570-H570*N570+K570+M570&lt;0),"Rupa nakon 2. dolaska",IF(P570&lt;POSTAVKE!$B$6,"Količina nije dovoljna",IF(I570&gt;=POSTAVKE!$B$6,"Sve u redu","Stiže na vrijeme")))))))</f>
        <v>Nema prodaje</v>
      </c>
      <c r="S570" s="23" t="n">
        <f aca="false">IFERROR(INDEX(PODACI_PRODAJA!B:B,MATCH($A570,PODACI_PRODAJA!$A:$A,0)),0)</f>
        <v>0</v>
      </c>
      <c r="T570" s="23" t="n">
        <f aca="false">IFERROR(INDEX(PODACI_PRODAJA!C:C,MATCH($A570,PODACI_PRODAJA!$A:$A,0)),0)</f>
        <v>0</v>
      </c>
      <c r="U570" s="23" t="n">
        <f aca="false">IFERROR(INDEX(PODACI_PRODAJA!D:D,MATCH($A570,PODACI_PRODAJA!$A:$A,0)),0)</f>
        <v>0</v>
      </c>
      <c r="V570" s="23" t="n">
        <f aca="false">IFERROR(INDEX(PODACI_PRODAJA!E:E,MATCH($A570,PODACI_PRODAJA!$A:$A,0)),0)</f>
        <v>0</v>
      </c>
      <c r="W570" s="23" t="n">
        <f aca="false">IFERROR(INDEX(PODACI_PRODAJA!F:F,MATCH($A570,PODACI_PRODAJA!$A:$A,0)),0)</f>
        <v>0</v>
      </c>
      <c r="X570" s="23" t="n">
        <f aca="false">IFERROR(INDEX(PODACI_PRODAJA!G:G,MATCH($A570,PODACI_PRODAJA!$A:$A,0)),0)</f>
        <v>0</v>
      </c>
      <c r="Y570" s="23" t="n">
        <f aca="false">IFERROR(INDEX(PODACI_PRODAJA!H:H,MATCH($A570,PODACI_PRODAJA!$A:$A,0)),0)</f>
        <v>0</v>
      </c>
      <c r="Z570" s="23" t="n">
        <f aca="false">IFERROR(INDEX(PODACI_PRODAJA!I:I,MATCH($A570,PODACI_PRODAJA!$A:$A,0)),0)</f>
        <v>0</v>
      </c>
      <c r="AA570" s="23" t="n">
        <f aca="false">IFERROR(INDEX(PODACI_PRODAJA!J:J,MATCH($A570,PODACI_PRODAJA!$A:$A,0)),0)</f>
        <v>0</v>
      </c>
      <c r="AB570" s="23" t="n">
        <f aca="false">IFERROR(INDEX(PODACI_PRODAJA!K:K,MATCH($A570,PODACI_PRODAJA!$A:$A,0)),0)</f>
        <v>0</v>
      </c>
      <c r="AC570" s="23" t="n">
        <f aca="false">IFERROR(INDEX(PODACI_PRODAJA!L:L,MATCH($A570,PODACI_PRODAJA!$A:$A,0)),0)</f>
        <v>0</v>
      </c>
      <c r="AD570" s="23" t="n">
        <f aca="false">IFERROR(INDEX(PODACI_PRODAJA!M:M,MATCH($A570,PODACI_PRODAJA!$A:$A,0)),0)</f>
        <v>0</v>
      </c>
    </row>
    <row r="571" customFormat="false" ht="15" hidden="false" customHeight="false" outlineLevel="0" collapsed="false">
      <c r="A571" s="11" t="str">
        <f aca="false">PODACI_ZALIHE!A568</f>
        <v>15269</v>
      </c>
      <c r="B571" s="8" t="str">
        <f aca="false">PODACI_ZALIHE!B568</f>
        <v>YORK BLACK SAMOSTOJEĆA MIJEŠALICA ZA KADU</v>
      </c>
      <c r="C571" s="9" t="str">
        <f aca="false">PODACI_ZALIHE!C568</f>
        <v>5343</v>
      </c>
      <c r="D571" s="8" t="str">
        <f aca="false">PODACI_ZALIHE!D568</f>
        <v>LANDON PLUMBING CO., LIMITED</v>
      </c>
      <c r="E571" s="19" t="n">
        <f aca="false">IF(PODACI_ZALIHE!E568="","",PODACI_ZALIHE!E568)</f>
        <v>2</v>
      </c>
      <c r="F571" s="20" t="n">
        <f aca="false">PODACI_ZALIHE!F568</f>
        <v>2</v>
      </c>
      <c r="G571" s="19" t="n">
        <f aca="false">IF(E571="","",E571-F571)</f>
        <v>0</v>
      </c>
      <c r="H571" s="9" t="n">
        <f aca="false">PODACI_PRODAJA!N474</f>
        <v>0.38</v>
      </c>
      <c r="I571" s="21" t="n">
        <f aca="false">IF(H571&lt;=0,999,ROUND(F571/H571,1))</f>
        <v>5.3</v>
      </c>
      <c r="J571" s="9" t="n">
        <f aca="false">SUMIFS(ROBA_U_DOLASKU!$C$6:$C$95,ROBA_U_DOLASKU!$A$6:$A$95,A571,ROBA_U_DOLASKU!$H$6:$H$95,1)</f>
        <v>0</v>
      </c>
      <c r="K571" s="9" t="n">
        <f aca="false">SUMIFS(ROBA_U_DOLASKU!$B$6:$B$95,ROBA_U_DOLASKU!$A$6:$A$95,A571,ROBA_U_DOLASKU!$H$6:$H$95,1)</f>
        <v>0</v>
      </c>
      <c r="L571" s="9" t="n">
        <f aca="false">SUMIFS(ROBA_U_DOLASKU!$C$6:$C$95,ROBA_U_DOLASKU!$A$6:$A$95,A571,ROBA_U_DOLASKU!$H$6:$H$95,2)</f>
        <v>0</v>
      </c>
      <c r="M571" s="9" t="n">
        <f aca="false">SUMIFS(ROBA_U_DOLASKU!$B$6:$B$95,ROBA_U_DOLASKU!$A$6:$A$95,A571,ROBA_U_DOLASKU!$H$6:$H$95,2)</f>
        <v>0</v>
      </c>
      <c r="N571" s="9" t="n">
        <f aca="false">SUMIFS(ROBA_U_DOLASKU!$C$6:$C$95,ROBA_U_DOLASKU!$A$6:$A$95,A571,ROBA_U_DOLASKU!$H$6:$H$95,3)</f>
        <v>0</v>
      </c>
      <c r="O571" s="9" t="n">
        <f aca="false">SUMIFS(ROBA_U_DOLASKU!$B$6:$B$95,ROBA_U_DOLASKU!$A$6:$A$95,A571,ROBA_U_DOLASKU!$H$6:$H$95,3)</f>
        <v>0</v>
      </c>
      <c r="P571" s="9" t="n">
        <f aca="false">IF(H571&lt;=0,999,IF(O571&gt;0,ROUND((F571-H571*N571+K571+M571+O571)/H571,1),IF(M571&gt;0,ROUND((F571-H571*L571+K571+M571)/H571,1),IF(K571&gt;0,ROUND((F571-H571*J571+K571)/H571,1),I571))))</f>
        <v>5.3</v>
      </c>
      <c r="Q571" s="22" t="str">
        <f aca="false">IF(H571&lt;=0,"Nema prodaje",IF(AND(K571=0,M571=0,O571=0),IF(I571&lt;POSTAVKE!$B$6,"Naruči odmah","Sve u redu"),IF(F571-H571*J571&lt;0,"Rupa za ~"&amp;TEXT(I571,"0.0")&amp;" mj.",IF(AND(M571&gt;0,F571-H571*L571+K571&lt;0),"Rupa nakon 1. dolaska",IF(AND(O571&gt;0,F571-H571*N571+K571+M571&lt;0),"Rupa nakon 2. dolaska",IF(P571&lt;POSTAVKE!$B$6,"Količina nije dovoljna",IF(I571&gt;=POSTAVKE!$B$6,"Sve u redu","Stiže na vrijeme")))))))</f>
        <v>Sve u redu</v>
      </c>
      <c r="S571" s="23" t="n">
        <f aca="false">IFERROR(INDEX(PODACI_PRODAJA!B:B,MATCH($A571,PODACI_PRODAJA!$A:$A,0)),0)</f>
        <v>0</v>
      </c>
      <c r="T571" s="23" t="n">
        <f aca="false">IFERROR(INDEX(PODACI_PRODAJA!C:C,MATCH($A571,PODACI_PRODAJA!$A:$A,0)),0)</f>
        <v>0</v>
      </c>
      <c r="U571" s="23" t="n">
        <f aca="false">IFERROR(INDEX(PODACI_PRODAJA!D:D,MATCH($A571,PODACI_PRODAJA!$A:$A,0)),0)</f>
        <v>0</v>
      </c>
      <c r="V571" s="23" t="n">
        <f aca="false">IFERROR(INDEX(PODACI_PRODAJA!E:E,MATCH($A571,PODACI_PRODAJA!$A:$A,0)),0)</f>
        <v>2</v>
      </c>
      <c r="W571" s="23" t="n">
        <f aca="false">IFERROR(INDEX(PODACI_PRODAJA!F:F,MATCH($A571,PODACI_PRODAJA!$A:$A,0)),0)</f>
        <v>1</v>
      </c>
      <c r="X571" s="23" t="n">
        <f aca="false">IFERROR(INDEX(PODACI_PRODAJA!G:G,MATCH($A571,PODACI_PRODAJA!$A:$A,0)),0)</f>
        <v>0</v>
      </c>
      <c r="Y571" s="23" t="n">
        <f aca="false">IFERROR(INDEX(PODACI_PRODAJA!H:H,MATCH($A571,PODACI_PRODAJA!$A:$A,0)),0)</f>
        <v>0</v>
      </c>
      <c r="Z571" s="23" t="n">
        <f aca="false">IFERROR(INDEX(PODACI_PRODAJA!I:I,MATCH($A571,PODACI_PRODAJA!$A:$A,0)),0)</f>
        <v>0</v>
      </c>
      <c r="AA571" s="23" t="n">
        <f aca="false">IFERROR(INDEX(PODACI_PRODAJA!J:J,MATCH($A571,PODACI_PRODAJA!$A:$A,0)),0)</f>
        <v>0</v>
      </c>
      <c r="AB571" s="23" t="n">
        <f aca="false">IFERROR(INDEX(PODACI_PRODAJA!K:K,MATCH($A571,PODACI_PRODAJA!$A:$A,0)),0)</f>
        <v>0</v>
      </c>
      <c r="AC571" s="23" t="n">
        <f aca="false">IFERROR(INDEX(PODACI_PRODAJA!L:L,MATCH($A571,PODACI_PRODAJA!$A:$A,0)),0)</f>
        <v>0</v>
      </c>
      <c r="AD571" s="23" t="n">
        <f aca="false">IFERROR(INDEX(PODACI_PRODAJA!M:M,MATCH($A571,PODACI_PRODAJA!$A:$A,0)),0)</f>
        <v>0</v>
      </c>
    </row>
    <row r="572" customFormat="false" ht="15" hidden="false" customHeight="false" outlineLevel="0" collapsed="false">
      <c r="A572" s="11" t="str">
        <f aca="false">PODACI_ZALIHE!A569</f>
        <v>15529R</v>
      </c>
      <c r="B572" s="8" t="str">
        <f aca="false">PODACI_ZALIHE!B569</f>
        <v>BOLD BIJELA 100R MINERALSOLID TUŠ KADA 1000x1000x30 mm</v>
      </c>
      <c r="C572" s="9" t="str">
        <f aca="false">PODACI_ZALIHE!C569</f>
        <v>5517</v>
      </c>
      <c r="D572" s="8" t="str">
        <f aca="false">PODACI_ZALIHE!D569</f>
        <v>NICOS INTERNATIONAL S.P.A.</v>
      </c>
      <c r="E572" s="19" t="n">
        <f aca="false">IF(PODACI_ZALIHE!E569="","",PODACI_ZALIHE!E569)</f>
        <v>2</v>
      </c>
      <c r="F572" s="20" t="n">
        <f aca="false">PODACI_ZALIHE!F569</f>
        <v>2</v>
      </c>
      <c r="G572" s="19" t="n">
        <f aca="false">IF(E572="","",E572-F572)</f>
        <v>0</v>
      </c>
      <c r="H572" s="9" t="n">
        <v>0</v>
      </c>
      <c r="I572" s="21" t="n">
        <f aca="false">IF(H572&lt;=0,999,ROUND(F572/H572,1))</f>
        <v>999</v>
      </c>
      <c r="J572" s="9" t="n">
        <f aca="false">SUMIFS(ROBA_U_DOLASKU!$C$6:$C$95,ROBA_U_DOLASKU!$A$6:$A$95,A572,ROBA_U_DOLASKU!$H$6:$H$95,1)</f>
        <v>0</v>
      </c>
      <c r="K572" s="9" t="n">
        <f aca="false">SUMIFS(ROBA_U_DOLASKU!$B$6:$B$95,ROBA_U_DOLASKU!$A$6:$A$95,A572,ROBA_U_DOLASKU!$H$6:$H$95,1)</f>
        <v>0</v>
      </c>
      <c r="L572" s="9" t="n">
        <f aca="false">SUMIFS(ROBA_U_DOLASKU!$C$6:$C$95,ROBA_U_DOLASKU!$A$6:$A$95,A572,ROBA_U_DOLASKU!$H$6:$H$95,2)</f>
        <v>0</v>
      </c>
      <c r="M572" s="9" t="n">
        <f aca="false">SUMIFS(ROBA_U_DOLASKU!$B$6:$B$95,ROBA_U_DOLASKU!$A$6:$A$95,A572,ROBA_U_DOLASKU!$H$6:$H$95,2)</f>
        <v>0</v>
      </c>
      <c r="N572" s="9" t="n">
        <f aca="false">SUMIFS(ROBA_U_DOLASKU!$C$6:$C$95,ROBA_U_DOLASKU!$A$6:$A$95,A572,ROBA_U_DOLASKU!$H$6:$H$95,3)</f>
        <v>0</v>
      </c>
      <c r="O572" s="9" t="n">
        <f aca="false">SUMIFS(ROBA_U_DOLASKU!$B$6:$B$95,ROBA_U_DOLASKU!$A$6:$A$95,A572,ROBA_U_DOLASKU!$H$6:$H$95,3)</f>
        <v>0</v>
      </c>
      <c r="P572" s="9" t="n">
        <f aca="false">IF(H572&lt;=0,999,IF(O572&gt;0,ROUND((F572-H572*N572+K572+M572+O572)/H572,1),IF(M572&gt;0,ROUND((F572-H572*L572+K572+M572)/H572,1),IF(K572&gt;0,ROUND((F572-H572*J572+K572)/H572,1),I572))))</f>
        <v>999</v>
      </c>
      <c r="Q572" s="22" t="str">
        <f aca="false">IF(H572&lt;=0,"Nema prodaje",IF(AND(K572=0,M572=0,O572=0),IF(I572&lt;POSTAVKE!$B$6,"Naruči odmah","Sve u redu"),IF(F572-H572*J572&lt;0,"Rupa za ~"&amp;TEXT(I572,"0.0")&amp;" mj.",IF(AND(M572&gt;0,F572-H572*L572+K572&lt;0),"Rupa nakon 1. dolaska",IF(AND(O572&gt;0,F572-H572*N572+K572+M572&lt;0),"Rupa nakon 2. dolaska",IF(P572&lt;POSTAVKE!$B$6,"Količina nije dovoljna",IF(I572&gt;=POSTAVKE!$B$6,"Sve u redu","Stiže na vrijeme")))))))</f>
        <v>Nema prodaje</v>
      </c>
      <c r="S572" s="23" t="n">
        <f aca="false">IFERROR(INDEX(PODACI_PRODAJA!B:B,MATCH($A572,PODACI_PRODAJA!$A:$A,0)),0)</f>
        <v>0</v>
      </c>
      <c r="T572" s="23" t="n">
        <f aca="false">IFERROR(INDEX(PODACI_PRODAJA!C:C,MATCH($A572,PODACI_PRODAJA!$A:$A,0)),0)</f>
        <v>0</v>
      </c>
      <c r="U572" s="23" t="n">
        <f aca="false">IFERROR(INDEX(PODACI_PRODAJA!D:D,MATCH($A572,PODACI_PRODAJA!$A:$A,0)),0)</f>
        <v>0</v>
      </c>
      <c r="V572" s="23" t="n">
        <f aca="false">IFERROR(INDEX(PODACI_PRODAJA!E:E,MATCH($A572,PODACI_PRODAJA!$A:$A,0)),0)</f>
        <v>0</v>
      </c>
      <c r="W572" s="23" t="n">
        <f aca="false">IFERROR(INDEX(PODACI_PRODAJA!F:F,MATCH($A572,PODACI_PRODAJA!$A:$A,0)),0)</f>
        <v>0</v>
      </c>
      <c r="X572" s="23" t="n">
        <f aca="false">IFERROR(INDEX(PODACI_PRODAJA!G:G,MATCH($A572,PODACI_PRODAJA!$A:$A,0)),0)</f>
        <v>0</v>
      </c>
      <c r="Y572" s="23" t="n">
        <f aca="false">IFERROR(INDEX(PODACI_PRODAJA!H:H,MATCH($A572,PODACI_PRODAJA!$A:$A,0)),0)</f>
        <v>0</v>
      </c>
      <c r="Z572" s="23" t="n">
        <f aca="false">IFERROR(INDEX(PODACI_PRODAJA!I:I,MATCH($A572,PODACI_PRODAJA!$A:$A,0)),0)</f>
        <v>0</v>
      </c>
      <c r="AA572" s="23" t="n">
        <f aca="false">IFERROR(INDEX(PODACI_PRODAJA!J:J,MATCH($A572,PODACI_PRODAJA!$A:$A,0)),0)</f>
        <v>0</v>
      </c>
      <c r="AB572" s="23" t="n">
        <f aca="false">IFERROR(INDEX(PODACI_PRODAJA!K:K,MATCH($A572,PODACI_PRODAJA!$A:$A,0)),0)</f>
        <v>0</v>
      </c>
      <c r="AC572" s="23" t="n">
        <f aca="false">IFERROR(INDEX(PODACI_PRODAJA!L:L,MATCH($A572,PODACI_PRODAJA!$A:$A,0)),0)</f>
        <v>0</v>
      </c>
      <c r="AD572" s="23" t="n">
        <f aca="false">IFERROR(INDEX(PODACI_PRODAJA!M:M,MATCH($A572,PODACI_PRODAJA!$A:$A,0)),0)</f>
        <v>0</v>
      </c>
    </row>
    <row r="573" customFormat="false" ht="15" hidden="false" customHeight="false" outlineLevel="0" collapsed="false">
      <c r="A573" s="11" t="str">
        <f aca="false">PODACI_ZALIHE!A570</f>
        <v>1566500</v>
      </c>
      <c r="B573" s="8" t="str">
        <f aca="false">PODACI_ZALIHE!B570</f>
        <v>BOLD S BIJELA 80120 MINERALSOLID TUŠ KADA 800x1200x30 mm</v>
      </c>
      <c r="C573" s="9" t="str">
        <f aca="false">PODACI_ZALIHE!C570</f>
        <v>5140</v>
      </c>
      <c r="D573" s="8" t="str">
        <f aca="false">PODACI_ZALIHE!D570</f>
        <v>GUANGDONG OCEAN SANITARY WARE CO., LTD.</v>
      </c>
      <c r="E573" s="19" t="n">
        <f aca="false">IF(PODACI_ZALIHE!E570="","",PODACI_ZALIHE!E570)</f>
        <v>2</v>
      </c>
      <c r="F573" s="20" t="n">
        <f aca="false">PODACI_ZALIHE!F570</f>
        <v>2</v>
      </c>
      <c r="G573" s="19" t="n">
        <f aca="false">IF(E573="","",E573-F573)</f>
        <v>0</v>
      </c>
      <c r="H573" s="9" t="n">
        <f aca="false">PODACI_PRODAJA!N501</f>
        <v>2.75</v>
      </c>
      <c r="I573" s="21" t="n">
        <f aca="false">IF(H573&lt;=0,999,ROUND(F573/H573,1))</f>
        <v>0.7</v>
      </c>
      <c r="J573" s="9" t="n">
        <f aca="false">SUMIFS(ROBA_U_DOLASKU!$C$6:$C$95,ROBA_U_DOLASKU!$A$6:$A$95,A573,ROBA_U_DOLASKU!$H$6:$H$95,1)</f>
        <v>0</v>
      </c>
      <c r="K573" s="9" t="n">
        <f aca="false">SUMIFS(ROBA_U_DOLASKU!$B$6:$B$95,ROBA_U_DOLASKU!$A$6:$A$95,A573,ROBA_U_DOLASKU!$H$6:$H$95,1)</f>
        <v>0</v>
      </c>
      <c r="L573" s="9" t="n">
        <f aca="false">SUMIFS(ROBA_U_DOLASKU!$C$6:$C$95,ROBA_U_DOLASKU!$A$6:$A$95,A573,ROBA_U_DOLASKU!$H$6:$H$95,2)</f>
        <v>0</v>
      </c>
      <c r="M573" s="9" t="n">
        <f aca="false">SUMIFS(ROBA_U_DOLASKU!$B$6:$B$95,ROBA_U_DOLASKU!$A$6:$A$95,A573,ROBA_U_DOLASKU!$H$6:$H$95,2)</f>
        <v>0</v>
      </c>
      <c r="N573" s="9" t="n">
        <f aca="false">SUMIFS(ROBA_U_DOLASKU!$C$6:$C$95,ROBA_U_DOLASKU!$A$6:$A$95,A573,ROBA_U_DOLASKU!$H$6:$H$95,3)</f>
        <v>0</v>
      </c>
      <c r="O573" s="9" t="n">
        <f aca="false">SUMIFS(ROBA_U_DOLASKU!$B$6:$B$95,ROBA_U_DOLASKU!$A$6:$A$95,A573,ROBA_U_DOLASKU!$H$6:$H$95,3)</f>
        <v>0</v>
      </c>
      <c r="P573" s="9" t="n">
        <f aca="false">IF(H573&lt;=0,999,IF(O573&gt;0,ROUND((F573-H573*N573+K573+M573+O573)/H573,1),IF(M573&gt;0,ROUND((F573-H573*L573+K573+M573)/H573,1),IF(K573&gt;0,ROUND((F573-H573*J573+K573)/H573,1),I573))))</f>
        <v>0.7</v>
      </c>
      <c r="Q573" s="22" t="str">
        <f aca="false">IF(H573&lt;=0,"Nema prodaje",IF(AND(K573=0,M573=0,O573=0),IF(I573&lt;POSTAVKE!$B$6,"Naruči odmah","Sve u redu"),IF(F573-H573*J573&lt;0,"Rupa za ~"&amp;TEXT(I573,"0.0")&amp;" mj.",IF(AND(M573&gt;0,F573-H573*L573+K573&lt;0),"Rupa nakon 1. dolaska",IF(AND(O573&gt;0,F573-H573*N573+K573+M573&lt;0),"Rupa nakon 2. dolaska",IF(P573&lt;POSTAVKE!$B$6,"Količina nije dovoljna",IF(I573&gt;=POSTAVKE!$B$6,"Sve u redu","Stiže na vrijeme")))))))</f>
        <v>Naruči odmah</v>
      </c>
      <c r="S573" s="23" t="n">
        <f aca="false">IFERROR(INDEX(PODACI_PRODAJA!B:B,MATCH($A573,PODACI_PRODAJA!$A:$A,0)),0)</f>
        <v>0</v>
      </c>
      <c r="T573" s="23" t="n">
        <f aca="false">IFERROR(INDEX(PODACI_PRODAJA!C:C,MATCH($A573,PODACI_PRODAJA!$A:$A,0)),0)</f>
        <v>0</v>
      </c>
      <c r="U573" s="23" t="n">
        <f aca="false">IFERROR(INDEX(PODACI_PRODAJA!D:D,MATCH($A573,PODACI_PRODAJA!$A:$A,0)),0)</f>
        <v>8</v>
      </c>
      <c r="V573" s="23" t="n">
        <f aca="false">IFERROR(INDEX(PODACI_PRODAJA!E:E,MATCH($A573,PODACI_PRODAJA!$A:$A,0)),0)</f>
        <v>7</v>
      </c>
      <c r="W573" s="23" t="n">
        <f aca="false">IFERROR(INDEX(PODACI_PRODAJA!F:F,MATCH($A573,PODACI_PRODAJA!$A:$A,0)),0)</f>
        <v>1</v>
      </c>
      <c r="X573" s="23" t="n">
        <f aca="false">IFERROR(INDEX(PODACI_PRODAJA!G:G,MATCH($A573,PODACI_PRODAJA!$A:$A,0)),0)</f>
        <v>0</v>
      </c>
      <c r="Y573" s="23" t="n">
        <f aca="false">IFERROR(INDEX(PODACI_PRODAJA!H:H,MATCH($A573,PODACI_PRODAJA!$A:$A,0)),0)</f>
        <v>0</v>
      </c>
      <c r="Z573" s="23" t="n">
        <f aca="false">IFERROR(INDEX(PODACI_PRODAJA!I:I,MATCH($A573,PODACI_PRODAJA!$A:$A,0)),0)</f>
        <v>6</v>
      </c>
      <c r="AA573" s="23" t="n">
        <f aca="false">IFERROR(INDEX(PODACI_PRODAJA!J:J,MATCH($A573,PODACI_PRODAJA!$A:$A,0)),0)</f>
        <v>0</v>
      </c>
      <c r="AB573" s="23" t="n">
        <f aca="false">IFERROR(INDEX(PODACI_PRODAJA!K:K,MATCH($A573,PODACI_PRODAJA!$A:$A,0)),0)</f>
        <v>0</v>
      </c>
      <c r="AC573" s="23" t="n">
        <f aca="false">IFERROR(INDEX(PODACI_PRODAJA!L:L,MATCH($A573,PODACI_PRODAJA!$A:$A,0)),0)</f>
        <v>0</v>
      </c>
      <c r="AD573" s="23" t="n">
        <f aca="false">IFERROR(INDEX(PODACI_PRODAJA!M:M,MATCH($A573,PODACI_PRODAJA!$A:$A,0)),0)</f>
        <v>0</v>
      </c>
    </row>
    <row r="574" customFormat="false" ht="15" hidden="false" customHeight="false" outlineLevel="0" collapsed="false">
      <c r="A574" s="11" t="str">
        <f aca="false">PODACI_ZALIHE!A571</f>
        <v>1567400</v>
      </c>
      <c r="B574" s="8" t="str">
        <f aca="false">PODACI_ZALIHE!B571</f>
        <v>BOLD S BIJELA 90120 MINERALSOLID TUŠ KADA 900x1200x30 mm</v>
      </c>
      <c r="C574" s="9" t="str">
        <f aca="false">PODACI_ZALIHE!C571</f>
        <v>5140</v>
      </c>
      <c r="D574" s="8" t="str">
        <f aca="false">PODACI_ZALIHE!D571</f>
        <v>GUANGDONG OCEAN SANITARY WARE CO., LTD.</v>
      </c>
      <c r="E574" s="19" t="n">
        <f aca="false">IF(PODACI_ZALIHE!E571="","",PODACI_ZALIHE!E571)</f>
        <v>2</v>
      </c>
      <c r="F574" s="20" t="n">
        <f aca="false">PODACI_ZALIHE!F571</f>
        <v>2</v>
      </c>
      <c r="G574" s="19" t="n">
        <f aca="false">IF(E574="","",E574-F574)</f>
        <v>0</v>
      </c>
      <c r="H574" s="9" t="n">
        <f aca="false">PODACI_PRODAJA!N509</f>
        <v>7.63</v>
      </c>
      <c r="I574" s="21" t="n">
        <f aca="false">IF(H574&lt;=0,999,ROUND(F574/H574,1))</f>
        <v>0.3</v>
      </c>
      <c r="J574" s="9" t="n">
        <f aca="false">SUMIFS(ROBA_U_DOLASKU!$C$6:$C$95,ROBA_U_DOLASKU!$A$6:$A$95,A574,ROBA_U_DOLASKU!$H$6:$H$95,1)</f>
        <v>0</v>
      </c>
      <c r="K574" s="9" t="n">
        <f aca="false">SUMIFS(ROBA_U_DOLASKU!$B$6:$B$95,ROBA_U_DOLASKU!$A$6:$A$95,A574,ROBA_U_DOLASKU!$H$6:$H$95,1)</f>
        <v>0</v>
      </c>
      <c r="L574" s="9" t="n">
        <f aca="false">SUMIFS(ROBA_U_DOLASKU!$C$6:$C$95,ROBA_U_DOLASKU!$A$6:$A$95,A574,ROBA_U_DOLASKU!$H$6:$H$95,2)</f>
        <v>0</v>
      </c>
      <c r="M574" s="9" t="n">
        <f aca="false">SUMIFS(ROBA_U_DOLASKU!$B$6:$B$95,ROBA_U_DOLASKU!$A$6:$A$95,A574,ROBA_U_DOLASKU!$H$6:$H$95,2)</f>
        <v>0</v>
      </c>
      <c r="N574" s="9" t="n">
        <f aca="false">SUMIFS(ROBA_U_DOLASKU!$C$6:$C$95,ROBA_U_DOLASKU!$A$6:$A$95,A574,ROBA_U_DOLASKU!$H$6:$H$95,3)</f>
        <v>0</v>
      </c>
      <c r="O574" s="9" t="n">
        <f aca="false">SUMIFS(ROBA_U_DOLASKU!$B$6:$B$95,ROBA_U_DOLASKU!$A$6:$A$95,A574,ROBA_U_DOLASKU!$H$6:$H$95,3)</f>
        <v>0</v>
      </c>
      <c r="P574" s="9" t="n">
        <f aca="false">IF(H574&lt;=0,999,IF(O574&gt;0,ROUND((F574-H574*N574+K574+M574+O574)/H574,1),IF(M574&gt;0,ROUND((F574-H574*L574+K574+M574)/H574,1),IF(K574&gt;0,ROUND((F574-H574*J574+K574)/H574,1),I574))))</f>
        <v>0.3</v>
      </c>
      <c r="Q574" s="22" t="str">
        <f aca="false">IF(H574&lt;=0,"Nema prodaje",IF(AND(K574=0,M574=0,O574=0),IF(I574&lt;POSTAVKE!$B$6,"Naruči odmah","Sve u redu"),IF(F574-H574*J574&lt;0,"Rupa za ~"&amp;TEXT(I574,"0.0")&amp;" mj.",IF(AND(M574&gt;0,F574-H574*L574+K574&lt;0),"Rupa nakon 1. dolaska",IF(AND(O574&gt;0,F574-H574*N574+K574+M574&lt;0),"Rupa nakon 2. dolaska",IF(P574&lt;POSTAVKE!$B$6,"Količina nije dovoljna",IF(I574&gt;=POSTAVKE!$B$6,"Sve u redu","Stiže na vrijeme")))))))</f>
        <v>Naruči odmah</v>
      </c>
      <c r="S574" s="23" t="n">
        <f aca="false">IFERROR(INDEX(PODACI_PRODAJA!B:B,MATCH($A574,PODACI_PRODAJA!$A:$A,0)),0)</f>
        <v>0</v>
      </c>
      <c r="T574" s="23" t="n">
        <f aca="false">IFERROR(INDEX(PODACI_PRODAJA!C:C,MATCH($A574,PODACI_PRODAJA!$A:$A,0)),0)</f>
        <v>0</v>
      </c>
      <c r="U574" s="23" t="n">
        <f aca="false">IFERROR(INDEX(PODACI_PRODAJA!D:D,MATCH($A574,PODACI_PRODAJA!$A:$A,0)),0)</f>
        <v>0</v>
      </c>
      <c r="V574" s="23" t="n">
        <f aca="false">IFERROR(INDEX(PODACI_PRODAJA!E:E,MATCH($A574,PODACI_PRODAJA!$A:$A,0)),0)</f>
        <v>15</v>
      </c>
      <c r="W574" s="23" t="n">
        <f aca="false">IFERROR(INDEX(PODACI_PRODAJA!F:F,MATCH($A574,PODACI_PRODAJA!$A:$A,0)),0)</f>
        <v>1</v>
      </c>
      <c r="X574" s="23" t="n">
        <f aca="false">IFERROR(INDEX(PODACI_PRODAJA!G:G,MATCH($A574,PODACI_PRODAJA!$A:$A,0)),0)</f>
        <v>15</v>
      </c>
      <c r="Y574" s="23" t="n">
        <f aca="false">IFERROR(INDEX(PODACI_PRODAJA!H:H,MATCH($A574,PODACI_PRODAJA!$A:$A,0)),0)</f>
        <v>15</v>
      </c>
      <c r="Z574" s="23" t="n">
        <f aca="false">IFERROR(INDEX(PODACI_PRODAJA!I:I,MATCH($A574,PODACI_PRODAJA!$A:$A,0)),0)</f>
        <v>15</v>
      </c>
      <c r="AA574" s="23" t="n">
        <f aca="false">IFERROR(INDEX(PODACI_PRODAJA!J:J,MATCH($A574,PODACI_PRODAJA!$A:$A,0)),0)</f>
        <v>0</v>
      </c>
      <c r="AB574" s="23" t="n">
        <f aca="false">IFERROR(INDEX(PODACI_PRODAJA!K:K,MATCH($A574,PODACI_PRODAJA!$A:$A,0)),0)</f>
        <v>0</v>
      </c>
      <c r="AC574" s="23" t="n">
        <f aca="false">IFERROR(INDEX(PODACI_PRODAJA!L:L,MATCH($A574,PODACI_PRODAJA!$A:$A,0)),0)</f>
        <v>0</v>
      </c>
      <c r="AD574" s="23" t="n">
        <f aca="false">IFERROR(INDEX(PODACI_PRODAJA!M:M,MATCH($A574,PODACI_PRODAJA!$A:$A,0)),0)</f>
        <v>0</v>
      </c>
    </row>
    <row r="575" customFormat="false" ht="15" hidden="false" customHeight="false" outlineLevel="0" collapsed="false">
      <c r="A575" s="11" t="str">
        <f aca="false">PODACI_ZALIHE!A572</f>
        <v>1577700</v>
      </c>
      <c r="B575" s="8" t="str">
        <f aca="false">PODACI_ZALIHE!B572</f>
        <v>BOLD S CRNA 80100 MINERALSOLID TUŠ KADA 800x1000x30 mm</v>
      </c>
      <c r="C575" s="9" t="str">
        <f aca="false">PODACI_ZALIHE!C572</f>
        <v>5140</v>
      </c>
      <c r="D575" s="8" t="str">
        <f aca="false">PODACI_ZALIHE!D572</f>
        <v>GUANGDONG OCEAN SANITARY WARE CO., LTD.</v>
      </c>
      <c r="E575" s="19" t="n">
        <f aca="false">IF(PODACI_ZALIHE!E572="","",PODACI_ZALIHE!E572)</f>
        <v>3</v>
      </c>
      <c r="F575" s="20" t="n">
        <f aca="false">PODACI_ZALIHE!F572</f>
        <v>2</v>
      </c>
      <c r="G575" s="19" t="n">
        <f aca="false">IF(E575="","",E575-F575)</f>
        <v>1</v>
      </c>
      <c r="H575" s="9" t="n">
        <f aca="false">PODACI_PRODAJA!N527</f>
        <v>0.13</v>
      </c>
      <c r="I575" s="21" t="n">
        <f aca="false">IF(H575&lt;=0,999,ROUND(F575/H575,1))</f>
        <v>15.4</v>
      </c>
      <c r="J575" s="9" t="n">
        <f aca="false">SUMIFS(ROBA_U_DOLASKU!$C$6:$C$95,ROBA_U_DOLASKU!$A$6:$A$95,A575,ROBA_U_DOLASKU!$H$6:$H$95,1)</f>
        <v>0</v>
      </c>
      <c r="K575" s="9" t="n">
        <f aca="false">SUMIFS(ROBA_U_DOLASKU!$B$6:$B$95,ROBA_U_DOLASKU!$A$6:$A$95,A575,ROBA_U_DOLASKU!$H$6:$H$95,1)</f>
        <v>0</v>
      </c>
      <c r="L575" s="9" t="n">
        <f aca="false">SUMIFS(ROBA_U_DOLASKU!$C$6:$C$95,ROBA_U_DOLASKU!$A$6:$A$95,A575,ROBA_U_DOLASKU!$H$6:$H$95,2)</f>
        <v>0</v>
      </c>
      <c r="M575" s="9" t="n">
        <f aca="false">SUMIFS(ROBA_U_DOLASKU!$B$6:$B$95,ROBA_U_DOLASKU!$A$6:$A$95,A575,ROBA_U_DOLASKU!$H$6:$H$95,2)</f>
        <v>0</v>
      </c>
      <c r="N575" s="9" t="n">
        <f aca="false">SUMIFS(ROBA_U_DOLASKU!$C$6:$C$95,ROBA_U_DOLASKU!$A$6:$A$95,A575,ROBA_U_DOLASKU!$H$6:$H$95,3)</f>
        <v>0</v>
      </c>
      <c r="O575" s="9" t="n">
        <f aca="false">SUMIFS(ROBA_U_DOLASKU!$B$6:$B$95,ROBA_U_DOLASKU!$A$6:$A$95,A575,ROBA_U_DOLASKU!$H$6:$H$95,3)</f>
        <v>0</v>
      </c>
      <c r="P575" s="9" t="n">
        <f aca="false">IF(H575&lt;=0,999,IF(O575&gt;0,ROUND((F575-H575*N575+K575+M575+O575)/H575,1),IF(M575&gt;0,ROUND((F575-H575*L575+K575+M575)/H575,1),IF(K575&gt;0,ROUND((F575-H575*J575+K575)/H575,1),I575))))</f>
        <v>15.4</v>
      </c>
      <c r="Q575" s="22" t="str">
        <f aca="false">IF(H575&lt;=0,"Nema prodaje",IF(AND(K575=0,M575=0,O575=0),IF(I575&lt;POSTAVKE!$B$6,"Naruči odmah","Sve u redu"),IF(F575-H575*J575&lt;0,"Rupa za ~"&amp;TEXT(I575,"0.0")&amp;" mj.",IF(AND(M575&gt;0,F575-H575*L575+K575&lt;0),"Rupa nakon 1. dolaska",IF(AND(O575&gt;0,F575-H575*N575+K575+M575&lt;0),"Rupa nakon 2. dolaska",IF(P575&lt;POSTAVKE!$B$6,"Količina nije dovoljna",IF(I575&gt;=POSTAVKE!$B$6,"Sve u redu","Stiže na vrijeme")))))))</f>
        <v>Sve u redu</v>
      </c>
      <c r="S575" s="23" t="n">
        <f aca="false">IFERROR(INDEX(PODACI_PRODAJA!B:B,MATCH($A575,PODACI_PRODAJA!$A:$A,0)),0)</f>
        <v>0</v>
      </c>
      <c r="T575" s="23" t="n">
        <f aca="false">IFERROR(INDEX(PODACI_PRODAJA!C:C,MATCH($A575,PODACI_PRODAJA!$A:$A,0)),0)</f>
        <v>0</v>
      </c>
      <c r="U575" s="23" t="n">
        <f aca="false">IFERROR(INDEX(PODACI_PRODAJA!D:D,MATCH($A575,PODACI_PRODAJA!$A:$A,0)),0)</f>
        <v>0</v>
      </c>
      <c r="V575" s="23" t="n">
        <f aca="false">IFERROR(INDEX(PODACI_PRODAJA!E:E,MATCH($A575,PODACI_PRODAJA!$A:$A,0)),0)</f>
        <v>0</v>
      </c>
      <c r="W575" s="23" t="n">
        <f aca="false">IFERROR(INDEX(PODACI_PRODAJA!F:F,MATCH($A575,PODACI_PRODAJA!$A:$A,0)),0)</f>
        <v>0</v>
      </c>
      <c r="X575" s="23" t="n">
        <f aca="false">IFERROR(INDEX(PODACI_PRODAJA!G:G,MATCH($A575,PODACI_PRODAJA!$A:$A,0)),0)</f>
        <v>0</v>
      </c>
      <c r="Y575" s="23" t="n">
        <f aca="false">IFERROR(INDEX(PODACI_PRODAJA!H:H,MATCH($A575,PODACI_PRODAJA!$A:$A,0)),0)</f>
        <v>0</v>
      </c>
      <c r="Z575" s="23" t="n">
        <f aca="false">IFERROR(INDEX(PODACI_PRODAJA!I:I,MATCH($A575,PODACI_PRODAJA!$A:$A,0)),0)</f>
        <v>1</v>
      </c>
      <c r="AA575" s="23" t="n">
        <f aca="false">IFERROR(INDEX(PODACI_PRODAJA!J:J,MATCH($A575,PODACI_PRODAJA!$A:$A,0)),0)</f>
        <v>1</v>
      </c>
      <c r="AB575" s="23" t="n">
        <f aca="false">IFERROR(INDEX(PODACI_PRODAJA!K:K,MATCH($A575,PODACI_PRODAJA!$A:$A,0)),0)</f>
        <v>0</v>
      </c>
      <c r="AC575" s="23" t="n">
        <f aca="false">IFERROR(INDEX(PODACI_PRODAJA!L:L,MATCH($A575,PODACI_PRODAJA!$A:$A,0)),0)</f>
        <v>0</v>
      </c>
      <c r="AD575" s="23" t="n">
        <f aca="false">IFERROR(INDEX(PODACI_PRODAJA!M:M,MATCH($A575,PODACI_PRODAJA!$A:$A,0)),0)</f>
        <v>0</v>
      </c>
    </row>
    <row r="576" customFormat="false" ht="15" hidden="false" customHeight="false" outlineLevel="0" collapsed="false">
      <c r="A576" s="11" t="str">
        <f aca="false">PODACI_ZALIHE!A573</f>
        <v>16136</v>
      </c>
      <c r="B576" s="8" t="str">
        <f aca="false">PODACI_ZALIHE!B573</f>
        <v>AURA CHROME  MIJEŠALICA ZA TUŠ</v>
      </c>
      <c r="C576" s="9" t="str">
        <f aca="false">PODACI_ZALIHE!C573</f>
        <v>5150</v>
      </c>
      <c r="D576" s="8" t="str">
        <f aca="false">PODACI_ZALIHE!D573</f>
        <v>ZHEJIANG VOLONG SANITARY WARES CO.,LTD.</v>
      </c>
      <c r="E576" s="19" t="n">
        <f aca="false">IF(PODACI_ZALIHE!E573="","",PODACI_ZALIHE!E573)</f>
        <v>2</v>
      </c>
      <c r="F576" s="20" t="n">
        <f aca="false">PODACI_ZALIHE!F573</f>
        <v>2</v>
      </c>
      <c r="G576" s="19" t="n">
        <f aca="false">IF(E576="","",E576-F576)</f>
        <v>0</v>
      </c>
      <c r="H576" s="9" t="n">
        <v>0</v>
      </c>
      <c r="I576" s="21" t="n">
        <f aca="false">IF(H576&lt;=0,999,ROUND(F576/H576,1))</f>
        <v>999</v>
      </c>
      <c r="J576" s="9" t="n">
        <f aca="false">SUMIFS(ROBA_U_DOLASKU!$C$6:$C$95,ROBA_U_DOLASKU!$A$6:$A$95,A576,ROBA_U_DOLASKU!$H$6:$H$95,1)</f>
        <v>0</v>
      </c>
      <c r="K576" s="9" t="n">
        <f aca="false">SUMIFS(ROBA_U_DOLASKU!$B$6:$B$95,ROBA_U_DOLASKU!$A$6:$A$95,A576,ROBA_U_DOLASKU!$H$6:$H$95,1)</f>
        <v>0</v>
      </c>
      <c r="L576" s="9" t="n">
        <f aca="false">SUMIFS(ROBA_U_DOLASKU!$C$6:$C$95,ROBA_U_DOLASKU!$A$6:$A$95,A576,ROBA_U_DOLASKU!$H$6:$H$95,2)</f>
        <v>0</v>
      </c>
      <c r="M576" s="9" t="n">
        <f aca="false">SUMIFS(ROBA_U_DOLASKU!$B$6:$B$95,ROBA_U_DOLASKU!$A$6:$A$95,A576,ROBA_U_DOLASKU!$H$6:$H$95,2)</f>
        <v>0</v>
      </c>
      <c r="N576" s="9" t="n">
        <f aca="false">SUMIFS(ROBA_U_DOLASKU!$C$6:$C$95,ROBA_U_DOLASKU!$A$6:$A$95,A576,ROBA_U_DOLASKU!$H$6:$H$95,3)</f>
        <v>0</v>
      </c>
      <c r="O576" s="9" t="n">
        <f aca="false">SUMIFS(ROBA_U_DOLASKU!$B$6:$B$95,ROBA_U_DOLASKU!$A$6:$A$95,A576,ROBA_U_DOLASKU!$H$6:$H$95,3)</f>
        <v>0</v>
      </c>
      <c r="P576" s="9" t="n">
        <f aca="false">IF(H576&lt;=0,999,IF(O576&gt;0,ROUND((F576-H576*N576+K576+M576+O576)/H576,1),IF(M576&gt;0,ROUND((F576-H576*L576+K576+M576)/H576,1),IF(K576&gt;0,ROUND((F576-H576*J576+K576)/H576,1),I576))))</f>
        <v>999</v>
      </c>
      <c r="Q576" s="22" t="str">
        <f aca="false">IF(H576&lt;=0,"Nema prodaje",IF(AND(K576=0,M576=0,O576=0),IF(I576&lt;POSTAVKE!$B$6,"Naruči odmah","Sve u redu"),IF(F576-H576*J576&lt;0,"Rupa za ~"&amp;TEXT(I576,"0.0")&amp;" mj.",IF(AND(M576&gt;0,F576-H576*L576+K576&lt;0),"Rupa nakon 1. dolaska",IF(AND(O576&gt;0,F576-H576*N576+K576+M576&lt;0),"Rupa nakon 2. dolaska",IF(P576&lt;POSTAVKE!$B$6,"Količina nije dovoljna",IF(I576&gt;=POSTAVKE!$B$6,"Sve u redu","Stiže na vrijeme")))))))</f>
        <v>Nema prodaje</v>
      </c>
      <c r="S576" s="23" t="n">
        <f aca="false">IFERROR(INDEX(PODACI_PRODAJA!B:B,MATCH($A576,PODACI_PRODAJA!$A:$A,0)),0)</f>
        <v>0</v>
      </c>
      <c r="T576" s="23" t="n">
        <f aca="false">IFERROR(INDEX(PODACI_PRODAJA!C:C,MATCH($A576,PODACI_PRODAJA!$A:$A,0)),0)</f>
        <v>0</v>
      </c>
      <c r="U576" s="23" t="n">
        <f aca="false">IFERROR(INDEX(PODACI_PRODAJA!D:D,MATCH($A576,PODACI_PRODAJA!$A:$A,0)),0)</f>
        <v>0</v>
      </c>
      <c r="V576" s="23" t="n">
        <f aca="false">IFERROR(INDEX(PODACI_PRODAJA!E:E,MATCH($A576,PODACI_PRODAJA!$A:$A,0)),0)</f>
        <v>0</v>
      </c>
      <c r="W576" s="23" t="n">
        <f aca="false">IFERROR(INDEX(PODACI_PRODAJA!F:F,MATCH($A576,PODACI_PRODAJA!$A:$A,0)),0)</f>
        <v>0</v>
      </c>
      <c r="X576" s="23" t="n">
        <f aca="false">IFERROR(INDEX(PODACI_PRODAJA!G:G,MATCH($A576,PODACI_PRODAJA!$A:$A,0)),0)</f>
        <v>0</v>
      </c>
      <c r="Y576" s="23" t="n">
        <f aca="false">IFERROR(INDEX(PODACI_PRODAJA!H:H,MATCH($A576,PODACI_PRODAJA!$A:$A,0)),0)</f>
        <v>0</v>
      </c>
      <c r="Z576" s="23" t="n">
        <f aca="false">IFERROR(INDEX(PODACI_PRODAJA!I:I,MATCH($A576,PODACI_PRODAJA!$A:$A,0)),0)</f>
        <v>0</v>
      </c>
      <c r="AA576" s="23" t="n">
        <f aca="false">IFERROR(INDEX(PODACI_PRODAJA!J:J,MATCH($A576,PODACI_PRODAJA!$A:$A,0)),0)</f>
        <v>0</v>
      </c>
      <c r="AB576" s="23" t="n">
        <f aca="false">IFERROR(INDEX(PODACI_PRODAJA!K:K,MATCH($A576,PODACI_PRODAJA!$A:$A,0)),0)</f>
        <v>0</v>
      </c>
      <c r="AC576" s="23" t="n">
        <f aca="false">IFERROR(INDEX(PODACI_PRODAJA!L:L,MATCH($A576,PODACI_PRODAJA!$A:$A,0)),0)</f>
        <v>0</v>
      </c>
      <c r="AD576" s="23" t="n">
        <f aca="false">IFERROR(INDEX(PODACI_PRODAJA!M:M,MATCH($A576,PODACI_PRODAJA!$A:$A,0)),0)</f>
        <v>0</v>
      </c>
    </row>
    <row r="577" customFormat="false" ht="15" hidden="false" customHeight="false" outlineLevel="0" collapsed="false">
      <c r="A577" s="11" t="str">
        <f aca="false">PODACI_ZALIHE!A574</f>
        <v>16146</v>
      </c>
      <c r="B577" s="8" t="str">
        <f aca="false">PODACI_ZALIHE!B574</f>
        <v>SET ZA REPARACIJU KADA BEŽ</v>
      </c>
      <c r="C577" s="9" t="str">
        <f aca="false">PODACI_ZALIHE!C574</f>
        <v>5517</v>
      </c>
      <c r="D577" s="8" t="str">
        <f aca="false">PODACI_ZALIHE!D574</f>
        <v>NICOS INTERNATIONAL S.P.A.</v>
      </c>
      <c r="E577" s="19" t="n">
        <f aca="false">IF(PODACI_ZALIHE!E574="","",PODACI_ZALIHE!E574)</f>
        <v>2</v>
      </c>
      <c r="F577" s="20" t="n">
        <f aca="false">PODACI_ZALIHE!F574</f>
        <v>2</v>
      </c>
      <c r="G577" s="19" t="n">
        <f aca="false">IF(E577="","",E577-F577)</f>
        <v>0</v>
      </c>
      <c r="H577" s="9" t="n">
        <v>0</v>
      </c>
      <c r="I577" s="21" t="n">
        <f aca="false">IF(H577&lt;=0,999,ROUND(F577/H577,1))</f>
        <v>999</v>
      </c>
      <c r="J577" s="9" t="n">
        <f aca="false">SUMIFS(ROBA_U_DOLASKU!$C$6:$C$95,ROBA_U_DOLASKU!$A$6:$A$95,A577,ROBA_U_DOLASKU!$H$6:$H$95,1)</f>
        <v>0</v>
      </c>
      <c r="K577" s="9" t="n">
        <f aca="false">SUMIFS(ROBA_U_DOLASKU!$B$6:$B$95,ROBA_U_DOLASKU!$A$6:$A$95,A577,ROBA_U_DOLASKU!$H$6:$H$95,1)</f>
        <v>0</v>
      </c>
      <c r="L577" s="9" t="n">
        <f aca="false">SUMIFS(ROBA_U_DOLASKU!$C$6:$C$95,ROBA_U_DOLASKU!$A$6:$A$95,A577,ROBA_U_DOLASKU!$H$6:$H$95,2)</f>
        <v>0</v>
      </c>
      <c r="M577" s="9" t="n">
        <f aca="false">SUMIFS(ROBA_U_DOLASKU!$B$6:$B$95,ROBA_U_DOLASKU!$A$6:$A$95,A577,ROBA_U_DOLASKU!$H$6:$H$95,2)</f>
        <v>0</v>
      </c>
      <c r="N577" s="9" t="n">
        <f aca="false">SUMIFS(ROBA_U_DOLASKU!$C$6:$C$95,ROBA_U_DOLASKU!$A$6:$A$95,A577,ROBA_U_DOLASKU!$H$6:$H$95,3)</f>
        <v>0</v>
      </c>
      <c r="O577" s="9" t="n">
        <f aca="false">SUMIFS(ROBA_U_DOLASKU!$B$6:$B$95,ROBA_U_DOLASKU!$A$6:$A$95,A577,ROBA_U_DOLASKU!$H$6:$H$95,3)</f>
        <v>0</v>
      </c>
      <c r="P577" s="9" t="n">
        <f aca="false">IF(H577&lt;=0,999,IF(O577&gt;0,ROUND((F577-H577*N577+K577+M577+O577)/H577,1),IF(M577&gt;0,ROUND((F577-H577*L577+K577+M577)/H577,1),IF(K577&gt;0,ROUND((F577-H577*J577+K577)/H577,1),I577))))</f>
        <v>999</v>
      </c>
      <c r="Q577" s="22" t="str">
        <f aca="false">IF(H577&lt;=0,"Nema prodaje",IF(AND(K577=0,M577=0,O577=0),IF(I577&lt;POSTAVKE!$B$6,"Naruči odmah","Sve u redu"),IF(F577-H577*J577&lt;0,"Rupa za ~"&amp;TEXT(I577,"0.0")&amp;" mj.",IF(AND(M577&gt;0,F577-H577*L577+K577&lt;0),"Rupa nakon 1. dolaska",IF(AND(O577&gt;0,F577-H577*N577+K577+M577&lt;0),"Rupa nakon 2. dolaska",IF(P577&lt;POSTAVKE!$B$6,"Količina nije dovoljna",IF(I577&gt;=POSTAVKE!$B$6,"Sve u redu","Stiže na vrijeme")))))))</f>
        <v>Nema prodaje</v>
      </c>
      <c r="S577" s="23" t="n">
        <f aca="false">IFERROR(INDEX(PODACI_PRODAJA!B:B,MATCH($A577,PODACI_PRODAJA!$A:$A,0)),0)</f>
        <v>0</v>
      </c>
      <c r="T577" s="23" t="n">
        <f aca="false">IFERROR(INDEX(PODACI_PRODAJA!C:C,MATCH($A577,PODACI_PRODAJA!$A:$A,0)),0)</f>
        <v>0</v>
      </c>
      <c r="U577" s="23" t="n">
        <f aca="false">IFERROR(INDEX(PODACI_PRODAJA!D:D,MATCH($A577,PODACI_PRODAJA!$A:$A,0)),0)</f>
        <v>0</v>
      </c>
      <c r="V577" s="23" t="n">
        <f aca="false">IFERROR(INDEX(PODACI_PRODAJA!E:E,MATCH($A577,PODACI_PRODAJA!$A:$A,0)),0)</f>
        <v>0</v>
      </c>
      <c r="W577" s="23" t="n">
        <f aca="false">IFERROR(INDEX(PODACI_PRODAJA!F:F,MATCH($A577,PODACI_PRODAJA!$A:$A,0)),0)</f>
        <v>0</v>
      </c>
      <c r="X577" s="23" t="n">
        <f aca="false">IFERROR(INDEX(PODACI_PRODAJA!G:G,MATCH($A577,PODACI_PRODAJA!$A:$A,0)),0)</f>
        <v>0</v>
      </c>
      <c r="Y577" s="23" t="n">
        <f aca="false">IFERROR(INDEX(PODACI_PRODAJA!H:H,MATCH($A577,PODACI_PRODAJA!$A:$A,0)),0)</f>
        <v>0</v>
      </c>
      <c r="Z577" s="23" t="n">
        <f aca="false">IFERROR(INDEX(PODACI_PRODAJA!I:I,MATCH($A577,PODACI_PRODAJA!$A:$A,0)),0)</f>
        <v>0</v>
      </c>
      <c r="AA577" s="23" t="n">
        <f aca="false">IFERROR(INDEX(PODACI_PRODAJA!J:J,MATCH($A577,PODACI_PRODAJA!$A:$A,0)),0)</f>
        <v>0</v>
      </c>
      <c r="AB577" s="23" t="n">
        <f aca="false">IFERROR(INDEX(PODACI_PRODAJA!K:K,MATCH($A577,PODACI_PRODAJA!$A:$A,0)),0)</f>
        <v>0</v>
      </c>
      <c r="AC577" s="23" t="n">
        <f aca="false">IFERROR(INDEX(PODACI_PRODAJA!L:L,MATCH($A577,PODACI_PRODAJA!$A:$A,0)),0)</f>
        <v>0</v>
      </c>
      <c r="AD577" s="23" t="n">
        <f aca="false">IFERROR(INDEX(PODACI_PRODAJA!M:M,MATCH($A577,PODACI_PRODAJA!$A:$A,0)),0)</f>
        <v>0</v>
      </c>
    </row>
    <row r="578" customFormat="false" ht="15" hidden="false" customHeight="false" outlineLevel="0" collapsed="false">
      <c r="A578" s="11" t="str">
        <f aca="false">PODACI_ZALIHE!A575</f>
        <v>25288000</v>
      </c>
      <c r="B578" s="8" t="str">
        <f aca="false">PODACI_ZALIHE!B575</f>
        <v>GROHE EUROSMART TUŠ SET, UGRADBENI, KROM</v>
      </c>
      <c r="C578" s="9" t="str">
        <f aca="false">PODACI_ZALIHE!C575</f>
        <v>4499</v>
      </c>
      <c r="D578" s="8" t="str">
        <f aca="false">PODACI_ZALIHE!D575</f>
        <v>THS D.O.O.</v>
      </c>
      <c r="E578" s="19" t="n">
        <f aca="false">IF(PODACI_ZALIHE!E575="","",PODACI_ZALIHE!E575)</f>
        <v>3</v>
      </c>
      <c r="F578" s="20" t="n">
        <f aca="false">PODACI_ZALIHE!F575</f>
        <v>2</v>
      </c>
      <c r="G578" s="19" t="n">
        <f aca="false">IF(E578="","",E578-F578)</f>
        <v>1</v>
      </c>
      <c r="H578" s="9" t="n">
        <f aca="false">PODACI_PRODAJA!N735</f>
        <v>0</v>
      </c>
      <c r="I578" s="21" t="n">
        <f aca="false">IF(H578&lt;=0,999,ROUND(F578/H578,1))</f>
        <v>999</v>
      </c>
      <c r="J578" s="9" t="n">
        <f aca="false">SUMIFS(ROBA_U_DOLASKU!$C$6:$C$95,ROBA_U_DOLASKU!$A$6:$A$95,A578,ROBA_U_DOLASKU!$H$6:$H$95,1)</f>
        <v>0</v>
      </c>
      <c r="K578" s="9" t="n">
        <f aca="false">SUMIFS(ROBA_U_DOLASKU!$B$6:$B$95,ROBA_U_DOLASKU!$A$6:$A$95,A578,ROBA_U_DOLASKU!$H$6:$H$95,1)</f>
        <v>0</v>
      </c>
      <c r="L578" s="9" t="n">
        <f aca="false">SUMIFS(ROBA_U_DOLASKU!$C$6:$C$95,ROBA_U_DOLASKU!$A$6:$A$95,A578,ROBA_U_DOLASKU!$H$6:$H$95,2)</f>
        <v>0</v>
      </c>
      <c r="M578" s="9" t="n">
        <f aca="false">SUMIFS(ROBA_U_DOLASKU!$B$6:$B$95,ROBA_U_DOLASKU!$A$6:$A$95,A578,ROBA_U_DOLASKU!$H$6:$H$95,2)</f>
        <v>0</v>
      </c>
      <c r="N578" s="9" t="n">
        <f aca="false">SUMIFS(ROBA_U_DOLASKU!$C$6:$C$95,ROBA_U_DOLASKU!$A$6:$A$95,A578,ROBA_U_DOLASKU!$H$6:$H$95,3)</f>
        <v>0</v>
      </c>
      <c r="O578" s="9" t="n">
        <f aca="false">SUMIFS(ROBA_U_DOLASKU!$B$6:$B$95,ROBA_U_DOLASKU!$A$6:$A$95,A578,ROBA_U_DOLASKU!$H$6:$H$95,3)</f>
        <v>0</v>
      </c>
      <c r="P578" s="9" t="n">
        <f aca="false">IF(H578&lt;=0,999,IF(O578&gt;0,ROUND((F578-H578*N578+K578+M578+O578)/H578,1),IF(M578&gt;0,ROUND((F578-H578*L578+K578+M578)/H578,1),IF(K578&gt;0,ROUND((F578-H578*J578+K578)/H578,1),I578))))</f>
        <v>999</v>
      </c>
      <c r="Q578" s="22" t="str">
        <f aca="false">IF(H578&lt;=0,"Nema prodaje",IF(AND(K578=0,M578=0,O578=0),IF(I578&lt;POSTAVKE!$B$6,"Naruči odmah","Sve u redu"),IF(F578-H578*J578&lt;0,"Rupa za ~"&amp;TEXT(I578,"0.0")&amp;" mj.",IF(AND(M578&gt;0,F578-H578*L578+K578&lt;0),"Rupa nakon 1. dolaska",IF(AND(O578&gt;0,F578-H578*N578+K578+M578&lt;0),"Rupa nakon 2. dolaska",IF(P578&lt;POSTAVKE!$B$6,"Količina nije dovoljna",IF(I578&gt;=POSTAVKE!$B$6,"Sve u redu","Stiže na vrijeme")))))))</f>
        <v>Nema prodaje</v>
      </c>
      <c r="S578" s="23" t="n">
        <f aca="false">IFERROR(INDEX(PODACI_PRODAJA!B:B,MATCH($A578,PODACI_PRODAJA!$A:$A,0)),0)</f>
        <v>0</v>
      </c>
      <c r="T578" s="23" t="n">
        <f aca="false">IFERROR(INDEX(PODACI_PRODAJA!C:C,MATCH($A578,PODACI_PRODAJA!$A:$A,0)),0)</f>
        <v>0</v>
      </c>
      <c r="U578" s="23" t="n">
        <f aca="false">IFERROR(INDEX(PODACI_PRODAJA!D:D,MATCH($A578,PODACI_PRODAJA!$A:$A,0)),0)</f>
        <v>0</v>
      </c>
      <c r="V578" s="23" t="n">
        <f aca="false">IFERROR(INDEX(PODACI_PRODAJA!E:E,MATCH($A578,PODACI_PRODAJA!$A:$A,0)),0)</f>
        <v>0</v>
      </c>
      <c r="W578" s="23" t="n">
        <f aca="false">IFERROR(INDEX(PODACI_PRODAJA!F:F,MATCH($A578,PODACI_PRODAJA!$A:$A,0)),0)</f>
        <v>0</v>
      </c>
      <c r="X578" s="23" t="n">
        <f aca="false">IFERROR(INDEX(PODACI_PRODAJA!G:G,MATCH($A578,PODACI_PRODAJA!$A:$A,0)),0)</f>
        <v>0</v>
      </c>
      <c r="Y578" s="23" t="n">
        <f aca="false">IFERROR(INDEX(PODACI_PRODAJA!H:H,MATCH($A578,PODACI_PRODAJA!$A:$A,0)),0)</f>
        <v>0</v>
      </c>
      <c r="Z578" s="23" t="n">
        <f aca="false">IFERROR(INDEX(PODACI_PRODAJA!I:I,MATCH($A578,PODACI_PRODAJA!$A:$A,0)),0)</f>
        <v>0</v>
      </c>
      <c r="AA578" s="23" t="n">
        <f aca="false">IFERROR(INDEX(PODACI_PRODAJA!J:J,MATCH($A578,PODACI_PRODAJA!$A:$A,0)),0)</f>
        <v>0</v>
      </c>
      <c r="AB578" s="23" t="n">
        <f aca="false">IFERROR(INDEX(PODACI_PRODAJA!K:K,MATCH($A578,PODACI_PRODAJA!$A:$A,0)),0)</f>
        <v>0</v>
      </c>
      <c r="AC578" s="23" t="n">
        <f aca="false">IFERROR(INDEX(PODACI_PRODAJA!L:L,MATCH($A578,PODACI_PRODAJA!$A:$A,0)),0)</f>
        <v>0</v>
      </c>
      <c r="AD578" s="23" t="n">
        <f aca="false">IFERROR(INDEX(PODACI_PRODAJA!M:M,MATCH($A578,PODACI_PRODAJA!$A:$A,0)),0)</f>
        <v>0</v>
      </c>
    </row>
    <row r="579" customFormat="false" ht="15" hidden="false" customHeight="false" outlineLevel="0" collapsed="false">
      <c r="A579" s="11" t="str">
        <f aca="false">PODACI_ZALIHE!A576</f>
        <v>00000175</v>
      </c>
      <c r="B579" s="8" t="str">
        <f aca="false">PODACI_ZALIHE!B576</f>
        <v>UZORAK MAX UMIVAONIK 80X46CM</v>
      </c>
      <c r="C579" s="9" t="str">
        <f aca="false">PODACI_ZALIHE!C576</f>
        <v>5517</v>
      </c>
      <c r="D579" s="8" t="str">
        <f aca="false">PODACI_ZALIHE!D576</f>
        <v>NICOS INTERNATIONAL S.P.A.</v>
      </c>
      <c r="E579" s="19" t="n">
        <f aca="false">IF(PODACI_ZALIHE!E576="","",PODACI_ZALIHE!E576)</f>
        <v>1</v>
      </c>
      <c r="F579" s="20" t="n">
        <f aca="false">PODACI_ZALIHE!F576</f>
        <v>1</v>
      </c>
      <c r="G579" s="19" t="n">
        <f aca="false">IF(E579="","",E579-F579)</f>
        <v>0</v>
      </c>
      <c r="H579" s="9" t="n">
        <v>0</v>
      </c>
      <c r="I579" s="21" t="n">
        <f aca="false">IF(H579&lt;=0,999,ROUND(F579/H579,1))</f>
        <v>999</v>
      </c>
      <c r="J579" s="9" t="n">
        <f aca="false">SUMIFS(ROBA_U_DOLASKU!$C$6:$C$95,ROBA_U_DOLASKU!$A$6:$A$95,A579,ROBA_U_DOLASKU!$H$6:$H$95,1)</f>
        <v>0</v>
      </c>
      <c r="K579" s="9" t="n">
        <f aca="false">SUMIFS(ROBA_U_DOLASKU!$B$6:$B$95,ROBA_U_DOLASKU!$A$6:$A$95,A579,ROBA_U_DOLASKU!$H$6:$H$95,1)</f>
        <v>0</v>
      </c>
      <c r="L579" s="9" t="n">
        <f aca="false">SUMIFS(ROBA_U_DOLASKU!$C$6:$C$95,ROBA_U_DOLASKU!$A$6:$A$95,A579,ROBA_U_DOLASKU!$H$6:$H$95,2)</f>
        <v>0</v>
      </c>
      <c r="M579" s="9" t="n">
        <f aca="false">SUMIFS(ROBA_U_DOLASKU!$B$6:$B$95,ROBA_U_DOLASKU!$A$6:$A$95,A579,ROBA_U_DOLASKU!$H$6:$H$95,2)</f>
        <v>0</v>
      </c>
      <c r="N579" s="9" t="n">
        <f aca="false">SUMIFS(ROBA_U_DOLASKU!$C$6:$C$95,ROBA_U_DOLASKU!$A$6:$A$95,A579,ROBA_U_DOLASKU!$H$6:$H$95,3)</f>
        <v>0</v>
      </c>
      <c r="O579" s="9" t="n">
        <f aca="false">SUMIFS(ROBA_U_DOLASKU!$B$6:$B$95,ROBA_U_DOLASKU!$A$6:$A$95,A579,ROBA_U_DOLASKU!$H$6:$H$95,3)</f>
        <v>0</v>
      </c>
      <c r="P579" s="9" t="n">
        <f aca="false">IF(H579&lt;=0,999,IF(O579&gt;0,ROUND((F579-H579*N579+K579+M579+O579)/H579,1),IF(M579&gt;0,ROUND((F579-H579*L579+K579+M579)/H579,1),IF(K579&gt;0,ROUND((F579-H579*J579+K579)/H579,1),I579))))</f>
        <v>999</v>
      </c>
      <c r="Q579" s="22" t="str">
        <f aca="false">IF(H579&lt;=0,"Nema prodaje",IF(AND(K579=0,M579=0,O579=0),IF(I579&lt;POSTAVKE!$B$6,"Naruči odmah","Sve u redu"),IF(F579-H579*J579&lt;0,"Rupa za ~"&amp;TEXT(I579,"0.0")&amp;" mj.",IF(AND(M579&gt;0,F579-H579*L579+K579&lt;0),"Rupa nakon 1. dolaska",IF(AND(O579&gt;0,F579-H579*N579+K579+M579&lt;0),"Rupa nakon 2. dolaska",IF(P579&lt;POSTAVKE!$B$6,"Količina nije dovoljna",IF(I579&gt;=POSTAVKE!$B$6,"Sve u redu","Stiže na vrijeme")))))))</f>
        <v>Nema prodaje</v>
      </c>
      <c r="S579" s="23" t="n">
        <f aca="false">IFERROR(INDEX(PODACI_PRODAJA!B:B,MATCH($A579,PODACI_PRODAJA!$A:$A,0)),0)</f>
        <v>0</v>
      </c>
      <c r="T579" s="23" t="n">
        <f aca="false">IFERROR(INDEX(PODACI_PRODAJA!C:C,MATCH($A579,PODACI_PRODAJA!$A:$A,0)),0)</f>
        <v>0</v>
      </c>
      <c r="U579" s="23" t="n">
        <f aca="false">IFERROR(INDEX(PODACI_PRODAJA!D:D,MATCH($A579,PODACI_PRODAJA!$A:$A,0)),0)</f>
        <v>0</v>
      </c>
      <c r="V579" s="23" t="n">
        <f aca="false">IFERROR(INDEX(PODACI_PRODAJA!E:E,MATCH($A579,PODACI_PRODAJA!$A:$A,0)),0)</f>
        <v>0</v>
      </c>
      <c r="W579" s="23" t="n">
        <f aca="false">IFERROR(INDEX(PODACI_PRODAJA!F:F,MATCH($A579,PODACI_PRODAJA!$A:$A,0)),0)</f>
        <v>0</v>
      </c>
      <c r="X579" s="23" t="n">
        <f aca="false">IFERROR(INDEX(PODACI_PRODAJA!G:G,MATCH($A579,PODACI_PRODAJA!$A:$A,0)),0)</f>
        <v>0</v>
      </c>
      <c r="Y579" s="23" t="n">
        <f aca="false">IFERROR(INDEX(PODACI_PRODAJA!H:H,MATCH($A579,PODACI_PRODAJA!$A:$A,0)),0)</f>
        <v>0</v>
      </c>
      <c r="Z579" s="23" t="n">
        <f aca="false">IFERROR(INDEX(PODACI_PRODAJA!I:I,MATCH($A579,PODACI_PRODAJA!$A:$A,0)),0)</f>
        <v>0</v>
      </c>
      <c r="AA579" s="23" t="n">
        <f aca="false">IFERROR(INDEX(PODACI_PRODAJA!J:J,MATCH($A579,PODACI_PRODAJA!$A:$A,0)),0)</f>
        <v>0</v>
      </c>
      <c r="AB579" s="23" t="n">
        <f aca="false">IFERROR(INDEX(PODACI_PRODAJA!K:K,MATCH($A579,PODACI_PRODAJA!$A:$A,0)),0)</f>
        <v>0</v>
      </c>
      <c r="AC579" s="23" t="n">
        <f aca="false">IFERROR(INDEX(PODACI_PRODAJA!L:L,MATCH($A579,PODACI_PRODAJA!$A:$A,0)),0)</f>
        <v>0</v>
      </c>
      <c r="AD579" s="23" t="n">
        <f aca="false">IFERROR(INDEX(PODACI_PRODAJA!M:M,MATCH($A579,PODACI_PRODAJA!$A:$A,0)),0)</f>
        <v>0</v>
      </c>
    </row>
    <row r="580" customFormat="false" ht="15" hidden="false" customHeight="false" outlineLevel="0" collapsed="false">
      <c r="A580" s="11" t="str">
        <f aca="false">PODACI_ZALIHE!A577</f>
        <v>002557</v>
      </c>
      <c r="B580" s="8" t="str">
        <f aca="false">PODACI_ZALIHE!B577</f>
        <v>CLICKCLACK SIFONSKA ČAŠICA S PILETOM ZA SAMOSTOJEĆE KADE HOPE CRNA</v>
      </c>
      <c r="C580" s="9" t="str">
        <f aca="false">PODACI_ZALIHE!C577</f>
        <v>5808</v>
      </c>
      <c r="D580" s="8" t="str">
        <f aca="false">PODACI_ZALIHE!D577</f>
        <v>TAIZHOU NIXI IMPORT &amp; EXPORT CO., LTD.</v>
      </c>
      <c r="E580" s="19" t="n">
        <f aca="false">IF(PODACI_ZALIHE!E577="","",PODACI_ZALIHE!E577)</f>
        <v>1</v>
      </c>
      <c r="F580" s="20" t="n">
        <f aca="false">PODACI_ZALIHE!F577</f>
        <v>1</v>
      </c>
      <c r="G580" s="19" t="n">
        <f aca="false">IF(E580="","",E580-F580)</f>
        <v>0</v>
      </c>
      <c r="H580" s="9" t="n">
        <v>0</v>
      </c>
      <c r="I580" s="21" t="n">
        <f aca="false">IF(H580&lt;=0,999,ROUND(F580/H580,1))</f>
        <v>999</v>
      </c>
      <c r="J580" s="9" t="n">
        <f aca="false">SUMIFS(ROBA_U_DOLASKU!$C$6:$C$95,ROBA_U_DOLASKU!$A$6:$A$95,A580,ROBA_U_DOLASKU!$H$6:$H$95,1)</f>
        <v>0</v>
      </c>
      <c r="K580" s="9" t="n">
        <f aca="false">SUMIFS(ROBA_U_DOLASKU!$B$6:$B$95,ROBA_U_DOLASKU!$A$6:$A$95,A580,ROBA_U_DOLASKU!$H$6:$H$95,1)</f>
        <v>0</v>
      </c>
      <c r="L580" s="9" t="n">
        <f aca="false">SUMIFS(ROBA_U_DOLASKU!$C$6:$C$95,ROBA_U_DOLASKU!$A$6:$A$95,A580,ROBA_U_DOLASKU!$H$6:$H$95,2)</f>
        <v>0</v>
      </c>
      <c r="M580" s="9" t="n">
        <f aca="false">SUMIFS(ROBA_U_DOLASKU!$B$6:$B$95,ROBA_U_DOLASKU!$A$6:$A$95,A580,ROBA_U_DOLASKU!$H$6:$H$95,2)</f>
        <v>0</v>
      </c>
      <c r="N580" s="9" t="n">
        <f aca="false">SUMIFS(ROBA_U_DOLASKU!$C$6:$C$95,ROBA_U_DOLASKU!$A$6:$A$95,A580,ROBA_U_DOLASKU!$H$6:$H$95,3)</f>
        <v>0</v>
      </c>
      <c r="O580" s="9" t="n">
        <f aca="false">SUMIFS(ROBA_U_DOLASKU!$B$6:$B$95,ROBA_U_DOLASKU!$A$6:$A$95,A580,ROBA_U_DOLASKU!$H$6:$H$95,3)</f>
        <v>0</v>
      </c>
      <c r="P580" s="9" t="n">
        <f aca="false">IF(H580&lt;=0,999,IF(O580&gt;0,ROUND((F580-H580*N580+K580+M580+O580)/H580,1),IF(M580&gt;0,ROUND((F580-H580*L580+K580+M580)/H580,1),IF(K580&gt;0,ROUND((F580-H580*J580+K580)/H580,1),I580))))</f>
        <v>999</v>
      </c>
      <c r="Q580" s="22" t="str">
        <f aca="false">IF(H580&lt;=0,"Nema prodaje",IF(AND(K580=0,M580=0,O580=0),IF(I580&lt;POSTAVKE!$B$6,"Naruči odmah","Sve u redu"),IF(F580-H580*J580&lt;0,"Rupa za ~"&amp;TEXT(I580,"0.0")&amp;" mj.",IF(AND(M580&gt;0,F580-H580*L580+K580&lt;0),"Rupa nakon 1. dolaska",IF(AND(O580&gt;0,F580-H580*N580+K580+M580&lt;0),"Rupa nakon 2. dolaska",IF(P580&lt;POSTAVKE!$B$6,"Količina nije dovoljna",IF(I580&gt;=POSTAVKE!$B$6,"Sve u redu","Stiže na vrijeme")))))))</f>
        <v>Nema prodaje</v>
      </c>
      <c r="S580" s="23" t="n">
        <f aca="false">IFERROR(INDEX(PODACI_PRODAJA!B:B,MATCH($A580,PODACI_PRODAJA!$A:$A,0)),0)</f>
        <v>0</v>
      </c>
      <c r="T580" s="23" t="n">
        <f aca="false">IFERROR(INDEX(PODACI_PRODAJA!C:C,MATCH($A580,PODACI_PRODAJA!$A:$A,0)),0)</f>
        <v>0</v>
      </c>
      <c r="U580" s="23" t="n">
        <f aca="false">IFERROR(INDEX(PODACI_PRODAJA!D:D,MATCH($A580,PODACI_PRODAJA!$A:$A,0)),0)</f>
        <v>0</v>
      </c>
      <c r="V580" s="23" t="n">
        <f aca="false">IFERROR(INDEX(PODACI_PRODAJA!E:E,MATCH($A580,PODACI_PRODAJA!$A:$A,0)),0)</f>
        <v>0</v>
      </c>
      <c r="W580" s="23" t="n">
        <f aca="false">IFERROR(INDEX(PODACI_PRODAJA!F:F,MATCH($A580,PODACI_PRODAJA!$A:$A,0)),0)</f>
        <v>0</v>
      </c>
      <c r="X580" s="23" t="n">
        <f aca="false">IFERROR(INDEX(PODACI_PRODAJA!G:G,MATCH($A580,PODACI_PRODAJA!$A:$A,0)),0)</f>
        <v>0</v>
      </c>
      <c r="Y580" s="23" t="n">
        <f aca="false">IFERROR(INDEX(PODACI_PRODAJA!H:H,MATCH($A580,PODACI_PRODAJA!$A:$A,0)),0)</f>
        <v>0</v>
      </c>
      <c r="Z580" s="23" t="n">
        <f aca="false">IFERROR(INDEX(PODACI_PRODAJA!I:I,MATCH($A580,PODACI_PRODAJA!$A:$A,0)),0)</f>
        <v>0</v>
      </c>
      <c r="AA580" s="23" t="n">
        <f aca="false">IFERROR(INDEX(PODACI_PRODAJA!J:J,MATCH($A580,PODACI_PRODAJA!$A:$A,0)),0)</f>
        <v>0</v>
      </c>
      <c r="AB580" s="23" t="n">
        <f aca="false">IFERROR(INDEX(PODACI_PRODAJA!K:K,MATCH($A580,PODACI_PRODAJA!$A:$A,0)),0)</f>
        <v>0</v>
      </c>
      <c r="AC580" s="23" t="n">
        <f aca="false">IFERROR(INDEX(PODACI_PRODAJA!L:L,MATCH($A580,PODACI_PRODAJA!$A:$A,0)),0)</f>
        <v>0</v>
      </c>
      <c r="AD580" s="23" t="n">
        <f aca="false">IFERROR(INDEX(PODACI_PRODAJA!M:M,MATCH($A580,PODACI_PRODAJA!$A:$A,0)),0)</f>
        <v>0</v>
      </c>
    </row>
    <row r="581" customFormat="false" ht="15" hidden="false" customHeight="false" outlineLevel="0" collapsed="false">
      <c r="A581" s="11" t="str">
        <f aca="false">PODACI_ZALIHE!A578</f>
        <v>004070</v>
      </c>
      <c r="B581" s="8" t="str">
        <f aca="false">PODACI_ZALIHE!B578</f>
        <v>ALBA MJEŠALICA ZA TUŠ</v>
      </c>
      <c r="C581" s="9" t="str">
        <f aca="false">PODACI_ZALIHE!C578</f>
        <v>4053</v>
      </c>
      <c r="D581" s="8" t="str">
        <f aca="false">PODACI_ZALIHE!D578</f>
        <v>TAIZHOU ZHENGSHING VALVE CO .,LTD</v>
      </c>
      <c r="E581" s="19" t="n">
        <f aca="false">IF(PODACI_ZALIHE!E578="","",PODACI_ZALIHE!E578)</f>
        <v>1</v>
      </c>
      <c r="F581" s="20" t="n">
        <f aca="false">PODACI_ZALIHE!F578</f>
        <v>1</v>
      </c>
      <c r="G581" s="19" t="n">
        <f aca="false">IF(E581="","",E581-F581)</f>
        <v>0</v>
      </c>
      <c r="H581" s="9" t="n">
        <v>0</v>
      </c>
      <c r="I581" s="21" t="n">
        <f aca="false">IF(H581&lt;=0,999,ROUND(F581/H581,1))</f>
        <v>999</v>
      </c>
      <c r="J581" s="9" t="n">
        <f aca="false">SUMIFS(ROBA_U_DOLASKU!$C$6:$C$95,ROBA_U_DOLASKU!$A$6:$A$95,A581,ROBA_U_DOLASKU!$H$6:$H$95,1)</f>
        <v>0</v>
      </c>
      <c r="K581" s="9" t="n">
        <f aca="false">SUMIFS(ROBA_U_DOLASKU!$B$6:$B$95,ROBA_U_DOLASKU!$A$6:$A$95,A581,ROBA_U_DOLASKU!$H$6:$H$95,1)</f>
        <v>0</v>
      </c>
      <c r="L581" s="9" t="n">
        <f aca="false">SUMIFS(ROBA_U_DOLASKU!$C$6:$C$95,ROBA_U_DOLASKU!$A$6:$A$95,A581,ROBA_U_DOLASKU!$H$6:$H$95,2)</f>
        <v>0</v>
      </c>
      <c r="M581" s="9" t="n">
        <f aca="false">SUMIFS(ROBA_U_DOLASKU!$B$6:$B$95,ROBA_U_DOLASKU!$A$6:$A$95,A581,ROBA_U_DOLASKU!$H$6:$H$95,2)</f>
        <v>0</v>
      </c>
      <c r="N581" s="9" t="n">
        <f aca="false">SUMIFS(ROBA_U_DOLASKU!$C$6:$C$95,ROBA_U_DOLASKU!$A$6:$A$95,A581,ROBA_U_DOLASKU!$H$6:$H$95,3)</f>
        <v>0</v>
      </c>
      <c r="O581" s="9" t="n">
        <f aca="false">SUMIFS(ROBA_U_DOLASKU!$B$6:$B$95,ROBA_U_DOLASKU!$A$6:$A$95,A581,ROBA_U_DOLASKU!$H$6:$H$95,3)</f>
        <v>0</v>
      </c>
      <c r="P581" s="9" t="n">
        <f aca="false">IF(H581&lt;=0,999,IF(O581&gt;0,ROUND((F581-H581*N581+K581+M581+O581)/H581,1),IF(M581&gt;0,ROUND((F581-H581*L581+K581+M581)/H581,1),IF(K581&gt;0,ROUND((F581-H581*J581+K581)/H581,1),I581))))</f>
        <v>999</v>
      </c>
      <c r="Q581" s="22" t="str">
        <f aca="false">IF(H581&lt;=0,"Nema prodaje",IF(AND(K581=0,M581=0,O581=0),IF(I581&lt;POSTAVKE!$B$6,"Naruči odmah","Sve u redu"),IF(F581-H581*J581&lt;0,"Rupa za ~"&amp;TEXT(I581,"0.0")&amp;" mj.",IF(AND(M581&gt;0,F581-H581*L581+K581&lt;0),"Rupa nakon 1. dolaska",IF(AND(O581&gt;0,F581-H581*N581+K581+M581&lt;0),"Rupa nakon 2. dolaska",IF(P581&lt;POSTAVKE!$B$6,"Količina nije dovoljna",IF(I581&gt;=POSTAVKE!$B$6,"Sve u redu","Stiže na vrijeme")))))))</f>
        <v>Nema prodaje</v>
      </c>
      <c r="S581" s="23" t="n">
        <f aca="false">IFERROR(INDEX(PODACI_PRODAJA!B:B,MATCH($A581,PODACI_PRODAJA!$A:$A,0)),0)</f>
        <v>0</v>
      </c>
      <c r="T581" s="23" t="n">
        <f aca="false">IFERROR(INDEX(PODACI_PRODAJA!C:C,MATCH($A581,PODACI_PRODAJA!$A:$A,0)),0)</f>
        <v>0</v>
      </c>
      <c r="U581" s="23" t="n">
        <f aca="false">IFERROR(INDEX(PODACI_PRODAJA!D:D,MATCH($A581,PODACI_PRODAJA!$A:$A,0)),0)</f>
        <v>0</v>
      </c>
      <c r="V581" s="23" t="n">
        <f aca="false">IFERROR(INDEX(PODACI_PRODAJA!E:E,MATCH($A581,PODACI_PRODAJA!$A:$A,0)),0)</f>
        <v>0</v>
      </c>
      <c r="W581" s="23" t="n">
        <f aca="false">IFERROR(INDEX(PODACI_PRODAJA!F:F,MATCH($A581,PODACI_PRODAJA!$A:$A,0)),0)</f>
        <v>0</v>
      </c>
      <c r="X581" s="23" t="n">
        <f aca="false">IFERROR(INDEX(PODACI_PRODAJA!G:G,MATCH($A581,PODACI_PRODAJA!$A:$A,0)),0)</f>
        <v>0</v>
      </c>
      <c r="Y581" s="23" t="n">
        <f aca="false">IFERROR(INDEX(PODACI_PRODAJA!H:H,MATCH($A581,PODACI_PRODAJA!$A:$A,0)),0)</f>
        <v>0</v>
      </c>
      <c r="Z581" s="23" t="n">
        <f aca="false">IFERROR(INDEX(PODACI_PRODAJA!I:I,MATCH($A581,PODACI_PRODAJA!$A:$A,0)),0)</f>
        <v>0</v>
      </c>
      <c r="AA581" s="23" t="n">
        <f aca="false">IFERROR(INDEX(PODACI_PRODAJA!J:J,MATCH($A581,PODACI_PRODAJA!$A:$A,0)),0)</f>
        <v>0</v>
      </c>
      <c r="AB581" s="23" t="n">
        <f aca="false">IFERROR(INDEX(PODACI_PRODAJA!K:K,MATCH($A581,PODACI_PRODAJA!$A:$A,0)),0)</f>
        <v>0</v>
      </c>
      <c r="AC581" s="23" t="n">
        <f aca="false">IFERROR(INDEX(PODACI_PRODAJA!L:L,MATCH($A581,PODACI_PRODAJA!$A:$A,0)),0)</f>
        <v>0</v>
      </c>
      <c r="AD581" s="23" t="n">
        <f aca="false">IFERROR(INDEX(PODACI_PRODAJA!M:M,MATCH($A581,PODACI_PRODAJA!$A:$A,0)),0)</f>
        <v>0</v>
      </c>
    </row>
    <row r="582" customFormat="false" ht="15" hidden="false" customHeight="false" outlineLevel="0" collapsed="false">
      <c r="A582" s="11" t="str">
        <f aca="false">PODACI_ZALIHE!A579</f>
        <v>006019</v>
      </c>
      <c r="B582" s="8" t="str">
        <f aca="false">PODACI_ZALIHE!B579</f>
        <v>NANCY NADGRADNI UMIVAONIK 510x340x120 mm</v>
      </c>
      <c r="C582" s="9" t="str">
        <f aca="false">PODACI_ZALIHE!C579</f>
        <v>6413</v>
      </c>
      <c r="D582" s="8" t="str">
        <f aca="false">PODACI_ZALIHE!D579</f>
        <v>ZHONGTONG TRADE (HK) LIMITED</v>
      </c>
      <c r="E582" s="19" t="n">
        <f aca="false">IF(PODACI_ZALIHE!E579="","",PODACI_ZALIHE!E579)</f>
        <v>1</v>
      </c>
      <c r="F582" s="20" t="n">
        <f aca="false">PODACI_ZALIHE!F579</f>
        <v>1</v>
      </c>
      <c r="G582" s="19" t="n">
        <f aca="false">IF(E582="","",E582-F582)</f>
        <v>0</v>
      </c>
      <c r="H582" s="9" t="n">
        <f aca="false">PODACI_PRODAJA!N385</f>
        <v>-0.13</v>
      </c>
      <c r="I582" s="21" t="n">
        <f aca="false">IF(H582&lt;=0,999,ROUND(F582/H582,1))</f>
        <v>999</v>
      </c>
      <c r="J582" s="9" t="n">
        <f aca="false">SUMIFS(ROBA_U_DOLASKU!$C$6:$C$95,ROBA_U_DOLASKU!$A$6:$A$95,A582,ROBA_U_DOLASKU!$H$6:$H$95,1)</f>
        <v>0</v>
      </c>
      <c r="K582" s="9" t="n">
        <f aca="false">SUMIFS(ROBA_U_DOLASKU!$B$6:$B$95,ROBA_U_DOLASKU!$A$6:$A$95,A582,ROBA_U_DOLASKU!$H$6:$H$95,1)</f>
        <v>0</v>
      </c>
      <c r="L582" s="9" t="n">
        <f aca="false">SUMIFS(ROBA_U_DOLASKU!$C$6:$C$95,ROBA_U_DOLASKU!$A$6:$A$95,A582,ROBA_U_DOLASKU!$H$6:$H$95,2)</f>
        <v>0</v>
      </c>
      <c r="M582" s="9" t="n">
        <f aca="false">SUMIFS(ROBA_U_DOLASKU!$B$6:$B$95,ROBA_U_DOLASKU!$A$6:$A$95,A582,ROBA_U_DOLASKU!$H$6:$H$95,2)</f>
        <v>0</v>
      </c>
      <c r="N582" s="9" t="n">
        <f aca="false">SUMIFS(ROBA_U_DOLASKU!$C$6:$C$95,ROBA_U_DOLASKU!$A$6:$A$95,A582,ROBA_U_DOLASKU!$H$6:$H$95,3)</f>
        <v>0</v>
      </c>
      <c r="O582" s="9" t="n">
        <f aca="false">SUMIFS(ROBA_U_DOLASKU!$B$6:$B$95,ROBA_U_DOLASKU!$A$6:$A$95,A582,ROBA_U_DOLASKU!$H$6:$H$95,3)</f>
        <v>0</v>
      </c>
      <c r="P582" s="9" t="n">
        <f aca="false">IF(H582&lt;=0,999,IF(O582&gt;0,ROUND((F582-H582*N582+K582+M582+O582)/H582,1),IF(M582&gt;0,ROUND((F582-H582*L582+K582+M582)/H582,1),IF(K582&gt;0,ROUND((F582-H582*J582+K582)/H582,1),I582))))</f>
        <v>999</v>
      </c>
      <c r="Q582" s="22" t="str">
        <f aca="false">IF(H582&lt;=0,"Nema prodaje",IF(AND(K582=0,M582=0,O582=0),IF(I582&lt;POSTAVKE!$B$6,"Naruči odmah","Sve u redu"),IF(F582-H582*J582&lt;0,"Rupa za ~"&amp;TEXT(I582,"0.0")&amp;" mj.",IF(AND(M582&gt;0,F582-H582*L582+K582&lt;0),"Rupa nakon 1. dolaska",IF(AND(O582&gt;0,F582-H582*N582+K582+M582&lt;0),"Rupa nakon 2. dolaska",IF(P582&lt;POSTAVKE!$B$6,"Količina nije dovoljna",IF(I582&gt;=POSTAVKE!$B$6,"Sve u redu","Stiže na vrijeme")))))))</f>
        <v>Nema prodaje</v>
      </c>
      <c r="S582" s="23" t="n">
        <f aca="false">IFERROR(INDEX(PODACI_PRODAJA!B:B,MATCH($A582,PODACI_PRODAJA!$A:$A,0)),0)</f>
        <v>0</v>
      </c>
      <c r="T582" s="23" t="n">
        <f aca="false">IFERROR(INDEX(PODACI_PRODAJA!C:C,MATCH($A582,PODACI_PRODAJA!$A:$A,0)),0)</f>
        <v>0</v>
      </c>
      <c r="U582" s="23" t="n">
        <f aca="false">IFERROR(INDEX(PODACI_PRODAJA!D:D,MATCH($A582,PODACI_PRODAJA!$A:$A,0)),0)</f>
        <v>0</v>
      </c>
      <c r="V582" s="23" t="n">
        <f aca="false">IFERROR(INDEX(PODACI_PRODAJA!E:E,MATCH($A582,PODACI_PRODAJA!$A:$A,0)),0)</f>
        <v>0</v>
      </c>
      <c r="W582" s="23" t="n">
        <f aca="false">IFERROR(INDEX(PODACI_PRODAJA!F:F,MATCH($A582,PODACI_PRODAJA!$A:$A,0)),0)</f>
        <v>-1</v>
      </c>
      <c r="X582" s="23" t="n">
        <f aca="false">IFERROR(INDEX(PODACI_PRODAJA!G:G,MATCH($A582,PODACI_PRODAJA!$A:$A,0)),0)</f>
        <v>0</v>
      </c>
      <c r="Y582" s="23" t="n">
        <f aca="false">IFERROR(INDEX(PODACI_PRODAJA!H:H,MATCH($A582,PODACI_PRODAJA!$A:$A,0)),0)</f>
        <v>0</v>
      </c>
      <c r="Z582" s="23" t="n">
        <f aca="false">IFERROR(INDEX(PODACI_PRODAJA!I:I,MATCH($A582,PODACI_PRODAJA!$A:$A,0)),0)</f>
        <v>0</v>
      </c>
      <c r="AA582" s="23" t="n">
        <f aca="false">IFERROR(INDEX(PODACI_PRODAJA!J:J,MATCH($A582,PODACI_PRODAJA!$A:$A,0)),0)</f>
        <v>0</v>
      </c>
      <c r="AB582" s="23" t="n">
        <f aca="false">IFERROR(INDEX(PODACI_PRODAJA!K:K,MATCH($A582,PODACI_PRODAJA!$A:$A,0)),0)</f>
        <v>0</v>
      </c>
      <c r="AC582" s="23" t="n">
        <f aca="false">IFERROR(INDEX(PODACI_PRODAJA!L:L,MATCH($A582,PODACI_PRODAJA!$A:$A,0)),0)</f>
        <v>0</v>
      </c>
      <c r="AD582" s="23" t="n">
        <f aca="false">IFERROR(INDEX(PODACI_PRODAJA!M:M,MATCH($A582,PODACI_PRODAJA!$A:$A,0)),0)</f>
        <v>0</v>
      </c>
    </row>
    <row r="583" customFormat="false" ht="15" hidden="false" customHeight="false" outlineLevel="0" collapsed="false">
      <c r="A583" s="11" t="str">
        <f aca="false">PODACI_ZALIHE!A580</f>
        <v>0361402</v>
      </c>
      <c r="B583" s="8" t="str">
        <f aca="false">PODACI_ZALIHE!B580</f>
        <v>UZORAK PORTO BOČNO STAKLO 90X195CM</v>
      </c>
      <c r="C583" s="9" t="n">
        <f aca="false">PODACI_ZALIHE!C580</f>
        <v>0</v>
      </c>
      <c r="D583" s="8" t="n">
        <f aca="false">PODACI_ZALIHE!D580</f>
        <v>0</v>
      </c>
      <c r="E583" s="19" t="n">
        <f aca="false">IF(PODACI_ZALIHE!E580="","",PODACI_ZALIHE!E580)</f>
        <v>1</v>
      </c>
      <c r="F583" s="20" t="n">
        <f aca="false">PODACI_ZALIHE!F580</f>
        <v>1</v>
      </c>
      <c r="G583" s="19" t="n">
        <f aca="false">IF(E583="","",E583-F583)</f>
        <v>0</v>
      </c>
      <c r="H583" s="9" t="n">
        <v>0</v>
      </c>
      <c r="I583" s="21" t="n">
        <f aca="false">IF(H583&lt;=0,999,ROUND(F583/H583,1))</f>
        <v>999</v>
      </c>
      <c r="J583" s="9" t="n">
        <f aca="false">SUMIFS(ROBA_U_DOLASKU!$C$6:$C$95,ROBA_U_DOLASKU!$A$6:$A$95,A583,ROBA_U_DOLASKU!$H$6:$H$95,1)</f>
        <v>0</v>
      </c>
      <c r="K583" s="9" t="n">
        <f aca="false">SUMIFS(ROBA_U_DOLASKU!$B$6:$B$95,ROBA_U_DOLASKU!$A$6:$A$95,A583,ROBA_U_DOLASKU!$H$6:$H$95,1)</f>
        <v>0</v>
      </c>
      <c r="L583" s="9" t="n">
        <f aca="false">SUMIFS(ROBA_U_DOLASKU!$C$6:$C$95,ROBA_U_DOLASKU!$A$6:$A$95,A583,ROBA_U_DOLASKU!$H$6:$H$95,2)</f>
        <v>0</v>
      </c>
      <c r="M583" s="9" t="n">
        <f aca="false">SUMIFS(ROBA_U_DOLASKU!$B$6:$B$95,ROBA_U_DOLASKU!$A$6:$A$95,A583,ROBA_U_DOLASKU!$H$6:$H$95,2)</f>
        <v>0</v>
      </c>
      <c r="N583" s="9" t="n">
        <f aca="false">SUMIFS(ROBA_U_DOLASKU!$C$6:$C$95,ROBA_U_DOLASKU!$A$6:$A$95,A583,ROBA_U_DOLASKU!$H$6:$H$95,3)</f>
        <v>0</v>
      </c>
      <c r="O583" s="9" t="n">
        <f aca="false">SUMIFS(ROBA_U_DOLASKU!$B$6:$B$95,ROBA_U_DOLASKU!$A$6:$A$95,A583,ROBA_U_DOLASKU!$H$6:$H$95,3)</f>
        <v>0</v>
      </c>
      <c r="P583" s="9" t="n">
        <f aca="false">IF(H583&lt;=0,999,IF(O583&gt;0,ROUND((F583-H583*N583+K583+M583+O583)/H583,1),IF(M583&gt;0,ROUND((F583-H583*L583+K583+M583)/H583,1),IF(K583&gt;0,ROUND((F583-H583*J583+K583)/H583,1),I583))))</f>
        <v>999</v>
      </c>
      <c r="Q583" s="22" t="str">
        <f aca="false">IF(H583&lt;=0,"Nema prodaje",IF(AND(K583=0,M583=0,O583=0),IF(I583&lt;POSTAVKE!$B$6,"Naruči odmah","Sve u redu"),IF(F583-H583*J583&lt;0,"Rupa za ~"&amp;TEXT(I583,"0.0")&amp;" mj.",IF(AND(M583&gt;0,F583-H583*L583+K583&lt;0),"Rupa nakon 1. dolaska",IF(AND(O583&gt;0,F583-H583*N583+K583+M583&lt;0),"Rupa nakon 2. dolaska",IF(P583&lt;POSTAVKE!$B$6,"Količina nije dovoljna",IF(I583&gt;=POSTAVKE!$B$6,"Sve u redu","Stiže na vrijeme")))))))</f>
        <v>Nema prodaje</v>
      </c>
      <c r="S583" s="23" t="n">
        <f aca="false">IFERROR(INDEX(PODACI_PRODAJA!B:B,MATCH($A583,PODACI_PRODAJA!$A:$A,0)),0)</f>
        <v>0</v>
      </c>
      <c r="T583" s="23" t="n">
        <f aca="false">IFERROR(INDEX(PODACI_PRODAJA!C:C,MATCH($A583,PODACI_PRODAJA!$A:$A,0)),0)</f>
        <v>0</v>
      </c>
      <c r="U583" s="23" t="n">
        <f aca="false">IFERROR(INDEX(PODACI_PRODAJA!D:D,MATCH($A583,PODACI_PRODAJA!$A:$A,0)),0)</f>
        <v>0</v>
      </c>
      <c r="V583" s="23" t="n">
        <f aca="false">IFERROR(INDEX(PODACI_PRODAJA!E:E,MATCH($A583,PODACI_PRODAJA!$A:$A,0)),0)</f>
        <v>0</v>
      </c>
      <c r="W583" s="23" t="n">
        <f aca="false">IFERROR(INDEX(PODACI_PRODAJA!F:F,MATCH($A583,PODACI_PRODAJA!$A:$A,0)),0)</f>
        <v>0</v>
      </c>
      <c r="X583" s="23" t="n">
        <f aca="false">IFERROR(INDEX(PODACI_PRODAJA!G:G,MATCH($A583,PODACI_PRODAJA!$A:$A,0)),0)</f>
        <v>0</v>
      </c>
      <c r="Y583" s="23" t="n">
        <f aca="false">IFERROR(INDEX(PODACI_PRODAJA!H:H,MATCH($A583,PODACI_PRODAJA!$A:$A,0)),0)</f>
        <v>0</v>
      </c>
      <c r="Z583" s="23" t="n">
        <f aca="false">IFERROR(INDEX(PODACI_PRODAJA!I:I,MATCH($A583,PODACI_PRODAJA!$A:$A,0)),0)</f>
        <v>0</v>
      </c>
      <c r="AA583" s="23" t="n">
        <f aca="false">IFERROR(INDEX(PODACI_PRODAJA!J:J,MATCH($A583,PODACI_PRODAJA!$A:$A,0)),0)</f>
        <v>0</v>
      </c>
      <c r="AB583" s="23" t="n">
        <f aca="false">IFERROR(INDEX(PODACI_PRODAJA!K:K,MATCH($A583,PODACI_PRODAJA!$A:$A,0)),0)</f>
        <v>0</v>
      </c>
      <c r="AC583" s="23" t="n">
        <f aca="false">IFERROR(INDEX(PODACI_PRODAJA!L:L,MATCH($A583,PODACI_PRODAJA!$A:$A,0)),0)</f>
        <v>0</v>
      </c>
      <c r="AD583" s="23" t="n">
        <f aca="false">IFERROR(INDEX(PODACI_PRODAJA!M:M,MATCH($A583,PODACI_PRODAJA!$A:$A,0)),0)</f>
        <v>0</v>
      </c>
    </row>
    <row r="584" customFormat="false" ht="15" hidden="false" customHeight="false" outlineLevel="0" collapsed="false">
      <c r="A584" s="11" t="str">
        <f aca="false">PODACI_ZALIHE!A581</f>
        <v>0361411</v>
      </c>
      <c r="B584" s="8" t="str">
        <f aca="false">PODACI_ZALIHE!B581</f>
        <v>UZORAK SIFONA ZA JSR8010 CHROME</v>
      </c>
      <c r="C584" s="9" t="n">
        <f aca="false">PODACI_ZALIHE!C581</f>
        <v>0</v>
      </c>
      <c r="D584" s="8" t="n">
        <f aca="false">PODACI_ZALIHE!D581</f>
        <v>0</v>
      </c>
      <c r="E584" s="19" t="n">
        <f aca="false">IF(PODACI_ZALIHE!E581="","",PODACI_ZALIHE!E581)</f>
        <v>1</v>
      </c>
      <c r="F584" s="20" t="n">
        <f aca="false">PODACI_ZALIHE!F581</f>
        <v>1</v>
      </c>
      <c r="G584" s="19" t="n">
        <f aca="false">IF(E584="","",E584-F584)</f>
        <v>0</v>
      </c>
      <c r="H584" s="9" t="n">
        <v>0</v>
      </c>
      <c r="I584" s="21" t="n">
        <f aca="false">IF(H584&lt;=0,999,ROUND(F584/H584,1))</f>
        <v>999</v>
      </c>
      <c r="J584" s="9" t="n">
        <f aca="false">SUMIFS(ROBA_U_DOLASKU!$C$6:$C$95,ROBA_U_DOLASKU!$A$6:$A$95,A584,ROBA_U_DOLASKU!$H$6:$H$95,1)</f>
        <v>0</v>
      </c>
      <c r="K584" s="9" t="n">
        <f aca="false">SUMIFS(ROBA_U_DOLASKU!$B$6:$B$95,ROBA_U_DOLASKU!$A$6:$A$95,A584,ROBA_U_DOLASKU!$H$6:$H$95,1)</f>
        <v>0</v>
      </c>
      <c r="L584" s="9" t="n">
        <f aca="false">SUMIFS(ROBA_U_DOLASKU!$C$6:$C$95,ROBA_U_DOLASKU!$A$6:$A$95,A584,ROBA_U_DOLASKU!$H$6:$H$95,2)</f>
        <v>0</v>
      </c>
      <c r="M584" s="9" t="n">
        <f aca="false">SUMIFS(ROBA_U_DOLASKU!$B$6:$B$95,ROBA_U_DOLASKU!$A$6:$A$95,A584,ROBA_U_DOLASKU!$H$6:$H$95,2)</f>
        <v>0</v>
      </c>
      <c r="N584" s="9" t="n">
        <f aca="false">SUMIFS(ROBA_U_DOLASKU!$C$6:$C$95,ROBA_U_DOLASKU!$A$6:$A$95,A584,ROBA_U_DOLASKU!$H$6:$H$95,3)</f>
        <v>0</v>
      </c>
      <c r="O584" s="9" t="n">
        <f aca="false">SUMIFS(ROBA_U_DOLASKU!$B$6:$B$95,ROBA_U_DOLASKU!$A$6:$A$95,A584,ROBA_U_DOLASKU!$H$6:$H$95,3)</f>
        <v>0</v>
      </c>
      <c r="P584" s="9" t="n">
        <f aca="false">IF(H584&lt;=0,999,IF(O584&gt;0,ROUND((F584-H584*N584+K584+M584+O584)/H584,1),IF(M584&gt;0,ROUND((F584-H584*L584+K584+M584)/H584,1),IF(K584&gt;0,ROUND((F584-H584*J584+K584)/H584,1),I584))))</f>
        <v>999</v>
      </c>
      <c r="Q584" s="22" t="str">
        <f aca="false">IF(H584&lt;=0,"Nema prodaje",IF(AND(K584=0,M584=0,O584=0),IF(I584&lt;POSTAVKE!$B$6,"Naruči odmah","Sve u redu"),IF(F584-H584*J584&lt;0,"Rupa za ~"&amp;TEXT(I584,"0.0")&amp;" mj.",IF(AND(M584&gt;0,F584-H584*L584+K584&lt;0),"Rupa nakon 1. dolaska",IF(AND(O584&gt;0,F584-H584*N584+K584+M584&lt;0),"Rupa nakon 2. dolaska",IF(P584&lt;POSTAVKE!$B$6,"Količina nije dovoljna",IF(I584&gt;=POSTAVKE!$B$6,"Sve u redu","Stiže na vrijeme")))))))</f>
        <v>Nema prodaje</v>
      </c>
      <c r="S584" s="23" t="n">
        <f aca="false">IFERROR(INDEX(PODACI_PRODAJA!B:B,MATCH($A584,PODACI_PRODAJA!$A:$A,0)),0)</f>
        <v>0</v>
      </c>
      <c r="T584" s="23" t="n">
        <f aca="false">IFERROR(INDEX(PODACI_PRODAJA!C:C,MATCH($A584,PODACI_PRODAJA!$A:$A,0)),0)</f>
        <v>0</v>
      </c>
      <c r="U584" s="23" t="n">
        <f aca="false">IFERROR(INDEX(PODACI_PRODAJA!D:D,MATCH($A584,PODACI_PRODAJA!$A:$A,0)),0)</f>
        <v>0</v>
      </c>
      <c r="V584" s="23" t="n">
        <f aca="false">IFERROR(INDEX(PODACI_PRODAJA!E:E,MATCH($A584,PODACI_PRODAJA!$A:$A,0)),0)</f>
        <v>0</v>
      </c>
      <c r="W584" s="23" t="n">
        <f aca="false">IFERROR(INDEX(PODACI_PRODAJA!F:F,MATCH($A584,PODACI_PRODAJA!$A:$A,0)),0)</f>
        <v>0</v>
      </c>
      <c r="X584" s="23" t="n">
        <f aca="false">IFERROR(INDEX(PODACI_PRODAJA!G:G,MATCH($A584,PODACI_PRODAJA!$A:$A,0)),0)</f>
        <v>0</v>
      </c>
      <c r="Y584" s="23" t="n">
        <f aca="false">IFERROR(INDEX(PODACI_PRODAJA!H:H,MATCH($A584,PODACI_PRODAJA!$A:$A,0)),0)</f>
        <v>0</v>
      </c>
      <c r="Z584" s="23" t="n">
        <f aca="false">IFERROR(INDEX(PODACI_PRODAJA!I:I,MATCH($A584,PODACI_PRODAJA!$A:$A,0)),0)</f>
        <v>0</v>
      </c>
      <c r="AA584" s="23" t="n">
        <f aca="false">IFERROR(INDEX(PODACI_PRODAJA!J:J,MATCH($A584,PODACI_PRODAJA!$A:$A,0)),0)</f>
        <v>0</v>
      </c>
      <c r="AB584" s="23" t="n">
        <f aca="false">IFERROR(INDEX(PODACI_PRODAJA!K:K,MATCH($A584,PODACI_PRODAJA!$A:$A,0)),0)</f>
        <v>0</v>
      </c>
      <c r="AC584" s="23" t="n">
        <f aca="false">IFERROR(INDEX(PODACI_PRODAJA!L:L,MATCH($A584,PODACI_PRODAJA!$A:$A,0)),0)</f>
        <v>0</v>
      </c>
      <c r="AD584" s="23" t="n">
        <f aca="false">IFERROR(INDEX(PODACI_PRODAJA!M:M,MATCH($A584,PODACI_PRODAJA!$A:$A,0)),0)</f>
        <v>0</v>
      </c>
    </row>
    <row r="585" customFormat="false" ht="15" hidden="false" customHeight="false" outlineLevel="0" collapsed="false">
      <c r="A585" s="11" t="str">
        <f aca="false">PODACI_ZALIHE!A582</f>
        <v>0361434</v>
      </c>
      <c r="B585" s="8" t="str">
        <f aca="false">PODACI_ZALIHE!B582</f>
        <v>UZORAK UMIVAONIKA LINK 80CM 80x46CM</v>
      </c>
      <c r="C585" s="9" t="str">
        <f aca="false">PODACI_ZALIHE!C582</f>
        <v>5517</v>
      </c>
      <c r="D585" s="8" t="str">
        <f aca="false">PODACI_ZALIHE!D582</f>
        <v>NICOS INTERNATIONAL S.P.A.</v>
      </c>
      <c r="E585" s="19" t="n">
        <f aca="false">IF(PODACI_ZALIHE!E582="","",PODACI_ZALIHE!E582)</f>
        <v>1</v>
      </c>
      <c r="F585" s="20" t="n">
        <f aca="false">PODACI_ZALIHE!F582</f>
        <v>1</v>
      </c>
      <c r="G585" s="19" t="n">
        <f aca="false">IF(E585="","",E585-F585)</f>
        <v>0</v>
      </c>
      <c r="H585" s="9" t="n">
        <f aca="false">PODACI_PRODAJA!N404</f>
        <v>0</v>
      </c>
      <c r="I585" s="21" t="n">
        <f aca="false">IF(H585&lt;=0,999,ROUND(F585/H585,1))</f>
        <v>999</v>
      </c>
      <c r="J585" s="9" t="n">
        <f aca="false">SUMIFS(ROBA_U_DOLASKU!$C$6:$C$95,ROBA_U_DOLASKU!$A$6:$A$95,A585,ROBA_U_DOLASKU!$H$6:$H$95,1)</f>
        <v>0</v>
      </c>
      <c r="K585" s="9" t="n">
        <f aca="false">SUMIFS(ROBA_U_DOLASKU!$B$6:$B$95,ROBA_U_DOLASKU!$A$6:$A$95,A585,ROBA_U_DOLASKU!$H$6:$H$95,1)</f>
        <v>0</v>
      </c>
      <c r="L585" s="9" t="n">
        <f aca="false">SUMIFS(ROBA_U_DOLASKU!$C$6:$C$95,ROBA_U_DOLASKU!$A$6:$A$95,A585,ROBA_U_DOLASKU!$H$6:$H$95,2)</f>
        <v>0</v>
      </c>
      <c r="M585" s="9" t="n">
        <f aca="false">SUMIFS(ROBA_U_DOLASKU!$B$6:$B$95,ROBA_U_DOLASKU!$A$6:$A$95,A585,ROBA_U_DOLASKU!$H$6:$H$95,2)</f>
        <v>0</v>
      </c>
      <c r="N585" s="9" t="n">
        <f aca="false">SUMIFS(ROBA_U_DOLASKU!$C$6:$C$95,ROBA_U_DOLASKU!$A$6:$A$95,A585,ROBA_U_DOLASKU!$H$6:$H$95,3)</f>
        <v>0</v>
      </c>
      <c r="O585" s="9" t="n">
        <f aca="false">SUMIFS(ROBA_U_DOLASKU!$B$6:$B$95,ROBA_U_DOLASKU!$A$6:$A$95,A585,ROBA_U_DOLASKU!$H$6:$H$95,3)</f>
        <v>0</v>
      </c>
      <c r="P585" s="9" t="n">
        <f aca="false">IF(H585&lt;=0,999,IF(O585&gt;0,ROUND((F585-H585*N585+K585+M585+O585)/H585,1),IF(M585&gt;0,ROUND((F585-H585*L585+K585+M585)/H585,1),IF(K585&gt;0,ROUND((F585-H585*J585+K585)/H585,1),I585))))</f>
        <v>999</v>
      </c>
      <c r="Q585" s="22" t="str">
        <f aca="false">IF(H585&lt;=0,"Nema prodaje",IF(AND(K585=0,M585=0,O585=0),IF(I585&lt;POSTAVKE!$B$6,"Naruči odmah","Sve u redu"),IF(F585-H585*J585&lt;0,"Rupa za ~"&amp;TEXT(I585,"0.0")&amp;" mj.",IF(AND(M585&gt;0,F585-H585*L585+K585&lt;0),"Rupa nakon 1. dolaska",IF(AND(O585&gt;0,F585-H585*N585+K585+M585&lt;0),"Rupa nakon 2. dolaska",IF(P585&lt;POSTAVKE!$B$6,"Količina nije dovoljna",IF(I585&gt;=POSTAVKE!$B$6,"Sve u redu","Stiže na vrijeme")))))))</f>
        <v>Nema prodaje</v>
      </c>
      <c r="S585" s="23" t="n">
        <f aca="false">IFERROR(INDEX(PODACI_PRODAJA!B:B,MATCH($A585,PODACI_PRODAJA!$A:$A,0)),0)</f>
        <v>0</v>
      </c>
      <c r="T585" s="23" t="n">
        <f aca="false">IFERROR(INDEX(PODACI_PRODAJA!C:C,MATCH($A585,PODACI_PRODAJA!$A:$A,0)),0)</f>
        <v>0</v>
      </c>
      <c r="U585" s="23" t="n">
        <f aca="false">IFERROR(INDEX(PODACI_PRODAJA!D:D,MATCH($A585,PODACI_PRODAJA!$A:$A,0)),0)</f>
        <v>0</v>
      </c>
      <c r="V585" s="23" t="n">
        <f aca="false">IFERROR(INDEX(PODACI_PRODAJA!E:E,MATCH($A585,PODACI_PRODAJA!$A:$A,0)),0)</f>
        <v>0</v>
      </c>
      <c r="W585" s="23" t="n">
        <f aca="false">IFERROR(INDEX(PODACI_PRODAJA!F:F,MATCH($A585,PODACI_PRODAJA!$A:$A,0)),0)</f>
        <v>0</v>
      </c>
      <c r="X585" s="23" t="n">
        <f aca="false">IFERROR(INDEX(PODACI_PRODAJA!G:G,MATCH($A585,PODACI_PRODAJA!$A:$A,0)),0)</f>
        <v>0</v>
      </c>
      <c r="Y585" s="23" t="n">
        <f aca="false">IFERROR(INDEX(PODACI_PRODAJA!H:H,MATCH($A585,PODACI_PRODAJA!$A:$A,0)),0)</f>
        <v>0</v>
      </c>
      <c r="Z585" s="23" t="n">
        <f aca="false">IFERROR(INDEX(PODACI_PRODAJA!I:I,MATCH($A585,PODACI_PRODAJA!$A:$A,0)),0)</f>
        <v>0</v>
      </c>
      <c r="AA585" s="23" t="n">
        <f aca="false">IFERROR(INDEX(PODACI_PRODAJA!J:J,MATCH($A585,PODACI_PRODAJA!$A:$A,0)),0)</f>
        <v>0</v>
      </c>
      <c r="AB585" s="23" t="n">
        <f aca="false">IFERROR(INDEX(PODACI_PRODAJA!K:K,MATCH($A585,PODACI_PRODAJA!$A:$A,0)),0)</f>
        <v>0</v>
      </c>
      <c r="AC585" s="23" t="n">
        <f aca="false">IFERROR(INDEX(PODACI_PRODAJA!L:L,MATCH($A585,PODACI_PRODAJA!$A:$A,0)),0)</f>
        <v>0</v>
      </c>
      <c r="AD585" s="23" t="n">
        <f aca="false">IFERROR(INDEX(PODACI_PRODAJA!M:M,MATCH($A585,PODACI_PRODAJA!$A:$A,0)),0)</f>
        <v>0</v>
      </c>
    </row>
    <row r="586" customFormat="false" ht="15" hidden="false" customHeight="false" outlineLevel="0" collapsed="false">
      <c r="A586" s="11" t="str">
        <f aca="false">PODACI_ZALIHE!A583</f>
        <v>0361435</v>
      </c>
      <c r="B586" s="8" t="str">
        <f aca="false">PODACI_ZALIHE!B583</f>
        <v>UZORAK UMIVAONIKA SHARK 80CM 80x46CM</v>
      </c>
      <c r="C586" s="9" t="str">
        <f aca="false">PODACI_ZALIHE!C583</f>
        <v>5517</v>
      </c>
      <c r="D586" s="8" t="str">
        <f aca="false">PODACI_ZALIHE!D583</f>
        <v>NICOS INTERNATIONAL S.P.A.</v>
      </c>
      <c r="E586" s="19" t="n">
        <f aca="false">IF(PODACI_ZALIHE!E583="","",PODACI_ZALIHE!E583)</f>
        <v>1</v>
      </c>
      <c r="F586" s="20" t="n">
        <f aca="false">PODACI_ZALIHE!F583</f>
        <v>1</v>
      </c>
      <c r="G586" s="19" t="n">
        <f aca="false">IF(E586="","",E586-F586)</f>
        <v>0</v>
      </c>
      <c r="H586" s="9" t="n">
        <f aca="false">PODACI_PRODAJA!N405</f>
        <v>0</v>
      </c>
      <c r="I586" s="21" t="n">
        <f aca="false">IF(H586&lt;=0,999,ROUND(F586/H586,1))</f>
        <v>999</v>
      </c>
      <c r="J586" s="9" t="n">
        <f aca="false">SUMIFS(ROBA_U_DOLASKU!$C$6:$C$95,ROBA_U_DOLASKU!$A$6:$A$95,A586,ROBA_U_DOLASKU!$H$6:$H$95,1)</f>
        <v>0</v>
      </c>
      <c r="K586" s="9" t="n">
        <f aca="false">SUMIFS(ROBA_U_DOLASKU!$B$6:$B$95,ROBA_U_DOLASKU!$A$6:$A$95,A586,ROBA_U_DOLASKU!$H$6:$H$95,1)</f>
        <v>0</v>
      </c>
      <c r="L586" s="9" t="n">
        <f aca="false">SUMIFS(ROBA_U_DOLASKU!$C$6:$C$95,ROBA_U_DOLASKU!$A$6:$A$95,A586,ROBA_U_DOLASKU!$H$6:$H$95,2)</f>
        <v>0</v>
      </c>
      <c r="M586" s="9" t="n">
        <f aca="false">SUMIFS(ROBA_U_DOLASKU!$B$6:$B$95,ROBA_U_DOLASKU!$A$6:$A$95,A586,ROBA_U_DOLASKU!$H$6:$H$95,2)</f>
        <v>0</v>
      </c>
      <c r="N586" s="9" t="n">
        <f aca="false">SUMIFS(ROBA_U_DOLASKU!$C$6:$C$95,ROBA_U_DOLASKU!$A$6:$A$95,A586,ROBA_U_DOLASKU!$H$6:$H$95,3)</f>
        <v>0</v>
      </c>
      <c r="O586" s="9" t="n">
        <f aca="false">SUMIFS(ROBA_U_DOLASKU!$B$6:$B$95,ROBA_U_DOLASKU!$A$6:$A$95,A586,ROBA_U_DOLASKU!$H$6:$H$95,3)</f>
        <v>0</v>
      </c>
      <c r="P586" s="9" t="n">
        <f aca="false">IF(H586&lt;=0,999,IF(O586&gt;0,ROUND((F586-H586*N586+K586+M586+O586)/H586,1),IF(M586&gt;0,ROUND((F586-H586*L586+K586+M586)/H586,1),IF(K586&gt;0,ROUND((F586-H586*J586+K586)/H586,1),I586))))</f>
        <v>999</v>
      </c>
      <c r="Q586" s="22" t="str">
        <f aca="false">IF(H586&lt;=0,"Nema prodaje",IF(AND(K586=0,M586=0,O586=0),IF(I586&lt;POSTAVKE!$B$6,"Naruči odmah","Sve u redu"),IF(F586-H586*J586&lt;0,"Rupa za ~"&amp;TEXT(I586,"0.0")&amp;" mj.",IF(AND(M586&gt;0,F586-H586*L586+K586&lt;0),"Rupa nakon 1. dolaska",IF(AND(O586&gt;0,F586-H586*N586+K586+M586&lt;0),"Rupa nakon 2. dolaska",IF(P586&lt;POSTAVKE!$B$6,"Količina nije dovoljna",IF(I586&gt;=POSTAVKE!$B$6,"Sve u redu","Stiže na vrijeme")))))))</f>
        <v>Nema prodaje</v>
      </c>
      <c r="S586" s="23" t="n">
        <f aca="false">IFERROR(INDEX(PODACI_PRODAJA!B:B,MATCH($A586,PODACI_PRODAJA!$A:$A,0)),0)</f>
        <v>0</v>
      </c>
      <c r="T586" s="23" t="n">
        <f aca="false">IFERROR(INDEX(PODACI_PRODAJA!C:C,MATCH($A586,PODACI_PRODAJA!$A:$A,0)),0)</f>
        <v>0</v>
      </c>
      <c r="U586" s="23" t="n">
        <f aca="false">IFERROR(INDEX(PODACI_PRODAJA!D:D,MATCH($A586,PODACI_PRODAJA!$A:$A,0)),0)</f>
        <v>0</v>
      </c>
      <c r="V586" s="23" t="n">
        <f aca="false">IFERROR(INDEX(PODACI_PRODAJA!E:E,MATCH($A586,PODACI_PRODAJA!$A:$A,0)),0)</f>
        <v>0</v>
      </c>
      <c r="W586" s="23" t="n">
        <f aca="false">IFERROR(INDEX(PODACI_PRODAJA!F:F,MATCH($A586,PODACI_PRODAJA!$A:$A,0)),0)</f>
        <v>0</v>
      </c>
      <c r="X586" s="23" t="n">
        <f aca="false">IFERROR(INDEX(PODACI_PRODAJA!G:G,MATCH($A586,PODACI_PRODAJA!$A:$A,0)),0)</f>
        <v>0</v>
      </c>
      <c r="Y586" s="23" t="n">
        <f aca="false">IFERROR(INDEX(PODACI_PRODAJA!H:H,MATCH($A586,PODACI_PRODAJA!$A:$A,0)),0)</f>
        <v>0</v>
      </c>
      <c r="Z586" s="23" t="n">
        <f aca="false">IFERROR(INDEX(PODACI_PRODAJA!I:I,MATCH($A586,PODACI_PRODAJA!$A:$A,0)),0)</f>
        <v>0</v>
      </c>
      <c r="AA586" s="23" t="n">
        <f aca="false">IFERROR(INDEX(PODACI_PRODAJA!J:J,MATCH($A586,PODACI_PRODAJA!$A:$A,0)),0)</f>
        <v>0</v>
      </c>
      <c r="AB586" s="23" t="n">
        <f aca="false">IFERROR(INDEX(PODACI_PRODAJA!K:K,MATCH($A586,PODACI_PRODAJA!$A:$A,0)),0)</f>
        <v>0</v>
      </c>
      <c r="AC586" s="23" t="n">
        <f aca="false">IFERROR(INDEX(PODACI_PRODAJA!L:L,MATCH($A586,PODACI_PRODAJA!$A:$A,0)),0)</f>
        <v>0</v>
      </c>
      <c r="AD586" s="23" t="n">
        <f aca="false">IFERROR(INDEX(PODACI_PRODAJA!M:M,MATCH($A586,PODACI_PRODAJA!$A:$A,0)),0)</f>
        <v>0</v>
      </c>
    </row>
    <row r="587" customFormat="false" ht="15" hidden="false" customHeight="false" outlineLevel="0" collapsed="false">
      <c r="A587" s="11" t="str">
        <f aca="false">PODACI_ZALIHE!A584</f>
        <v>040740</v>
      </c>
      <c r="B587" s="8" t="str">
        <f aca="false">PODACI_ZALIHE!B584</f>
        <v>TK-90-3D PLUS TUŠ PARAVAN 90x195 cm</v>
      </c>
      <c r="C587" s="9" t="str">
        <f aca="false">PODACI_ZALIHE!C584</f>
        <v>2426</v>
      </c>
      <c r="D587" s="8" t="str">
        <f aca="false">PODACI_ZALIHE!D584</f>
        <v>HANGZHOU ROYO IMPORT &amp; EXPORT CO., LTD.</v>
      </c>
      <c r="E587" s="19" t="n">
        <f aca="false">IF(PODACI_ZALIHE!E584="","",PODACI_ZALIHE!E584)</f>
        <v>1</v>
      </c>
      <c r="F587" s="20" t="n">
        <f aca="false">PODACI_ZALIHE!F584</f>
        <v>1</v>
      </c>
      <c r="G587" s="19" t="n">
        <f aca="false">IF(E587="","",E587-F587)</f>
        <v>0</v>
      </c>
      <c r="H587" s="9" t="n">
        <v>0</v>
      </c>
      <c r="I587" s="21" t="n">
        <f aca="false">IF(H587&lt;=0,999,ROUND(F587/H587,1))</f>
        <v>999</v>
      </c>
      <c r="J587" s="9" t="n">
        <f aca="false">SUMIFS(ROBA_U_DOLASKU!$C$6:$C$95,ROBA_U_DOLASKU!$A$6:$A$95,A587,ROBA_U_DOLASKU!$H$6:$H$95,1)</f>
        <v>0</v>
      </c>
      <c r="K587" s="9" t="n">
        <f aca="false">SUMIFS(ROBA_U_DOLASKU!$B$6:$B$95,ROBA_U_DOLASKU!$A$6:$A$95,A587,ROBA_U_DOLASKU!$H$6:$H$95,1)</f>
        <v>0</v>
      </c>
      <c r="L587" s="9" t="n">
        <f aca="false">SUMIFS(ROBA_U_DOLASKU!$C$6:$C$95,ROBA_U_DOLASKU!$A$6:$A$95,A587,ROBA_U_DOLASKU!$H$6:$H$95,2)</f>
        <v>0</v>
      </c>
      <c r="M587" s="9" t="n">
        <f aca="false">SUMIFS(ROBA_U_DOLASKU!$B$6:$B$95,ROBA_U_DOLASKU!$A$6:$A$95,A587,ROBA_U_DOLASKU!$H$6:$H$95,2)</f>
        <v>0</v>
      </c>
      <c r="N587" s="9" t="n">
        <f aca="false">SUMIFS(ROBA_U_DOLASKU!$C$6:$C$95,ROBA_U_DOLASKU!$A$6:$A$95,A587,ROBA_U_DOLASKU!$H$6:$H$95,3)</f>
        <v>0</v>
      </c>
      <c r="O587" s="9" t="n">
        <f aca="false">SUMIFS(ROBA_U_DOLASKU!$B$6:$B$95,ROBA_U_DOLASKU!$A$6:$A$95,A587,ROBA_U_DOLASKU!$H$6:$H$95,3)</f>
        <v>0</v>
      </c>
      <c r="P587" s="9" t="n">
        <f aca="false">IF(H587&lt;=0,999,IF(O587&gt;0,ROUND((F587-H587*N587+K587+M587+O587)/H587,1),IF(M587&gt;0,ROUND((F587-H587*L587+K587+M587)/H587,1),IF(K587&gt;0,ROUND((F587-H587*J587+K587)/H587,1),I587))))</f>
        <v>999</v>
      </c>
      <c r="Q587" s="22" t="str">
        <f aca="false">IF(H587&lt;=0,"Nema prodaje",IF(AND(K587=0,M587=0,O587=0),IF(I587&lt;POSTAVKE!$B$6,"Naruči odmah","Sve u redu"),IF(F587-H587*J587&lt;0,"Rupa za ~"&amp;TEXT(I587,"0.0")&amp;" mj.",IF(AND(M587&gt;0,F587-H587*L587+K587&lt;0),"Rupa nakon 1. dolaska",IF(AND(O587&gt;0,F587-H587*N587+K587+M587&lt;0),"Rupa nakon 2. dolaska",IF(P587&lt;POSTAVKE!$B$6,"Količina nije dovoljna",IF(I587&gt;=POSTAVKE!$B$6,"Sve u redu","Stiže na vrijeme")))))))</f>
        <v>Nema prodaje</v>
      </c>
      <c r="S587" s="23" t="n">
        <f aca="false">IFERROR(INDEX(PODACI_PRODAJA!B:B,MATCH($A587,PODACI_PRODAJA!$A:$A,0)),0)</f>
        <v>0</v>
      </c>
      <c r="T587" s="23" t="n">
        <f aca="false">IFERROR(INDEX(PODACI_PRODAJA!C:C,MATCH($A587,PODACI_PRODAJA!$A:$A,0)),0)</f>
        <v>0</v>
      </c>
      <c r="U587" s="23" t="n">
        <f aca="false">IFERROR(INDEX(PODACI_PRODAJA!D:D,MATCH($A587,PODACI_PRODAJA!$A:$A,0)),0)</f>
        <v>0</v>
      </c>
      <c r="V587" s="23" t="n">
        <f aca="false">IFERROR(INDEX(PODACI_PRODAJA!E:E,MATCH($A587,PODACI_PRODAJA!$A:$A,0)),0)</f>
        <v>0</v>
      </c>
      <c r="W587" s="23" t="n">
        <f aca="false">IFERROR(INDEX(PODACI_PRODAJA!F:F,MATCH($A587,PODACI_PRODAJA!$A:$A,0)),0)</f>
        <v>0</v>
      </c>
      <c r="X587" s="23" t="n">
        <f aca="false">IFERROR(INDEX(PODACI_PRODAJA!G:G,MATCH($A587,PODACI_PRODAJA!$A:$A,0)),0)</f>
        <v>0</v>
      </c>
      <c r="Y587" s="23" t="n">
        <f aca="false">IFERROR(INDEX(PODACI_PRODAJA!H:H,MATCH($A587,PODACI_PRODAJA!$A:$A,0)),0)</f>
        <v>0</v>
      </c>
      <c r="Z587" s="23" t="n">
        <f aca="false">IFERROR(INDEX(PODACI_PRODAJA!I:I,MATCH($A587,PODACI_PRODAJA!$A:$A,0)),0)</f>
        <v>0</v>
      </c>
      <c r="AA587" s="23" t="n">
        <f aca="false">IFERROR(INDEX(PODACI_PRODAJA!J:J,MATCH($A587,PODACI_PRODAJA!$A:$A,0)),0)</f>
        <v>0</v>
      </c>
      <c r="AB587" s="23" t="n">
        <f aca="false">IFERROR(INDEX(PODACI_PRODAJA!K:K,MATCH($A587,PODACI_PRODAJA!$A:$A,0)),0)</f>
        <v>0</v>
      </c>
      <c r="AC587" s="23" t="n">
        <f aca="false">IFERROR(INDEX(PODACI_PRODAJA!L:L,MATCH($A587,PODACI_PRODAJA!$A:$A,0)),0)</f>
        <v>0</v>
      </c>
      <c r="AD587" s="23" t="n">
        <f aca="false">IFERROR(INDEX(PODACI_PRODAJA!M:M,MATCH($A587,PODACI_PRODAJA!$A:$A,0)),0)</f>
        <v>0</v>
      </c>
    </row>
    <row r="588" customFormat="false" ht="15" hidden="false" customHeight="false" outlineLevel="0" collapsed="false">
      <c r="A588" s="11" t="str">
        <f aca="false">PODACI_ZALIHE!A585</f>
        <v>15357</v>
      </c>
      <c r="B588" s="8" t="str">
        <f aca="false">PODACI_ZALIHE!B585</f>
        <v>TUŠ KABINA D101 KVADRATNA 90x90x185 cm</v>
      </c>
      <c r="C588" s="9" t="str">
        <f aca="false">PODACI_ZALIHE!C585</f>
        <v>4981</v>
      </c>
      <c r="D588" s="8" t="str">
        <f aca="false">PODACI_ZALIHE!D585</f>
        <v>HANGZHOU SUNLIGHT TRADE CO., LTD.</v>
      </c>
      <c r="E588" s="19" t="n">
        <f aca="false">IF(PODACI_ZALIHE!E585="","",PODACI_ZALIHE!E585)</f>
        <v>1</v>
      </c>
      <c r="F588" s="20" t="n">
        <f aca="false">PODACI_ZALIHE!F585</f>
        <v>1</v>
      </c>
      <c r="G588" s="19" t="n">
        <f aca="false">IF(E588="","",E588-F588)</f>
        <v>0</v>
      </c>
      <c r="H588" s="9" t="n">
        <v>0</v>
      </c>
      <c r="I588" s="21" t="n">
        <f aca="false">IF(H588&lt;=0,999,ROUND(F588/H588,1))</f>
        <v>999</v>
      </c>
      <c r="J588" s="9" t="n">
        <f aca="false">SUMIFS(ROBA_U_DOLASKU!$C$6:$C$95,ROBA_U_DOLASKU!$A$6:$A$95,A588,ROBA_U_DOLASKU!$H$6:$H$95,1)</f>
        <v>0</v>
      </c>
      <c r="K588" s="9" t="n">
        <f aca="false">SUMIFS(ROBA_U_DOLASKU!$B$6:$B$95,ROBA_U_DOLASKU!$A$6:$A$95,A588,ROBA_U_DOLASKU!$H$6:$H$95,1)</f>
        <v>0</v>
      </c>
      <c r="L588" s="9" t="n">
        <f aca="false">SUMIFS(ROBA_U_DOLASKU!$C$6:$C$95,ROBA_U_DOLASKU!$A$6:$A$95,A588,ROBA_U_DOLASKU!$H$6:$H$95,2)</f>
        <v>0</v>
      </c>
      <c r="M588" s="9" t="n">
        <f aca="false">SUMIFS(ROBA_U_DOLASKU!$B$6:$B$95,ROBA_U_DOLASKU!$A$6:$A$95,A588,ROBA_U_DOLASKU!$H$6:$H$95,2)</f>
        <v>0</v>
      </c>
      <c r="N588" s="9" t="n">
        <f aca="false">SUMIFS(ROBA_U_DOLASKU!$C$6:$C$95,ROBA_U_DOLASKU!$A$6:$A$95,A588,ROBA_U_DOLASKU!$H$6:$H$95,3)</f>
        <v>0</v>
      </c>
      <c r="O588" s="9" t="n">
        <f aca="false">SUMIFS(ROBA_U_DOLASKU!$B$6:$B$95,ROBA_U_DOLASKU!$A$6:$A$95,A588,ROBA_U_DOLASKU!$H$6:$H$95,3)</f>
        <v>0</v>
      </c>
      <c r="P588" s="9" t="n">
        <f aca="false">IF(H588&lt;=0,999,IF(O588&gt;0,ROUND((F588-H588*N588+K588+M588+O588)/H588,1),IF(M588&gt;0,ROUND((F588-H588*L588+K588+M588)/H588,1),IF(K588&gt;0,ROUND((F588-H588*J588+K588)/H588,1),I588))))</f>
        <v>999</v>
      </c>
      <c r="Q588" s="22" t="str">
        <f aca="false">IF(H588&lt;=0,"Nema prodaje",IF(AND(K588=0,M588=0,O588=0),IF(I588&lt;POSTAVKE!$B$6,"Naruči odmah","Sve u redu"),IF(F588-H588*J588&lt;0,"Rupa za ~"&amp;TEXT(I588,"0.0")&amp;" mj.",IF(AND(M588&gt;0,F588-H588*L588+K588&lt;0),"Rupa nakon 1. dolaska",IF(AND(O588&gt;0,F588-H588*N588+K588+M588&lt;0),"Rupa nakon 2. dolaska",IF(P588&lt;POSTAVKE!$B$6,"Količina nije dovoljna",IF(I588&gt;=POSTAVKE!$B$6,"Sve u redu","Stiže na vrijeme")))))))</f>
        <v>Nema prodaje</v>
      </c>
      <c r="S588" s="23" t="n">
        <f aca="false">IFERROR(INDEX(PODACI_PRODAJA!B:B,MATCH($A588,PODACI_PRODAJA!$A:$A,0)),0)</f>
        <v>0</v>
      </c>
      <c r="T588" s="23" t="n">
        <f aca="false">IFERROR(INDEX(PODACI_PRODAJA!C:C,MATCH($A588,PODACI_PRODAJA!$A:$A,0)),0)</f>
        <v>0</v>
      </c>
      <c r="U588" s="23" t="n">
        <f aca="false">IFERROR(INDEX(PODACI_PRODAJA!D:D,MATCH($A588,PODACI_PRODAJA!$A:$A,0)),0)</f>
        <v>0</v>
      </c>
      <c r="V588" s="23" t="n">
        <f aca="false">IFERROR(INDEX(PODACI_PRODAJA!E:E,MATCH($A588,PODACI_PRODAJA!$A:$A,0)),0)</f>
        <v>0</v>
      </c>
      <c r="W588" s="23" t="n">
        <f aca="false">IFERROR(INDEX(PODACI_PRODAJA!F:F,MATCH($A588,PODACI_PRODAJA!$A:$A,0)),0)</f>
        <v>0</v>
      </c>
      <c r="X588" s="23" t="n">
        <f aca="false">IFERROR(INDEX(PODACI_PRODAJA!G:G,MATCH($A588,PODACI_PRODAJA!$A:$A,0)),0)</f>
        <v>0</v>
      </c>
      <c r="Y588" s="23" t="n">
        <f aca="false">IFERROR(INDEX(PODACI_PRODAJA!H:H,MATCH($A588,PODACI_PRODAJA!$A:$A,0)),0)</f>
        <v>0</v>
      </c>
      <c r="Z588" s="23" t="n">
        <f aca="false">IFERROR(INDEX(PODACI_PRODAJA!I:I,MATCH($A588,PODACI_PRODAJA!$A:$A,0)),0)</f>
        <v>0</v>
      </c>
      <c r="AA588" s="23" t="n">
        <f aca="false">IFERROR(INDEX(PODACI_PRODAJA!J:J,MATCH($A588,PODACI_PRODAJA!$A:$A,0)),0)</f>
        <v>0</v>
      </c>
      <c r="AB588" s="23" t="n">
        <f aca="false">IFERROR(INDEX(PODACI_PRODAJA!K:K,MATCH($A588,PODACI_PRODAJA!$A:$A,0)),0)</f>
        <v>0</v>
      </c>
      <c r="AC588" s="23" t="n">
        <f aca="false">IFERROR(INDEX(PODACI_PRODAJA!L:L,MATCH($A588,PODACI_PRODAJA!$A:$A,0)),0)</f>
        <v>0</v>
      </c>
      <c r="AD588" s="23" t="n">
        <f aca="false">IFERROR(INDEX(PODACI_PRODAJA!M:M,MATCH($A588,PODACI_PRODAJA!$A:$A,0)),0)</f>
        <v>0</v>
      </c>
    </row>
    <row r="589" customFormat="false" ht="15" hidden="false" customHeight="false" outlineLevel="0" collapsed="false">
      <c r="A589" s="11" t="str">
        <f aca="false">PODACI_ZALIHE!A586</f>
        <v>15465</v>
      </c>
      <c r="B589" s="8" t="str">
        <f aca="false">PODACI_ZALIHE!B586</f>
        <v>TK FROST 7090 KVADRATNA TUŠ KABINA 70x90x185 cm</v>
      </c>
      <c r="C589" s="9" t="str">
        <f aca="false">PODACI_ZALIHE!C586</f>
        <v>5590</v>
      </c>
      <c r="D589" s="8" t="str">
        <f aca="false">PODACI_ZALIHE!D586</f>
        <v>PINGHU YINUO SANITARY WARE CO.,LTD</v>
      </c>
      <c r="E589" s="19" t="n">
        <f aca="false">IF(PODACI_ZALIHE!E586="","",PODACI_ZALIHE!E586)</f>
        <v>1</v>
      </c>
      <c r="F589" s="20" t="n">
        <f aca="false">PODACI_ZALIHE!F586</f>
        <v>1</v>
      </c>
      <c r="G589" s="19" t="n">
        <f aca="false">IF(E589="","",E589-F589)</f>
        <v>0</v>
      </c>
      <c r="H589" s="9" t="n">
        <f aca="false">PODACI_PRODAJA!N151</f>
        <v>0.63</v>
      </c>
      <c r="I589" s="21" t="n">
        <f aca="false">IF(H589&lt;=0,999,ROUND(F589/H589,1))</f>
        <v>1.6</v>
      </c>
      <c r="J589" s="9" t="n">
        <f aca="false">SUMIFS(ROBA_U_DOLASKU!$C$6:$C$95,ROBA_U_DOLASKU!$A$6:$A$95,A589,ROBA_U_DOLASKU!$H$6:$H$95,1)</f>
        <v>0</v>
      </c>
      <c r="K589" s="9" t="n">
        <f aca="false">SUMIFS(ROBA_U_DOLASKU!$B$6:$B$95,ROBA_U_DOLASKU!$A$6:$A$95,A589,ROBA_U_DOLASKU!$H$6:$H$95,1)</f>
        <v>0</v>
      </c>
      <c r="L589" s="9" t="n">
        <f aca="false">SUMIFS(ROBA_U_DOLASKU!$C$6:$C$95,ROBA_U_DOLASKU!$A$6:$A$95,A589,ROBA_U_DOLASKU!$H$6:$H$95,2)</f>
        <v>0</v>
      </c>
      <c r="M589" s="9" t="n">
        <f aca="false">SUMIFS(ROBA_U_DOLASKU!$B$6:$B$95,ROBA_U_DOLASKU!$A$6:$A$95,A589,ROBA_U_DOLASKU!$H$6:$H$95,2)</f>
        <v>0</v>
      </c>
      <c r="N589" s="9" t="n">
        <f aca="false">SUMIFS(ROBA_U_DOLASKU!$C$6:$C$95,ROBA_U_DOLASKU!$A$6:$A$95,A589,ROBA_U_DOLASKU!$H$6:$H$95,3)</f>
        <v>0</v>
      </c>
      <c r="O589" s="9" t="n">
        <f aca="false">SUMIFS(ROBA_U_DOLASKU!$B$6:$B$95,ROBA_U_DOLASKU!$A$6:$A$95,A589,ROBA_U_DOLASKU!$H$6:$H$95,3)</f>
        <v>0</v>
      </c>
      <c r="P589" s="9" t="n">
        <f aca="false">IF(H589&lt;=0,999,IF(O589&gt;0,ROUND((F589-H589*N589+K589+M589+O589)/H589,1),IF(M589&gt;0,ROUND((F589-H589*L589+K589+M589)/H589,1),IF(K589&gt;0,ROUND((F589-H589*J589+K589)/H589,1),I589))))</f>
        <v>1.6</v>
      </c>
      <c r="Q589" s="22" t="str">
        <f aca="false">IF(H589&lt;=0,"Nema prodaje",IF(AND(K589=0,M589=0,O589=0),IF(I589&lt;POSTAVKE!$B$6,"Naruči odmah","Sve u redu"),IF(F589-H589*J589&lt;0,"Rupa za ~"&amp;TEXT(I589,"0.0")&amp;" mj.",IF(AND(M589&gt;0,F589-H589*L589+K589&lt;0),"Rupa nakon 1. dolaska",IF(AND(O589&gt;0,F589-H589*N589+K589+M589&lt;0),"Rupa nakon 2. dolaska",IF(P589&lt;POSTAVKE!$B$6,"Količina nije dovoljna",IF(I589&gt;=POSTAVKE!$B$6,"Sve u redu","Stiže na vrijeme")))))))</f>
        <v>Naruči odmah</v>
      </c>
      <c r="S589" s="23" t="n">
        <f aca="false">IFERROR(INDEX(PODACI_PRODAJA!B:B,MATCH($A589,PODACI_PRODAJA!$A:$A,0)),0)</f>
        <v>3</v>
      </c>
      <c r="T589" s="23" t="n">
        <f aca="false">IFERROR(INDEX(PODACI_PRODAJA!C:C,MATCH($A589,PODACI_PRODAJA!$A:$A,0)),0)</f>
        <v>0</v>
      </c>
      <c r="U589" s="23" t="n">
        <f aca="false">IFERROR(INDEX(PODACI_PRODAJA!D:D,MATCH($A589,PODACI_PRODAJA!$A:$A,0)),0)</f>
        <v>1</v>
      </c>
      <c r="V589" s="23" t="n">
        <f aca="false">IFERROR(INDEX(PODACI_PRODAJA!E:E,MATCH($A589,PODACI_PRODAJA!$A:$A,0)),0)</f>
        <v>1</v>
      </c>
      <c r="W589" s="23" t="n">
        <f aca="false">IFERROR(INDEX(PODACI_PRODAJA!F:F,MATCH($A589,PODACI_PRODAJA!$A:$A,0)),0)</f>
        <v>0</v>
      </c>
      <c r="X589" s="23" t="n">
        <f aca="false">IFERROR(INDEX(PODACI_PRODAJA!G:G,MATCH($A589,PODACI_PRODAJA!$A:$A,0)),0)</f>
        <v>0</v>
      </c>
      <c r="Y589" s="23" t="n">
        <f aca="false">IFERROR(INDEX(PODACI_PRODAJA!H:H,MATCH($A589,PODACI_PRODAJA!$A:$A,0)),0)</f>
        <v>0</v>
      </c>
      <c r="Z589" s="23" t="n">
        <f aca="false">IFERROR(INDEX(PODACI_PRODAJA!I:I,MATCH($A589,PODACI_PRODAJA!$A:$A,0)),0)</f>
        <v>0</v>
      </c>
      <c r="AA589" s="23" t="n">
        <f aca="false">IFERROR(INDEX(PODACI_PRODAJA!J:J,MATCH($A589,PODACI_PRODAJA!$A:$A,0)),0)</f>
        <v>0</v>
      </c>
      <c r="AB589" s="23" t="n">
        <f aca="false">IFERROR(INDEX(PODACI_PRODAJA!K:K,MATCH($A589,PODACI_PRODAJA!$A:$A,0)),0)</f>
        <v>0</v>
      </c>
      <c r="AC589" s="23" t="n">
        <f aca="false">IFERROR(INDEX(PODACI_PRODAJA!L:L,MATCH($A589,PODACI_PRODAJA!$A:$A,0)),0)</f>
        <v>0</v>
      </c>
      <c r="AD589" s="23" t="n">
        <f aca="false">IFERROR(INDEX(PODACI_PRODAJA!M:M,MATCH($A589,PODACI_PRODAJA!$A:$A,0)),0)</f>
        <v>0</v>
      </c>
    </row>
    <row r="590" customFormat="false" ht="15" hidden="false" customHeight="false" outlineLevel="0" collapsed="false">
      <c r="A590" s="11" t="str">
        <f aca="false">PODACI_ZALIHE!A587</f>
        <v>155330</v>
      </c>
      <c r="B590" s="8" t="str">
        <f aca="false">PODACI_ZALIHE!B587</f>
        <v>BOLD BIJELA 100140 MINERALSOLID TUŠ KADA 1000x1400x30 mm</v>
      </c>
      <c r="C590" s="9" t="str">
        <f aca="false">PODACI_ZALIHE!C587</f>
        <v>5517</v>
      </c>
      <c r="D590" s="8" t="str">
        <f aca="false">PODACI_ZALIHE!D587</f>
        <v>NICOS INTERNATIONAL S.P.A.</v>
      </c>
      <c r="E590" s="19" t="n">
        <f aca="false">IF(PODACI_ZALIHE!E587="","",PODACI_ZALIHE!E587)</f>
        <v>1</v>
      </c>
      <c r="F590" s="20" t="n">
        <f aca="false">PODACI_ZALIHE!F587</f>
        <v>1</v>
      </c>
      <c r="G590" s="19" t="n">
        <f aca="false">IF(E590="","",E590-F590)</f>
        <v>0</v>
      </c>
      <c r="H590" s="9" t="n">
        <f aca="false">PODACI_PRODAJA!N494</f>
        <v>2</v>
      </c>
      <c r="I590" s="21" t="n">
        <f aca="false">IF(H590&lt;=0,999,ROUND(F590/H590,1))</f>
        <v>0.5</v>
      </c>
      <c r="J590" s="9" t="n">
        <f aca="false">SUMIFS(ROBA_U_DOLASKU!$C$6:$C$95,ROBA_U_DOLASKU!$A$6:$A$95,A590,ROBA_U_DOLASKU!$H$6:$H$95,1)</f>
        <v>0</v>
      </c>
      <c r="K590" s="9" t="n">
        <f aca="false">SUMIFS(ROBA_U_DOLASKU!$B$6:$B$95,ROBA_U_DOLASKU!$A$6:$A$95,A590,ROBA_U_DOLASKU!$H$6:$H$95,1)</f>
        <v>0</v>
      </c>
      <c r="L590" s="9" t="n">
        <f aca="false">SUMIFS(ROBA_U_DOLASKU!$C$6:$C$95,ROBA_U_DOLASKU!$A$6:$A$95,A590,ROBA_U_DOLASKU!$H$6:$H$95,2)</f>
        <v>0</v>
      </c>
      <c r="M590" s="9" t="n">
        <f aca="false">SUMIFS(ROBA_U_DOLASKU!$B$6:$B$95,ROBA_U_DOLASKU!$A$6:$A$95,A590,ROBA_U_DOLASKU!$H$6:$H$95,2)</f>
        <v>0</v>
      </c>
      <c r="N590" s="9" t="n">
        <f aca="false">SUMIFS(ROBA_U_DOLASKU!$C$6:$C$95,ROBA_U_DOLASKU!$A$6:$A$95,A590,ROBA_U_DOLASKU!$H$6:$H$95,3)</f>
        <v>0</v>
      </c>
      <c r="O590" s="9" t="n">
        <f aca="false">SUMIFS(ROBA_U_DOLASKU!$B$6:$B$95,ROBA_U_DOLASKU!$A$6:$A$95,A590,ROBA_U_DOLASKU!$H$6:$H$95,3)</f>
        <v>0</v>
      </c>
      <c r="P590" s="9" t="n">
        <f aca="false">IF(H590&lt;=0,999,IF(O590&gt;0,ROUND((F590-H590*N590+K590+M590+O590)/H590,1),IF(M590&gt;0,ROUND((F590-H590*L590+K590+M590)/H590,1),IF(K590&gt;0,ROUND((F590-H590*J590+K590)/H590,1),I590))))</f>
        <v>0.5</v>
      </c>
      <c r="Q590" s="22" t="str">
        <f aca="false">IF(H590&lt;=0,"Nema prodaje",IF(AND(K590=0,M590=0,O590=0),IF(I590&lt;POSTAVKE!$B$6,"Naruči odmah","Sve u redu"),IF(F590-H590*J590&lt;0,"Rupa za ~"&amp;TEXT(I590,"0.0")&amp;" mj.",IF(AND(M590&gt;0,F590-H590*L590+K590&lt;0),"Rupa nakon 1. dolaska",IF(AND(O590&gt;0,F590-H590*N590+K590+M590&lt;0),"Rupa nakon 2. dolaska",IF(P590&lt;POSTAVKE!$B$6,"Količina nije dovoljna",IF(I590&gt;=POSTAVKE!$B$6,"Sve u redu","Stiže na vrijeme")))))))</f>
        <v>Naruči odmah</v>
      </c>
      <c r="S590" s="23" t="n">
        <f aca="false">IFERROR(INDEX(PODACI_PRODAJA!B:B,MATCH($A590,PODACI_PRODAJA!$A:$A,0)),0)</f>
        <v>0</v>
      </c>
      <c r="T590" s="23" t="n">
        <f aca="false">IFERROR(INDEX(PODACI_PRODAJA!C:C,MATCH($A590,PODACI_PRODAJA!$A:$A,0)),0)</f>
        <v>3</v>
      </c>
      <c r="U590" s="23" t="n">
        <f aca="false">IFERROR(INDEX(PODACI_PRODAJA!D:D,MATCH($A590,PODACI_PRODAJA!$A:$A,0)),0)</f>
        <v>0</v>
      </c>
      <c r="V590" s="23" t="n">
        <f aca="false">IFERROR(INDEX(PODACI_PRODAJA!E:E,MATCH($A590,PODACI_PRODAJA!$A:$A,0)),0)</f>
        <v>0</v>
      </c>
      <c r="W590" s="23" t="n">
        <f aca="false">IFERROR(INDEX(PODACI_PRODAJA!F:F,MATCH($A590,PODACI_PRODAJA!$A:$A,0)),0)</f>
        <v>9</v>
      </c>
      <c r="X590" s="23" t="n">
        <f aca="false">IFERROR(INDEX(PODACI_PRODAJA!G:G,MATCH($A590,PODACI_PRODAJA!$A:$A,0)),0)</f>
        <v>0</v>
      </c>
      <c r="Y590" s="23" t="n">
        <f aca="false">IFERROR(INDEX(PODACI_PRODAJA!H:H,MATCH($A590,PODACI_PRODAJA!$A:$A,0)),0)</f>
        <v>4</v>
      </c>
      <c r="Z590" s="23" t="n">
        <f aca="false">IFERROR(INDEX(PODACI_PRODAJA!I:I,MATCH($A590,PODACI_PRODAJA!$A:$A,0)),0)</f>
        <v>0</v>
      </c>
      <c r="AA590" s="23" t="n">
        <f aca="false">IFERROR(INDEX(PODACI_PRODAJA!J:J,MATCH($A590,PODACI_PRODAJA!$A:$A,0)),0)</f>
        <v>0</v>
      </c>
      <c r="AB590" s="23" t="n">
        <f aca="false">IFERROR(INDEX(PODACI_PRODAJA!K:K,MATCH($A590,PODACI_PRODAJA!$A:$A,0)),0)</f>
        <v>0</v>
      </c>
      <c r="AC590" s="23" t="n">
        <f aca="false">IFERROR(INDEX(PODACI_PRODAJA!L:L,MATCH($A590,PODACI_PRODAJA!$A:$A,0)),0)</f>
        <v>0</v>
      </c>
      <c r="AD590" s="23" t="n">
        <f aca="false">IFERROR(INDEX(PODACI_PRODAJA!M:M,MATCH($A590,PODACI_PRODAJA!$A:$A,0)),0)</f>
        <v>0</v>
      </c>
    </row>
    <row r="591" customFormat="false" ht="15" hidden="false" customHeight="false" outlineLevel="0" collapsed="false">
      <c r="A591" s="11" t="str">
        <f aca="false">PODACI_ZALIHE!A588</f>
        <v>156680</v>
      </c>
      <c r="B591" s="8" t="str">
        <f aca="false">PODACI_ZALIHE!B588</f>
        <v>BOLD S BIJELA 80150 MINERALSOLID TUŠ KADA 800x1500x30 mm</v>
      </c>
      <c r="C591" s="9" t="str">
        <f aca="false">PODACI_ZALIHE!C588</f>
        <v>5517</v>
      </c>
      <c r="D591" s="8" t="str">
        <f aca="false">PODACI_ZALIHE!D588</f>
        <v>NICOS INTERNATIONAL S.P.A.</v>
      </c>
      <c r="E591" s="19" t="n">
        <f aca="false">IF(PODACI_ZALIHE!E588="","",PODACI_ZALIHE!E588)</f>
        <v>1</v>
      </c>
      <c r="F591" s="20" t="n">
        <f aca="false">PODACI_ZALIHE!F588</f>
        <v>1</v>
      </c>
      <c r="G591" s="19" t="n">
        <f aca="false">IF(E591="","",E591-F591)</f>
        <v>0</v>
      </c>
      <c r="H591" s="9" t="n">
        <f aca="false">PODACI_PRODAJA!N504</f>
        <v>0.5</v>
      </c>
      <c r="I591" s="21" t="n">
        <f aca="false">IF(H591&lt;=0,999,ROUND(F591/H591,1))</f>
        <v>2</v>
      </c>
      <c r="J591" s="9" t="n">
        <f aca="false">SUMIFS(ROBA_U_DOLASKU!$C$6:$C$95,ROBA_U_DOLASKU!$A$6:$A$95,A591,ROBA_U_DOLASKU!$H$6:$H$95,1)</f>
        <v>0</v>
      </c>
      <c r="K591" s="9" t="n">
        <f aca="false">SUMIFS(ROBA_U_DOLASKU!$B$6:$B$95,ROBA_U_DOLASKU!$A$6:$A$95,A591,ROBA_U_DOLASKU!$H$6:$H$95,1)</f>
        <v>0</v>
      </c>
      <c r="L591" s="9" t="n">
        <f aca="false">SUMIFS(ROBA_U_DOLASKU!$C$6:$C$95,ROBA_U_DOLASKU!$A$6:$A$95,A591,ROBA_U_DOLASKU!$H$6:$H$95,2)</f>
        <v>0</v>
      </c>
      <c r="M591" s="9" t="n">
        <f aca="false">SUMIFS(ROBA_U_DOLASKU!$B$6:$B$95,ROBA_U_DOLASKU!$A$6:$A$95,A591,ROBA_U_DOLASKU!$H$6:$H$95,2)</f>
        <v>0</v>
      </c>
      <c r="N591" s="9" t="n">
        <f aca="false">SUMIFS(ROBA_U_DOLASKU!$C$6:$C$95,ROBA_U_DOLASKU!$A$6:$A$95,A591,ROBA_U_DOLASKU!$H$6:$H$95,3)</f>
        <v>0</v>
      </c>
      <c r="O591" s="9" t="n">
        <f aca="false">SUMIFS(ROBA_U_DOLASKU!$B$6:$B$95,ROBA_U_DOLASKU!$A$6:$A$95,A591,ROBA_U_DOLASKU!$H$6:$H$95,3)</f>
        <v>0</v>
      </c>
      <c r="P591" s="9" t="n">
        <f aca="false">IF(H591&lt;=0,999,IF(O591&gt;0,ROUND((F591-H591*N591+K591+M591+O591)/H591,1),IF(M591&gt;0,ROUND((F591-H591*L591+K591+M591)/H591,1),IF(K591&gt;0,ROUND((F591-H591*J591+K591)/H591,1),I591))))</f>
        <v>2</v>
      </c>
      <c r="Q591" s="22" t="str">
        <f aca="false">IF(H591&lt;=0,"Nema prodaje",IF(AND(K591=0,M591=0,O591=0),IF(I591&lt;POSTAVKE!$B$6,"Naruči odmah","Sve u redu"),IF(F591-H591*J591&lt;0,"Rupa za ~"&amp;TEXT(I591,"0.0")&amp;" mj.",IF(AND(M591&gt;0,F591-H591*L591+K591&lt;0),"Rupa nakon 1. dolaska",IF(AND(O591&gt;0,F591-H591*N591+K591+M591&lt;0),"Rupa nakon 2. dolaska",IF(P591&lt;POSTAVKE!$B$6,"Količina nije dovoljna",IF(I591&gt;=POSTAVKE!$B$6,"Sve u redu","Stiže na vrijeme")))))))</f>
        <v>Naruči odmah</v>
      </c>
      <c r="S591" s="23" t="n">
        <f aca="false">IFERROR(INDEX(PODACI_PRODAJA!B:B,MATCH($A591,PODACI_PRODAJA!$A:$A,0)),0)</f>
        <v>0</v>
      </c>
      <c r="T591" s="23" t="n">
        <f aca="false">IFERROR(INDEX(PODACI_PRODAJA!C:C,MATCH($A591,PODACI_PRODAJA!$A:$A,0)),0)</f>
        <v>0</v>
      </c>
      <c r="U591" s="23" t="n">
        <f aca="false">IFERROR(INDEX(PODACI_PRODAJA!D:D,MATCH($A591,PODACI_PRODAJA!$A:$A,0)),0)</f>
        <v>4</v>
      </c>
      <c r="V591" s="23" t="n">
        <f aca="false">IFERROR(INDEX(PODACI_PRODAJA!E:E,MATCH($A591,PODACI_PRODAJA!$A:$A,0)),0)</f>
        <v>0</v>
      </c>
      <c r="W591" s="23" t="n">
        <f aca="false">IFERROR(INDEX(PODACI_PRODAJA!F:F,MATCH($A591,PODACI_PRODAJA!$A:$A,0)),0)</f>
        <v>0</v>
      </c>
      <c r="X591" s="23" t="n">
        <f aca="false">IFERROR(INDEX(PODACI_PRODAJA!G:G,MATCH($A591,PODACI_PRODAJA!$A:$A,0)),0)</f>
        <v>0</v>
      </c>
      <c r="Y591" s="23" t="n">
        <f aca="false">IFERROR(INDEX(PODACI_PRODAJA!H:H,MATCH($A591,PODACI_PRODAJA!$A:$A,0)),0)</f>
        <v>0</v>
      </c>
      <c r="Z591" s="23" t="n">
        <f aca="false">IFERROR(INDEX(PODACI_PRODAJA!I:I,MATCH($A591,PODACI_PRODAJA!$A:$A,0)),0)</f>
        <v>0</v>
      </c>
      <c r="AA591" s="23" t="n">
        <f aca="false">IFERROR(INDEX(PODACI_PRODAJA!J:J,MATCH($A591,PODACI_PRODAJA!$A:$A,0)),0)</f>
        <v>0</v>
      </c>
      <c r="AB591" s="23" t="n">
        <f aca="false">IFERROR(INDEX(PODACI_PRODAJA!K:K,MATCH($A591,PODACI_PRODAJA!$A:$A,0)),0)</f>
        <v>0</v>
      </c>
      <c r="AC591" s="23" t="n">
        <f aca="false">IFERROR(INDEX(PODACI_PRODAJA!L:L,MATCH($A591,PODACI_PRODAJA!$A:$A,0)),0)</f>
        <v>0</v>
      </c>
      <c r="AD591" s="23" t="n">
        <f aca="false">IFERROR(INDEX(PODACI_PRODAJA!M:M,MATCH($A591,PODACI_PRODAJA!$A:$A,0)),0)</f>
        <v>0</v>
      </c>
    </row>
    <row r="592" customFormat="false" ht="15" hidden="false" customHeight="false" outlineLevel="0" collapsed="false">
      <c r="A592" s="11" t="str">
        <f aca="false">PODACI_ZALIHE!A589</f>
        <v>1568300</v>
      </c>
      <c r="B592" s="8" t="str">
        <f aca="false">PODACI_ZALIHE!B589</f>
        <v>BOLD S BIJELA 100120 MINERALSOLID TUŠ KADA 1000x1200x30 mm</v>
      </c>
      <c r="C592" s="9" t="str">
        <f aca="false">PODACI_ZALIHE!C589</f>
        <v>5140</v>
      </c>
      <c r="D592" s="8" t="str">
        <f aca="false">PODACI_ZALIHE!D589</f>
        <v>GUANGDONG OCEAN SANITARY WARE CO., LTD.</v>
      </c>
      <c r="E592" s="19" t="n">
        <f aca="false">IF(PODACI_ZALIHE!E589="","",PODACI_ZALIHE!E589)</f>
        <v>1</v>
      </c>
      <c r="F592" s="20" t="n">
        <f aca="false">PODACI_ZALIHE!F589</f>
        <v>1</v>
      </c>
      <c r="G592" s="19" t="n">
        <f aca="false">IF(E592="","",E592-F592)</f>
        <v>0</v>
      </c>
      <c r="H592" s="9" t="n">
        <f aca="false">PODACI_PRODAJA!N518</f>
        <v>4.88</v>
      </c>
      <c r="I592" s="21" t="n">
        <f aca="false">IF(H592&lt;=0,999,ROUND(F592/H592,1))</f>
        <v>0.2</v>
      </c>
      <c r="J592" s="9" t="n">
        <f aca="false">SUMIFS(ROBA_U_DOLASKU!$C$6:$C$95,ROBA_U_DOLASKU!$A$6:$A$95,A592,ROBA_U_DOLASKU!$H$6:$H$95,1)</f>
        <v>0</v>
      </c>
      <c r="K592" s="9" t="n">
        <f aca="false">SUMIFS(ROBA_U_DOLASKU!$B$6:$B$95,ROBA_U_DOLASKU!$A$6:$A$95,A592,ROBA_U_DOLASKU!$H$6:$H$95,1)</f>
        <v>0</v>
      </c>
      <c r="L592" s="9" t="n">
        <f aca="false">SUMIFS(ROBA_U_DOLASKU!$C$6:$C$95,ROBA_U_DOLASKU!$A$6:$A$95,A592,ROBA_U_DOLASKU!$H$6:$H$95,2)</f>
        <v>0</v>
      </c>
      <c r="M592" s="9" t="n">
        <f aca="false">SUMIFS(ROBA_U_DOLASKU!$B$6:$B$95,ROBA_U_DOLASKU!$A$6:$A$95,A592,ROBA_U_DOLASKU!$H$6:$H$95,2)</f>
        <v>0</v>
      </c>
      <c r="N592" s="9" t="n">
        <f aca="false">SUMIFS(ROBA_U_DOLASKU!$C$6:$C$95,ROBA_U_DOLASKU!$A$6:$A$95,A592,ROBA_U_DOLASKU!$H$6:$H$95,3)</f>
        <v>0</v>
      </c>
      <c r="O592" s="9" t="n">
        <f aca="false">SUMIFS(ROBA_U_DOLASKU!$B$6:$B$95,ROBA_U_DOLASKU!$A$6:$A$95,A592,ROBA_U_DOLASKU!$H$6:$H$95,3)</f>
        <v>0</v>
      </c>
      <c r="P592" s="9" t="n">
        <f aca="false">IF(H592&lt;=0,999,IF(O592&gt;0,ROUND((F592-H592*N592+K592+M592+O592)/H592,1),IF(M592&gt;0,ROUND((F592-H592*L592+K592+M592)/H592,1),IF(K592&gt;0,ROUND((F592-H592*J592+K592)/H592,1),I592))))</f>
        <v>0.2</v>
      </c>
      <c r="Q592" s="22" t="str">
        <f aca="false">IF(H592&lt;=0,"Nema prodaje",IF(AND(K592=0,M592=0,O592=0),IF(I592&lt;POSTAVKE!$B$6,"Naruči odmah","Sve u redu"),IF(F592-H592*J592&lt;0,"Rupa za ~"&amp;TEXT(I592,"0.0")&amp;" mj.",IF(AND(M592&gt;0,F592-H592*L592+K592&lt;0),"Rupa nakon 1. dolaska",IF(AND(O592&gt;0,F592-H592*N592+K592+M592&lt;0),"Rupa nakon 2. dolaska",IF(P592&lt;POSTAVKE!$B$6,"Količina nije dovoljna",IF(I592&gt;=POSTAVKE!$B$6,"Sve u redu","Stiže na vrijeme")))))))</f>
        <v>Naruči odmah</v>
      </c>
      <c r="S592" s="23" t="n">
        <f aca="false">IFERROR(INDEX(PODACI_PRODAJA!B:B,MATCH($A592,PODACI_PRODAJA!$A:$A,0)),0)</f>
        <v>0</v>
      </c>
      <c r="T592" s="23" t="n">
        <f aca="false">IFERROR(INDEX(PODACI_PRODAJA!C:C,MATCH($A592,PODACI_PRODAJA!$A:$A,0)),0)</f>
        <v>0</v>
      </c>
      <c r="U592" s="23" t="n">
        <f aca="false">IFERROR(INDEX(PODACI_PRODAJA!D:D,MATCH($A592,PODACI_PRODAJA!$A:$A,0)),0)</f>
        <v>14</v>
      </c>
      <c r="V592" s="23" t="n">
        <f aca="false">IFERROR(INDEX(PODACI_PRODAJA!E:E,MATCH($A592,PODACI_PRODAJA!$A:$A,0)),0)</f>
        <v>14</v>
      </c>
      <c r="W592" s="23" t="n">
        <f aca="false">IFERROR(INDEX(PODACI_PRODAJA!F:F,MATCH($A592,PODACI_PRODAJA!$A:$A,0)),0)</f>
        <v>0</v>
      </c>
      <c r="X592" s="23" t="n">
        <f aca="false">IFERROR(INDEX(PODACI_PRODAJA!G:G,MATCH($A592,PODACI_PRODAJA!$A:$A,0)),0)</f>
        <v>0</v>
      </c>
      <c r="Y592" s="23" t="n">
        <f aca="false">IFERROR(INDEX(PODACI_PRODAJA!H:H,MATCH($A592,PODACI_PRODAJA!$A:$A,0)),0)</f>
        <v>0</v>
      </c>
      <c r="Z592" s="23" t="n">
        <f aca="false">IFERROR(INDEX(PODACI_PRODAJA!I:I,MATCH($A592,PODACI_PRODAJA!$A:$A,0)),0)</f>
        <v>11</v>
      </c>
      <c r="AA592" s="23" t="n">
        <f aca="false">IFERROR(INDEX(PODACI_PRODAJA!J:J,MATCH($A592,PODACI_PRODAJA!$A:$A,0)),0)</f>
        <v>0</v>
      </c>
      <c r="AB592" s="23" t="n">
        <f aca="false">IFERROR(INDEX(PODACI_PRODAJA!K:K,MATCH($A592,PODACI_PRODAJA!$A:$A,0)),0)</f>
        <v>0</v>
      </c>
      <c r="AC592" s="23" t="n">
        <f aca="false">IFERROR(INDEX(PODACI_PRODAJA!L:L,MATCH($A592,PODACI_PRODAJA!$A:$A,0)),0)</f>
        <v>0</v>
      </c>
      <c r="AD592" s="23" t="n">
        <f aca="false">IFERROR(INDEX(PODACI_PRODAJA!M:M,MATCH($A592,PODACI_PRODAJA!$A:$A,0)),0)</f>
        <v>0</v>
      </c>
    </row>
    <row r="593" customFormat="false" ht="15" hidden="false" customHeight="false" outlineLevel="0" collapsed="false">
      <c r="A593" s="11" t="str">
        <f aca="false">PODACI_ZALIHE!A590</f>
        <v>157090</v>
      </c>
      <c r="B593" s="8" t="str">
        <f aca="false">PODACI_ZALIHE!B590</f>
        <v>BOLD S BEIGE 90 KV MINERALSOLID TUŠ KADA 900x900x30 mm</v>
      </c>
      <c r="C593" s="9" t="str">
        <f aca="false">PODACI_ZALIHE!C590</f>
        <v>5517</v>
      </c>
      <c r="D593" s="8" t="str">
        <f aca="false">PODACI_ZALIHE!D590</f>
        <v>NICOS INTERNATIONAL S.P.A.</v>
      </c>
      <c r="E593" s="19" t="n">
        <f aca="false">IF(PODACI_ZALIHE!E590="","",PODACI_ZALIHE!E590)</f>
        <v>1</v>
      </c>
      <c r="F593" s="20" t="n">
        <f aca="false">PODACI_ZALIHE!F590</f>
        <v>1</v>
      </c>
      <c r="G593" s="19" t="n">
        <f aca="false">IF(E593="","",E593-F593)</f>
        <v>0</v>
      </c>
      <c r="H593" s="9" t="n">
        <v>0</v>
      </c>
      <c r="I593" s="21" t="n">
        <f aca="false">IF(H593&lt;=0,999,ROUND(F593/H593,1))</f>
        <v>999</v>
      </c>
      <c r="J593" s="9" t="n">
        <f aca="false">SUMIFS(ROBA_U_DOLASKU!$C$6:$C$95,ROBA_U_DOLASKU!$A$6:$A$95,A593,ROBA_U_DOLASKU!$H$6:$H$95,1)</f>
        <v>0</v>
      </c>
      <c r="K593" s="9" t="n">
        <f aca="false">SUMIFS(ROBA_U_DOLASKU!$B$6:$B$95,ROBA_U_DOLASKU!$A$6:$A$95,A593,ROBA_U_DOLASKU!$H$6:$H$95,1)</f>
        <v>0</v>
      </c>
      <c r="L593" s="9" t="n">
        <f aca="false">SUMIFS(ROBA_U_DOLASKU!$C$6:$C$95,ROBA_U_DOLASKU!$A$6:$A$95,A593,ROBA_U_DOLASKU!$H$6:$H$95,2)</f>
        <v>0</v>
      </c>
      <c r="M593" s="9" t="n">
        <f aca="false">SUMIFS(ROBA_U_DOLASKU!$B$6:$B$95,ROBA_U_DOLASKU!$A$6:$A$95,A593,ROBA_U_DOLASKU!$H$6:$H$95,2)</f>
        <v>0</v>
      </c>
      <c r="N593" s="9" t="n">
        <f aca="false">SUMIFS(ROBA_U_DOLASKU!$C$6:$C$95,ROBA_U_DOLASKU!$A$6:$A$95,A593,ROBA_U_DOLASKU!$H$6:$H$95,3)</f>
        <v>0</v>
      </c>
      <c r="O593" s="9" t="n">
        <f aca="false">SUMIFS(ROBA_U_DOLASKU!$B$6:$B$95,ROBA_U_DOLASKU!$A$6:$A$95,A593,ROBA_U_DOLASKU!$H$6:$H$95,3)</f>
        <v>0</v>
      </c>
      <c r="P593" s="9" t="n">
        <f aca="false">IF(H593&lt;=0,999,IF(O593&gt;0,ROUND((F593-H593*N593+K593+M593+O593)/H593,1),IF(M593&gt;0,ROUND((F593-H593*L593+K593+M593)/H593,1),IF(K593&gt;0,ROUND((F593-H593*J593+K593)/H593,1),I593))))</f>
        <v>999</v>
      </c>
      <c r="Q593" s="22" t="str">
        <f aca="false">IF(H593&lt;=0,"Nema prodaje",IF(AND(K593=0,M593=0,O593=0),IF(I593&lt;POSTAVKE!$B$6,"Naruči odmah","Sve u redu"),IF(F593-H593*J593&lt;0,"Rupa za ~"&amp;TEXT(I593,"0.0")&amp;" mj.",IF(AND(M593&gt;0,F593-H593*L593+K593&lt;0),"Rupa nakon 1. dolaska",IF(AND(O593&gt;0,F593-H593*N593+K593+M593&lt;0),"Rupa nakon 2. dolaska",IF(P593&lt;POSTAVKE!$B$6,"Količina nije dovoljna",IF(I593&gt;=POSTAVKE!$B$6,"Sve u redu","Stiže na vrijeme")))))))</f>
        <v>Nema prodaje</v>
      </c>
      <c r="S593" s="23" t="n">
        <f aca="false">IFERROR(INDEX(PODACI_PRODAJA!B:B,MATCH($A593,PODACI_PRODAJA!$A:$A,0)),0)</f>
        <v>0</v>
      </c>
      <c r="T593" s="23" t="n">
        <f aca="false">IFERROR(INDEX(PODACI_PRODAJA!C:C,MATCH($A593,PODACI_PRODAJA!$A:$A,0)),0)</f>
        <v>0</v>
      </c>
      <c r="U593" s="23" t="n">
        <f aca="false">IFERROR(INDEX(PODACI_PRODAJA!D:D,MATCH($A593,PODACI_PRODAJA!$A:$A,0)),0)</f>
        <v>0</v>
      </c>
      <c r="V593" s="23" t="n">
        <f aca="false">IFERROR(INDEX(PODACI_PRODAJA!E:E,MATCH($A593,PODACI_PRODAJA!$A:$A,0)),0)</f>
        <v>0</v>
      </c>
      <c r="W593" s="23" t="n">
        <f aca="false">IFERROR(INDEX(PODACI_PRODAJA!F:F,MATCH($A593,PODACI_PRODAJA!$A:$A,0)),0)</f>
        <v>0</v>
      </c>
      <c r="X593" s="23" t="n">
        <f aca="false">IFERROR(INDEX(PODACI_PRODAJA!G:G,MATCH($A593,PODACI_PRODAJA!$A:$A,0)),0)</f>
        <v>0</v>
      </c>
      <c r="Y593" s="23" t="n">
        <f aca="false">IFERROR(INDEX(PODACI_PRODAJA!H:H,MATCH($A593,PODACI_PRODAJA!$A:$A,0)),0)</f>
        <v>0</v>
      </c>
      <c r="Z593" s="23" t="n">
        <f aca="false">IFERROR(INDEX(PODACI_PRODAJA!I:I,MATCH($A593,PODACI_PRODAJA!$A:$A,0)),0)</f>
        <v>0</v>
      </c>
      <c r="AA593" s="23" t="n">
        <f aca="false">IFERROR(INDEX(PODACI_PRODAJA!J:J,MATCH($A593,PODACI_PRODAJA!$A:$A,0)),0)</f>
        <v>0</v>
      </c>
      <c r="AB593" s="23" t="n">
        <f aca="false">IFERROR(INDEX(PODACI_PRODAJA!K:K,MATCH($A593,PODACI_PRODAJA!$A:$A,0)),0)</f>
        <v>0</v>
      </c>
      <c r="AC593" s="23" t="n">
        <f aca="false">IFERROR(INDEX(PODACI_PRODAJA!L:L,MATCH($A593,PODACI_PRODAJA!$A:$A,0)),0)</f>
        <v>0</v>
      </c>
      <c r="AD593" s="23" t="n">
        <f aca="false">IFERROR(INDEX(PODACI_PRODAJA!M:M,MATCH($A593,PODACI_PRODAJA!$A:$A,0)),0)</f>
        <v>0</v>
      </c>
    </row>
    <row r="594" customFormat="false" ht="15" hidden="false" customHeight="false" outlineLevel="0" collapsed="false">
      <c r="A594" s="11" t="str">
        <f aca="false">PODACI_ZALIHE!A591</f>
        <v>157240</v>
      </c>
      <c r="B594" s="8" t="str">
        <f aca="false">PODACI_ZALIHE!B591</f>
        <v>BOLD S BEIGE 100150 MINERALSOLID TUŠ KADA 1000x1500x30 mm</v>
      </c>
      <c r="C594" s="9" t="str">
        <f aca="false">PODACI_ZALIHE!C591</f>
        <v>5517</v>
      </c>
      <c r="D594" s="8" t="str">
        <f aca="false">PODACI_ZALIHE!D591</f>
        <v>NICOS INTERNATIONAL S.P.A.</v>
      </c>
      <c r="E594" s="19" t="n">
        <f aca="false">IF(PODACI_ZALIHE!E591="","",PODACI_ZALIHE!E591)</f>
        <v>1</v>
      </c>
      <c r="F594" s="20" t="n">
        <f aca="false">PODACI_ZALIHE!F591</f>
        <v>1</v>
      </c>
      <c r="G594" s="19" t="n">
        <f aca="false">IF(E594="","",E594-F594)</f>
        <v>0</v>
      </c>
      <c r="H594" s="9" t="n">
        <v>0</v>
      </c>
      <c r="I594" s="21" t="n">
        <f aca="false">IF(H594&lt;=0,999,ROUND(F594/H594,1))</f>
        <v>999</v>
      </c>
      <c r="J594" s="9" t="n">
        <f aca="false">SUMIFS(ROBA_U_DOLASKU!$C$6:$C$95,ROBA_U_DOLASKU!$A$6:$A$95,A594,ROBA_U_DOLASKU!$H$6:$H$95,1)</f>
        <v>0</v>
      </c>
      <c r="K594" s="9" t="n">
        <f aca="false">SUMIFS(ROBA_U_DOLASKU!$B$6:$B$95,ROBA_U_DOLASKU!$A$6:$A$95,A594,ROBA_U_DOLASKU!$H$6:$H$95,1)</f>
        <v>0</v>
      </c>
      <c r="L594" s="9" t="n">
        <f aca="false">SUMIFS(ROBA_U_DOLASKU!$C$6:$C$95,ROBA_U_DOLASKU!$A$6:$A$95,A594,ROBA_U_DOLASKU!$H$6:$H$95,2)</f>
        <v>0</v>
      </c>
      <c r="M594" s="9" t="n">
        <f aca="false">SUMIFS(ROBA_U_DOLASKU!$B$6:$B$95,ROBA_U_DOLASKU!$A$6:$A$95,A594,ROBA_U_DOLASKU!$H$6:$H$95,2)</f>
        <v>0</v>
      </c>
      <c r="N594" s="9" t="n">
        <f aca="false">SUMIFS(ROBA_U_DOLASKU!$C$6:$C$95,ROBA_U_DOLASKU!$A$6:$A$95,A594,ROBA_U_DOLASKU!$H$6:$H$95,3)</f>
        <v>0</v>
      </c>
      <c r="O594" s="9" t="n">
        <f aca="false">SUMIFS(ROBA_U_DOLASKU!$B$6:$B$95,ROBA_U_DOLASKU!$A$6:$A$95,A594,ROBA_U_DOLASKU!$H$6:$H$95,3)</f>
        <v>0</v>
      </c>
      <c r="P594" s="9" t="n">
        <f aca="false">IF(H594&lt;=0,999,IF(O594&gt;0,ROUND((F594-H594*N594+K594+M594+O594)/H594,1),IF(M594&gt;0,ROUND((F594-H594*L594+K594+M594)/H594,1),IF(K594&gt;0,ROUND((F594-H594*J594+K594)/H594,1),I594))))</f>
        <v>999</v>
      </c>
      <c r="Q594" s="22" t="str">
        <f aca="false">IF(H594&lt;=0,"Nema prodaje",IF(AND(K594=0,M594=0,O594=0),IF(I594&lt;POSTAVKE!$B$6,"Naruči odmah","Sve u redu"),IF(F594-H594*J594&lt;0,"Rupa za ~"&amp;TEXT(I594,"0.0")&amp;" mj.",IF(AND(M594&gt;0,F594-H594*L594+K594&lt;0),"Rupa nakon 1. dolaska",IF(AND(O594&gt;0,F594-H594*N594+K594+M594&lt;0),"Rupa nakon 2. dolaska",IF(P594&lt;POSTAVKE!$B$6,"Količina nije dovoljna",IF(I594&gt;=POSTAVKE!$B$6,"Sve u redu","Stiže na vrijeme")))))))</f>
        <v>Nema prodaje</v>
      </c>
      <c r="S594" s="23" t="n">
        <f aca="false">IFERROR(INDEX(PODACI_PRODAJA!B:B,MATCH($A594,PODACI_PRODAJA!$A:$A,0)),0)</f>
        <v>0</v>
      </c>
      <c r="T594" s="23" t="n">
        <f aca="false">IFERROR(INDEX(PODACI_PRODAJA!C:C,MATCH($A594,PODACI_PRODAJA!$A:$A,0)),0)</f>
        <v>0</v>
      </c>
      <c r="U594" s="23" t="n">
        <f aca="false">IFERROR(INDEX(PODACI_PRODAJA!D:D,MATCH($A594,PODACI_PRODAJA!$A:$A,0)),0)</f>
        <v>0</v>
      </c>
      <c r="V594" s="23" t="n">
        <f aca="false">IFERROR(INDEX(PODACI_PRODAJA!E:E,MATCH($A594,PODACI_PRODAJA!$A:$A,0)),0)</f>
        <v>0</v>
      </c>
      <c r="W594" s="23" t="n">
        <f aca="false">IFERROR(INDEX(PODACI_PRODAJA!F:F,MATCH($A594,PODACI_PRODAJA!$A:$A,0)),0)</f>
        <v>0</v>
      </c>
      <c r="X594" s="23" t="n">
        <f aca="false">IFERROR(INDEX(PODACI_PRODAJA!G:G,MATCH($A594,PODACI_PRODAJA!$A:$A,0)),0)</f>
        <v>0</v>
      </c>
      <c r="Y594" s="23" t="n">
        <f aca="false">IFERROR(INDEX(PODACI_PRODAJA!H:H,MATCH($A594,PODACI_PRODAJA!$A:$A,0)),0)</f>
        <v>0</v>
      </c>
      <c r="Z594" s="23" t="n">
        <f aca="false">IFERROR(INDEX(PODACI_PRODAJA!I:I,MATCH($A594,PODACI_PRODAJA!$A:$A,0)),0)</f>
        <v>0</v>
      </c>
      <c r="AA594" s="23" t="n">
        <f aca="false">IFERROR(INDEX(PODACI_PRODAJA!J:J,MATCH($A594,PODACI_PRODAJA!$A:$A,0)),0)</f>
        <v>0</v>
      </c>
      <c r="AB594" s="23" t="n">
        <f aca="false">IFERROR(INDEX(PODACI_PRODAJA!K:K,MATCH($A594,PODACI_PRODAJA!$A:$A,0)),0)</f>
        <v>0</v>
      </c>
      <c r="AC594" s="23" t="n">
        <f aca="false">IFERROR(INDEX(PODACI_PRODAJA!L:L,MATCH($A594,PODACI_PRODAJA!$A:$A,0)),0)</f>
        <v>0</v>
      </c>
      <c r="AD594" s="23" t="n">
        <f aca="false">IFERROR(INDEX(PODACI_PRODAJA!M:M,MATCH($A594,PODACI_PRODAJA!$A:$A,0)),0)</f>
        <v>0</v>
      </c>
    </row>
    <row r="595" customFormat="false" ht="15" hidden="false" customHeight="false" outlineLevel="0" collapsed="false">
      <c r="A595" s="11" t="str">
        <f aca="false">PODACI_ZALIHE!A592</f>
        <v>1578500</v>
      </c>
      <c r="B595" s="8" t="str">
        <f aca="false">PODACI_ZALIHE!B592</f>
        <v>BOLD S CRNA 90 KV MINERALSOLID TUŠ KADA 900x900x30 mm</v>
      </c>
      <c r="C595" s="9" t="str">
        <f aca="false">PODACI_ZALIHE!C592</f>
        <v>5140</v>
      </c>
      <c r="D595" s="8" t="str">
        <f aca="false">PODACI_ZALIHE!D592</f>
        <v>GUANGDONG OCEAN SANITARY WARE CO., LTD.</v>
      </c>
      <c r="E595" s="19" t="n">
        <f aca="false">IF(PODACI_ZALIHE!E592="","",PODACI_ZALIHE!E592)</f>
        <v>1</v>
      </c>
      <c r="F595" s="20" t="n">
        <f aca="false">PODACI_ZALIHE!F592</f>
        <v>1</v>
      </c>
      <c r="G595" s="19" t="n">
        <f aca="false">IF(E595="","",E595-F595)</f>
        <v>0</v>
      </c>
      <c r="H595" s="9" t="n">
        <f aca="false">PODACI_PRODAJA!N529</f>
        <v>0.88</v>
      </c>
      <c r="I595" s="21" t="n">
        <f aca="false">IF(H595&lt;=0,999,ROUND(F595/H595,1))</f>
        <v>1.1</v>
      </c>
      <c r="J595" s="9" t="n">
        <f aca="false">SUMIFS(ROBA_U_DOLASKU!$C$6:$C$95,ROBA_U_DOLASKU!$A$6:$A$95,A595,ROBA_U_DOLASKU!$H$6:$H$95,1)</f>
        <v>0</v>
      </c>
      <c r="K595" s="9" t="n">
        <f aca="false">SUMIFS(ROBA_U_DOLASKU!$B$6:$B$95,ROBA_U_DOLASKU!$A$6:$A$95,A595,ROBA_U_DOLASKU!$H$6:$H$95,1)</f>
        <v>0</v>
      </c>
      <c r="L595" s="9" t="n">
        <f aca="false">SUMIFS(ROBA_U_DOLASKU!$C$6:$C$95,ROBA_U_DOLASKU!$A$6:$A$95,A595,ROBA_U_DOLASKU!$H$6:$H$95,2)</f>
        <v>0</v>
      </c>
      <c r="M595" s="9" t="n">
        <f aca="false">SUMIFS(ROBA_U_DOLASKU!$B$6:$B$95,ROBA_U_DOLASKU!$A$6:$A$95,A595,ROBA_U_DOLASKU!$H$6:$H$95,2)</f>
        <v>0</v>
      </c>
      <c r="N595" s="9" t="n">
        <f aca="false">SUMIFS(ROBA_U_DOLASKU!$C$6:$C$95,ROBA_U_DOLASKU!$A$6:$A$95,A595,ROBA_U_DOLASKU!$H$6:$H$95,3)</f>
        <v>0</v>
      </c>
      <c r="O595" s="9" t="n">
        <f aca="false">SUMIFS(ROBA_U_DOLASKU!$B$6:$B$95,ROBA_U_DOLASKU!$A$6:$A$95,A595,ROBA_U_DOLASKU!$H$6:$H$95,3)</f>
        <v>0</v>
      </c>
      <c r="P595" s="9" t="n">
        <f aca="false">IF(H595&lt;=0,999,IF(O595&gt;0,ROUND((F595-H595*N595+K595+M595+O595)/H595,1),IF(M595&gt;0,ROUND((F595-H595*L595+K595+M595)/H595,1),IF(K595&gt;0,ROUND((F595-H595*J595+K595)/H595,1),I595))))</f>
        <v>1.1</v>
      </c>
      <c r="Q595" s="22" t="str">
        <f aca="false">IF(H595&lt;=0,"Nema prodaje",IF(AND(K595=0,M595=0,O595=0),IF(I595&lt;POSTAVKE!$B$6,"Naruči odmah","Sve u redu"),IF(F595-H595*J595&lt;0,"Rupa za ~"&amp;TEXT(I595,"0.0")&amp;" mj.",IF(AND(M595&gt;0,F595-H595*L595+K595&lt;0),"Rupa nakon 1. dolaska",IF(AND(O595&gt;0,F595-H595*N595+K595+M595&lt;0),"Rupa nakon 2. dolaska",IF(P595&lt;POSTAVKE!$B$6,"Količina nije dovoljna",IF(I595&gt;=POSTAVKE!$B$6,"Sve u redu","Stiže na vrijeme")))))))</f>
        <v>Naruči odmah</v>
      </c>
      <c r="S595" s="23" t="n">
        <f aca="false">IFERROR(INDEX(PODACI_PRODAJA!B:B,MATCH($A595,PODACI_PRODAJA!$A:$A,0)),0)</f>
        <v>0</v>
      </c>
      <c r="T595" s="23" t="n">
        <f aca="false">IFERROR(INDEX(PODACI_PRODAJA!C:C,MATCH($A595,PODACI_PRODAJA!$A:$A,0)),0)</f>
        <v>0</v>
      </c>
      <c r="U595" s="23" t="n">
        <f aca="false">IFERROR(INDEX(PODACI_PRODAJA!D:D,MATCH($A595,PODACI_PRODAJA!$A:$A,0)),0)</f>
        <v>0</v>
      </c>
      <c r="V595" s="23" t="n">
        <f aca="false">IFERROR(INDEX(PODACI_PRODAJA!E:E,MATCH($A595,PODACI_PRODAJA!$A:$A,0)),0)</f>
        <v>1</v>
      </c>
      <c r="W595" s="23" t="n">
        <f aca="false">IFERROR(INDEX(PODACI_PRODAJA!F:F,MATCH($A595,PODACI_PRODAJA!$A:$A,0)),0)</f>
        <v>0</v>
      </c>
      <c r="X595" s="23" t="n">
        <f aca="false">IFERROR(INDEX(PODACI_PRODAJA!G:G,MATCH($A595,PODACI_PRODAJA!$A:$A,0)),0)</f>
        <v>1</v>
      </c>
      <c r="Y595" s="23" t="n">
        <f aca="false">IFERROR(INDEX(PODACI_PRODAJA!H:H,MATCH($A595,PODACI_PRODAJA!$A:$A,0)),0)</f>
        <v>4</v>
      </c>
      <c r="Z595" s="23" t="n">
        <f aca="false">IFERROR(INDEX(PODACI_PRODAJA!I:I,MATCH($A595,PODACI_PRODAJA!$A:$A,0)),0)</f>
        <v>1</v>
      </c>
      <c r="AA595" s="23" t="n">
        <f aca="false">IFERROR(INDEX(PODACI_PRODAJA!J:J,MATCH($A595,PODACI_PRODAJA!$A:$A,0)),0)</f>
        <v>0</v>
      </c>
      <c r="AB595" s="23" t="n">
        <f aca="false">IFERROR(INDEX(PODACI_PRODAJA!K:K,MATCH($A595,PODACI_PRODAJA!$A:$A,0)),0)</f>
        <v>0</v>
      </c>
      <c r="AC595" s="23" t="n">
        <f aca="false">IFERROR(INDEX(PODACI_PRODAJA!L:L,MATCH($A595,PODACI_PRODAJA!$A:$A,0)),0)</f>
        <v>0</v>
      </c>
      <c r="AD595" s="23" t="n">
        <f aca="false">IFERROR(INDEX(PODACI_PRODAJA!M:M,MATCH($A595,PODACI_PRODAJA!$A:$A,0)),0)</f>
        <v>0</v>
      </c>
    </row>
    <row r="596" customFormat="false" ht="15" hidden="false" customHeight="false" outlineLevel="0" collapsed="false">
      <c r="A596" s="11" t="str">
        <f aca="false">PODACI_ZALIHE!A593</f>
        <v>15820</v>
      </c>
      <c r="B596" s="8" t="str">
        <f aca="false">PODACI_ZALIHE!B593</f>
        <v>BOLD LUX 100 KV MINERALSOLID TUŠ KADA BIJELA SJAJNA</v>
      </c>
      <c r="C596" s="9" t="str">
        <f aca="false">PODACI_ZALIHE!C593</f>
        <v>5082</v>
      </c>
      <c r="D596" s="8" t="str">
        <f aca="false">PODACI_ZALIHE!D593</f>
        <v>AQUAESTIL PLUS d.o.o.</v>
      </c>
      <c r="E596" s="19" t="n">
        <f aca="false">IF(PODACI_ZALIHE!E593="","",PODACI_ZALIHE!E593)</f>
        <v>1</v>
      </c>
      <c r="F596" s="20" t="n">
        <f aca="false">PODACI_ZALIHE!F593</f>
        <v>1</v>
      </c>
      <c r="G596" s="19" t="n">
        <f aca="false">IF(E596="","",E596-F596)</f>
        <v>0</v>
      </c>
      <c r="H596" s="9" t="n">
        <f aca="false">PODACI_PRODAJA!N538</f>
        <v>0.63</v>
      </c>
      <c r="I596" s="21" t="n">
        <f aca="false">IF(H596&lt;=0,999,ROUND(F596/H596,1))</f>
        <v>1.6</v>
      </c>
      <c r="J596" s="9" t="n">
        <f aca="false">SUMIFS(ROBA_U_DOLASKU!$C$6:$C$95,ROBA_U_DOLASKU!$A$6:$A$95,A596,ROBA_U_DOLASKU!$H$6:$H$95,1)</f>
        <v>0</v>
      </c>
      <c r="K596" s="9" t="n">
        <f aca="false">SUMIFS(ROBA_U_DOLASKU!$B$6:$B$95,ROBA_U_DOLASKU!$A$6:$A$95,A596,ROBA_U_DOLASKU!$H$6:$H$95,1)</f>
        <v>0</v>
      </c>
      <c r="L596" s="9" t="n">
        <f aca="false">SUMIFS(ROBA_U_DOLASKU!$C$6:$C$95,ROBA_U_DOLASKU!$A$6:$A$95,A596,ROBA_U_DOLASKU!$H$6:$H$95,2)</f>
        <v>0</v>
      </c>
      <c r="M596" s="9" t="n">
        <f aca="false">SUMIFS(ROBA_U_DOLASKU!$B$6:$B$95,ROBA_U_DOLASKU!$A$6:$A$95,A596,ROBA_U_DOLASKU!$H$6:$H$95,2)</f>
        <v>0</v>
      </c>
      <c r="N596" s="9" t="n">
        <f aca="false">SUMIFS(ROBA_U_DOLASKU!$C$6:$C$95,ROBA_U_DOLASKU!$A$6:$A$95,A596,ROBA_U_DOLASKU!$H$6:$H$95,3)</f>
        <v>0</v>
      </c>
      <c r="O596" s="9" t="n">
        <f aca="false">SUMIFS(ROBA_U_DOLASKU!$B$6:$B$95,ROBA_U_DOLASKU!$A$6:$A$95,A596,ROBA_U_DOLASKU!$H$6:$H$95,3)</f>
        <v>0</v>
      </c>
      <c r="P596" s="9" t="n">
        <f aca="false">IF(H596&lt;=0,999,IF(O596&gt;0,ROUND((F596-H596*N596+K596+M596+O596)/H596,1),IF(M596&gt;0,ROUND((F596-H596*L596+K596+M596)/H596,1),IF(K596&gt;0,ROUND((F596-H596*J596+K596)/H596,1),I596))))</f>
        <v>1.6</v>
      </c>
      <c r="Q596" s="22" t="str">
        <f aca="false">IF(H596&lt;=0,"Nema prodaje",IF(AND(K596=0,M596=0,O596=0),IF(I596&lt;POSTAVKE!$B$6,"Naruči odmah","Sve u redu"),IF(F596-H596*J596&lt;0,"Rupa za ~"&amp;TEXT(I596,"0.0")&amp;" mj.",IF(AND(M596&gt;0,F596-H596*L596+K596&lt;0),"Rupa nakon 1. dolaska",IF(AND(O596&gt;0,F596-H596*N596+K596+M596&lt;0),"Rupa nakon 2. dolaska",IF(P596&lt;POSTAVKE!$B$6,"Količina nije dovoljna",IF(I596&gt;=POSTAVKE!$B$6,"Sve u redu","Stiže na vrijeme")))))))</f>
        <v>Naruči odmah</v>
      </c>
      <c r="S596" s="23" t="n">
        <f aca="false">IFERROR(INDEX(PODACI_PRODAJA!B:B,MATCH($A596,PODACI_PRODAJA!$A:$A,0)),0)</f>
        <v>0</v>
      </c>
      <c r="T596" s="23" t="n">
        <f aca="false">IFERROR(INDEX(PODACI_PRODAJA!C:C,MATCH($A596,PODACI_PRODAJA!$A:$A,0)),0)</f>
        <v>0</v>
      </c>
      <c r="U596" s="23" t="n">
        <f aca="false">IFERROR(INDEX(PODACI_PRODAJA!D:D,MATCH($A596,PODACI_PRODAJA!$A:$A,0)),0)</f>
        <v>2</v>
      </c>
      <c r="V596" s="23" t="n">
        <f aca="false">IFERROR(INDEX(PODACI_PRODAJA!E:E,MATCH($A596,PODACI_PRODAJA!$A:$A,0)),0)</f>
        <v>0</v>
      </c>
      <c r="W596" s="23" t="n">
        <f aca="false">IFERROR(INDEX(PODACI_PRODAJA!F:F,MATCH($A596,PODACI_PRODAJA!$A:$A,0)),0)</f>
        <v>0</v>
      </c>
      <c r="X596" s="23" t="n">
        <f aca="false">IFERROR(INDEX(PODACI_PRODAJA!G:G,MATCH($A596,PODACI_PRODAJA!$A:$A,0)),0)</f>
        <v>3</v>
      </c>
      <c r="Y596" s="23" t="n">
        <f aca="false">IFERROR(INDEX(PODACI_PRODAJA!H:H,MATCH($A596,PODACI_PRODAJA!$A:$A,0)),0)</f>
        <v>0</v>
      </c>
      <c r="Z596" s="23" t="n">
        <f aca="false">IFERROR(INDEX(PODACI_PRODAJA!I:I,MATCH($A596,PODACI_PRODAJA!$A:$A,0)),0)</f>
        <v>0</v>
      </c>
      <c r="AA596" s="23" t="n">
        <f aca="false">IFERROR(INDEX(PODACI_PRODAJA!J:J,MATCH($A596,PODACI_PRODAJA!$A:$A,0)),0)</f>
        <v>0</v>
      </c>
      <c r="AB596" s="23" t="n">
        <f aca="false">IFERROR(INDEX(PODACI_PRODAJA!K:K,MATCH($A596,PODACI_PRODAJA!$A:$A,0)),0)</f>
        <v>0</v>
      </c>
      <c r="AC596" s="23" t="n">
        <f aca="false">IFERROR(INDEX(PODACI_PRODAJA!L:L,MATCH($A596,PODACI_PRODAJA!$A:$A,0)),0)</f>
        <v>0</v>
      </c>
      <c r="AD596" s="23" t="n">
        <f aca="false">IFERROR(INDEX(PODACI_PRODAJA!M:M,MATCH($A596,PODACI_PRODAJA!$A:$A,0)),0)</f>
        <v>0</v>
      </c>
    </row>
    <row r="597" customFormat="false" ht="15" hidden="false" customHeight="false" outlineLevel="0" collapsed="false">
      <c r="A597" s="11" t="str">
        <f aca="false">PODACI_ZALIHE!A594</f>
        <v>15951</v>
      </c>
      <c r="B597" s="8" t="str">
        <f aca="false">PODACI_ZALIHE!B594</f>
        <v>TK UNIQUE 80 KVADRATNA TUŠ KABINA 80x80x195 cm</v>
      </c>
      <c r="C597" s="9" t="str">
        <f aca="false">PODACI_ZALIHE!C594</f>
        <v>5645</v>
      </c>
      <c r="D597" s="8" t="str">
        <f aca="false">PODACI_ZALIHE!D594</f>
        <v>MAVAW (ZHEJIANG) SMART HOME CO.,LTD</v>
      </c>
      <c r="E597" s="19" t="n">
        <f aca="false">IF(PODACI_ZALIHE!E594="","",PODACI_ZALIHE!E594)</f>
        <v>1</v>
      </c>
      <c r="F597" s="20" t="n">
        <f aca="false">PODACI_ZALIHE!F594</f>
        <v>1</v>
      </c>
      <c r="G597" s="19" t="n">
        <f aca="false">IF(E597="","",E597-F597)</f>
        <v>0</v>
      </c>
      <c r="H597" s="9" t="n">
        <v>0</v>
      </c>
      <c r="I597" s="21" t="n">
        <f aca="false">IF(H597&lt;=0,999,ROUND(F597/H597,1))</f>
        <v>999</v>
      </c>
      <c r="J597" s="9" t="n">
        <f aca="false">SUMIFS(ROBA_U_DOLASKU!$C$6:$C$95,ROBA_U_DOLASKU!$A$6:$A$95,A597,ROBA_U_DOLASKU!$H$6:$H$95,1)</f>
        <v>0</v>
      </c>
      <c r="K597" s="9" t="n">
        <f aca="false">SUMIFS(ROBA_U_DOLASKU!$B$6:$B$95,ROBA_U_DOLASKU!$A$6:$A$95,A597,ROBA_U_DOLASKU!$H$6:$H$95,1)</f>
        <v>0</v>
      </c>
      <c r="L597" s="9" t="n">
        <f aca="false">SUMIFS(ROBA_U_DOLASKU!$C$6:$C$95,ROBA_U_DOLASKU!$A$6:$A$95,A597,ROBA_U_DOLASKU!$H$6:$H$95,2)</f>
        <v>0</v>
      </c>
      <c r="M597" s="9" t="n">
        <f aca="false">SUMIFS(ROBA_U_DOLASKU!$B$6:$B$95,ROBA_U_DOLASKU!$A$6:$A$95,A597,ROBA_U_DOLASKU!$H$6:$H$95,2)</f>
        <v>0</v>
      </c>
      <c r="N597" s="9" t="n">
        <f aca="false">SUMIFS(ROBA_U_DOLASKU!$C$6:$C$95,ROBA_U_DOLASKU!$A$6:$A$95,A597,ROBA_U_DOLASKU!$H$6:$H$95,3)</f>
        <v>0</v>
      </c>
      <c r="O597" s="9" t="n">
        <f aca="false">SUMIFS(ROBA_U_DOLASKU!$B$6:$B$95,ROBA_U_DOLASKU!$A$6:$A$95,A597,ROBA_U_DOLASKU!$H$6:$H$95,3)</f>
        <v>0</v>
      </c>
      <c r="P597" s="9" t="n">
        <f aca="false">IF(H597&lt;=0,999,IF(O597&gt;0,ROUND((F597-H597*N597+K597+M597+O597)/H597,1),IF(M597&gt;0,ROUND((F597-H597*L597+K597+M597)/H597,1),IF(K597&gt;0,ROUND((F597-H597*J597+K597)/H597,1),I597))))</f>
        <v>999</v>
      </c>
      <c r="Q597" s="22" t="str">
        <f aca="false">IF(H597&lt;=0,"Nema prodaje",IF(AND(K597=0,M597=0,O597=0),IF(I597&lt;POSTAVKE!$B$6,"Naruči odmah","Sve u redu"),IF(F597-H597*J597&lt;0,"Rupa za ~"&amp;TEXT(I597,"0.0")&amp;" mj.",IF(AND(M597&gt;0,F597-H597*L597+K597&lt;0),"Rupa nakon 1. dolaska",IF(AND(O597&gt;0,F597-H597*N597+K597+M597&lt;0),"Rupa nakon 2. dolaska",IF(P597&lt;POSTAVKE!$B$6,"Količina nije dovoljna",IF(I597&gt;=POSTAVKE!$B$6,"Sve u redu","Stiže na vrijeme")))))))</f>
        <v>Nema prodaje</v>
      </c>
      <c r="S597" s="23" t="n">
        <f aca="false">IFERROR(INDEX(PODACI_PRODAJA!B:B,MATCH($A597,PODACI_PRODAJA!$A:$A,0)),0)</f>
        <v>0</v>
      </c>
      <c r="T597" s="23" t="n">
        <f aca="false">IFERROR(INDEX(PODACI_PRODAJA!C:C,MATCH($A597,PODACI_PRODAJA!$A:$A,0)),0)</f>
        <v>0</v>
      </c>
      <c r="U597" s="23" t="n">
        <f aca="false">IFERROR(INDEX(PODACI_PRODAJA!D:D,MATCH($A597,PODACI_PRODAJA!$A:$A,0)),0)</f>
        <v>0</v>
      </c>
      <c r="V597" s="23" t="n">
        <f aca="false">IFERROR(INDEX(PODACI_PRODAJA!E:E,MATCH($A597,PODACI_PRODAJA!$A:$A,0)),0)</f>
        <v>0</v>
      </c>
      <c r="W597" s="23" t="n">
        <f aca="false">IFERROR(INDEX(PODACI_PRODAJA!F:F,MATCH($A597,PODACI_PRODAJA!$A:$A,0)),0)</f>
        <v>0</v>
      </c>
      <c r="X597" s="23" t="n">
        <f aca="false">IFERROR(INDEX(PODACI_PRODAJA!G:G,MATCH($A597,PODACI_PRODAJA!$A:$A,0)),0)</f>
        <v>0</v>
      </c>
      <c r="Y597" s="23" t="n">
        <f aca="false">IFERROR(INDEX(PODACI_PRODAJA!H:H,MATCH($A597,PODACI_PRODAJA!$A:$A,0)),0)</f>
        <v>0</v>
      </c>
      <c r="Z597" s="23" t="n">
        <f aca="false">IFERROR(INDEX(PODACI_PRODAJA!I:I,MATCH($A597,PODACI_PRODAJA!$A:$A,0)),0)</f>
        <v>0</v>
      </c>
      <c r="AA597" s="23" t="n">
        <f aca="false">IFERROR(INDEX(PODACI_PRODAJA!J:J,MATCH($A597,PODACI_PRODAJA!$A:$A,0)),0)</f>
        <v>0</v>
      </c>
      <c r="AB597" s="23" t="n">
        <f aca="false">IFERROR(INDEX(PODACI_PRODAJA!K:K,MATCH($A597,PODACI_PRODAJA!$A:$A,0)),0)</f>
        <v>0</v>
      </c>
      <c r="AC597" s="23" t="n">
        <f aca="false">IFERROR(INDEX(PODACI_PRODAJA!L:L,MATCH($A597,PODACI_PRODAJA!$A:$A,0)),0)</f>
        <v>0</v>
      </c>
      <c r="AD597" s="23" t="n">
        <f aca="false">IFERROR(INDEX(PODACI_PRODAJA!M:M,MATCH($A597,PODACI_PRODAJA!$A:$A,0)),0)</f>
        <v>0</v>
      </c>
    </row>
    <row r="598" customFormat="false" ht="15" hidden="false" customHeight="false" outlineLevel="0" collapsed="false">
      <c r="A598" s="11" t="str">
        <f aca="false">PODACI_ZALIHE!A595</f>
        <v>16090</v>
      </c>
      <c r="B598" s="8" t="str">
        <f aca="false">PODACI_ZALIHE!B595</f>
        <v>GL5808C TUŠ PANEL 140x22 cm</v>
      </c>
      <c r="C598" s="9" t="n">
        <f aca="false">PODACI_ZALIHE!C595</f>
        <v>0</v>
      </c>
      <c r="D598" s="8" t="n">
        <f aca="false">PODACI_ZALIHE!D595</f>
        <v>0</v>
      </c>
      <c r="E598" s="19" t="n">
        <f aca="false">IF(PODACI_ZALIHE!E595="","",PODACI_ZALIHE!E595)</f>
        <v>1</v>
      </c>
      <c r="F598" s="20" t="n">
        <f aca="false">PODACI_ZALIHE!F595</f>
        <v>1</v>
      </c>
      <c r="G598" s="19" t="n">
        <f aca="false">IF(E598="","",E598-F598)</f>
        <v>0</v>
      </c>
      <c r="H598" s="9" t="n">
        <f aca="false">PODACI_PRODAJA!N194</f>
        <v>1.5</v>
      </c>
      <c r="I598" s="21" t="n">
        <f aca="false">IF(H598&lt;=0,999,ROUND(F598/H598,1))</f>
        <v>0.7</v>
      </c>
      <c r="J598" s="9" t="n">
        <f aca="false">SUMIFS(ROBA_U_DOLASKU!$C$6:$C$95,ROBA_U_DOLASKU!$A$6:$A$95,A598,ROBA_U_DOLASKU!$H$6:$H$95,1)</f>
        <v>0</v>
      </c>
      <c r="K598" s="9" t="n">
        <f aca="false">SUMIFS(ROBA_U_DOLASKU!$B$6:$B$95,ROBA_U_DOLASKU!$A$6:$A$95,A598,ROBA_U_DOLASKU!$H$6:$H$95,1)</f>
        <v>0</v>
      </c>
      <c r="L598" s="9" t="n">
        <f aca="false">SUMIFS(ROBA_U_DOLASKU!$C$6:$C$95,ROBA_U_DOLASKU!$A$6:$A$95,A598,ROBA_U_DOLASKU!$H$6:$H$95,2)</f>
        <v>0</v>
      </c>
      <c r="M598" s="9" t="n">
        <f aca="false">SUMIFS(ROBA_U_DOLASKU!$B$6:$B$95,ROBA_U_DOLASKU!$A$6:$A$95,A598,ROBA_U_DOLASKU!$H$6:$H$95,2)</f>
        <v>0</v>
      </c>
      <c r="N598" s="9" t="n">
        <f aca="false">SUMIFS(ROBA_U_DOLASKU!$C$6:$C$95,ROBA_U_DOLASKU!$A$6:$A$95,A598,ROBA_U_DOLASKU!$H$6:$H$95,3)</f>
        <v>0</v>
      </c>
      <c r="O598" s="9" t="n">
        <f aca="false">SUMIFS(ROBA_U_DOLASKU!$B$6:$B$95,ROBA_U_DOLASKU!$A$6:$A$95,A598,ROBA_U_DOLASKU!$H$6:$H$95,3)</f>
        <v>0</v>
      </c>
      <c r="P598" s="9" t="n">
        <f aca="false">IF(H598&lt;=0,999,IF(O598&gt;0,ROUND((F598-H598*N598+K598+M598+O598)/H598,1),IF(M598&gt;0,ROUND((F598-H598*L598+K598+M598)/H598,1),IF(K598&gt;0,ROUND((F598-H598*J598+K598)/H598,1),I598))))</f>
        <v>0.7</v>
      </c>
      <c r="Q598" s="22" t="str">
        <f aca="false">IF(H598&lt;=0,"Nema prodaje",IF(AND(K598=0,M598=0,O598=0),IF(I598&lt;POSTAVKE!$B$6,"Naruči odmah","Sve u redu"),IF(F598-H598*J598&lt;0,"Rupa za ~"&amp;TEXT(I598,"0.0")&amp;" mj.",IF(AND(M598&gt;0,F598-H598*L598+K598&lt;0),"Rupa nakon 1. dolaska",IF(AND(O598&gt;0,F598-H598*N598+K598+M598&lt;0),"Rupa nakon 2. dolaska",IF(P598&lt;POSTAVKE!$B$6,"Količina nije dovoljna",IF(I598&gt;=POSTAVKE!$B$6,"Sve u redu","Stiže na vrijeme")))))))</f>
        <v>Naruči odmah</v>
      </c>
      <c r="S598" s="23" t="n">
        <f aca="false">IFERROR(INDEX(PODACI_PRODAJA!B:B,MATCH($A598,PODACI_PRODAJA!$A:$A,0)),0)</f>
        <v>2</v>
      </c>
      <c r="T598" s="23" t="n">
        <f aca="false">IFERROR(INDEX(PODACI_PRODAJA!C:C,MATCH($A598,PODACI_PRODAJA!$A:$A,0)),0)</f>
        <v>2</v>
      </c>
      <c r="U598" s="23" t="n">
        <f aca="false">IFERROR(INDEX(PODACI_PRODAJA!D:D,MATCH($A598,PODACI_PRODAJA!$A:$A,0)),0)</f>
        <v>1</v>
      </c>
      <c r="V598" s="23" t="n">
        <f aca="false">IFERROR(INDEX(PODACI_PRODAJA!E:E,MATCH($A598,PODACI_PRODAJA!$A:$A,0)),0)</f>
        <v>1</v>
      </c>
      <c r="W598" s="23" t="n">
        <f aca="false">IFERROR(INDEX(PODACI_PRODAJA!F:F,MATCH($A598,PODACI_PRODAJA!$A:$A,0)),0)</f>
        <v>1</v>
      </c>
      <c r="X598" s="23" t="n">
        <f aca="false">IFERROR(INDEX(PODACI_PRODAJA!G:G,MATCH($A598,PODACI_PRODAJA!$A:$A,0)),0)</f>
        <v>2</v>
      </c>
      <c r="Y598" s="23" t="n">
        <f aca="false">IFERROR(INDEX(PODACI_PRODAJA!H:H,MATCH($A598,PODACI_PRODAJA!$A:$A,0)),0)</f>
        <v>3</v>
      </c>
      <c r="Z598" s="23" t="n">
        <f aca="false">IFERROR(INDEX(PODACI_PRODAJA!I:I,MATCH($A598,PODACI_PRODAJA!$A:$A,0)),0)</f>
        <v>0</v>
      </c>
      <c r="AA598" s="23" t="n">
        <f aca="false">IFERROR(INDEX(PODACI_PRODAJA!J:J,MATCH($A598,PODACI_PRODAJA!$A:$A,0)),0)</f>
        <v>0</v>
      </c>
      <c r="AB598" s="23" t="n">
        <f aca="false">IFERROR(INDEX(PODACI_PRODAJA!K:K,MATCH($A598,PODACI_PRODAJA!$A:$A,0)),0)</f>
        <v>0</v>
      </c>
      <c r="AC598" s="23" t="n">
        <f aca="false">IFERROR(INDEX(PODACI_PRODAJA!L:L,MATCH($A598,PODACI_PRODAJA!$A:$A,0)),0)</f>
        <v>0</v>
      </c>
      <c r="AD598" s="23" t="n">
        <f aca="false">IFERROR(INDEX(PODACI_PRODAJA!M:M,MATCH($A598,PODACI_PRODAJA!$A:$A,0)),0)</f>
        <v>0</v>
      </c>
    </row>
    <row r="599" customFormat="false" ht="15" hidden="false" customHeight="false" outlineLevel="0" collapsed="false">
      <c r="A599" s="11" t="str">
        <f aca="false">PODACI_ZALIHE!A596</f>
        <v>16137</v>
      </c>
      <c r="B599" s="8" t="str">
        <f aca="false">PODACI_ZALIHE!B596</f>
        <v>AURA CHROME  MIJEŠALICA ZA KADU</v>
      </c>
      <c r="C599" s="9" t="str">
        <f aca="false">PODACI_ZALIHE!C596</f>
        <v>5150</v>
      </c>
      <c r="D599" s="8" t="str">
        <f aca="false">PODACI_ZALIHE!D596</f>
        <v>ZHEJIANG VOLONG SANITARY WARES CO.,LTD.</v>
      </c>
      <c r="E599" s="19" t="n">
        <f aca="false">IF(PODACI_ZALIHE!E596="","",PODACI_ZALIHE!E596)</f>
        <v>1</v>
      </c>
      <c r="F599" s="20" t="n">
        <f aca="false">PODACI_ZALIHE!F596</f>
        <v>1</v>
      </c>
      <c r="G599" s="19" t="n">
        <f aca="false">IF(E599="","",E599-F599)</f>
        <v>0</v>
      </c>
      <c r="H599" s="9" t="n">
        <f aca="false">PODACI_PRODAJA!N565</f>
        <v>-0.13</v>
      </c>
      <c r="I599" s="21" t="n">
        <f aca="false">IF(H599&lt;=0,999,ROUND(F599/H599,1))</f>
        <v>999</v>
      </c>
      <c r="J599" s="9" t="n">
        <f aca="false">SUMIFS(ROBA_U_DOLASKU!$C$6:$C$95,ROBA_U_DOLASKU!$A$6:$A$95,A599,ROBA_U_DOLASKU!$H$6:$H$95,1)</f>
        <v>0</v>
      </c>
      <c r="K599" s="9" t="n">
        <f aca="false">SUMIFS(ROBA_U_DOLASKU!$B$6:$B$95,ROBA_U_DOLASKU!$A$6:$A$95,A599,ROBA_U_DOLASKU!$H$6:$H$95,1)</f>
        <v>0</v>
      </c>
      <c r="L599" s="9" t="n">
        <f aca="false">SUMIFS(ROBA_U_DOLASKU!$C$6:$C$95,ROBA_U_DOLASKU!$A$6:$A$95,A599,ROBA_U_DOLASKU!$H$6:$H$95,2)</f>
        <v>0</v>
      </c>
      <c r="M599" s="9" t="n">
        <f aca="false">SUMIFS(ROBA_U_DOLASKU!$B$6:$B$95,ROBA_U_DOLASKU!$A$6:$A$95,A599,ROBA_U_DOLASKU!$H$6:$H$95,2)</f>
        <v>0</v>
      </c>
      <c r="N599" s="9" t="n">
        <f aca="false">SUMIFS(ROBA_U_DOLASKU!$C$6:$C$95,ROBA_U_DOLASKU!$A$6:$A$95,A599,ROBA_U_DOLASKU!$H$6:$H$95,3)</f>
        <v>0</v>
      </c>
      <c r="O599" s="9" t="n">
        <f aca="false">SUMIFS(ROBA_U_DOLASKU!$B$6:$B$95,ROBA_U_DOLASKU!$A$6:$A$95,A599,ROBA_U_DOLASKU!$H$6:$H$95,3)</f>
        <v>0</v>
      </c>
      <c r="P599" s="9" t="n">
        <f aca="false">IF(H599&lt;=0,999,IF(O599&gt;0,ROUND((F599-H599*N599+K599+M599+O599)/H599,1),IF(M599&gt;0,ROUND((F599-H599*L599+K599+M599)/H599,1),IF(K599&gt;0,ROUND((F599-H599*J599+K599)/H599,1),I599))))</f>
        <v>999</v>
      </c>
      <c r="Q599" s="22" t="str">
        <f aca="false">IF(H599&lt;=0,"Nema prodaje",IF(AND(K599=0,M599=0,O599=0),IF(I599&lt;POSTAVKE!$B$6,"Naruči odmah","Sve u redu"),IF(F599-H599*J599&lt;0,"Rupa za ~"&amp;TEXT(I599,"0.0")&amp;" mj.",IF(AND(M599&gt;0,F599-H599*L599+K599&lt;0),"Rupa nakon 1. dolaska",IF(AND(O599&gt;0,F599-H599*N599+K599+M599&lt;0),"Rupa nakon 2. dolaska",IF(P599&lt;POSTAVKE!$B$6,"Količina nije dovoljna",IF(I599&gt;=POSTAVKE!$B$6,"Sve u redu","Stiže na vrijeme")))))))</f>
        <v>Nema prodaje</v>
      </c>
      <c r="S599" s="23" t="n">
        <f aca="false">IFERROR(INDEX(PODACI_PRODAJA!B:B,MATCH($A599,PODACI_PRODAJA!$A:$A,0)),0)</f>
        <v>0</v>
      </c>
      <c r="T599" s="23" t="n">
        <f aca="false">IFERROR(INDEX(PODACI_PRODAJA!C:C,MATCH($A599,PODACI_PRODAJA!$A:$A,0)),0)</f>
        <v>-1</v>
      </c>
      <c r="U599" s="23" t="n">
        <f aca="false">IFERROR(INDEX(PODACI_PRODAJA!D:D,MATCH($A599,PODACI_PRODAJA!$A:$A,0)),0)</f>
        <v>0</v>
      </c>
      <c r="V599" s="23" t="n">
        <f aca="false">IFERROR(INDEX(PODACI_PRODAJA!E:E,MATCH($A599,PODACI_PRODAJA!$A:$A,0)),0)</f>
        <v>0</v>
      </c>
      <c r="W599" s="23" t="n">
        <f aca="false">IFERROR(INDEX(PODACI_PRODAJA!F:F,MATCH($A599,PODACI_PRODAJA!$A:$A,0)),0)</f>
        <v>0</v>
      </c>
      <c r="X599" s="23" t="n">
        <f aca="false">IFERROR(INDEX(PODACI_PRODAJA!G:G,MATCH($A599,PODACI_PRODAJA!$A:$A,0)),0)</f>
        <v>0</v>
      </c>
      <c r="Y599" s="23" t="n">
        <f aca="false">IFERROR(INDEX(PODACI_PRODAJA!H:H,MATCH($A599,PODACI_PRODAJA!$A:$A,0)),0)</f>
        <v>0</v>
      </c>
      <c r="Z599" s="23" t="n">
        <f aca="false">IFERROR(INDEX(PODACI_PRODAJA!I:I,MATCH($A599,PODACI_PRODAJA!$A:$A,0)),0)</f>
        <v>0</v>
      </c>
      <c r="AA599" s="23" t="n">
        <f aca="false">IFERROR(INDEX(PODACI_PRODAJA!J:J,MATCH($A599,PODACI_PRODAJA!$A:$A,0)),0)</f>
        <v>0</v>
      </c>
      <c r="AB599" s="23" t="n">
        <f aca="false">IFERROR(INDEX(PODACI_PRODAJA!K:K,MATCH($A599,PODACI_PRODAJA!$A:$A,0)),0)</f>
        <v>0</v>
      </c>
      <c r="AC599" s="23" t="n">
        <f aca="false">IFERROR(INDEX(PODACI_PRODAJA!L:L,MATCH($A599,PODACI_PRODAJA!$A:$A,0)),0)</f>
        <v>0</v>
      </c>
      <c r="AD599" s="23" t="n">
        <f aca="false">IFERROR(INDEX(PODACI_PRODAJA!M:M,MATCH($A599,PODACI_PRODAJA!$A:$A,0)),0)</f>
        <v>0</v>
      </c>
    </row>
    <row r="600" customFormat="false" ht="15" hidden="false" customHeight="false" outlineLevel="0" collapsed="false">
      <c r="A600" s="11" t="str">
        <f aca="false">PODACI_ZALIHE!A597</f>
        <v>16144</v>
      </c>
      <c r="B600" s="8" t="str">
        <f aca="false">PODACI_ZALIHE!B597</f>
        <v>SET ZA REPARACIJU KADA SIVI</v>
      </c>
      <c r="C600" s="9" t="str">
        <f aca="false">PODACI_ZALIHE!C597</f>
        <v>5517</v>
      </c>
      <c r="D600" s="8" t="str">
        <f aca="false">PODACI_ZALIHE!D597</f>
        <v>NICOS INTERNATIONAL S.P.A.</v>
      </c>
      <c r="E600" s="19" t="n">
        <f aca="false">IF(PODACI_ZALIHE!E597="","",PODACI_ZALIHE!E597)</f>
        <v>1</v>
      </c>
      <c r="F600" s="20" t="n">
        <f aca="false">PODACI_ZALIHE!F597</f>
        <v>1</v>
      </c>
      <c r="G600" s="19" t="n">
        <f aca="false">IF(E600="","",E600-F600)</f>
        <v>0</v>
      </c>
      <c r="H600" s="9" t="n">
        <v>0</v>
      </c>
      <c r="I600" s="21" t="n">
        <f aca="false">IF(H600&lt;=0,999,ROUND(F600/H600,1))</f>
        <v>999</v>
      </c>
      <c r="J600" s="9" t="n">
        <f aca="false">SUMIFS(ROBA_U_DOLASKU!$C$6:$C$95,ROBA_U_DOLASKU!$A$6:$A$95,A600,ROBA_U_DOLASKU!$H$6:$H$95,1)</f>
        <v>0</v>
      </c>
      <c r="K600" s="9" t="n">
        <f aca="false">SUMIFS(ROBA_U_DOLASKU!$B$6:$B$95,ROBA_U_DOLASKU!$A$6:$A$95,A600,ROBA_U_DOLASKU!$H$6:$H$95,1)</f>
        <v>0</v>
      </c>
      <c r="L600" s="9" t="n">
        <f aca="false">SUMIFS(ROBA_U_DOLASKU!$C$6:$C$95,ROBA_U_DOLASKU!$A$6:$A$95,A600,ROBA_U_DOLASKU!$H$6:$H$95,2)</f>
        <v>0</v>
      </c>
      <c r="M600" s="9" t="n">
        <f aca="false">SUMIFS(ROBA_U_DOLASKU!$B$6:$B$95,ROBA_U_DOLASKU!$A$6:$A$95,A600,ROBA_U_DOLASKU!$H$6:$H$95,2)</f>
        <v>0</v>
      </c>
      <c r="N600" s="9" t="n">
        <f aca="false">SUMIFS(ROBA_U_DOLASKU!$C$6:$C$95,ROBA_U_DOLASKU!$A$6:$A$95,A600,ROBA_U_DOLASKU!$H$6:$H$95,3)</f>
        <v>0</v>
      </c>
      <c r="O600" s="9" t="n">
        <f aca="false">SUMIFS(ROBA_U_DOLASKU!$B$6:$B$95,ROBA_U_DOLASKU!$A$6:$A$95,A600,ROBA_U_DOLASKU!$H$6:$H$95,3)</f>
        <v>0</v>
      </c>
      <c r="P600" s="9" t="n">
        <f aca="false">IF(H600&lt;=0,999,IF(O600&gt;0,ROUND((F600-H600*N600+K600+M600+O600)/H600,1),IF(M600&gt;0,ROUND((F600-H600*L600+K600+M600)/H600,1),IF(K600&gt;0,ROUND((F600-H600*J600+K600)/H600,1),I600))))</f>
        <v>999</v>
      </c>
      <c r="Q600" s="22" t="str">
        <f aca="false">IF(H600&lt;=0,"Nema prodaje",IF(AND(K600=0,M600=0,O600=0),IF(I600&lt;POSTAVKE!$B$6,"Naruči odmah","Sve u redu"),IF(F600-H600*J600&lt;0,"Rupa za ~"&amp;TEXT(I600,"0.0")&amp;" mj.",IF(AND(M600&gt;0,F600-H600*L600+K600&lt;0),"Rupa nakon 1. dolaska",IF(AND(O600&gt;0,F600-H600*N600+K600+M600&lt;0),"Rupa nakon 2. dolaska",IF(P600&lt;POSTAVKE!$B$6,"Količina nije dovoljna",IF(I600&gt;=POSTAVKE!$B$6,"Sve u redu","Stiže na vrijeme")))))))</f>
        <v>Nema prodaje</v>
      </c>
      <c r="S600" s="23" t="n">
        <f aca="false">IFERROR(INDEX(PODACI_PRODAJA!B:B,MATCH($A600,PODACI_PRODAJA!$A:$A,0)),0)</f>
        <v>0</v>
      </c>
      <c r="T600" s="23" t="n">
        <f aca="false">IFERROR(INDEX(PODACI_PRODAJA!C:C,MATCH($A600,PODACI_PRODAJA!$A:$A,0)),0)</f>
        <v>0</v>
      </c>
      <c r="U600" s="23" t="n">
        <f aca="false">IFERROR(INDEX(PODACI_PRODAJA!D:D,MATCH($A600,PODACI_PRODAJA!$A:$A,0)),0)</f>
        <v>0</v>
      </c>
      <c r="V600" s="23" t="n">
        <f aca="false">IFERROR(INDEX(PODACI_PRODAJA!E:E,MATCH($A600,PODACI_PRODAJA!$A:$A,0)),0)</f>
        <v>0</v>
      </c>
      <c r="W600" s="23" t="n">
        <f aca="false">IFERROR(INDEX(PODACI_PRODAJA!F:F,MATCH($A600,PODACI_PRODAJA!$A:$A,0)),0)</f>
        <v>0</v>
      </c>
      <c r="X600" s="23" t="n">
        <f aca="false">IFERROR(INDEX(PODACI_PRODAJA!G:G,MATCH($A600,PODACI_PRODAJA!$A:$A,0)),0)</f>
        <v>0</v>
      </c>
      <c r="Y600" s="23" t="n">
        <f aca="false">IFERROR(INDEX(PODACI_PRODAJA!H:H,MATCH($A600,PODACI_PRODAJA!$A:$A,0)),0)</f>
        <v>0</v>
      </c>
      <c r="Z600" s="23" t="n">
        <f aca="false">IFERROR(INDEX(PODACI_PRODAJA!I:I,MATCH($A600,PODACI_PRODAJA!$A:$A,0)),0)</f>
        <v>0</v>
      </c>
      <c r="AA600" s="23" t="n">
        <f aca="false">IFERROR(INDEX(PODACI_PRODAJA!J:J,MATCH($A600,PODACI_PRODAJA!$A:$A,0)),0)</f>
        <v>0</v>
      </c>
      <c r="AB600" s="23" t="n">
        <f aca="false">IFERROR(INDEX(PODACI_PRODAJA!K:K,MATCH($A600,PODACI_PRODAJA!$A:$A,0)),0)</f>
        <v>0</v>
      </c>
      <c r="AC600" s="23" t="n">
        <f aca="false">IFERROR(INDEX(PODACI_PRODAJA!L:L,MATCH($A600,PODACI_PRODAJA!$A:$A,0)),0)</f>
        <v>0</v>
      </c>
      <c r="AD600" s="23" t="n">
        <f aca="false">IFERROR(INDEX(PODACI_PRODAJA!M:M,MATCH($A600,PODACI_PRODAJA!$A:$A,0)),0)</f>
        <v>0</v>
      </c>
    </row>
    <row r="601" customFormat="false" ht="15" hidden="false" customHeight="false" outlineLevel="0" collapsed="false">
      <c r="A601" s="11" t="str">
        <f aca="false">PODACI_ZALIHE!A598</f>
        <v>16305</v>
      </c>
      <c r="B601" s="8" t="str">
        <f aca="false">PODACI_ZALIHE!B598</f>
        <v>OLIVIA UGRADBENI KERAMIČKI UMIVAONIK CRNI MAT 850x455x100 mm</v>
      </c>
      <c r="C601" s="9" t="str">
        <f aca="false">PODACI_ZALIHE!C598</f>
        <v>6053</v>
      </c>
      <c r="D601" s="8" t="str">
        <f aca="false">PODACI_ZALIHE!D598</f>
        <v>AYVA MAKINE INŞAAT SANAYI TICARET LTD.ŞTI.</v>
      </c>
      <c r="E601" s="19" t="n">
        <f aca="false">IF(PODACI_ZALIHE!E598="","",PODACI_ZALIHE!E598)</f>
        <v>1</v>
      </c>
      <c r="F601" s="20" t="n">
        <f aca="false">PODACI_ZALIHE!F598</f>
        <v>1</v>
      </c>
      <c r="G601" s="19" t="n">
        <f aca="false">IF(E601="","",E601-F601)</f>
        <v>0</v>
      </c>
      <c r="H601" s="9" t="n">
        <v>0</v>
      </c>
      <c r="I601" s="21" t="n">
        <f aca="false">IF(H601&lt;=0,999,ROUND(F601/H601,1))</f>
        <v>999</v>
      </c>
      <c r="J601" s="9" t="n">
        <f aca="false">SUMIFS(ROBA_U_DOLASKU!$C$6:$C$95,ROBA_U_DOLASKU!$A$6:$A$95,A601,ROBA_U_DOLASKU!$H$6:$H$95,1)</f>
        <v>0</v>
      </c>
      <c r="K601" s="9" t="n">
        <f aca="false">SUMIFS(ROBA_U_DOLASKU!$B$6:$B$95,ROBA_U_DOLASKU!$A$6:$A$95,A601,ROBA_U_DOLASKU!$H$6:$H$95,1)</f>
        <v>0</v>
      </c>
      <c r="L601" s="9" t="n">
        <f aca="false">SUMIFS(ROBA_U_DOLASKU!$C$6:$C$95,ROBA_U_DOLASKU!$A$6:$A$95,A601,ROBA_U_DOLASKU!$H$6:$H$95,2)</f>
        <v>0</v>
      </c>
      <c r="M601" s="9" t="n">
        <f aca="false">SUMIFS(ROBA_U_DOLASKU!$B$6:$B$95,ROBA_U_DOLASKU!$A$6:$A$95,A601,ROBA_U_DOLASKU!$H$6:$H$95,2)</f>
        <v>0</v>
      </c>
      <c r="N601" s="9" t="n">
        <f aca="false">SUMIFS(ROBA_U_DOLASKU!$C$6:$C$95,ROBA_U_DOLASKU!$A$6:$A$95,A601,ROBA_U_DOLASKU!$H$6:$H$95,3)</f>
        <v>0</v>
      </c>
      <c r="O601" s="9" t="n">
        <f aca="false">SUMIFS(ROBA_U_DOLASKU!$B$6:$B$95,ROBA_U_DOLASKU!$A$6:$A$95,A601,ROBA_U_DOLASKU!$H$6:$H$95,3)</f>
        <v>0</v>
      </c>
      <c r="P601" s="9" t="n">
        <f aca="false">IF(H601&lt;=0,999,IF(O601&gt;0,ROUND((F601-H601*N601+K601+M601+O601)/H601,1),IF(M601&gt;0,ROUND((F601-H601*L601+K601+M601)/H601,1),IF(K601&gt;0,ROUND((F601-H601*J601+K601)/H601,1),I601))))</f>
        <v>999</v>
      </c>
      <c r="Q601" s="22" t="str">
        <f aca="false">IF(H601&lt;=0,"Nema prodaje",IF(AND(K601=0,M601=0,O601=0),IF(I601&lt;POSTAVKE!$B$6,"Naruči odmah","Sve u redu"),IF(F601-H601*J601&lt;0,"Rupa za ~"&amp;TEXT(I601,"0.0")&amp;" mj.",IF(AND(M601&gt;0,F601-H601*L601+K601&lt;0),"Rupa nakon 1. dolaska",IF(AND(O601&gt;0,F601-H601*N601+K601+M601&lt;0),"Rupa nakon 2. dolaska",IF(P601&lt;POSTAVKE!$B$6,"Količina nije dovoljna",IF(I601&gt;=POSTAVKE!$B$6,"Sve u redu","Stiže na vrijeme")))))))</f>
        <v>Nema prodaje</v>
      </c>
      <c r="S601" s="23" t="n">
        <f aca="false">IFERROR(INDEX(PODACI_PRODAJA!B:B,MATCH($A601,PODACI_PRODAJA!$A:$A,0)),0)</f>
        <v>0</v>
      </c>
      <c r="T601" s="23" t="n">
        <f aca="false">IFERROR(INDEX(PODACI_PRODAJA!C:C,MATCH($A601,PODACI_PRODAJA!$A:$A,0)),0)</f>
        <v>0</v>
      </c>
      <c r="U601" s="23" t="n">
        <f aca="false">IFERROR(INDEX(PODACI_PRODAJA!D:D,MATCH($A601,PODACI_PRODAJA!$A:$A,0)),0)</f>
        <v>0</v>
      </c>
      <c r="V601" s="23" t="n">
        <f aca="false">IFERROR(INDEX(PODACI_PRODAJA!E:E,MATCH($A601,PODACI_PRODAJA!$A:$A,0)),0)</f>
        <v>0</v>
      </c>
      <c r="W601" s="23" t="n">
        <f aca="false">IFERROR(INDEX(PODACI_PRODAJA!F:F,MATCH($A601,PODACI_PRODAJA!$A:$A,0)),0)</f>
        <v>0</v>
      </c>
      <c r="X601" s="23" t="n">
        <f aca="false">IFERROR(INDEX(PODACI_PRODAJA!G:G,MATCH($A601,PODACI_PRODAJA!$A:$A,0)),0)</f>
        <v>0</v>
      </c>
      <c r="Y601" s="23" t="n">
        <f aca="false">IFERROR(INDEX(PODACI_PRODAJA!H:H,MATCH($A601,PODACI_PRODAJA!$A:$A,0)),0)</f>
        <v>0</v>
      </c>
      <c r="Z601" s="23" t="n">
        <f aca="false">IFERROR(INDEX(PODACI_PRODAJA!I:I,MATCH($A601,PODACI_PRODAJA!$A:$A,0)),0)</f>
        <v>0</v>
      </c>
      <c r="AA601" s="23" t="n">
        <f aca="false">IFERROR(INDEX(PODACI_PRODAJA!J:J,MATCH($A601,PODACI_PRODAJA!$A:$A,0)),0)</f>
        <v>0</v>
      </c>
      <c r="AB601" s="23" t="n">
        <f aca="false">IFERROR(INDEX(PODACI_PRODAJA!K:K,MATCH($A601,PODACI_PRODAJA!$A:$A,0)),0)</f>
        <v>0</v>
      </c>
      <c r="AC601" s="23" t="n">
        <f aca="false">IFERROR(INDEX(PODACI_PRODAJA!L:L,MATCH($A601,PODACI_PRODAJA!$A:$A,0)),0)</f>
        <v>0</v>
      </c>
      <c r="AD601" s="23" t="n">
        <f aca="false">IFERROR(INDEX(PODACI_PRODAJA!M:M,MATCH($A601,PODACI_PRODAJA!$A:$A,0)),0)</f>
        <v>0</v>
      </c>
    </row>
    <row r="602" customFormat="false" ht="15" hidden="false" customHeight="false" outlineLevel="0" collapsed="false">
      <c r="A602" s="11" t="str">
        <f aca="false">PODACI_ZALIHE!A599</f>
        <v>17279</v>
      </c>
      <c r="B602" s="8" t="str">
        <f aca="false">PODACI_ZALIHE!B599</f>
        <v>UMIVAONIK GLOSS 80x46x12cm</v>
      </c>
      <c r="C602" s="9" t="str">
        <f aca="false">PODACI_ZALIHE!C599</f>
        <v>7032</v>
      </c>
      <c r="D602" s="8" t="str">
        <f aca="false">PODACI_ZALIHE!D599</f>
        <v>VANGUARD BATH &amp; KITCHEN CO., LIMITED</v>
      </c>
      <c r="E602" s="19" t="n">
        <f aca="false">IF(PODACI_ZALIHE!E599="","",PODACI_ZALIHE!E599)</f>
        <v>1</v>
      </c>
      <c r="F602" s="20" t="n">
        <f aca="false">PODACI_ZALIHE!F599</f>
        <v>1</v>
      </c>
      <c r="G602" s="19" t="n">
        <f aca="false">IF(E602="","",E602-F602)</f>
        <v>0</v>
      </c>
      <c r="H602" s="9" t="n">
        <v>0</v>
      </c>
      <c r="I602" s="21" t="n">
        <f aca="false">IF(H602&lt;=0,999,ROUND(F602/H602,1))</f>
        <v>999</v>
      </c>
      <c r="J602" s="9" t="n">
        <f aca="false">SUMIFS(ROBA_U_DOLASKU!$C$6:$C$95,ROBA_U_DOLASKU!$A$6:$A$95,A602,ROBA_U_DOLASKU!$H$6:$H$95,1)</f>
        <v>0</v>
      </c>
      <c r="K602" s="9" t="n">
        <f aca="false">SUMIFS(ROBA_U_DOLASKU!$B$6:$B$95,ROBA_U_DOLASKU!$A$6:$A$95,A602,ROBA_U_DOLASKU!$H$6:$H$95,1)</f>
        <v>0</v>
      </c>
      <c r="L602" s="9" t="n">
        <f aca="false">SUMIFS(ROBA_U_DOLASKU!$C$6:$C$95,ROBA_U_DOLASKU!$A$6:$A$95,A602,ROBA_U_DOLASKU!$H$6:$H$95,2)</f>
        <v>0</v>
      </c>
      <c r="M602" s="9" t="n">
        <f aca="false">SUMIFS(ROBA_U_DOLASKU!$B$6:$B$95,ROBA_U_DOLASKU!$A$6:$A$95,A602,ROBA_U_DOLASKU!$H$6:$H$95,2)</f>
        <v>0</v>
      </c>
      <c r="N602" s="9" t="n">
        <f aca="false">SUMIFS(ROBA_U_DOLASKU!$C$6:$C$95,ROBA_U_DOLASKU!$A$6:$A$95,A602,ROBA_U_DOLASKU!$H$6:$H$95,3)</f>
        <v>0</v>
      </c>
      <c r="O602" s="9" t="n">
        <f aca="false">SUMIFS(ROBA_U_DOLASKU!$B$6:$B$95,ROBA_U_DOLASKU!$A$6:$A$95,A602,ROBA_U_DOLASKU!$H$6:$H$95,3)</f>
        <v>0</v>
      </c>
      <c r="P602" s="9" t="n">
        <f aca="false">IF(H602&lt;=0,999,IF(O602&gt;0,ROUND((F602-H602*N602+K602+M602+O602)/H602,1),IF(M602&gt;0,ROUND((F602-H602*L602+K602+M602)/H602,1),IF(K602&gt;0,ROUND((F602-H602*J602+K602)/H602,1),I602))))</f>
        <v>999</v>
      </c>
      <c r="Q602" s="22" t="str">
        <f aca="false">IF(H602&lt;=0,"Nema prodaje",IF(AND(K602=0,M602=0,O602=0),IF(I602&lt;POSTAVKE!$B$6,"Naruči odmah","Sve u redu"),IF(F602-H602*J602&lt;0,"Rupa za ~"&amp;TEXT(I602,"0.0")&amp;" mj.",IF(AND(M602&gt;0,F602-H602*L602+K602&lt;0),"Rupa nakon 1. dolaska",IF(AND(O602&gt;0,F602-H602*N602+K602+M602&lt;0),"Rupa nakon 2. dolaska",IF(P602&lt;POSTAVKE!$B$6,"Količina nije dovoljna",IF(I602&gt;=POSTAVKE!$B$6,"Sve u redu","Stiže na vrijeme")))))))</f>
        <v>Nema prodaje</v>
      </c>
      <c r="S602" s="23" t="n">
        <f aca="false">IFERROR(INDEX(PODACI_PRODAJA!B:B,MATCH($A602,PODACI_PRODAJA!$A:$A,0)),0)</f>
        <v>0</v>
      </c>
      <c r="T602" s="23" t="n">
        <f aca="false">IFERROR(INDEX(PODACI_PRODAJA!C:C,MATCH($A602,PODACI_PRODAJA!$A:$A,0)),0)</f>
        <v>0</v>
      </c>
      <c r="U602" s="23" t="n">
        <f aca="false">IFERROR(INDEX(PODACI_PRODAJA!D:D,MATCH($A602,PODACI_PRODAJA!$A:$A,0)),0)</f>
        <v>0</v>
      </c>
      <c r="V602" s="23" t="n">
        <f aca="false">IFERROR(INDEX(PODACI_PRODAJA!E:E,MATCH($A602,PODACI_PRODAJA!$A:$A,0)),0)</f>
        <v>0</v>
      </c>
      <c r="W602" s="23" t="n">
        <f aca="false">IFERROR(INDEX(PODACI_PRODAJA!F:F,MATCH($A602,PODACI_PRODAJA!$A:$A,0)),0)</f>
        <v>0</v>
      </c>
      <c r="X602" s="23" t="n">
        <f aca="false">IFERROR(INDEX(PODACI_PRODAJA!G:G,MATCH($A602,PODACI_PRODAJA!$A:$A,0)),0)</f>
        <v>0</v>
      </c>
      <c r="Y602" s="23" t="n">
        <f aca="false">IFERROR(INDEX(PODACI_PRODAJA!H:H,MATCH($A602,PODACI_PRODAJA!$A:$A,0)),0)</f>
        <v>0</v>
      </c>
      <c r="Z602" s="23" t="n">
        <f aca="false">IFERROR(INDEX(PODACI_PRODAJA!I:I,MATCH($A602,PODACI_PRODAJA!$A:$A,0)),0)</f>
        <v>0</v>
      </c>
      <c r="AA602" s="23" t="n">
        <f aca="false">IFERROR(INDEX(PODACI_PRODAJA!J:J,MATCH($A602,PODACI_PRODAJA!$A:$A,0)),0)</f>
        <v>0</v>
      </c>
      <c r="AB602" s="23" t="n">
        <f aca="false">IFERROR(INDEX(PODACI_PRODAJA!K:K,MATCH($A602,PODACI_PRODAJA!$A:$A,0)),0)</f>
        <v>0</v>
      </c>
      <c r="AC602" s="23" t="n">
        <f aca="false">IFERROR(INDEX(PODACI_PRODAJA!L:L,MATCH($A602,PODACI_PRODAJA!$A:$A,0)),0)</f>
        <v>0</v>
      </c>
      <c r="AD602" s="23" t="n">
        <f aca="false">IFERROR(INDEX(PODACI_PRODAJA!M:M,MATCH($A602,PODACI_PRODAJA!$A:$A,0)),0)</f>
        <v>0</v>
      </c>
    </row>
    <row r="603" customFormat="false" ht="15" hidden="false" customHeight="false" outlineLevel="0" collapsed="false">
      <c r="A603" s="11" t="str">
        <f aca="false">PODACI_ZALIHE!A600</f>
        <v>17280</v>
      </c>
      <c r="B603" s="8" t="str">
        <f aca="false">PODACI_ZALIHE!B600</f>
        <v>UMIVAONIK MATTE 90x46x12cm PN900-460</v>
      </c>
      <c r="C603" s="9" t="str">
        <f aca="false">PODACI_ZALIHE!C600</f>
        <v>7032</v>
      </c>
      <c r="D603" s="8" t="str">
        <f aca="false">PODACI_ZALIHE!D600</f>
        <v>VANGUARD BATH &amp; KITCHEN CO., LIMITED</v>
      </c>
      <c r="E603" s="19" t="n">
        <f aca="false">IF(PODACI_ZALIHE!E600="","",PODACI_ZALIHE!E600)</f>
        <v>1</v>
      </c>
      <c r="F603" s="20" t="n">
        <f aca="false">PODACI_ZALIHE!F600</f>
        <v>1</v>
      </c>
      <c r="G603" s="19" t="n">
        <f aca="false">IF(E603="","",E603-F603)</f>
        <v>0</v>
      </c>
      <c r="H603" s="9" t="n">
        <v>0</v>
      </c>
      <c r="I603" s="21" t="n">
        <f aca="false">IF(H603&lt;=0,999,ROUND(F603/H603,1))</f>
        <v>999</v>
      </c>
      <c r="J603" s="9" t="n">
        <f aca="false">SUMIFS(ROBA_U_DOLASKU!$C$6:$C$95,ROBA_U_DOLASKU!$A$6:$A$95,A603,ROBA_U_DOLASKU!$H$6:$H$95,1)</f>
        <v>0</v>
      </c>
      <c r="K603" s="9" t="n">
        <f aca="false">SUMIFS(ROBA_U_DOLASKU!$B$6:$B$95,ROBA_U_DOLASKU!$A$6:$A$95,A603,ROBA_U_DOLASKU!$H$6:$H$95,1)</f>
        <v>0</v>
      </c>
      <c r="L603" s="9" t="n">
        <f aca="false">SUMIFS(ROBA_U_DOLASKU!$C$6:$C$95,ROBA_U_DOLASKU!$A$6:$A$95,A603,ROBA_U_DOLASKU!$H$6:$H$95,2)</f>
        <v>0</v>
      </c>
      <c r="M603" s="9" t="n">
        <f aca="false">SUMIFS(ROBA_U_DOLASKU!$B$6:$B$95,ROBA_U_DOLASKU!$A$6:$A$95,A603,ROBA_U_DOLASKU!$H$6:$H$95,2)</f>
        <v>0</v>
      </c>
      <c r="N603" s="9" t="n">
        <f aca="false">SUMIFS(ROBA_U_DOLASKU!$C$6:$C$95,ROBA_U_DOLASKU!$A$6:$A$95,A603,ROBA_U_DOLASKU!$H$6:$H$95,3)</f>
        <v>0</v>
      </c>
      <c r="O603" s="9" t="n">
        <f aca="false">SUMIFS(ROBA_U_DOLASKU!$B$6:$B$95,ROBA_U_DOLASKU!$A$6:$A$95,A603,ROBA_U_DOLASKU!$H$6:$H$95,3)</f>
        <v>0</v>
      </c>
      <c r="P603" s="9" t="n">
        <f aca="false">IF(H603&lt;=0,999,IF(O603&gt;0,ROUND((F603-H603*N603+K603+M603+O603)/H603,1),IF(M603&gt;0,ROUND((F603-H603*L603+K603+M603)/H603,1),IF(K603&gt;0,ROUND((F603-H603*J603+K603)/H603,1),I603))))</f>
        <v>999</v>
      </c>
      <c r="Q603" s="22" t="str">
        <f aca="false">IF(H603&lt;=0,"Nema prodaje",IF(AND(K603=0,M603=0,O603=0),IF(I603&lt;POSTAVKE!$B$6,"Naruči odmah","Sve u redu"),IF(F603-H603*J603&lt;0,"Rupa za ~"&amp;TEXT(I603,"0.0")&amp;" mj.",IF(AND(M603&gt;0,F603-H603*L603+K603&lt;0),"Rupa nakon 1. dolaska",IF(AND(O603&gt;0,F603-H603*N603+K603+M603&lt;0),"Rupa nakon 2. dolaska",IF(P603&lt;POSTAVKE!$B$6,"Količina nije dovoljna",IF(I603&gt;=POSTAVKE!$B$6,"Sve u redu","Stiže na vrijeme")))))))</f>
        <v>Nema prodaje</v>
      </c>
      <c r="S603" s="23" t="n">
        <f aca="false">IFERROR(INDEX(PODACI_PRODAJA!B:B,MATCH($A603,PODACI_PRODAJA!$A:$A,0)),0)</f>
        <v>0</v>
      </c>
      <c r="T603" s="23" t="n">
        <f aca="false">IFERROR(INDEX(PODACI_PRODAJA!C:C,MATCH($A603,PODACI_PRODAJA!$A:$A,0)),0)</f>
        <v>0</v>
      </c>
      <c r="U603" s="23" t="n">
        <f aca="false">IFERROR(INDEX(PODACI_PRODAJA!D:D,MATCH($A603,PODACI_PRODAJA!$A:$A,0)),0)</f>
        <v>0</v>
      </c>
      <c r="V603" s="23" t="n">
        <f aca="false">IFERROR(INDEX(PODACI_PRODAJA!E:E,MATCH($A603,PODACI_PRODAJA!$A:$A,0)),0)</f>
        <v>0</v>
      </c>
      <c r="W603" s="23" t="n">
        <f aca="false">IFERROR(INDEX(PODACI_PRODAJA!F:F,MATCH($A603,PODACI_PRODAJA!$A:$A,0)),0)</f>
        <v>0</v>
      </c>
      <c r="X603" s="23" t="n">
        <f aca="false">IFERROR(INDEX(PODACI_PRODAJA!G:G,MATCH($A603,PODACI_PRODAJA!$A:$A,0)),0)</f>
        <v>0</v>
      </c>
      <c r="Y603" s="23" t="n">
        <f aca="false">IFERROR(INDEX(PODACI_PRODAJA!H:H,MATCH($A603,PODACI_PRODAJA!$A:$A,0)),0)</f>
        <v>0</v>
      </c>
      <c r="Z603" s="23" t="n">
        <f aca="false">IFERROR(INDEX(PODACI_PRODAJA!I:I,MATCH($A603,PODACI_PRODAJA!$A:$A,0)),0)</f>
        <v>0</v>
      </c>
      <c r="AA603" s="23" t="n">
        <f aca="false">IFERROR(INDEX(PODACI_PRODAJA!J:J,MATCH($A603,PODACI_PRODAJA!$A:$A,0)),0)</f>
        <v>0</v>
      </c>
      <c r="AB603" s="23" t="n">
        <f aca="false">IFERROR(INDEX(PODACI_PRODAJA!K:K,MATCH($A603,PODACI_PRODAJA!$A:$A,0)),0)</f>
        <v>0</v>
      </c>
      <c r="AC603" s="23" t="n">
        <f aca="false">IFERROR(INDEX(PODACI_PRODAJA!L:L,MATCH($A603,PODACI_PRODAJA!$A:$A,0)),0)</f>
        <v>0</v>
      </c>
      <c r="AD603" s="23" t="n">
        <f aca="false">IFERROR(INDEX(PODACI_PRODAJA!M:M,MATCH($A603,PODACI_PRODAJA!$A:$A,0)),0)</f>
        <v>0</v>
      </c>
    </row>
    <row r="604" customFormat="false" ht="15" hidden="false" customHeight="false" outlineLevel="0" collapsed="false">
      <c r="A604" s="11" t="str">
        <f aca="false">PODACI_ZALIHE!A601</f>
        <v>17281</v>
      </c>
      <c r="B604" s="8" t="str">
        <f aca="false">PODACI_ZALIHE!B601</f>
        <v>UMIVAONIK BIJELI GLOSS 75x46x27cm   PJ750-460</v>
      </c>
      <c r="C604" s="9" t="str">
        <f aca="false">PODACI_ZALIHE!C601</f>
        <v>7032</v>
      </c>
      <c r="D604" s="8" t="str">
        <f aca="false">PODACI_ZALIHE!D601</f>
        <v>VANGUARD BATH &amp; KITCHEN CO., LIMITED</v>
      </c>
      <c r="E604" s="19" t="n">
        <f aca="false">IF(PODACI_ZALIHE!E601="","",PODACI_ZALIHE!E601)</f>
        <v>1</v>
      </c>
      <c r="F604" s="20" t="n">
        <f aca="false">PODACI_ZALIHE!F601</f>
        <v>1</v>
      </c>
      <c r="G604" s="19" t="n">
        <f aca="false">IF(E604="","",E604-F604)</f>
        <v>0</v>
      </c>
      <c r="H604" s="9" t="n">
        <v>0</v>
      </c>
      <c r="I604" s="21" t="n">
        <f aca="false">IF(H604&lt;=0,999,ROUND(F604/H604,1))</f>
        <v>999</v>
      </c>
      <c r="J604" s="9" t="n">
        <f aca="false">SUMIFS(ROBA_U_DOLASKU!$C$6:$C$95,ROBA_U_DOLASKU!$A$6:$A$95,A604,ROBA_U_DOLASKU!$H$6:$H$95,1)</f>
        <v>0</v>
      </c>
      <c r="K604" s="9" t="n">
        <f aca="false">SUMIFS(ROBA_U_DOLASKU!$B$6:$B$95,ROBA_U_DOLASKU!$A$6:$A$95,A604,ROBA_U_DOLASKU!$H$6:$H$95,1)</f>
        <v>0</v>
      </c>
      <c r="L604" s="9" t="n">
        <f aca="false">SUMIFS(ROBA_U_DOLASKU!$C$6:$C$95,ROBA_U_DOLASKU!$A$6:$A$95,A604,ROBA_U_DOLASKU!$H$6:$H$95,2)</f>
        <v>0</v>
      </c>
      <c r="M604" s="9" t="n">
        <f aca="false">SUMIFS(ROBA_U_DOLASKU!$B$6:$B$95,ROBA_U_DOLASKU!$A$6:$A$95,A604,ROBA_U_DOLASKU!$H$6:$H$95,2)</f>
        <v>0</v>
      </c>
      <c r="N604" s="9" t="n">
        <f aca="false">SUMIFS(ROBA_U_DOLASKU!$C$6:$C$95,ROBA_U_DOLASKU!$A$6:$A$95,A604,ROBA_U_DOLASKU!$H$6:$H$95,3)</f>
        <v>0</v>
      </c>
      <c r="O604" s="9" t="n">
        <f aca="false">SUMIFS(ROBA_U_DOLASKU!$B$6:$B$95,ROBA_U_DOLASKU!$A$6:$A$95,A604,ROBA_U_DOLASKU!$H$6:$H$95,3)</f>
        <v>0</v>
      </c>
      <c r="P604" s="9" t="n">
        <f aca="false">IF(H604&lt;=0,999,IF(O604&gt;0,ROUND((F604-H604*N604+K604+M604+O604)/H604,1),IF(M604&gt;0,ROUND((F604-H604*L604+K604+M604)/H604,1),IF(K604&gt;0,ROUND((F604-H604*J604+K604)/H604,1),I604))))</f>
        <v>999</v>
      </c>
      <c r="Q604" s="22" t="str">
        <f aca="false">IF(H604&lt;=0,"Nema prodaje",IF(AND(K604=0,M604=0,O604=0),IF(I604&lt;POSTAVKE!$B$6,"Naruči odmah","Sve u redu"),IF(F604-H604*J604&lt;0,"Rupa za ~"&amp;TEXT(I604,"0.0")&amp;" mj.",IF(AND(M604&gt;0,F604-H604*L604+K604&lt;0),"Rupa nakon 1. dolaska",IF(AND(O604&gt;0,F604-H604*N604+K604+M604&lt;0),"Rupa nakon 2. dolaska",IF(P604&lt;POSTAVKE!$B$6,"Količina nije dovoljna",IF(I604&gt;=POSTAVKE!$B$6,"Sve u redu","Stiže na vrijeme")))))))</f>
        <v>Nema prodaje</v>
      </c>
      <c r="S604" s="23" t="n">
        <f aca="false">IFERROR(INDEX(PODACI_PRODAJA!B:B,MATCH($A604,PODACI_PRODAJA!$A:$A,0)),0)</f>
        <v>0</v>
      </c>
      <c r="T604" s="23" t="n">
        <f aca="false">IFERROR(INDEX(PODACI_PRODAJA!C:C,MATCH($A604,PODACI_PRODAJA!$A:$A,0)),0)</f>
        <v>0</v>
      </c>
      <c r="U604" s="23" t="n">
        <f aca="false">IFERROR(INDEX(PODACI_PRODAJA!D:D,MATCH($A604,PODACI_PRODAJA!$A:$A,0)),0)</f>
        <v>0</v>
      </c>
      <c r="V604" s="23" t="n">
        <f aca="false">IFERROR(INDEX(PODACI_PRODAJA!E:E,MATCH($A604,PODACI_PRODAJA!$A:$A,0)),0)</f>
        <v>0</v>
      </c>
      <c r="W604" s="23" t="n">
        <f aca="false">IFERROR(INDEX(PODACI_PRODAJA!F:F,MATCH($A604,PODACI_PRODAJA!$A:$A,0)),0)</f>
        <v>0</v>
      </c>
      <c r="X604" s="23" t="n">
        <f aca="false">IFERROR(INDEX(PODACI_PRODAJA!G:G,MATCH($A604,PODACI_PRODAJA!$A:$A,0)),0)</f>
        <v>0</v>
      </c>
      <c r="Y604" s="23" t="n">
        <f aca="false">IFERROR(INDEX(PODACI_PRODAJA!H:H,MATCH($A604,PODACI_PRODAJA!$A:$A,0)),0)</f>
        <v>0</v>
      </c>
      <c r="Z604" s="23" t="n">
        <f aca="false">IFERROR(INDEX(PODACI_PRODAJA!I:I,MATCH($A604,PODACI_PRODAJA!$A:$A,0)),0)</f>
        <v>0</v>
      </c>
      <c r="AA604" s="23" t="n">
        <f aca="false">IFERROR(INDEX(PODACI_PRODAJA!J:J,MATCH($A604,PODACI_PRODAJA!$A:$A,0)),0)</f>
        <v>0</v>
      </c>
      <c r="AB604" s="23" t="n">
        <f aca="false">IFERROR(INDEX(PODACI_PRODAJA!K:K,MATCH($A604,PODACI_PRODAJA!$A:$A,0)),0)</f>
        <v>0</v>
      </c>
      <c r="AC604" s="23" t="n">
        <f aca="false">IFERROR(INDEX(PODACI_PRODAJA!L:L,MATCH($A604,PODACI_PRODAJA!$A:$A,0)),0)</f>
        <v>0</v>
      </c>
      <c r="AD604" s="23" t="n">
        <f aca="false">IFERROR(INDEX(PODACI_PRODAJA!M:M,MATCH($A604,PODACI_PRODAJA!$A:$A,0)),0)</f>
        <v>0</v>
      </c>
    </row>
    <row r="605" customFormat="false" ht="15" hidden="false" customHeight="false" outlineLevel="0" collapsed="false">
      <c r="A605" s="11" t="str">
        <f aca="false">PODACI_ZALIHE!A602</f>
        <v>17282</v>
      </c>
      <c r="B605" s="8" t="str">
        <f aca="false">PODACI_ZALIHE!B602</f>
        <v>UMIVANIK BIJELI WASH 120x46x27cm PJ1200-4600</v>
      </c>
      <c r="C605" s="9" t="str">
        <f aca="false">PODACI_ZALIHE!C602</f>
        <v>7032</v>
      </c>
      <c r="D605" s="8" t="str">
        <f aca="false">PODACI_ZALIHE!D602</f>
        <v>VANGUARD BATH &amp; KITCHEN CO., LIMITED</v>
      </c>
      <c r="E605" s="19" t="n">
        <f aca="false">IF(PODACI_ZALIHE!E602="","",PODACI_ZALIHE!E602)</f>
        <v>1</v>
      </c>
      <c r="F605" s="20" t="n">
        <f aca="false">PODACI_ZALIHE!F602</f>
        <v>1</v>
      </c>
      <c r="G605" s="19" t="n">
        <f aca="false">IF(E605="","",E605-F605)</f>
        <v>0</v>
      </c>
      <c r="H605" s="9" t="n">
        <v>0</v>
      </c>
      <c r="I605" s="21" t="n">
        <f aca="false">IF(H605&lt;=0,999,ROUND(F605/H605,1))</f>
        <v>999</v>
      </c>
      <c r="J605" s="9" t="n">
        <f aca="false">SUMIFS(ROBA_U_DOLASKU!$C$6:$C$95,ROBA_U_DOLASKU!$A$6:$A$95,A605,ROBA_U_DOLASKU!$H$6:$H$95,1)</f>
        <v>0</v>
      </c>
      <c r="K605" s="9" t="n">
        <f aca="false">SUMIFS(ROBA_U_DOLASKU!$B$6:$B$95,ROBA_U_DOLASKU!$A$6:$A$95,A605,ROBA_U_DOLASKU!$H$6:$H$95,1)</f>
        <v>0</v>
      </c>
      <c r="L605" s="9" t="n">
        <f aca="false">SUMIFS(ROBA_U_DOLASKU!$C$6:$C$95,ROBA_U_DOLASKU!$A$6:$A$95,A605,ROBA_U_DOLASKU!$H$6:$H$95,2)</f>
        <v>0</v>
      </c>
      <c r="M605" s="9" t="n">
        <f aca="false">SUMIFS(ROBA_U_DOLASKU!$B$6:$B$95,ROBA_U_DOLASKU!$A$6:$A$95,A605,ROBA_U_DOLASKU!$H$6:$H$95,2)</f>
        <v>0</v>
      </c>
      <c r="N605" s="9" t="n">
        <f aca="false">SUMIFS(ROBA_U_DOLASKU!$C$6:$C$95,ROBA_U_DOLASKU!$A$6:$A$95,A605,ROBA_U_DOLASKU!$H$6:$H$95,3)</f>
        <v>0</v>
      </c>
      <c r="O605" s="9" t="n">
        <f aca="false">SUMIFS(ROBA_U_DOLASKU!$B$6:$B$95,ROBA_U_DOLASKU!$A$6:$A$95,A605,ROBA_U_DOLASKU!$H$6:$H$95,3)</f>
        <v>0</v>
      </c>
      <c r="P605" s="9" t="n">
        <f aca="false">IF(H605&lt;=0,999,IF(O605&gt;0,ROUND((F605-H605*N605+K605+M605+O605)/H605,1),IF(M605&gt;0,ROUND((F605-H605*L605+K605+M605)/H605,1),IF(K605&gt;0,ROUND((F605-H605*J605+K605)/H605,1),I605))))</f>
        <v>999</v>
      </c>
      <c r="Q605" s="22" t="str">
        <f aca="false">IF(H605&lt;=0,"Nema prodaje",IF(AND(K605=0,M605=0,O605=0),IF(I605&lt;POSTAVKE!$B$6,"Naruči odmah","Sve u redu"),IF(F605-H605*J605&lt;0,"Rupa za ~"&amp;TEXT(I605,"0.0")&amp;" mj.",IF(AND(M605&gt;0,F605-H605*L605+K605&lt;0),"Rupa nakon 1. dolaska",IF(AND(O605&gt;0,F605-H605*N605+K605+M605&lt;0),"Rupa nakon 2. dolaska",IF(P605&lt;POSTAVKE!$B$6,"Količina nije dovoljna",IF(I605&gt;=POSTAVKE!$B$6,"Sve u redu","Stiže na vrijeme")))))))</f>
        <v>Nema prodaje</v>
      </c>
      <c r="S605" s="23" t="n">
        <f aca="false">IFERROR(INDEX(PODACI_PRODAJA!B:B,MATCH($A605,PODACI_PRODAJA!$A:$A,0)),0)</f>
        <v>0</v>
      </c>
      <c r="T605" s="23" t="n">
        <f aca="false">IFERROR(INDEX(PODACI_PRODAJA!C:C,MATCH($A605,PODACI_PRODAJA!$A:$A,0)),0)</f>
        <v>0</v>
      </c>
      <c r="U605" s="23" t="n">
        <f aca="false">IFERROR(INDEX(PODACI_PRODAJA!D:D,MATCH($A605,PODACI_PRODAJA!$A:$A,0)),0)</f>
        <v>0</v>
      </c>
      <c r="V605" s="23" t="n">
        <f aca="false">IFERROR(INDEX(PODACI_PRODAJA!E:E,MATCH($A605,PODACI_PRODAJA!$A:$A,0)),0)</f>
        <v>0</v>
      </c>
      <c r="W605" s="23" t="n">
        <f aca="false">IFERROR(INDEX(PODACI_PRODAJA!F:F,MATCH($A605,PODACI_PRODAJA!$A:$A,0)),0)</f>
        <v>0</v>
      </c>
      <c r="X605" s="23" t="n">
        <f aca="false">IFERROR(INDEX(PODACI_PRODAJA!G:G,MATCH($A605,PODACI_PRODAJA!$A:$A,0)),0)</f>
        <v>0</v>
      </c>
      <c r="Y605" s="23" t="n">
        <f aca="false">IFERROR(INDEX(PODACI_PRODAJA!H:H,MATCH($A605,PODACI_PRODAJA!$A:$A,0)),0)</f>
        <v>0</v>
      </c>
      <c r="Z605" s="23" t="n">
        <f aca="false">IFERROR(INDEX(PODACI_PRODAJA!I:I,MATCH($A605,PODACI_PRODAJA!$A:$A,0)),0)</f>
        <v>0</v>
      </c>
      <c r="AA605" s="23" t="n">
        <f aca="false">IFERROR(INDEX(PODACI_PRODAJA!J:J,MATCH($A605,PODACI_PRODAJA!$A:$A,0)),0)</f>
        <v>0</v>
      </c>
      <c r="AB605" s="23" t="n">
        <f aca="false">IFERROR(INDEX(PODACI_PRODAJA!K:K,MATCH($A605,PODACI_PRODAJA!$A:$A,0)),0)</f>
        <v>0</v>
      </c>
      <c r="AC605" s="23" t="n">
        <f aca="false">IFERROR(INDEX(PODACI_PRODAJA!L:L,MATCH($A605,PODACI_PRODAJA!$A:$A,0)),0)</f>
        <v>0</v>
      </c>
      <c r="AD605" s="23" t="n">
        <f aca="false">IFERROR(INDEX(PODACI_PRODAJA!M:M,MATCH($A605,PODACI_PRODAJA!$A:$A,0)),0)</f>
        <v>0</v>
      </c>
    </row>
    <row r="606" customFormat="false" ht="15" hidden="false" customHeight="false" outlineLevel="0" collapsed="false">
      <c r="A606" s="11" t="str">
        <f aca="false">PODACI_ZALIHE!A603</f>
        <v>17283</v>
      </c>
      <c r="B606" s="8" t="str">
        <f aca="false">PODACI_ZALIHE!B603</f>
        <v>KADA BOLOGNA MATTE 170x80x58,5cm  BOL17080BTW</v>
      </c>
      <c r="C606" s="9" t="str">
        <f aca="false">PODACI_ZALIHE!C603</f>
        <v>7032</v>
      </c>
      <c r="D606" s="8" t="str">
        <f aca="false">PODACI_ZALIHE!D603</f>
        <v>VANGUARD BATH &amp; KITCHEN CO., LIMITED</v>
      </c>
      <c r="E606" s="19" t="n">
        <f aca="false">IF(PODACI_ZALIHE!E603="","",PODACI_ZALIHE!E603)</f>
        <v>1</v>
      </c>
      <c r="F606" s="20" t="n">
        <f aca="false">PODACI_ZALIHE!F603</f>
        <v>1</v>
      </c>
      <c r="G606" s="19" t="n">
        <f aca="false">IF(E606="","",E606-F606)</f>
        <v>0</v>
      </c>
      <c r="H606" s="9" t="n">
        <v>0</v>
      </c>
      <c r="I606" s="21" t="n">
        <f aca="false">IF(H606&lt;=0,999,ROUND(F606/H606,1))</f>
        <v>999</v>
      </c>
      <c r="J606" s="9" t="n">
        <f aca="false">SUMIFS(ROBA_U_DOLASKU!$C$6:$C$95,ROBA_U_DOLASKU!$A$6:$A$95,A606,ROBA_U_DOLASKU!$H$6:$H$95,1)</f>
        <v>0</v>
      </c>
      <c r="K606" s="9" t="n">
        <f aca="false">SUMIFS(ROBA_U_DOLASKU!$B$6:$B$95,ROBA_U_DOLASKU!$A$6:$A$95,A606,ROBA_U_DOLASKU!$H$6:$H$95,1)</f>
        <v>0</v>
      </c>
      <c r="L606" s="9" t="n">
        <f aca="false">SUMIFS(ROBA_U_DOLASKU!$C$6:$C$95,ROBA_U_DOLASKU!$A$6:$A$95,A606,ROBA_U_DOLASKU!$H$6:$H$95,2)</f>
        <v>0</v>
      </c>
      <c r="M606" s="9" t="n">
        <f aca="false">SUMIFS(ROBA_U_DOLASKU!$B$6:$B$95,ROBA_U_DOLASKU!$A$6:$A$95,A606,ROBA_U_DOLASKU!$H$6:$H$95,2)</f>
        <v>0</v>
      </c>
      <c r="N606" s="9" t="n">
        <f aca="false">SUMIFS(ROBA_U_DOLASKU!$C$6:$C$95,ROBA_U_DOLASKU!$A$6:$A$95,A606,ROBA_U_DOLASKU!$H$6:$H$95,3)</f>
        <v>0</v>
      </c>
      <c r="O606" s="9" t="n">
        <f aca="false">SUMIFS(ROBA_U_DOLASKU!$B$6:$B$95,ROBA_U_DOLASKU!$A$6:$A$95,A606,ROBA_U_DOLASKU!$H$6:$H$95,3)</f>
        <v>0</v>
      </c>
      <c r="P606" s="9" t="n">
        <f aca="false">IF(H606&lt;=0,999,IF(O606&gt;0,ROUND((F606-H606*N606+K606+M606+O606)/H606,1),IF(M606&gt;0,ROUND((F606-H606*L606+K606+M606)/H606,1),IF(K606&gt;0,ROUND((F606-H606*J606+K606)/H606,1),I606))))</f>
        <v>999</v>
      </c>
      <c r="Q606" s="22" t="str">
        <f aca="false">IF(H606&lt;=0,"Nema prodaje",IF(AND(K606=0,M606=0,O606=0),IF(I606&lt;POSTAVKE!$B$6,"Naruči odmah","Sve u redu"),IF(F606-H606*J606&lt;0,"Rupa za ~"&amp;TEXT(I606,"0.0")&amp;" mj.",IF(AND(M606&gt;0,F606-H606*L606+K606&lt;0),"Rupa nakon 1. dolaska",IF(AND(O606&gt;0,F606-H606*N606+K606+M606&lt;0),"Rupa nakon 2. dolaska",IF(P606&lt;POSTAVKE!$B$6,"Količina nije dovoljna",IF(I606&gt;=POSTAVKE!$B$6,"Sve u redu","Stiže na vrijeme")))))))</f>
        <v>Nema prodaje</v>
      </c>
      <c r="S606" s="23" t="n">
        <f aca="false">IFERROR(INDEX(PODACI_PRODAJA!B:B,MATCH($A606,PODACI_PRODAJA!$A:$A,0)),0)</f>
        <v>0</v>
      </c>
      <c r="T606" s="23" t="n">
        <f aca="false">IFERROR(INDEX(PODACI_PRODAJA!C:C,MATCH($A606,PODACI_PRODAJA!$A:$A,0)),0)</f>
        <v>0</v>
      </c>
      <c r="U606" s="23" t="n">
        <f aca="false">IFERROR(INDEX(PODACI_PRODAJA!D:D,MATCH($A606,PODACI_PRODAJA!$A:$A,0)),0)</f>
        <v>0</v>
      </c>
      <c r="V606" s="23" t="n">
        <f aca="false">IFERROR(INDEX(PODACI_PRODAJA!E:E,MATCH($A606,PODACI_PRODAJA!$A:$A,0)),0)</f>
        <v>0</v>
      </c>
      <c r="W606" s="23" t="n">
        <f aca="false">IFERROR(INDEX(PODACI_PRODAJA!F:F,MATCH($A606,PODACI_PRODAJA!$A:$A,0)),0)</f>
        <v>0</v>
      </c>
      <c r="X606" s="23" t="n">
        <f aca="false">IFERROR(INDEX(PODACI_PRODAJA!G:G,MATCH($A606,PODACI_PRODAJA!$A:$A,0)),0)</f>
        <v>0</v>
      </c>
      <c r="Y606" s="23" t="n">
        <f aca="false">IFERROR(INDEX(PODACI_PRODAJA!H:H,MATCH($A606,PODACI_PRODAJA!$A:$A,0)),0)</f>
        <v>0</v>
      </c>
      <c r="Z606" s="23" t="n">
        <f aca="false">IFERROR(INDEX(PODACI_PRODAJA!I:I,MATCH($A606,PODACI_PRODAJA!$A:$A,0)),0)</f>
        <v>0</v>
      </c>
      <c r="AA606" s="23" t="n">
        <f aca="false">IFERROR(INDEX(PODACI_PRODAJA!J:J,MATCH($A606,PODACI_PRODAJA!$A:$A,0)),0)</f>
        <v>0</v>
      </c>
      <c r="AB606" s="23" t="n">
        <f aca="false">IFERROR(INDEX(PODACI_PRODAJA!K:K,MATCH($A606,PODACI_PRODAJA!$A:$A,0)),0)</f>
        <v>0</v>
      </c>
      <c r="AC606" s="23" t="n">
        <f aca="false">IFERROR(INDEX(PODACI_PRODAJA!L:L,MATCH($A606,PODACI_PRODAJA!$A:$A,0)),0)</f>
        <v>0</v>
      </c>
      <c r="AD606" s="23" t="n">
        <f aca="false">IFERROR(INDEX(PODACI_PRODAJA!M:M,MATCH($A606,PODACI_PRODAJA!$A:$A,0)),0)</f>
        <v>0</v>
      </c>
    </row>
    <row r="607" customFormat="false" ht="15" hidden="false" customHeight="false" outlineLevel="0" collapsed="false">
      <c r="A607" s="11" t="str">
        <f aca="false">PODACI_ZALIHE!A604</f>
        <v>17285</v>
      </c>
      <c r="B607" s="8" t="str">
        <f aca="false">PODACI_ZALIHE!B604</f>
        <v>TUŠ KADA BIJELA 80x120cm AST010080120</v>
      </c>
      <c r="C607" s="9" t="str">
        <f aca="false">PODACI_ZALIHE!C604</f>
        <v>7032</v>
      </c>
      <c r="D607" s="8" t="str">
        <f aca="false">PODACI_ZALIHE!D604</f>
        <v>VANGUARD BATH &amp; KITCHEN CO., LIMITED</v>
      </c>
      <c r="E607" s="19" t="n">
        <f aca="false">IF(PODACI_ZALIHE!E604="","",PODACI_ZALIHE!E604)</f>
        <v>1</v>
      </c>
      <c r="F607" s="20" t="n">
        <f aca="false">PODACI_ZALIHE!F604</f>
        <v>1</v>
      </c>
      <c r="G607" s="19" t="n">
        <f aca="false">IF(E607="","",E607-F607)</f>
        <v>0</v>
      </c>
      <c r="H607" s="9" t="n">
        <v>0</v>
      </c>
      <c r="I607" s="21" t="n">
        <f aca="false">IF(H607&lt;=0,999,ROUND(F607/H607,1))</f>
        <v>999</v>
      </c>
      <c r="J607" s="9" t="n">
        <f aca="false">SUMIFS(ROBA_U_DOLASKU!$C$6:$C$95,ROBA_U_DOLASKU!$A$6:$A$95,A607,ROBA_U_DOLASKU!$H$6:$H$95,1)</f>
        <v>0</v>
      </c>
      <c r="K607" s="9" t="n">
        <f aca="false">SUMIFS(ROBA_U_DOLASKU!$B$6:$B$95,ROBA_U_DOLASKU!$A$6:$A$95,A607,ROBA_U_DOLASKU!$H$6:$H$95,1)</f>
        <v>0</v>
      </c>
      <c r="L607" s="9" t="n">
        <f aca="false">SUMIFS(ROBA_U_DOLASKU!$C$6:$C$95,ROBA_U_DOLASKU!$A$6:$A$95,A607,ROBA_U_DOLASKU!$H$6:$H$95,2)</f>
        <v>0</v>
      </c>
      <c r="M607" s="9" t="n">
        <f aca="false">SUMIFS(ROBA_U_DOLASKU!$B$6:$B$95,ROBA_U_DOLASKU!$A$6:$A$95,A607,ROBA_U_DOLASKU!$H$6:$H$95,2)</f>
        <v>0</v>
      </c>
      <c r="N607" s="9" t="n">
        <f aca="false">SUMIFS(ROBA_U_DOLASKU!$C$6:$C$95,ROBA_U_DOLASKU!$A$6:$A$95,A607,ROBA_U_DOLASKU!$H$6:$H$95,3)</f>
        <v>0</v>
      </c>
      <c r="O607" s="9" t="n">
        <f aca="false">SUMIFS(ROBA_U_DOLASKU!$B$6:$B$95,ROBA_U_DOLASKU!$A$6:$A$95,A607,ROBA_U_DOLASKU!$H$6:$H$95,3)</f>
        <v>0</v>
      </c>
      <c r="P607" s="9" t="n">
        <f aca="false">IF(H607&lt;=0,999,IF(O607&gt;0,ROUND((F607-H607*N607+K607+M607+O607)/H607,1),IF(M607&gt;0,ROUND((F607-H607*L607+K607+M607)/H607,1),IF(K607&gt;0,ROUND((F607-H607*J607+K607)/H607,1),I607))))</f>
        <v>999</v>
      </c>
      <c r="Q607" s="22" t="str">
        <f aca="false">IF(H607&lt;=0,"Nema prodaje",IF(AND(K607=0,M607=0,O607=0),IF(I607&lt;POSTAVKE!$B$6,"Naruči odmah","Sve u redu"),IF(F607-H607*J607&lt;0,"Rupa za ~"&amp;TEXT(I607,"0.0")&amp;" mj.",IF(AND(M607&gt;0,F607-H607*L607+K607&lt;0),"Rupa nakon 1. dolaska",IF(AND(O607&gt;0,F607-H607*N607+K607+M607&lt;0),"Rupa nakon 2. dolaska",IF(P607&lt;POSTAVKE!$B$6,"Količina nije dovoljna",IF(I607&gt;=POSTAVKE!$B$6,"Sve u redu","Stiže na vrijeme")))))))</f>
        <v>Nema prodaje</v>
      </c>
      <c r="S607" s="23" t="n">
        <f aca="false">IFERROR(INDEX(PODACI_PRODAJA!B:B,MATCH($A607,PODACI_PRODAJA!$A:$A,0)),0)</f>
        <v>0</v>
      </c>
      <c r="T607" s="23" t="n">
        <f aca="false">IFERROR(INDEX(PODACI_PRODAJA!C:C,MATCH($A607,PODACI_PRODAJA!$A:$A,0)),0)</f>
        <v>0</v>
      </c>
      <c r="U607" s="23" t="n">
        <f aca="false">IFERROR(INDEX(PODACI_PRODAJA!D:D,MATCH($A607,PODACI_PRODAJA!$A:$A,0)),0)</f>
        <v>0</v>
      </c>
      <c r="V607" s="23" t="n">
        <f aca="false">IFERROR(INDEX(PODACI_PRODAJA!E:E,MATCH($A607,PODACI_PRODAJA!$A:$A,0)),0)</f>
        <v>0</v>
      </c>
      <c r="W607" s="23" t="n">
        <f aca="false">IFERROR(INDEX(PODACI_PRODAJA!F:F,MATCH($A607,PODACI_PRODAJA!$A:$A,0)),0)</f>
        <v>0</v>
      </c>
      <c r="X607" s="23" t="n">
        <f aca="false">IFERROR(INDEX(PODACI_PRODAJA!G:G,MATCH($A607,PODACI_PRODAJA!$A:$A,0)),0)</f>
        <v>0</v>
      </c>
      <c r="Y607" s="23" t="n">
        <f aca="false">IFERROR(INDEX(PODACI_PRODAJA!H:H,MATCH($A607,PODACI_PRODAJA!$A:$A,0)),0)</f>
        <v>0</v>
      </c>
      <c r="Z607" s="23" t="n">
        <f aca="false">IFERROR(INDEX(PODACI_PRODAJA!I:I,MATCH($A607,PODACI_PRODAJA!$A:$A,0)),0)</f>
        <v>0</v>
      </c>
      <c r="AA607" s="23" t="n">
        <f aca="false">IFERROR(INDEX(PODACI_PRODAJA!J:J,MATCH($A607,PODACI_PRODAJA!$A:$A,0)),0)</f>
        <v>0</v>
      </c>
      <c r="AB607" s="23" t="n">
        <f aca="false">IFERROR(INDEX(PODACI_PRODAJA!K:K,MATCH($A607,PODACI_PRODAJA!$A:$A,0)),0)</f>
        <v>0</v>
      </c>
      <c r="AC607" s="23" t="n">
        <f aca="false">IFERROR(INDEX(PODACI_PRODAJA!L:L,MATCH($A607,PODACI_PRODAJA!$A:$A,0)),0)</f>
        <v>0</v>
      </c>
      <c r="AD607" s="23" t="n">
        <f aca="false">IFERROR(INDEX(PODACI_PRODAJA!M:M,MATCH($A607,PODACI_PRODAJA!$A:$A,0)),0)</f>
        <v>0</v>
      </c>
    </row>
    <row r="608" customFormat="false" ht="15" hidden="false" customHeight="false" outlineLevel="0" collapsed="false">
      <c r="A608" s="11" t="str">
        <f aca="false">PODACI_ZALIHE!A605</f>
        <v>17286</v>
      </c>
      <c r="B608" s="8" t="str">
        <f aca="false">PODACI_ZALIHE!B605</f>
        <v>TUŠ KADA CRNA 80x120cm AST010090120</v>
      </c>
      <c r="C608" s="9" t="str">
        <f aca="false">PODACI_ZALIHE!C605</f>
        <v>7032</v>
      </c>
      <c r="D608" s="8" t="str">
        <f aca="false">PODACI_ZALIHE!D605</f>
        <v>VANGUARD BATH &amp; KITCHEN CO., LIMITED</v>
      </c>
      <c r="E608" s="19" t="n">
        <f aca="false">IF(PODACI_ZALIHE!E605="","",PODACI_ZALIHE!E605)</f>
        <v>1</v>
      </c>
      <c r="F608" s="20" t="n">
        <f aca="false">PODACI_ZALIHE!F605</f>
        <v>1</v>
      </c>
      <c r="G608" s="19" t="n">
        <f aca="false">IF(E608="","",E608-F608)</f>
        <v>0</v>
      </c>
      <c r="H608" s="9" t="n">
        <v>0</v>
      </c>
      <c r="I608" s="21" t="n">
        <f aca="false">IF(H608&lt;=0,999,ROUND(F608/H608,1))</f>
        <v>999</v>
      </c>
      <c r="J608" s="9" t="n">
        <f aca="false">SUMIFS(ROBA_U_DOLASKU!$C$6:$C$95,ROBA_U_DOLASKU!$A$6:$A$95,A608,ROBA_U_DOLASKU!$H$6:$H$95,1)</f>
        <v>0</v>
      </c>
      <c r="K608" s="9" t="n">
        <f aca="false">SUMIFS(ROBA_U_DOLASKU!$B$6:$B$95,ROBA_U_DOLASKU!$A$6:$A$95,A608,ROBA_U_DOLASKU!$H$6:$H$95,1)</f>
        <v>0</v>
      </c>
      <c r="L608" s="9" t="n">
        <f aca="false">SUMIFS(ROBA_U_DOLASKU!$C$6:$C$95,ROBA_U_DOLASKU!$A$6:$A$95,A608,ROBA_U_DOLASKU!$H$6:$H$95,2)</f>
        <v>0</v>
      </c>
      <c r="M608" s="9" t="n">
        <f aca="false">SUMIFS(ROBA_U_DOLASKU!$B$6:$B$95,ROBA_U_DOLASKU!$A$6:$A$95,A608,ROBA_U_DOLASKU!$H$6:$H$95,2)</f>
        <v>0</v>
      </c>
      <c r="N608" s="9" t="n">
        <f aca="false">SUMIFS(ROBA_U_DOLASKU!$C$6:$C$95,ROBA_U_DOLASKU!$A$6:$A$95,A608,ROBA_U_DOLASKU!$H$6:$H$95,3)</f>
        <v>0</v>
      </c>
      <c r="O608" s="9" t="n">
        <f aca="false">SUMIFS(ROBA_U_DOLASKU!$B$6:$B$95,ROBA_U_DOLASKU!$A$6:$A$95,A608,ROBA_U_DOLASKU!$H$6:$H$95,3)</f>
        <v>0</v>
      </c>
      <c r="P608" s="9" t="n">
        <f aca="false">IF(H608&lt;=0,999,IF(O608&gt;0,ROUND((F608-H608*N608+K608+M608+O608)/H608,1),IF(M608&gt;0,ROUND((F608-H608*L608+K608+M608)/H608,1),IF(K608&gt;0,ROUND((F608-H608*J608+K608)/H608,1),I608))))</f>
        <v>999</v>
      </c>
      <c r="Q608" s="22" t="str">
        <f aca="false">IF(H608&lt;=0,"Nema prodaje",IF(AND(K608=0,M608=0,O608=0),IF(I608&lt;POSTAVKE!$B$6,"Naruči odmah","Sve u redu"),IF(F608-H608*J608&lt;0,"Rupa za ~"&amp;TEXT(I608,"0.0")&amp;" mj.",IF(AND(M608&gt;0,F608-H608*L608+K608&lt;0),"Rupa nakon 1. dolaska",IF(AND(O608&gt;0,F608-H608*N608+K608+M608&lt;0),"Rupa nakon 2. dolaska",IF(P608&lt;POSTAVKE!$B$6,"Količina nije dovoljna",IF(I608&gt;=POSTAVKE!$B$6,"Sve u redu","Stiže na vrijeme")))))))</f>
        <v>Nema prodaje</v>
      </c>
      <c r="S608" s="23" t="n">
        <f aca="false">IFERROR(INDEX(PODACI_PRODAJA!B:B,MATCH($A608,PODACI_PRODAJA!$A:$A,0)),0)</f>
        <v>0</v>
      </c>
      <c r="T608" s="23" t="n">
        <f aca="false">IFERROR(INDEX(PODACI_PRODAJA!C:C,MATCH($A608,PODACI_PRODAJA!$A:$A,0)),0)</f>
        <v>0</v>
      </c>
      <c r="U608" s="23" t="n">
        <f aca="false">IFERROR(INDEX(PODACI_PRODAJA!D:D,MATCH($A608,PODACI_PRODAJA!$A:$A,0)),0)</f>
        <v>0</v>
      </c>
      <c r="V608" s="23" t="n">
        <f aca="false">IFERROR(INDEX(PODACI_PRODAJA!E:E,MATCH($A608,PODACI_PRODAJA!$A:$A,0)),0)</f>
        <v>0</v>
      </c>
      <c r="W608" s="23" t="n">
        <f aca="false">IFERROR(INDEX(PODACI_PRODAJA!F:F,MATCH($A608,PODACI_PRODAJA!$A:$A,0)),0)</f>
        <v>0</v>
      </c>
      <c r="X608" s="23" t="n">
        <f aca="false">IFERROR(INDEX(PODACI_PRODAJA!G:G,MATCH($A608,PODACI_PRODAJA!$A:$A,0)),0)</f>
        <v>0</v>
      </c>
      <c r="Y608" s="23" t="n">
        <f aca="false">IFERROR(INDEX(PODACI_PRODAJA!H:H,MATCH($A608,PODACI_PRODAJA!$A:$A,0)),0)</f>
        <v>0</v>
      </c>
      <c r="Z608" s="23" t="n">
        <f aca="false">IFERROR(INDEX(PODACI_PRODAJA!I:I,MATCH($A608,PODACI_PRODAJA!$A:$A,0)),0)</f>
        <v>0</v>
      </c>
      <c r="AA608" s="23" t="n">
        <f aca="false">IFERROR(INDEX(PODACI_PRODAJA!J:J,MATCH($A608,PODACI_PRODAJA!$A:$A,0)),0)</f>
        <v>0</v>
      </c>
      <c r="AB608" s="23" t="n">
        <f aca="false">IFERROR(INDEX(PODACI_PRODAJA!K:K,MATCH($A608,PODACI_PRODAJA!$A:$A,0)),0)</f>
        <v>0</v>
      </c>
      <c r="AC608" s="23" t="n">
        <f aca="false">IFERROR(INDEX(PODACI_PRODAJA!L:L,MATCH($A608,PODACI_PRODAJA!$A:$A,0)),0)</f>
        <v>0</v>
      </c>
      <c r="AD608" s="23" t="n">
        <f aca="false">IFERROR(INDEX(PODACI_PRODAJA!M:M,MATCH($A608,PODACI_PRODAJA!$A:$A,0)),0)</f>
        <v>0</v>
      </c>
    </row>
    <row r="609" customFormat="false" ht="15" hidden="false" customHeight="false" outlineLevel="0" collapsed="false">
      <c r="A609" s="11" t="str">
        <f aca="false">PODACI_ZALIHE!A606</f>
        <v>17287</v>
      </c>
      <c r="B609" s="8" t="str">
        <f aca="false">PODACI_ZALIHE!B606</f>
        <v>TUŠ KADA BEŽ 80x120cm AST010090120</v>
      </c>
      <c r="C609" s="9" t="str">
        <f aca="false">PODACI_ZALIHE!C606</f>
        <v>7032</v>
      </c>
      <c r="D609" s="8" t="str">
        <f aca="false">PODACI_ZALIHE!D606</f>
        <v>VANGUARD BATH &amp; KITCHEN CO., LIMITED</v>
      </c>
      <c r="E609" s="19" t="n">
        <f aca="false">IF(PODACI_ZALIHE!E606="","",PODACI_ZALIHE!E606)</f>
        <v>1</v>
      </c>
      <c r="F609" s="20" t="n">
        <f aca="false">PODACI_ZALIHE!F606</f>
        <v>1</v>
      </c>
      <c r="G609" s="19" t="n">
        <f aca="false">IF(E609="","",E609-F609)</f>
        <v>0</v>
      </c>
      <c r="H609" s="9" t="n">
        <v>0</v>
      </c>
      <c r="I609" s="21" t="n">
        <f aca="false">IF(H609&lt;=0,999,ROUND(F609/H609,1))</f>
        <v>999</v>
      </c>
      <c r="J609" s="9" t="n">
        <f aca="false">SUMIFS(ROBA_U_DOLASKU!$C$6:$C$95,ROBA_U_DOLASKU!$A$6:$A$95,A609,ROBA_U_DOLASKU!$H$6:$H$95,1)</f>
        <v>0</v>
      </c>
      <c r="K609" s="9" t="n">
        <f aca="false">SUMIFS(ROBA_U_DOLASKU!$B$6:$B$95,ROBA_U_DOLASKU!$A$6:$A$95,A609,ROBA_U_DOLASKU!$H$6:$H$95,1)</f>
        <v>0</v>
      </c>
      <c r="L609" s="9" t="n">
        <f aca="false">SUMIFS(ROBA_U_DOLASKU!$C$6:$C$95,ROBA_U_DOLASKU!$A$6:$A$95,A609,ROBA_U_DOLASKU!$H$6:$H$95,2)</f>
        <v>0</v>
      </c>
      <c r="M609" s="9" t="n">
        <f aca="false">SUMIFS(ROBA_U_DOLASKU!$B$6:$B$95,ROBA_U_DOLASKU!$A$6:$A$95,A609,ROBA_U_DOLASKU!$H$6:$H$95,2)</f>
        <v>0</v>
      </c>
      <c r="N609" s="9" t="n">
        <f aca="false">SUMIFS(ROBA_U_DOLASKU!$C$6:$C$95,ROBA_U_DOLASKU!$A$6:$A$95,A609,ROBA_U_DOLASKU!$H$6:$H$95,3)</f>
        <v>0</v>
      </c>
      <c r="O609" s="9" t="n">
        <f aca="false">SUMIFS(ROBA_U_DOLASKU!$B$6:$B$95,ROBA_U_DOLASKU!$A$6:$A$95,A609,ROBA_U_DOLASKU!$H$6:$H$95,3)</f>
        <v>0</v>
      </c>
      <c r="P609" s="9" t="n">
        <f aca="false">IF(H609&lt;=0,999,IF(O609&gt;0,ROUND((F609-H609*N609+K609+M609+O609)/H609,1),IF(M609&gt;0,ROUND((F609-H609*L609+K609+M609)/H609,1),IF(K609&gt;0,ROUND((F609-H609*J609+K609)/H609,1),I609))))</f>
        <v>999</v>
      </c>
      <c r="Q609" s="22" t="str">
        <f aca="false">IF(H609&lt;=0,"Nema prodaje",IF(AND(K609=0,M609=0,O609=0),IF(I609&lt;POSTAVKE!$B$6,"Naruči odmah","Sve u redu"),IF(F609-H609*J609&lt;0,"Rupa za ~"&amp;TEXT(I609,"0.0")&amp;" mj.",IF(AND(M609&gt;0,F609-H609*L609+K609&lt;0),"Rupa nakon 1. dolaska",IF(AND(O609&gt;0,F609-H609*N609+K609+M609&lt;0),"Rupa nakon 2. dolaska",IF(P609&lt;POSTAVKE!$B$6,"Količina nije dovoljna",IF(I609&gt;=POSTAVKE!$B$6,"Sve u redu","Stiže na vrijeme")))))))</f>
        <v>Nema prodaje</v>
      </c>
      <c r="S609" s="23" t="n">
        <f aca="false">IFERROR(INDEX(PODACI_PRODAJA!B:B,MATCH($A609,PODACI_PRODAJA!$A:$A,0)),0)</f>
        <v>0</v>
      </c>
      <c r="T609" s="23" t="n">
        <f aca="false">IFERROR(INDEX(PODACI_PRODAJA!C:C,MATCH($A609,PODACI_PRODAJA!$A:$A,0)),0)</f>
        <v>0</v>
      </c>
      <c r="U609" s="23" t="n">
        <f aca="false">IFERROR(INDEX(PODACI_PRODAJA!D:D,MATCH($A609,PODACI_PRODAJA!$A:$A,0)),0)</f>
        <v>0</v>
      </c>
      <c r="V609" s="23" t="n">
        <f aca="false">IFERROR(INDEX(PODACI_PRODAJA!E:E,MATCH($A609,PODACI_PRODAJA!$A:$A,0)),0)</f>
        <v>0</v>
      </c>
      <c r="W609" s="23" t="n">
        <f aca="false">IFERROR(INDEX(PODACI_PRODAJA!F:F,MATCH($A609,PODACI_PRODAJA!$A:$A,0)),0)</f>
        <v>0</v>
      </c>
      <c r="X609" s="23" t="n">
        <f aca="false">IFERROR(INDEX(PODACI_PRODAJA!G:G,MATCH($A609,PODACI_PRODAJA!$A:$A,0)),0)</f>
        <v>0</v>
      </c>
      <c r="Y609" s="23" t="n">
        <f aca="false">IFERROR(INDEX(PODACI_PRODAJA!H:H,MATCH($A609,PODACI_PRODAJA!$A:$A,0)),0)</f>
        <v>0</v>
      </c>
      <c r="Z609" s="23" t="n">
        <f aca="false">IFERROR(INDEX(PODACI_PRODAJA!I:I,MATCH($A609,PODACI_PRODAJA!$A:$A,0)),0)</f>
        <v>0</v>
      </c>
      <c r="AA609" s="23" t="n">
        <f aca="false">IFERROR(INDEX(PODACI_PRODAJA!J:J,MATCH($A609,PODACI_PRODAJA!$A:$A,0)),0)</f>
        <v>0</v>
      </c>
      <c r="AB609" s="23" t="n">
        <f aca="false">IFERROR(INDEX(PODACI_PRODAJA!K:K,MATCH($A609,PODACI_PRODAJA!$A:$A,0)),0)</f>
        <v>0</v>
      </c>
      <c r="AC609" s="23" t="n">
        <f aca="false">IFERROR(INDEX(PODACI_PRODAJA!L:L,MATCH($A609,PODACI_PRODAJA!$A:$A,0)),0)</f>
        <v>0</v>
      </c>
      <c r="AD609" s="23" t="n">
        <f aca="false">IFERROR(INDEX(PODACI_PRODAJA!M:M,MATCH($A609,PODACI_PRODAJA!$A:$A,0)),0)</f>
        <v>0</v>
      </c>
    </row>
    <row r="610" customFormat="false" ht="15" hidden="false" customHeight="false" outlineLevel="0" collapsed="false">
      <c r="A610" s="11" t="str">
        <f aca="false">PODACI_ZALIHE!A607</f>
        <v>18737</v>
      </c>
      <c r="B610" s="8" t="str">
        <f aca="false">PODACI_ZALIHE!B607</f>
        <v>FOLDING 90 TUŠ VRATA 90X190</v>
      </c>
      <c r="C610" s="9" t="str">
        <f aca="false">PODACI_ZALIHE!C607</f>
        <v>7414</v>
      </c>
      <c r="D610" s="8" t="str">
        <f aca="false">PODACI_ZALIHE!D607</f>
        <v>LABIRENT DUŞAKABIN CAM MAK.ITH.IHR.SAN. VE TIC.LTD.ŞTI</v>
      </c>
      <c r="E610" s="19" t="n">
        <f aca="false">IF(PODACI_ZALIHE!E607="","",PODACI_ZALIHE!E607)</f>
        <v>1</v>
      </c>
      <c r="F610" s="20" t="n">
        <f aca="false">PODACI_ZALIHE!F607</f>
        <v>1</v>
      </c>
      <c r="G610" s="19" t="n">
        <f aca="false">IF(E610="","",E610-F610)</f>
        <v>0</v>
      </c>
      <c r="H610" s="9" t="n">
        <f aca="false">PODACI_PRODAJA!N701</f>
        <v>0</v>
      </c>
      <c r="I610" s="21" t="n">
        <f aca="false">IF(H610&lt;=0,999,ROUND(F610/H610,1))</f>
        <v>999</v>
      </c>
      <c r="J610" s="9" t="n">
        <f aca="false">SUMIFS(ROBA_U_DOLASKU!$C$6:$C$95,ROBA_U_DOLASKU!$A$6:$A$95,A610,ROBA_U_DOLASKU!$H$6:$H$95,1)</f>
        <v>0</v>
      </c>
      <c r="K610" s="9" t="n">
        <f aca="false">SUMIFS(ROBA_U_DOLASKU!$B$6:$B$95,ROBA_U_DOLASKU!$A$6:$A$95,A610,ROBA_U_DOLASKU!$H$6:$H$95,1)</f>
        <v>0</v>
      </c>
      <c r="L610" s="9" t="n">
        <f aca="false">SUMIFS(ROBA_U_DOLASKU!$C$6:$C$95,ROBA_U_DOLASKU!$A$6:$A$95,A610,ROBA_U_DOLASKU!$H$6:$H$95,2)</f>
        <v>0</v>
      </c>
      <c r="M610" s="9" t="n">
        <f aca="false">SUMIFS(ROBA_U_DOLASKU!$B$6:$B$95,ROBA_U_DOLASKU!$A$6:$A$95,A610,ROBA_U_DOLASKU!$H$6:$H$95,2)</f>
        <v>0</v>
      </c>
      <c r="N610" s="9" t="n">
        <f aca="false">SUMIFS(ROBA_U_DOLASKU!$C$6:$C$95,ROBA_U_DOLASKU!$A$6:$A$95,A610,ROBA_U_DOLASKU!$H$6:$H$95,3)</f>
        <v>0</v>
      </c>
      <c r="O610" s="9" t="n">
        <f aca="false">SUMIFS(ROBA_U_DOLASKU!$B$6:$B$95,ROBA_U_DOLASKU!$A$6:$A$95,A610,ROBA_U_DOLASKU!$H$6:$H$95,3)</f>
        <v>0</v>
      </c>
      <c r="P610" s="9" t="n">
        <f aca="false">IF(H610&lt;=0,999,IF(O610&gt;0,ROUND((F610-H610*N610+K610+M610+O610)/H610,1),IF(M610&gt;0,ROUND((F610-H610*L610+K610+M610)/H610,1),IF(K610&gt;0,ROUND((F610-H610*J610+K610)/H610,1),I610))))</f>
        <v>999</v>
      </c>
      <c r="Q610" s="22" t="str">
        <f aca="false">IF(H610&lt;=0,"Nema prodaje",IF(AND(K610=0,M610=0,O610=0),IF(I610&lt;POSTAVKE!$B$6,"Naruči odmah","Sve u redu"),IF(F610-H610*J610&lt;0,"Rupa za ~"&amp;TEXT(I610,"0.0")&amp;" mj.",IF(AND(M610&gt;0,F610-H610*L610+K610&lt;0),"Rupa nakon 1. dolaska",IF(AND(O610&gt;0,F610-H610*N610+K610+M610&lt;0),"Rupa nakon 2. dolaska",IF(P610&lt;POSTAVKE!$B$6,"Količina nije dovoljna",IF(I610&gt;=POSTAVKE!$B$6,"Sve u redu","Stiže na vrijeme")))))))</f>
        <v>Nema prodaje</v>
      </c>
      <c r="S610" s="23" t="n">
        <f aca="false">IFERROR(INDEX(PODACI_PRODAJA!B:B,MATCH($A610,PODACI_PRODAJA!$A:$A,0)),0)</f>
        <v>0</v>
      </c>
      <c r="T610" s="23" t="n">
        <f aca="false">IFERROR(INDEX(PODACI_PRODAJA!C:C,MATCH($A610,PODACI_PRODAJA!$A:$A,0)),0)</f>
        <v>0</v>
      </c>
      <c r="U610" s="23" t="n">
        <f aca="false">IFERROR(INDEX(PODACI_PRODAJA!D:D,MATCH($A610,PODACI_PRODAJA!$A:$A,0)),0)</f>
        <v>0</v>
      </c>
      <c r="V610" s="23" t="n">
        <f aca="false">IFERROR(INDEX(PODACI_PRODAJA!E:E,MATCH($A610,PODACI_PRODAJA!$A:$A,0)),0)</f>
        <v>0</v>
      </c>
      <c r="W610" s="23" t="n">
        <f aca="false">IFERROR(INDEX(PODACI_PRODAJA!F:F,MATCH($A610,PODACI_PRODAJA!$A:$A,0)),0)</f>
        <v>0</v>
      </c>
      <c r="X610" s="23" t="n">
        <f aca="false">IFERROR(INDEX(PODACI_PRODAJA!G:G,MATCH($A610,PODACI_PRODAJA!$A:$A,0)),0)</f>
        <v>0</v>
      </c>
      <c r="Y610" s="23" t="n">
        <f aca="false">IFERROR(INDEX(PODACI_PRODAJA!H:H,MATCH($A610,PODACI_PRODAJA!$A:$A,0)),0)</f>
        <v>0</v>
      </c>
      <c r="Z610" s="23" t="n">
        <f aca="false">IFERROR(INDEX(PODACI_PRODAJA!I:I,MATCH($A610,PODACI_PRODAJA!$A:$A,0)),0)</f>
        <v>0</v>
      </c>
      <c r="AA610" s="23" t="n">
        <f aca="false">IFERROR(INDEX(PODACI_PRODAJA!J:J,MATCH($A610,PODACI_PRODAJA!$A:$A,0)),0)</f>
        <v>0</v>
      </c>
      <c r="AB610" s="23" t="n">
        <f aca="false">IFERROR(INDEX(PODACI_PRODAJA!K:K,MATCH($A610,PODACI_PRODAJA!$A:$A,0)),0)</f>
        <v>0</v>
      </c>
      <c r="AC610" s="23" t="n">
        <f aca="false">IFERROR(INDEX(PODACI_PRODAJA!L:L,MATCH($A610,PODACI_PRODAJA!$A:$A,0)),0)</f>
        <v>0</v>
      </c>
      <c r="AD610" s="23" t="n">
        <f aca="false">IFERROR(INDEX(PODACI_PRODAJA!M:M,MATCH($A610,PODACI_PRODAJA!$A:$A,0)),0)</f>
        <v>0</v>
      </c>
    </row>
    <row r="611" customFormat="false" ht="15" hidden="false" customHeight="false" outlineLevel="0" collapsed="false">
      <c r="A611" s="11" t="str">
        <f aca="false">PODACI_ZALIHE!A608</f>
        <v>202880115</v>
      </c>
      <c r="B611" s="8" t="str">
        <f aca="false">PODACI_ZALIHE!B608</f>
        <v>KLUDI NOVA FONTE MIJEŠALICA ZA UMIVAONIK 100 MM, MATT DOVE</v>
      </c>
      <c r="C611" s="9" t="str">
        <f aca="false">PODACI_ZALIHE!C608</f>
        <v>7485</v>
      </c>
      <c r="D611" s="8" t="str">
        <f aca="false">PODACI_ZALIHE!D608</f>
        <v>KLUDI GmbH &amp; Co. KG.,</v>
      </c>
      <c r="E611" s="19" t="n">
        <f aca="false">IF(PODACI_ZALIHE!E608="","",PODACI_ZALIHE!E608)</f>
        <v>1</v>
      </c>
      <c r="F611" s="20" t="n">
        <f aca="false">PODACI_ZALIHE!F608</f>
        <v>1</v>
      </c>
      <c r="G611" s="19" t="n">
        <f aca="false">IF(E611="","",E611-F611)</f>
        <v>0</v>
      </c>
      <c r="H611" s="9" t="n">
        <f aca="false">PODACI_PRODAJA!N716</f>
        <v>0</v>
      </c>
      <c r="I611" s="21" t="n">
        <f aca="false">IF(H611&lt;=0,999,ROUND(F611/H611,1))</f>
        <v>999</v>
      </c>
      <c r="J611" s="9" t="n">
        <f aca="false">SUMIFS(ROBA_U_DOLASKU!$C$6:$C$95,ROBA_U_DOLASKU!$A$6:$A$95,A611,ROBA_U_DOLASKU!$H$6:$H$95,1)</f>
        <v>0</v>
      </c>
      <c r="K611" s="9" t="n">
        <f aca="false">SUMIFS(ROBA_U_DOLASKU!$B$6:$B$95,ROBA_U_DOLASKU!$A$6:$A$95,A611,ROBA_U_DOLASKU!$H$6:$H$95,1)</f>
        <v>0</v>
      </c>
      <c r="L611" s="9" t="n">
        <f aca="false">SUMIFS(ROBA_U_DOLASKU!$C$6:$C$95,ROBA_U_DOLASKU!$A$6:$A$95,A611,ROBA_U_DOLASKU!$H$6:$H$95,2)</f>
        <v>0</v>
      </c>
      <c r="M611" s="9" t="n">
        <f aca="false">SUMIFS(ROBA_U_DOLASKU!$B$6:$B$95,ROBA_U_DOLASKU!$A$6:$A$95,A611,ROBA_U_DOLASKU!$H$6:$H$95,2)</f>
        <v>0</v>
      </c>
      <c r="N611" s="9" t="n">
        <f aca="false">SUMIFS(ROBA_U_DOLASKU!$C$6:$C$95,ROBA_U_DOLASKU!$A$6:$A$95,A611,ROBA_U_DOLASKU!$H$6:$H$95,3)</f>
        <v>0</v>
      </c>
      <c r="O611" s="9" t="n">
        <f aca="false">SUMIFS(ROBA_U_DOLASKU!$B$6:$B$95,ROBA_U_DOLASKU!$A$6:$A$95,A611,ROBA_U_DOLASKU!$H$6:$H$95,3)</f>
        <v>0</v>
      </c>
      <c r="P611" s="9" t="n">
        <f aca="false">IF(H611&lt;=0,999,IF(O611&gt;0,ROUND((F611-H611*N611+K611+M611+O611)/H611,1),IF(M611&gt;0,ROUND((F611-H611*L611+K611+M611)/H611,1),IF(K611&gt;0,ROUND((F611-H611*J611+K611)/H611,1),I611))))</f>
        <v>999</v>
      </c>
      <c r="Q611" s="22" t="str">
        <f aca="false">IF(H611&lt;=0,"Nema prodaje",IF(AND(K611=0,M611=0,O611=0),IF(I611&lt;POSTAVKE!$B$6,"Naruči odmah","Sve u redu"),IF(F611-H611*J611&lt;0,"Rupa za ~"&amp;TEXT(I611,"0.0")&amp;" mj.",IF(AND(M611&gt;0,F611-H611*L611+K611&lt;0),"Rupa nakon 1. dolaska",IF(AND(O611&gt;0,F611-H611*N611+K611+M611&lt;0),"Rupa nakon 2. dolaska",IF(P611&lt;POSTAVKE!$B$6,"Količina nije dovoljna",IF(I611&gt;=POSTAVKE!$B$6,"Sve u redu","Stiže na vrijeme")))))))</f>
        <v>Nema prodaje</v>
      </c>
      <c r="S611" s="23" t="n">
        <f aca="false">IFERROR(INDEX(PODACI_PRODAJA!B:B,MATCH($A611,PODACI_PRODAJA!$A:$A,0)),0)</f>
        <v>0</v>
      </c>
      <c r="T611" s="23" t="n">
        <f aca="false">IFERROR(INDEX(PODACI_PRODAJA!C:C,MATCH($A611,PODACI_PRODAJA!$A:$A,0)),0)</f>
        <v>0</v>
      </c>
      <c r="U611" s="23" t="n">
        <f aca="false">IFERROR(INDEX(PODACI_PRODAJA!D:D,MATCH($A611,PODACI_PRODAJA!$A:$A,0)),0)</f>
        <v>0</v>
      </c>
      <c r="V611" s="23" t="n">
        <f aca="false">IFERROR(INDEX(PODACI_PRODAJA!E:E,MATCH($A611,PODACI_PRODAJA!$A:$A,0)),0)</f>
        <v>0</v>
      </c>
      <c r="W611" s="23" t="n">
        <f aca="false">IFERROR(INDEX(PODACI_PRODAJA!F:F,MATCH($A611,PODACI_PRODAJA!$A:$A,0)),0)</f>
        <v>0</v>
      </c>
      <c r="X611" s="23" t="n">
        <f aca="false">IFERROR(INDEX(PODACI_PRODAJA!G:G,MATCH($A611,PODACI_PRODAJA!$A:$A,0)),0)</f>
        <v>0</v>
      </c>
      <c r="Y611" s="23" t="n">
        <f aca="false">IFERROR(INDEX(PODACI_PRODAJA!H:H,MATCH($A611,PODACI_PRODAJA!$A:$A,0)),0)</f>
        <v>0</v>
      </c>
      <c r="Z611" s="23" t="n">
        <f aca="false">IFERROR(INDEX(PODACI_PRODAJA!I:I,MATCH($A611,PODACI_PRODAJA!$A:$A,0)),0)</f>
        <v>0</v>
      </c>
      <c r="AA611" s="23" t="n">
        <f aca="false">IFERROR(INDEX(PODACI_PRODAJA!J:J,MATCH($A611,PODACI_PRODAJA!$A:$A,0)),0)</f>
        <v>0</v>
      </c>
      <c r="AB611" s="23" t="n">
        <f aca="false">IFERROR(INDEX(PODACI_PRODAJA!K:K,MATCH($A611,PODACI_PRODAJA!$A:$A,0)),0)</f>
        <v>0</v>
      </c>
      <c r="AC611" s="23" t="n">
        <f aca="false">IFERROR(INDEX(PODACI_PRODAJA!L:L,MATCH($A611,PODACI_PRODAJA!$A:$A,0)),0)</f>
        <v>0</v>
      </c>
      <c r="AD611" s="23" t="n">
        <f aca="false">IFERROR(INDEX(PODACI_PRODAJA!M:M,MATCH($A611,PODACI_PRODAJA!$A:$A,0)),0)</f>
        <v>0</v>
      </c>
    </row>
    <row r="612" customFormat="false" ht="15" hidden="false" customHeight="false" outlineLevel="0" collapsed="false">
      <c r="A612" s="11" t="str">
        <f aca="false">PODACI_ZALIHE!A609</f>
        <v>202880315</v>
      </c>
      <c r="B612" s="8" t="str">
        <f aca="false">PODACI_ZALIHE!B609</f>
        <v>KLUDI NOVA FONTE MIJEŠALICA ZA UMIVAONIK 100 MM, MATT TEAL BLUE</v>
      </c>
      <c r="C612" s="9" t="str">
        <f aca="false">PODACI_ZALIHE!C609</f>
        <v>7485</v>
      </c>
      <c r="D612" s="8" t="str">
        <f aca="false">PODACI_ZALIHE!D609</f>
        <v>KLUDI GmbH &amp; Co. KG.,</v>
      </c>
      <c r="E612" s="19" t="n">
        <f aca="false">IF(PODACI_ZALIHE!E609="","",PODACI_ZALIHE!E609)</f>
        <v>1</v>
      </c>
      <c r="F612" s="20" t="n">
        <f aca="false">PODACI_ZALIHE!F609</f>
        <v>1</v>
      </c>
      <c r="G612" s="19" t="n">
        <f aca="false">IF(E612="","",E612-F612)</f>
        <v>0</v>
      </c>
      <c r="H612" s="9" t="n">
        <f aca="false">PODACI_PRODAJA!N717</f>
        <v>0</v>
      </c>
      <c r="I612" s="21" t="n">
        <f aca="false">IF(H612&lt;=0,999,ROUND(F612/H612,1))</f>
        <v>999</v>
      </c>
      <c r="J612" s="9" t="n">
        <f aca="false">SUMIFS(ROBA_U_DOLASKU!$C$6:$C$95,ROBA_U_DOLASKU!$A$6:$A$95,A612,ROBA_U_DOLASKU!$H$6:$H$95,1)</f>
        <v>0</v>
      </c>
      <c r="K612" s="9" t="n">
        <f aca="false">SUMIFS(ROBA_U_DOLASKU!$B$6:$B$95,ROBA_U_DOLASKU!$A$6:$A$95,A612,ROBA_U_DOLASKU!$H$6:$H$95,1)</f>
        <v>0</v>
      </c>
      <c r="L612" s="9" t="n">
        <f aca="false">SUMIFS(ROBA_U_DOLASKU!$C$6:$C$95,ROBA_U_DOLASKU!$A$6:$A$95,A612,ROBA_U_DOLASKU!$H$6:$H$95,2)</f>
        <v>0</v>
      </c>
      <c r="M612" s="9" t="n">
        <f aca="false">SUMIFS(ROBA_U_DOLASKU!$B$6:$B$95,ROBA_U_DOLASKU!$A$6:$A$95,A612,ROBA_U_DOLASKU!$H$6:$H$95,2)</f>
        <v>0</v>
      </c>
      <c r="N612" s="9" t="n">
        <f aca="false">SUMIFS(ROBA_U_DOLASKU!$C$6:$C$95,ROBA_U_DOLASKU!$A$6:$A$95,A612,ROBA_U_DOLASKU!$H$6:$H$95,3)</f>
        <v>0</v>
      </c>
      <c r="O612" s="9" t="n">
        <f aca="false">SUMIFS(ROBA_U_DOLASKU!$B$6:$B$95,ROBA_U_DOLASKU!$A$6:$A$95,A612,ROBA_U_DOLASKU!$H$6:$H$95,3)</f>
        <v>0</v>
      </c>
      <c r="P612" s="9" t="n">
        <f aca="false">IF(H612&lt;=0,999,IF(O612&gt;0,ROUND((F612-H612*N612+K612+M612+O612)/H612,1),IF(M612&gt;0,ROUND((F612-H612*L612+K612+M612)/H612,1),IF(K612&gt;0,ROUND((F612-H612*J612+K612)/H612,1),I612))))</f>
        <v>999</v>
      </c>
      <c r="Q612" s="22" t="str">
        <f aca="false">IF(H612&lt;=0,"Nema prodaje",IF(AND(K612=0,M612=0,O612=0),IF(I612&lt;POSTAVKE!$B$6,"Naruči odmah","Sve u redu"),IF(F612-H612*J612&lt;0,"Rupa za ~"&amp;TEXT(I612,"0.0")&amp;" mj.",IF(AND(M612&gt;0,F612-H612*L612+K612&lt;0),"Rupa nakon 1. dolaska",IF(AND(O612&gt;0,F612-H612*N612+K612+M612&lt;0),"Rupa nakon 2. dolaska",IF(P612&lt;POSTAVKE!$B$6,"Količina nije dovoljna",IF(I612&gt;=POSTAVKE!$B$6,"Sve u redu","Stiže na vrijeme")))))))</f>
        <v>Nema prodaje</v>
      </c>
      <c r="S612" s="23" t="n">
        <f aca="false">IFERROR(INDEX(PODACI_PRODAJA!B:B,MATCH($A612,PODACI_PRODAJA!$A:$A,0)),0)</f>
        <v>0</v>
      </c>
      <c r="T612" s="23" t="n">
        <f aca="false">IFERROR(INDEX(PODACI_PRODAJA!C:C,MATCH($A612,PODACI_PRODAJA!$A:$A,0)),0)</f>
        <v>0</v>
      </c>
      <c r="U612" s="23" t="n">
        <f aca="false">IFERROR(INDEX(PODACI_PRODAJA!D:D,MATCH($A612,PODACI_PRODAJA!$A:$A,0)),0)</f>
        <v>0</v>
      </c>
      <c r="V612" s="23" t="n">
        <f aca="false">IFERROR(INDEX(PODACI_PRODAJA!E:E,MATCH($A612,PODACI_PRODAJA!$A:$A,0)),0)</f>
        <v>0</v>
      </c>
      <c r="W612" s="23" t="n">
        <f aca="false">IFERROR(INDEX(PODACI_PRODAJA!F:F,MATCH($A612,PODACI_PRODAJA!$A:$A,0)),0)</f>
        <v>0</v>
      </c>
      <c r="X612" s="23" t="n">
        <f aca="false">IFERROR(INDEX(PODACI_PRODAJA!G:G,MATCH($A612,PODACI_PRODAJA!$A:$A,0)),0)</f>
        <v>0</v>
      </c>
      <c r="Y612" s="23" t="n">
        <f aca="false">IFERROR(INDEX(PODACI_PRODAJA!H:H,MATCH($A612,PODACI_PRODAJA!$A:$A,0)),0)</f>
        <v>0</v>
      </c>
      <c r="Z612" s="23" t="n">
        <f aca="false">IFERROR(INDEX(PODACI_PRODAJA!I:I,MATCH($A612,PODACI_PRODAJA!$A:$A,0)),0)</f>
        <v>0</v>
      </c>
      <c r="AA612" s="23" t="n">
        <f aca="false">IFERROR(INDEX(PODACI_PRODAJA!J:J,MATCH($A612,PODACI_PRODAJA!$A:$A,0)),0)</f>
        <v>0</v>
      </c>
      <c r="AB612" s="23" t="n">
        <f aca="false">IFERROR(INDEX(PODACI_PRODAJA!K:K,MATCH($A612,PODACI_PRODAJA!$A:$A,0)),0)</f>
        <v>0</v>
      </c>
      <c r="AC612" s="23" t="n">
        <f aca="false">IFERROR(INDEX(PODACI_PRODAJA!L:L,MATCH($A612,PODACI_PRODAJA!$A:$A,0)),0)</f>
        <v>0</v>
      </c>
      <c r="AD612" s="23" t="n">
        <f aca="false">IFERROR(INDEX(PODACI_PRODAJA!M:M,MATCH($A612,PODACI_PRODAJA!$A:$A,0)),0)</f>
        <v>0</v>
      </c>
    </row>
    <row r="613" customFormat="false" ht="15" hidden="false" customHeight="false" outlineLevel="0" collapsed="false">
      <c r="A613" s="11" t="str">
        <f aca="false">PODACI_ZALIHE!A610</f>
        <v>202885315</v>
      </c>
      <c r="B613" s="8" t="str">
        <f aca="false">PODACI_ZALIHE!B610</f>
        <v>KLUDI NOVA FONTE MIJEŠALICA ZA UMIVAONIK 100 MM, BIJELA MAT</v>
      </c>
      <c r="C613" s="9" t="str">
        <f aca="false">PODACI_ZALIHE!C610</f>
        <v>7485</v>
      </c>
      <c r="D613" s="8" t="str">
        <f aca="false">PODACI_ZALIHE!D610</f>
        <v>KLUDI GmbH &amp; Co. KG.,</v>
      </c>
      <c r="E613" s="19" t="n">
        <f aca="false">IF(PODACI_ZALIHE!E610="","",PODACI_ZALIHE!E610)</f>
        <v>1</v>
      </c>
      <c r="F613" s="20" t="n">
        <f aca="false">PODACI_ZALIHE!F610</f>
        <v>1</v>
      </c>
      <c r="G613" s="19" t="n">
        <f aca="false">IF(E613="","",E613-F613)</f>
        <v>0</v>
      </c>
      <c r="H613" s="9" t="n">
        <f aca="false">PODACI_PRODAJA!N718</f>
        <v>0</v>
      </c>
      <c r="I613" s="21" t="n">
        <f aca="false">IF(H613&lt;=0,999,ROUND(F613/H613,1))</f>
        <v>999</v>
      </c>
      <c r="J613" s="9" t="n">
        <f aca="false">SUMIFS(ROBA_U_DOLASKU!$C$6:$C$95,ROBA_U_DOLASKU!$A$6:$A$95,A613,ROBA_U_DOLASKU!$H$6:$H$95,1)</f>
        <v>0</v>
      </c>
      <c r="K613" s="9" t="n">
        <f aca="false">SUMIFS(ROBA_U_DOLASKU!$B$6:$B$95,ROBA_U_DOLASKU!$A$6:$A$95,A613,ROBA_U_DOLASKU!$H$6:$H$95,1)</f>
        <v>0</v>
      </c>
      <c r="L613" s="9" t="n">
        <f aca="false">SUMIFS(ROBA_U_DOLASKU!$C$6:$C$95,ROBA_U_DOLASKU!$A$6:$A$95,A613,ROBA_U_DOLASKU!$H$6:$H$95,2)</f>
        <v>0</v>
      </c>
      <c r="M613" s="9" t="n">
        <f aca="false">SUMIFS(ROBA_U_DOLASKU!$B$6:$B$95,ROBA_U_DOLASKU!$A$6:$A$95,A613,ROBA_U_DOLASKU!$H$6:$H$95,2)</f>
        <v>0</v>
      </c>
      <c r="N613" s="9" t="n">
        <f aca="false">SUMIFS(ROBA_U_DOLASKU!$C$6:$C$95,ROBA_U_DOLASKU!$A$6:$A$95,A613,ROBA_U_DOLASKU!$H$6:$H$95,3)</f>
        <v>0</v>
      </c>
      <c r="O613" s="9" t="n">
        <f aca="false">SUMIFS(ROBA_U_DOLASKU!$B$6:$B$95,ROBA_U_DOLASKU!$A$6:$A$95,A613,ROBA_U_DOLASKU!$H$6:$H$95,3)</f>
        <v>0</v>
      </c>
      <c r="P613" s="9" t="n">
        <f aca="false">IF(H613&lt;=0,999,IF(O613&gt;0,ROUND((F613-H613*N613+K613+M613+O613)/H613,1),IF(M613&gt;0,ROUND((F613-H613*L613+K613+M613)/H613,1),IF(K613&gt;0,ROUND((F613-H613*J613+K613)/H613,1),I613))))</f>
        <v>999</v>
      </c>
      <c r="Q613" s="22" t="str">
        <f aca="false">IF(H613&lt;=0,"Nema prodaje",IF(AND(K613=0,M613=0,O613=0),IF(I613&lt;POSTAVKE!$B$6,"Naruči odmah","Sve u redu"),IF(F613-H613*J613&lt;0,"Rupa za ~"&amp;TEXT(I613,"0.0")&amp;" mj.",IF(AND(M613&gt;0,F613-H613*L613+K613&lt;0),"Rupa nakon 1. dolaska",IF(AND(O613&gt;0,F613-H613*N613+K613+M613&lt;0),"Rupa nakon 2. dolaska",IF(P613&lt;POSTAVKE!$B$6,"Količina nije dovoljna",IF(I613&gt;=POSTAVKE!$B$6,"Sve u redu","Stiže na vrijeme")))))))</f>
        <v>Nema prodaje</v>
      </c>
      <c r="S613" s="23" t="n">
        <f aca="false">IFERROR(INDEX(PODACI_PRODAJA!B:B,MATCH($A613,PODACI_PRODAJA!$A:$A,0)),0)</f>
        <v>0</v>
      </c>
      <c r="T613" s="23" t="n">
        <f aca="false">IFERROR(INDEX(PODACI_PRODAJA!C:C,MATCH($A613,PODACI_PRODAJA!$A:$A,0)),0)</f>
        <v>0</v>
      </c>
      <c r="U613" s="23" t="n">
        <f aca="false">IFERROR(INDEX(PODACI_PRODAJA!D:D,MATCH($A613,PODACI_PRODAJA!$A:$A,0)),0)</f>
        <v>0</v>
      </c>
      <c r="V613" s="23" t="n">
        <f aca="false">IFERROR(INDEX(PODACI_PRODAJA!E:E,MATCH($A613,PODACI_PRODAJA!$A:$A,0)),0)</f>
        <v>0</v>
      </c>
      <c r="W613" s="23" t="n">
        <f aca="false">IFERROR(INDEX(PODACI_PRODAJA!F:F,MATCH($A613,PODACI_PRODAJA!$A:$A,0)),0)</f>
        <v>0</v>
      </c>
      <c r="X613" s="23" t="n">
        <f aca="false">IFERROR(INDEX(PODACI_PRODAJA!G:G,MATCH($A613,PODACI_PRODAJA!$A:$A,0)),0)</f>
        <v>0</v>
      </c>
      <c r="Y613" s="23" t="n">
        <f aca="false">IFERROR(INDEX(PODACI_PRODAJA!H:H,MATCH($A613,PODACI_PRODAJA!$A:$A,0)),0)</f>
        <v>0</v>
      </c>
      <c r="Z613" s="23" t="n">
        <f aca="false">IFERROR(INDEX(PODACI_PRODAJA!I:I,MATCH($A613,PODACI_PRODAJA!$A:$A,0)),0)</f>
        <v>0</v>
      </c>
      <c r="AA613" s="23" t="n">
        <f aca="false">IFERROR(INDEX(PODACI_PRODAJA!J:J,MATCH($A613,PODACI_PRODAJA!$A:$A,0)),0)</f>
        <v>0</v>
      </c>
      <c r="AB613" s="23" t="n">
        <f aca="false">IFERROR(INDEX(PODACI_PRODAJA!K:K,MATCH($A613,PODACI_PRODAJA!$A:$A,0)),0)</f>
        <v>0</v>
      </c>
      <c r="AC613" s="23" t="n">
        <f aca="false">IFERROR(INDEX(PODACI_PRODAJA!L:L,MATCH($A613,PODACI_PRODAJA!$A:$A,0)),0)</f>
        <v>0</v>
      </c>
      <c r="AD613" s="23" t="n">
        <f aca="false">IFERROR(INDEX(PODACI_PRODAJA!M:M,MATCH($A613,PODACI_PRODAJA!$A:$A,0)),0)</f>
        <v>0</v>
      </c>
    </row>
    <row r="614" customFormat="false" ht="15" hidden="false" customHeight="false" outlineLevel="0" collapsed="false">
      <c r="A614" s="11" t="str">
        <f aca="false">PODACI_ZALIHE!A611</f>
        <v>20298N015</v>
      </c>
      <c r="B614" s="8" t="str">
        <f aca="false">PODACI_ZALIHE!B611</f>
        <v>KLUDI NOVA FONTE MIJEŠALICA ZA UMIVAONIK 240 MM, BRUŠENO ZLATO</v>
      </c>
      <c r="C614" s="9" t="str">
        <f aca="false">PODACI_ZALIHE!C611</f>
        <v>7485</v>
      </c>
      <c r="D614" s="8" t="str">
        <f aca="false">PODACI_ZALIHE!D611</f>
        <v>KLUDI GmbH &amp; Co. KG.,</v>
      </c>
      <c r="E614" s="19" t="n">
        <f aca="false">IF(PODACI_ZALIHE!E611="","",PODACI_ZALIHE!E611)</f>
        <v>1</v>
      </c>
      <c r="F614" s="20" t="n">
        <f aca="false">PODACI_ZALIHE!F611</f>
        <v>1</v>
      </c>
      <c r="G614" s="19" t="n">
        <f aca="false">IF(E614="","",E614-F614)</f>
        <v>0</v>
      </c>
      <c r="H614" s="9" t="n">
        <f aca="false">PODACI_PRODAJA!N719</f>
        <v>0</v>
      </c>
      <c r="I614" s="21" t="n">
        <f aca="false">IF(H614&lt;=0,999,ROUND(F614/H614,1))</f>
        <v>999</v>
      </c>
      <c r="J614" s="9" t="n">
        <f aca="false">SUMIFS(ROBA_U_DOLASKU!$C$6:$C$95,ROBA_U_DOLASKU!$A$6:$A$95,A614,ROBA_U_DOLASKU!$H$6:$H$95,1)</f>
        <v>0</v>
      </c>
      <c r="K614" s="9" t="n">
        <f aca="false">SUMIFS(ROBA_U_DOLASKU!$B$6:$B$95,ROBA_U_DOLASKU!$A$6:$A$95,A614,ROBA_U_DOLASKU!$H$6:$H$95,1)</f>
        <v>0</v>
      </c>
      <c r="L614" s="9" t="n">
        <f aca="false">SUMIFS(ROBA_U_DOLASKU!$C$6:$C$95,ROBA_U_DOLASKU!$A$6:$A$95,A614,ROBA_U_DOLASKU!$H$6:$H$95,2)</f>
        <v>0</v>
      </c>
      <c r="M614" s="9" t="n">
        <f aca="false">SUMIFS(ROBA_U_DOLASKU!$B$6:$B$95,ROBA_U_DOLASKU!$A$6:$A$95,A614,ROBA_U_DOLASKU!$H$6:$H$95,2)</f>
        <v>0</v>
      </c>
      <c r="N614" s="9" t="n">
        <f aca="false">SUMIFS(ROBA_U_DOLASKU!$C$6:$C$95,ROBA_U_DOLASKU!$A$6:$A$95,A614,ROBA_U_DOLASKU!$H$6:$H$95,3)</f>
        <v>0</v>
      </c>
      <c r="O614" s="9" t="n">
        <f aca="false">SUMIFS(ROBA_U_DOLASKU!$B$6:$B$95,ROBA_U_DOLASKU!$A$6:$A$95,A614,ROBA_U_DOLASKU!$H$6:$H$95,3)</f>
        <v>0</v>
      </c>
      <c r="P614" s="9" t="n">
        <f aca="false">IF(H614&lt;=0,999,IF(O614&gt;0,ROUND((F614-H614*N614+K614+M614+O614)/H614,1),IF(M614&gt;0,ROUND((F614-H614*L614+K614+M614)/H614,1),IF(K614&gt;0,ROUND((F614-H614*J614+K614)/H614,1),I614))))</f>
        <v>999</v>
      </c>
      <c r="Q614" s="22" t="str">
        <f aca="false">IF(H614&lt;=0,"Nema prodaje",IF(AND(K614=0,M614=0,O614=0),IF(I614&lt;POSTAVKE!$B$6,"Naruči odmah","Sve u redu"),IF(F614-H614*J614&lt;0,"Rupa za ~"&amp;TEXT(I614,"0.0")&amp;" mj.",IF(AND(M614&gt;0,F614-H614*L614+K614&lt;0),"Rupa nakon 1. dolaska",IF(AND(O614&gt;0,F614-H614*N614+K614+M614&lt;0),"Rupa nakon 2. dolaska",IF(P614&lt;POSTAVKE!$B$6,"Količina nije dovoljna",IF(I614&gt;=POSTAVKE!$B$6,"Sve u redu","Stiže na vrijeme")))))))</f>
        <v>Nema prodaje</v>
      </c>
      <c r="S614" s="23" t="n">
        <f aca="false">IFERROR(INDEX(PODACI_PRODAJA!B:B,MATCH($A614,PODACI_PRODAJA!$A:$A,0)),0)</f>
        <v>0</v>
      </c>
      <c r="T614" s="23" t="n">
        <f aca="false">IFERROR(INDEX(PODACI_PRODAJA!C:C,MATCH($A614,PODACI_PRODAJA!$A:$A,0)),0)</f>
        <v>0</v>
      </c>
      <c r="U614" s="23" t="n">
        <f aca="false">IFERROR(INDEX(PODACI_PRODAJA!D:D,MATCH($A614,PODACI_PRODAJA!$A:$A,0)),0)</f>
        <v>0</v>
      </c>
      <c r="V614" s="23" t="n">
        <f aca="false">IFERROR(INDEX(PODACI_PRODAJA!E:E,MATCH($A614,PODACI_PRODAJA!$A:$A,0)),0)</f>
        <v>0</v>
      </c>
      <c r="W614" s="23" t="n">
        <f aca="false">IFERROR(INDEX(PODACI_PRODAJA!F:F,MATCH($A614,PODACI_PRODAJA!$A:$A,0)),0)</f>
        <v>0</v>
      </c>
      <c r="X614" s="23" t="n">
        <f aca="false">IFERROR(INDEX(PODACI_PRODAJA!G:G,MATCH($A614,PODACI_PRODAJA!$A:$A,0)),0)</f>
        <v>0</v>
      </c>
      <c r="Y614" s="23" t="n">
        <f aca="false">IFERROR(INDEX(PODACI_PRODAJA!H:H,MATCH($A614,PODACI_PRODAJA!$A:$A,0)),0)</f>
        <v>0</v>
      </c>
      <c r="Z614" s="23" t="n">
        <f aca="false">IFERROR(INDEX(PODACI_PRODAJA!I:I,MATCH($A614,PODACI_PRODAJA!$A:$A,0)),0)</f>
        <v>0</v>
      </c>
      <c r="AA614" s="23" t="n">
        <f aca="false">IFERROR(INDEX(PODACI_PRODAJA!J:J,MATCH($A614,PODACI_PRODAJA!$A:$A,0)),0)</f>
        <v>0</v>
      </c>
      <c r="AB614" s="23" t="n">
        <f aca="false">IFERROR(INDEX(PODACI_PRODAJA!K:K,MATCH($A614,PODACI_PRODAJA!$A:$A,0)),0)</f>
        <v>0</v>
      </c>
      <c r="AC614" s="23" t="n">
        <f aca="false">IFERROR(INDEX(PODACI_PRODAJA!L:L,MATCH($A614,PODACI_PRODAJA!$A:$A,0)),0)</f>
        <v>0</v>
      </c>
      <c r="AD614" s="23" t="n">
        <f aca="false">IFERROR(INDEX(PODACI_PRODAJA!M:M,MATCH($A614,PODACI_PRODAJA!$A:$A,0)),0)</f>
        <v>0</v>
      </c>
    </row>
    <row r="615" customFormat="false" ht="15" hidden="false" customHeight="false" outlineLevel="0" collapsed="false">
      <c r="A615" s="11" t="str">
        <f aca="false">PODACI_ZALIHE!A612</f>
        <v>20298N115</v>
      </c>
      <c r="B615" s="8" t="str">
        <f aca="false">PODACI_ZALIHE!B612</f>
        <v>KLUDI NOVA FONTE MIJEŠALICA ZA UMIVAONIK 240 MM, BRUŠENA BRONCA</v>
      </c>
      <c r="C615" s="9" t="str">
        <f aca="false">PODACI_ZALIHE!C612</f>
        <v>7485</v>
      </c>
      <c r="D615" s="8" t="str">
        <f aca="false">PODACI_ZALIHE!D612</f>
        <v>KLUDI GmbH &amp; Co. KG.,</v>
      </c>
      <c r="E615" s="19" t="n">
        <f aca="false">IF(PODACI_ZALIHE!E612="","",PODACI_ZALIHE!E612)</f>
        <v>1</v>
      </c>
      <c r="F615" s="20" t="n">
        <f aca="false">PODACI_ZALIHE!F612</f>
        <v>1</v>
      </c>
      <c r="G615" s="19" t="n">
        <f aca="false">IF(E615="","",E615-F615)</f>
        <v>0</v>
      </c>
      <c r="H615" s="9" t="n">
        <f aca="false">PODACI_PRODAJA!N720</f>
        <v>0</v>
      </c>
      <c r="I615" s="21" t="n">
        <f aca="false">IF(H615&lt;=0,999,ROUND(F615/H615,1))</f>
        <v>999</v>
      </c>
      <c r="J615" s="9" t="n">
        <f aca="false">SUMIFS(ROBA_U_DOLASKU!$C$6:$C$95,ROBA_U_DOLASKU!$A$6:$A$95,A615,ROBA_U_DOLASKU!$H$6:$H$95,1)</f>
        <v>0</v>
      </c>
      <c r="K615" s="9" t="n">
        <f aca="false">SUMIFS(ROBA_U_DOLASKU!$B$6:$B$95,ROBA_U_DOLASKU!$A$6:$A$95,A615,ROBA_U_DOLASKU!$H$6:$H$95,1)</f>
        <v>0</v>
      </c>
      <c r="L615" s="9" t="n">
        <f aca="false">SUMIFS(ROBA_U_DOLASKU!$C$6:$C$95,ROBA_U_DOLASKU!$A$6:$A$95,A615,ROBA_U_DOLASKU!$H$6:$H$95,2)</f>
        <v>0</v>
      </c>
      <c r="M615" s="9" t="n">
        <f aca="false">SUMIFS(ROBA_U_DOLASKU!$B$6:$B$95,ROBA_U_DOLASKU!$A$6:$A$95,A615,ROBA_U_DOLASKU!$H$6:$H$95,2)</f>
        <v>0</v>
      </c>
      <c r="N615" s="9" t="n">
        <f aca="false">SUMIFS(ROBA_U_DOLASKU!$C$6:$C$95,ROBA_U_DOLASKU!$A$6:$A$95,A615,ROBA_U_DOLASKU!$H$6:$H$95,3)</f>
        <v>0</v>
      </c>
      <c r="O615" s="9" t="n">
        <f aca="false">SUMIFS(ROBA_U_DOLASKU!$B$6:$B$95,ROBA_U_DOLASKU!$A$6:$A$95,A615,ROBA_U_DOLASKU!$H$6:$H$95,3)</f>
        <v>0</v>
      </c>
      <c r="P615" s="9" t="n">
        <f aca="false">IF(H615&lt;=0,999,IF(O615&gt;0,ROUND((F615-H615*N615+K615+M615+O615)/H615,1),IF(M615&gt;0,ROUND((F615-H615*L615+K615+M615)/H615,1),IF(K615&gt;0,ROUND((F615-H615*J615+K615)/H615,1),I615))))</f>
        <v>999</v>
      </c>
      <c r="Q615" s="22" t="str">
        <f aca="false">IF(H615&lt;=0,"Nema prodaje",IF(AND(K615=0,M615=0,O615=0),IF(I615&lt;POSTAVKE!$B$6,"Naruči odmah","Sve u redu"),IF(F615-H615*J615&lt;0,"Rupa za ~"&amp;TEXT(I615,"0.0")&amp;" mj.",IF(AND(M615&gt;0,F615-H615*L615+K615&lt;0),"Rupa nakon 1. dolaska",IF(AND(O615&gt;0,F615-H615*N615+K615+M615&lt;0),"Rupa nakon 2. dolaska",IF(P615&lt;POSTAVKE!$B$6,"Količina nije dovoljna",IF(I615&gt;=POSTAVKE!$B$6,"Sve u redu","Stiže na vrijeme")))))))</f>
        <v>Nema prodaje</v>
      </c>
      <c r="S615" s="23" t="n">
        <f aca="false">IFERROR(INDEX(PODACI_PRODAJA!B:B,MATCH($A615,PODACI_PRODAJA!$A:$A,0)),0)</f>
        <v>0</v>
      </c>
      <c r="T615" s="23" t="n">
        <f aca="false">IFERROR(INDEX(PODACI_PRODAJA!C:C,MATCH($A615,PODACI_PRODAJA!$A:$A,0)),0)</f>
        <v>0</v>
      </c>
      <c r="U615" s="23" t="n">
        <f aca="false">IFERROR(INDEX(PODACI_PRODAJA!D:D,MATCH($A615,PODACI_PRODAJA!$A:$A,0)),0)</f>
        <v>0</v>
      </c>
      <c r="V615" s="23" t="n">
        <f aca="false">IFERROR(INDEX(PODACI_PRODAJA!E:E,MATCH($A615,PODACI_PRODAJA!$A:$A,0)),0)</f>
        <v>0</v>
      </c>
      <c r="W615" s="23" t="n">
        <f aca="false">IFERROR(INDEX(PODACI_PRODAJA!F:F,MATCH($A615,PODACI_PRODAJA!$A:$A,0)),0)</f>
        <v>0</v>
      </c>
      <c r="X615" s="23" t="n">
        <f aca="false">IFERROR(INDEX(PODACI_PRODAJA!G:G,MATCH($A615,PODACI_PRODAJA!$A:$A,0)),0)</f>
        <v>0</v>
      </c>
      <c r="Y615" s="23" t="n">
        <f aca="false">IFERROR(INDEX(PODACI_PRODAJA!H:H,MATCH($A615,PODACI_PRODAJA!$A:$A,0)),0)</f>
        <v>0</v>
      </c>
      <c r="Z615" s="23" t="n">
        <f aca="false">IFERROR(INDEX(PODACI_PRODAJA!I:I,MATCH($A615,PODACI_PRODAJA!$A:$A,0)),0)</f>
        <v>0</v>
      </c>
      <c r="AA615" s="23" t="n">
        <f aca="false">IFERROR(INDEX(PODACI_PRODAJA!J:J,MATCH($A615,PODACI_PRODAJA!$A:$A,0)),0)</f>
        <v>0</v>
      </c>
      <c r="AB615" s="23" t="n">
        <f aca="false">IFERROR(INDEX(PODACI_PRODAJA!K:K,MATCH($A615,PODACI_PRODAJA!$A:$A,0)),0)</f>
        <v>0</v>
      </c>
      <c r="AC615" s="23" t="n">
        <f aca="false">IFERROR(INDEX(PODACI_PRODAJA!L:L,MATCH($A615,PODACI_PRODAJA!$A:$A,0)),0)</f>
        <v>0</v>
      </c>
      <c r="AD615" s="23" t="n">
        <f aca="false">IFERROR(INDEX(PODACI_PRODAJA!M:M,MATCH($A615,PODACI_PRODAJA!$A:$A,0)),0)</f>
        <v>0</v>
      </c>
    </row>
    <row r="616" customFormat="false" ht="15" hidden="false" customHeight="false" outlineLevel="0" collapsed="false">
      <c r="A616" s="11" t="str">
        <f aca="false">PODACI_ZALIHE!A613</f>
        <v>20298N215</v>
      </c>
      <c r="B616" s="8" t="str">
        <f aca="false">PODACI_ZALIHE!B613</f>
        <v>KLUDI NOVA FONTE MIJEŠALICA ZA UMIVAONIK 240 MM, BRUŠENI GUNMETAL</v>
      </c>
      <c r="C616" s="9" t="str">
        <f aca="false">PODACI_ZALIHE!C613</f>
        <v>7485</v>
      </c>
      <c r="D616" s="8" t="str">
        <f aca="false">PODACI_ZALIHE!D613</f>
        <v>KLUDI GmbH &amp; Co. KG.,</v>
      </c>
      <c r="E616" s="19" t="n">
        <f aca="false">IF(PODACI_ZALIHE!E613="","",PODACI_ZALIHE!E613)</f>
        <v>1</v>
      </c>
      <c r="F616" s="20" t="n">
        <f aca="false">PODACI_ZALIHE!F613</f>
        <v>1</v>
      </c>
      <c r="G616" s="19" t="n">
        <f aca="false">IF(E616="","",E616-F616)</f>
        <v>0</v>
      </c>
      <c r="H616" s="9" t="n">
        <f aca="false">PODACI_PRODAJA!N721</f>
        <v>0</v>
      </c>
      <c r="I616" s="21" t="n">
        <f aca="false">IF(H616&lt;=0,999,ROUND(F616/H616,1))</f>
        <v>999</v>
      </c>
      <c r="J616" s="9" t="n">
        <f aca="false">SUMIFS(ROBA_U_DOLASKU!$C$6:$C$95,ROBA_U_DOLASKU!$A$6:$A$95,A616,ROBA_U_DOLASKU!$H$6:$H$95,1)</f>
        <v>0</v>
      </c>
      <c r="K616" s="9" t="n">
        <f aca="false">SUMIFS(ROBA_U_DOLASKU!$B$6:$B$95,ROBA_U_DOLASKU!$A$6:$A$95,A616,ROBA_U_DOLASKU!$H$6:$H$95,1)</f>
        <v>0</v>
      </c>
      <c r="L616" s="9" t="n">
        <f aca="false">SUMIFS(ROBA_U_DOLASKU!$C$6:$C$95,ROBA_U_DOLASKU!$A$6:$A$95,A616,ROBA_U_DOLASKU!$H$6:$H$95,2)</f>
        <v>0</v>
      </c>
      <c r="M616" s="9" t="n">
        <f aca="false">SUMIFS(ROBA_U_DOLASKU!$B$6:$B$95,ROBA_U_DOLASKU!$A$6:$A$95,A616,ROBA_U_DOLASKU!$H$6:$H$95,2)</f>
        <v>0</v>
      </c>
      <c r="N616" s="9" t="n">
        <f aca="false">SUMIFS(ROBA_U_DOLASKU!$C$6:$C$95,ROBA_U_DOLASKU!$A$6:$A$95,A616,ROBA_U_DOLASKU!$H$6:$H$95,3)</f>
        <v>0</v>
      </c>
      <c r="O616" s="9" t="n">
        <f aca="false">SUMIFS(ROBA_U_DOLASKU!$B$6:$B$95,ROBA_U_DOLASKU!$A$6:$A$95,A616,ROBA_U_DOLASKU!$H$6:$H$95,3)</f>
        <v>0</v>
      </c>
      <c r="P616" s="9" t="n">
        <f aca="false">IF(H616&lt;=0,999,IF(O616&gt;0,ROUND((F616-H616*N616+K616+M616+O616)/H616,1),IF(M616&gt;0,ROUND((F616-H616*L616+K616+M616)/H616,1),IF(K616&gt;0,ROUND((F616-H616*J616+K616)/H616,1),I616))))</f>
        <v>999</v>
      </c>
      <c r="Q616" s="22" t="str">
        <f aca="false">IF(H616&lt;=0,"Nema prodaje",IF(AND(K616=0,M616=0,O616=0),IF(I616&lt;POSTAVKE!$B$6,"Naruči odmah","Sve u redu"),IF(F616-H616*J616&lt;0,"Rupa za ~"&amp;TEXT(I616,"0.0")&amp;" mj.",IF(AND(M616&gt;0,F616-H616*L616+K616&lt;0),"Rupa nakon 1. dolaska",IF(AND(O616&gt;0,F616-H616*N616+K616+M616&lt;0),"Rupa nakon 2. dolaska",IF(P616&lt;POSTAVKE!$B$6,"Količina nije dovoljna",IF(I616&gt;=POSTAVKE!$B$6,"Sve u redu","Stiže na vrijeme")))))))</f>
        <v>Nema prodaje</v>
      </c>
      <c r="S616" s="23" t="n">
        <f aca="false">IFERROR(INDEX(PODACI_PRODAJA!B:B,MATCH($A616,PODACI_PRODAJA!$A:$A,0)),0)</f>
        <v>0</v>
      </c>
      <c r="T616" s="23" t="n">
        <f aca="false">IFERROR(INDEX(PODACI_PRODAJA!C:C,MATCH($A616,PODACI_PRODAJA!$A:$A,0)),0)</f>
        <v>0</v>
      </c>
      <c r="U616" s="23" t="n">
        <f aca="false">IFERROR(INDEX(PODACI_PRODAJA!D:D,MATCH($A616,PODACI_PRODAJA!$A:$A,0)),0)</f>
        <v>0</v>
      </c>
      <c r="V616" s="23" t="n">
        <f aca="false">IFERROR(INDEX(PODACI_PRODAJA!E:E,MATCH($A616,PODACI_PRODAJA!$A:$A,0)),0)</f>
        <v>0</v>
      </c>
      <c r="W616" s="23" t="n">
        <f aca="false">IFERROR(INDEX(PODACI_PRODAJA!F:F,MATCH($A616,PODACI_PRODAJA!$A:$A,0)),0)</f>
        <v>0</v>
      </c>
      <c r="X616" s="23" t="n">
        <f aca="false">IFERROR(INDEX(PODACI_PRODAJA!G:G,MATCH($A616,PODACI_PRODAJA!$A:$A,0)),0)</f>
        <v>0</v>
      </c>
      <c r="Y616" s="23" t="n">
        <f aca="false">IFERROR(INDEX(PODACI_PRODAJA!H:H,MATCH($A616,PODACI_PRODAJA!$A:$A,0)),0)</f>
        <v>0</v>
      </c>
      <c r="Z616" s="23" t="n">
        <f aca="false">IFERROR(INDEX(PODACI_PRODAJA!I:I,MATCH($A616,PODACI_PRODAJA!$A:$A,0)),0)</f>
        <v>0</v>
      </c>
      <c r="AA616" s="23" t="n">
        <f aca="false">IFERROR(INDEX(PODACI_PRODAJA!J:J,MATCH($A616,PODACI_PRODAJA!$A:$A,0)),0)</f>
        <v>0</v>
      </c>
      <c r="AB616" s="23" t="n">
        <f aca="false">IFERROR(INDEX(PODACI_PRODAJA!K:K,MATCH($A616,PODACI_PRODAJA!$A:$A,0)),0)</f>
        <v>0</v>
      </c>
      <c r="AC616" s="23" t="n">
        <f aca="false">IFERROR(INDEX(PODACI_PRODAJA!L:L,MATCH($A616,PODACI_PRODAJA!$A:$A,0)),0)</f>
        <v>0</v>
      </c>
      <c r="AD616" s="23" t="n">
        <f aca="false">IFERROR(INDEX(PODACI_PRODAJA!M:M,MATCH($A616,PODACI_PRODAJA!$A:$A,0)),0)</f>
        <v>0</v>
      </c>
    </row>
    <row r="617" customFormat="false" ht="15" hidden="false" customHeight="false" outlineLevel="0" collapsed="false">
      <c r="A617" s="11" t="str">
        <f aca="false">PODACI_ZALIHE!A614</f>
        <v>20298N515</v>
      </c>
      <c r="B617" s="8" t="str">
        <f aca="false">PODACI_ZALIHE!B614</f>
        <v>KLUDI NOVA FONTE MIJEŠALICA ZA UMIVAONIK 240 MM, BRUŠENI NIKL</v>
      </c>
      <c r="C617" s="9" t="str">
        <f aca="false">PODACI_ZALIHE!C614</f>
        <v>7485</v>
      </c>
      <c r="D617" s="8" t="str">
        <f aca="false">PODACI_ZALIHE!D614</f>
        <v>KLUDI GmbH &amp; Co. KG.,</v>
      </c>
      <c r="E617" s="19" t="n">
        <f aca="false">IF(PODACI_ZALIHE!E614="","",PODACI_ZALIHE!E614)</f>
        <v>1</v>
      </c>
      <c r="F617" s="20" t="n">
        <f aca="false">PODACI_ZALIHE!F614</f>
        <v>1</v>
      </c>
      <c r="G617" s="19" t="n">
        <f aca="false">IF(E617="","",E617-F617)</f>
        <v>0</v>
      </c>
      <c r="H617" s="9" t="n">
        <f aca="false">PODACI_PRODAJA!N722</f>
        <v>0</v>
      </c>
      <c r="I617" s="21" t="n">
        <f aca="false">IF(H617&lt;=0,999,ROUND(F617/H617,1))</f>
        <v>999</v>
      </c>
      <c r="J617" s="9" t="n">
        <f aca="false">SUMIFS(ROBA_U_DOLASKU!$C$6:$C$95,ROBA_U_DOLASKU!$A$6:$A$95,A617,ROBA_U_DOLASKU!$H$6:$H$95,1)</f>
        <v>0</v>
      </c>
      <c r="K617" s="9" t="n">
        <f aca="false">SUMIFS(ROBA_U_DOLASKU!$B$6:$B$95,ROBA_U_DOLASKU!$A$6:$A$95,A617,ROBA_U_DOLASKU!$H$6:$H$95,1)</f>
        <v>0</v>
      </c>
      <c r="L617" s="9" t="n">
        <f aca="false">SUMIFS(ROBA_U_DOLASKU!$C$6:$C$95,ROBA_U_DOLASKU!$A$6:$A$95,A617,ROBA_U_DOLASKU!$H$6:$H$95,2)</f>
        <v>0</v>
      </c>
      <c r="M617" s="9" t="n">
        <f aca="false">SUMIFS(ROBA_U_DOLASKU!$B$6:$B$95,ROBA_U_DOLASKU!$A$6:$A$95,A617,ROBA_U_DOLASKU!$H$6:$H$95,2)</f>
        <v>0</v>
      </c>
      <c r="N617" s="9" t="n">
        <f aca="false">SUMIFS(ROBA_U_DOLASKU!$C$6:$C$95,ROBA_U_DOLASKU!$A$6:$A$95,A617,ROBA_U_DOLASKU!$H$6:$H$95,3)</f>
        <v>0</v>
      </c>
      <c r="O617" s="9" t="n">
        <f aca="false">SUMIFS(ROBA_U_DOLASKU!$B$6:$B$95,ROBA_U_DOLASKU!$A$6:$A$95,A617,ROBA_U_DOLASKU!$H$6:$H$95,3)</f>
        <v>0</v>
      </c>
      <c r="P617" s="9" t="n">
        <f aca="false">IF(H617&lt;=0,999,IF(O617&gt;0,ROUND((F617-H617*N617+K617+M617+O617)/H617,1),IF(M617&gt;0,ROUND((F617-H617*L617+K617+M617)/H617,1),IF(K617&gt;0,ROUND((F617-H617*J617+K617)/H617,1),I617))))</f>
        <v>999</v>
      </c>
      <c r="Q617" s="22" t="str">
        <f aca="false">IF(H617&lt;=0,"Nema prodaje",IF(AND(K617=0,M617=0,O617=0),IF(I617&lt;POSTAVKE!$B$6,"Naruči odmah","Sve u redu"),IF(F617-H617*J617&lt;0,"Rupa za ~"&amp;TEXT(I617,"0.0")&amp;" mj.",IF(AND(M617&gt;0,F617-H617*L617+K617&lt;0),"Rupa nakon 1. dolaska",IF(AND(O617&gt;0,F617-H617*N617+K617+M617&lt;0),"Rupa nakon 2. dolaska",IF(P617&lt;POSTAVKE!$B$6,"Količina nije dovoljna",IF(I617&gt;=POSTAVKE!$B$6,"Sve u redu","Stiže na vrijeme")))))))</f>
        <v>Nema prodaje</v>
      </c>
      <c r="S617" s="23" t="n">
        <f aca="false">IFERROR(INDEX(PODACI_PRODAJA!B:B,MATCH($A617,PODACI_PRODAJA!$A:$A,0)),0)</f>
        <v>0</v>
      </c>
      <c r="T617" s="23" t="n">
        <f aca="false">IFERROR(INDEX(PODACI_PRODAJA!C:C,MATCH($A617,PODACI_PRODAJA!$A:$A,0)),0)</f>
        <v>0</v>
      </c>
      <c r="U617" s="23" t="n">
        <f aca="false">IFERROR(INDEX(PODACI_PRODAJA!D:D,MATCH($A617,PODACI_PRODAJA!$A:$A,0)),0)</f>
        <v>0</v>
      </c>
      <c r="V617" s="23" t="n">
        <f aca="false">IFERROR(INDEX(PODACI_PRODAJA!E:E,MATCH($A617,PODACI_PRODAJA!$A:$A,0)),0)</f>
        <v>0</v>
      </c>
      <c r="W617" s="23" t="n">
        <f aca="false">IFERROR(INDEX(PODACI_PRODAJA!F:F,MATCH($A617,PODACI_PRODAJA!$A:$A,0)),0)</f>
        <v>0</v>
      </c>
      <c r="X617" s="23" t="n">
        <f aca="false">IFERROR(INDEX(PODACI_PRODAJA!G:G,MATCH($A617,PODACI_PRODAJA!$A:$A,0)),0)</f>
        <v>0</v>
      </c>
      <c r="Y617" s="23" t="n">
        <f aca="false">IFERROR(INDEX(PODACI_PRODAJA!H:H,MATCH($A617,PODACI_PRODAJA!$A:$A,0)),0)</f>
        <v>0</v>
      </c>
      <c r="Z617" s="23" t="n">
        <f aca="false">IFERROR(INDEX(PODACI_PRODAJA!I:I,MATCH($A617,PODACI_PRODAJA!$A:$A,0)),0)</f>
        <v>0</v>
      </c>
      <c r="AA617" s="23" t="n">
        <f aca="false">IFERROR(INDEX(PODACI_PRODAJA!J:J,MATCH($A617,PODACI_PRODAJA!$A:$A,0)),0)</f>
        <v>0</v>
      </c>
      <c r="AB617" s="23" t="n">
        <f aca="false">IFERROR(INDEX(PODACI_PRODAJA!K:K,MATCH($A617,PODACI_PRODAJA!$A:$A,0)),0)</f>
        <v>0</v>
      </c>
      <c r="AC617" s="23" t="n">
        <f aca="false">IFERROR(INDEX(PODACI_PRODAJA!L:L,MATCH($A617,PODACI_PRODAJA!$A:$A,0)),0)</f>
        <v>0</v>
      </c>
      <c r="AD617" s="23" t="n">
        <f aca="false">IFERROR(INDEX(PODACI_PRODAJA!M:M,MATCH($A617,PODACI_PRODAJA!$A:$A,0)),0)</f>
        <v>0</v>
      </c>
    </row>
    <row r="618" customFormat="false" ht="15" hidden="false" customHeight="false" outlineLevel="0" collapsed="false">
      <c r="A618" s="11" t="str">
        <f aca="false">PODACI_ZALIHE!A615</f>
        <v>321980575</v>
      </c>
      <c r="B618" s="8" t="str">
        <f aca="false">PODACI_ZALIHE!B615</f>
        <v>KLUDI X1 MIJEŠALICA ZA UMIVAONIK 100 MM, KROM</v>
      </c>
      <c r="C618" s="9" t="str">
        <f aca="false">PODACI_ZALIHE!C615</f>
        <v>7485</v>
      </c>
      <c r="D618" s="8" t="str">
        <f aca="false">PODACI_ZALIHE!D615</f>
        <v>KLUDI GmbH &amp; Co. KG.,</v>
      </c>
      <c r="E618" s="19" t="n">
        <f aca="false">IF(PODACI_ZALIHE!E615="","",PODACI_ZALIHE!E615)</f>
        <v>1</v>
      </c>
      <c r="F618" s="20" t="n">
        <f aca="false">PODACI_ZALIHE!F615</f>
        <v>1</v>
      </c>
      <c r="G618" s="19" t="n">
        <f aca="false">IF(E618="","",E618-F618)</f>
        <v>0</v>
      </c>
      <c r="H618" s="9" t="n">
        <f aca="false">PODACI_PRODAJA!N750</f>
        <v>0</v>
      </c>
      <c r="I618" s="21" t="n">
        <f aca="false">IF(H618&lt;=0,999,ROUND(F618/H618,1))</f>
        <v>999</v>
      </c>
      <c r="J618" s="9" t="n">
        <f aca="false">SUMIFS(ROBA_U_DOLASKU!$C$6:$C$95,ROBA_U_DOLASKU!$A$6:$A$95,A618,ROBA_U_DOLASKU!$H$6:$H$95,1)</f>
        <v>0</v>
      </c>
      <c r="K618" s="9" t="n">
        <f aca="false">SUMIFS(ROBA_U_DOLASKU!$B$6:$B$95,ROBA_U_DOLASKU!$A$6:$A$95,A618,ROBA_U_DOLASKU!$H$6:$H$95,1)</f>
        <v>0</v>
      </c>
      <c r="L618" s="9" t="n">
        <f aca="false">SUMIFS(ROBA_U_DOLASKU!$C$6:$C$95,ROBA_U_DOLASKU!$A$6:$A$95,A618,ROBA_U_DOLASKU!$H$6:$H$95,2)</f>
        <v>0</v>
      </c>
      <c r="M618" s="9" t="n">
        <f aca="false">SUMIFS(ROBA_U_DOLASKU!$B$6:$B$95,ROBA_U_DOLASKU!$A$6:$A$95,A618,ROBA_U_DOLASKU!$H$6:$H$95,2)</f>
        <v>0</v>
      </c>
      <c r="N618" s="9" t="n">
        <f aca="false">SUMIFS(ROBA_U_DOLASKU!$C$6:$C$95,ROBA_U_DOLASKU!$A$6:$A$95,A618,ROBA_U_DOLASKU!$H$6:$H$95,3)</f>
        <v>0</v>
      </c>
      <c r="O618" s="9" t="n">
        <f aca="false">SUMIFS(ROBA_U_DOLASKU!$B$6:$B$95,ROBA_U_DOLASKU!$A$6:$A$95,A618,ROBA_U_DOLASKU!$H$6:$H$95,3)</f>
        <v>0</v>
      </c>
      <c r="P618" s="9" t="n">
        <f aca="false">IF(H618&lt;=0,999,IF(O618&gt;0,ROUND((F618-H618*N618+K618+M618+O618)/H618,1),IF(M618&gt;0,ROUND((F618-H618*L618+K618+M618)/H618,1),IF(K618&gt;0,ROUND((F618-H618*J618+K618)/H618,1),I618))))</f>
        <v>999</v>
      </c>
      <c r="Q618" s="22" t="str">
        <f aca="false">IF(H618&lt;=0,"Nema prodaje",IF(AND(K618=0,M618=0,O618=0),IF(I618&lt;POSTAVKE!$B$6,"Naruči odmah","Sve u redu"),IF(F618-H618*J618&lt;0,"Rupa za ~"&amp;TEXT(I618,"0.0")&amp;" mj.",IF(AND(M618&gt;0,F618-H618*L618+K618&lt;0),"Rupa nakon 1. dolaska",IF(AND(O618&gt;0,F618-H618*N618+K618+M618&lt;0),"Rupa nakon 2. dolaska",IF(P618&lt;POSTAVKE!$B$6,"Količina nije dovoljna",IF(I618&gt;=POSTAVKE!$B$6,"Sve u redu","Stiže na vrijeme")))))))</f>
        <v>Nema prodaje</v>
      </c>
      <c r="S618" s="23" t="n">
        <f aca="false">IFERROR(INDEX(PODACI_PRODAJA!B:B,MATCH($A618,PODACI_PRODAJA!$A:$A,0)),0)</f>
        <v>0</v>
      </c>
      <c r="T618" s="23" t="n">
        <f aca="false">IFERROR(INDEX(PODACI_PRODAJA!C:C,MATCH($A618,PODACI_PRODAJA!$A:$A,0)),0)</f>
        <v>0</v>
      </c>
      <c r="U618" s="23" t="n">
        <f aca="false">IFERROR(INDEX(PODACI_PRODAJA!D:D,MATCH($A618,PODACI_PRODAJA!$A:$A,0)),0)</f>
        <v>0</v>
      </c>
      <c r="V618" s="23" t="n">
        <f aca="false">IFERROR(INDEX(PODACI_PRODAJA!E:E,MATCH($A618,PODACI_PRODAJA!$A:$A,0)),0)</f>
        <v>0</v>
      </c>
      <c r="W618" s="23" t="n">
        <f aca="false">IFERROR(INDEX(PODACI_PRODAJA!F:F,MATCH($A618,PODACI_PRODAJA!$A:$A,0)),0)</f>
        <v>0</v>
      </c>
      <c r="X618" s="23" t="n">
        <f aca="false">IFERROR(INDEX(PODACI_PRODAJA!G:G,MATCH($A618,PODACI_PRODAJA!$A:$A,0)),0)</f>
        <v>0</v>
      </c>
      <c r="Y618" s="23" t="n">
        <f aca="false">IFERROR(INDEX(PODACI_PRODAJA!H:H,MATCH($A618,PODACI_PRODAJA!$A:$A,0)),0)</f>
        <v>0</v>
      </c>
      <c r="Z618" s="23" t="n">
        <f aca="false">IFERROR(INDEX(PODACI_PRODAJA!I:I,MATCH($A618,PODACI_PRODAJA!$A:$A,0)),0)</f>
        <v>0</v>
      </c>
      <c r="AA618" s="23" t="n">
        <f aca="false">IFERROR(INDEX(PODACI_PRODAJA!J:J,MATCH($A618,PODACI_PRODAJA!$A:$A,0)),0)</f>
        <v>0</v>
      </c>
      <c r="AB618" s="23" t="n">
        <f aca="false">IFERROR(INDEX(PODACI_PRODAJA!K:K,MATCH($A618,PODACI_PRODAJA!$A:$A,0)),0)</f>
        <v>0</v>
      </c>
      <c r="AC618" s="23" t="n">
        <f aca="false">IFERROR(INDEX(PODACI_PRODAJA!L:L,MATCH($A618,PODACI_PRODAJA!$A:$A,0)),0)</f>
        <v>0</v>
      </c>
      <c r="AD618" s="23" t="n">
        <f aca="false">IFERROR(INDEX(PODACI_PRODAJA!M:M,MATCH($A618,PODACI_PRODAJA!$A:$A,0)),0)</f>
        <v>0</v>
      </c>
    </row>
    <row r="619" customFormat="false" ht="15" hidden="false" customHeight="false" outlineLevel="0" collapsed="false">
      <c r="A619" s="11" t="str">
        <f aca="false">PODACI_ZALIHE!A616</f>
        <v>322983975</v>
      </c>
      <c r="B619" s="8" t="str">
        <f aca="false">PODACI_ZALIHE!B616</f>
        <v>KLUDI X1 MIJEŠALICA ZA UMIVAONIK 210 MM, CRNA MAT</v>
      </c>
      <c r="C619" s="9" t="str">
        <f aca="false">PODACI_ZALIHE!C616</f>
        <v>7485</v>
      </c>
      <c r="D619" s="8" t="str">
        <f aca="false">PODACI_ZALIHE!D616</f>
        <v>KLUDI GmbH &amp; Co. KG.,</v>
      </c>
      <c r="E619" s="19" t="n">
        <f aca="false">IF(PODACI_ZALIHE!E616="","",PODACI_ZALIHE!E616)</f>
        <v>1</v>
      </c>
      <c r="F619" s="20" t="n">
        <f aca="false">PODACI_ZALIHE!F616</f>
        <v>1</v>
      </c>
      <c r="G619" s="19" t="n">
        <f aca="false">IF(E619="","",E619-F619)</f>
        <v>0</v>
      </c>
      <c r="H619" s="9" t="n">
        <f aca="false">PODACI_PRODAJA!N753</f>
        <v>0</v>
      </c>
      <c r="I619" s="21" t="n">
        <f aca="false">IF(H619&lt;=0,999,ROUND(F619/H619,1))</f>
        <v>999</v>
      </c>
      <c r="J619" s="9" t="n">
        <f aca="false">SUMIFS(ROBA_U_DOLASKU!$C$6:$C$95,ROBA_U_DOLASKU!$A$6:$A$95,A619,ROBA_U_DOLASKU!$H$6:$H$95,1)</f>
        <v>0</v>
      </c>
      <c r="K619" s="9" t="n">
        <f aca="false">SUMIFS(ROBA_U_DOLASKU!$B$6:$B$95,ROBA_U_DOLASKU!$A$6:$A$95,A619,ROBA_U_DOLASKU!$H$6:$H$95,1)</f>
        <v>0</v>
      </c>
      <c r="L619" s="9" t="n">
        <f aca="false">SUMIFS(ROBA_U_DOLASKU!$C$6:$C$95,ROBA_U_DOLASKU!$A$6:$A$95,A619,ROBA_U_DOLASKU!$H$6:$H$95,2)</f>
        <v>0</v>
      </c>
      <c r="M619" s="9" t="n">
        <f aca="false">SUMIFS(ROBA_U_DOLASKU!$B$6:$B$95,ROBA_U_DOLASKU!$A$6:$A$95,A619,ROBA_U_DOLASKU!$H$6:$H$95,2)</f>
        <v>0</v>
      </c>
      <c r="N619" s="9" t="n">
        <f aca="false">SUMIFS(ROBA_U_DOLASKU!$C$6:$C$95,ROBA_U_DOLASKU!$A$6:$A$95,A619,ROBA_U_DOLASKU!$H$6:$H$95,3)</f>
        <v>0</v>
      </c>
      <c r="O619" s="9" t="n">
        <f aca="false">SUMIFS(ROBA_U_DOLASKU!$B$6:$B$95,ROBA_U_DOLASKU!$A$6:$A$95,A619,ROBA_U_DOLASKU!$H$6:$H$95,3)</f>
        <v>0</v>
      </c>
      <c r="P619" s="9" t="n">
        <f aca="false">IF(H619&lt;=0,999,IF(O619&gt;0,ROUND((F619-H619*N619+K619+M619+O619)/H619,1),IF(M619&gt;0,ROUND((F619-H619*L619+K619+M619)/H619,1),IF(K619&gt;0,ROUND((F619-H619*J619+K619)/H619,1),I619))))</f>
        <v>999</v>
      </c>
      <c r="Q619" s="22" t="str">
        <f aca="false">IF(H619&lt;=0,"Nema prodaje",IF(AND(K619=0,M619=0,O619=0),IF(I619&lt;POSTAVKE!$B$6,"Naruči odmah","Sve u redu"),IF(F619-H619*J619&lt;0,"Rupa za ~"&amp;TEXT(I619,"0.0")&amp;" mj.",IF(AND(M619&gt;0,F619-H619*L619+K619&lt;0),"Rupa nakon 1. dolaska",IF(AND(O619&gt;0,F619-H619*N619+K619+M619&lt;0),"Rupa nakon 2. dolaska",IF(P619&lt;POSTAVKE!$B$6,"Količina nije dovoljna",IF(I619&gt;=POSTAVKE!$B$6,"Sve u redu","Stiže na vrijeme")))))))</f>
        <v>Nema prodaje</v>
      </c>
      <c r="S619" s="23" t="n">
        <f aca="false">IFERROR(INDEX(PODACI_PRODAJA!B:B,MATCH($A619,PODACI_PRODAJA!$A:$A,0)),0)</f>
        <v>0</v>
      </c>
      <c r="T619" s="23" t="n">
        <f aca="false">IFERROR(INDEX(PODACI_PRODAJA!C:C,MATCH($A619,PODACI_PRODAJA!$A:$A,0)),0)</f>
        <v>0</v>
      </c>
      <c r="U619" s="23" t="n">
        <f aca="false">IFERROR(INDEX(PODACI_PRODAJA!D:D,MATCH($A619,PODACI_PRODAJA!$A:$A,0)),0)</f>
        <v>0</v>
      </c>
      <c r="V619" s="23" t="n">
        <f aca="false">IFERROR(INDEX(PODACI_PRODAJA!E:E,MATCH($A619,PODACI_PRODAJA!$A:$A,0)),0)</f>
        <v>0</v>
      </c>
      <c r="W619" s="23" t="n">
        <f aca="false">IFERROR(INDEX(PODACI_PRODAJA!F:F,MATCH($A619,PODACI_PRODAJA!$A:$A,0)),0)</f>
        <v>0</v>
      </c>
      <c r="X619" s="23" t="n">
        <f aca="false">IFERROR(INDEX(PODACI_PRODAJA!G:G,MATCH($A619,PODACI_PRODAJA!$A:$A,0)),0)</f>
        <v>0</v>
      </c>
      <c r="Y619" s="23" t="n">
        <f aca="false">IFERROR(INDEX(PODACI_PRODAJA!H:H,MATCH($A619,PODACI_PRODAJA!$A:$A,0)),0)</f>
        <v>0</v>
      </c>
      <c r="Z619" s="23" t="n">
        <f aca="false">IFERROR(INDEX(PODACI_PRODAJA!I:I,MATCH($A619,PODACI_PRODAJA!$A:$A,0)),0)</f>
        <v>0</v>
      </c>
      <c r="AA619" s="23" t="n">
        <f aca="false">IFERROR(INDEX(PODACI_PRODAJA!J:J,MATCH($A619,PODACI_PRODAJA!$A:$A,0)),0)</f>
        <v>0</v>
      </c>
      <c r="AB619" s="23" t="n">
        <f aca="false">IFERROR(INDEX(PODACI_PRODAJA!K:K,MATCH($A619,PODACI_PRODAJA!$A:$A,0)),0)</f>
        <v>0</v>
      </c>
      <c r="AC619" s="23" t="n">
        <f aca="false">IFERROR(INDEX(PODACI_PRODAJA!L:L,MATCH($A619,PODACI_PRODAJA!$A:$A,0)),0)</f>
        <v>0</v>
      </c>
      <c r="AD619" s="23" t="n">
        <f aca="false">IFERROR(INDEX(PODACI_PRODAJA!M:M,MATCH($A619,PODACI_PRODAJA!$A:$A,0)),0)</f>
        <v>0</v>
      </c>
    </row>
    <row r="620" customFormat="false" ht="15" hidden="false" customHeight="false" outlineLevel="0" collapsed="false">
      <c r="A620" s="11" t="str">
        <f aca="false">PODACI_ZALIHE!A617</f>
        <v>38288N076</v>
      </c>
      <c r="B620" s="8" t="str">
        <f aca="false">PODACI_ZALIHE!B617</f>
        <v>KLUDI BOZZ MIJEŠALICA ZA UMIVAONIK, 100 MM, BRUŠENO ZLATO</v>
      </c>
      <c r="C620" s="9" t="str">
        <f aca="false">PODACI_ZALIHE!C617</f>
        <v>7485</v>
      </c>
      <c r="D620" s="8" t="str">
        <f aca="false">PODACI_ZALIHE!D617</f>
        <v>KLUDI GmbH &amp; Co. KG.,</v>
      </c>
      <c r="E620" s="19" t="n">
        <f aca="false">IF(PODACI_ZALIHE!E617="","",PODACI_ZALIHE!E617)</f>
        <v>1</v>
      </c>
      <c r="F620" s="20" t="n">
        <f aca="false">PODACI_ZALIHE!F617</f>
        <v>1</v>
      </c>
      <c r="G620" s="19" t="n">
        <f aca="false">IF(E620="","",E620-F620)</f>
        <v>0</v>
      </c>
      <c r="H620" s="9" t="n">
        <f aca="false">PODACI_PRODAJA!N770</f>
        <v>0</v>
      </c>
      <c r="I620" s="21" t="n">
        <f aca="false">IF(H620&lt;=0,999,ROUND(F620/H620,1))</f>
        <v>999</v>
      </c>
      <c r="J620" s="9" t="n">
        <f aca="false">SUMIFS(ROBA_U_DOLASKU!$C$6:$C$95,ROBA_U_DOLASKU!$A$6:$A$95,A620,ROBA_U_DOLASKU!$H$6:$H$95,1)</f>
        <v>0</v>
      </c>
      <c r="K620" s="9" t="n">
        <f aca="false">SUMIFS(ROBA_U_DOLASKU!$B$6:$B$95,ROBA_U_DOLASKU!$A$6:$A$95,A620,ROBA_U_DOLASKU!$H$6:$H$95,1)</f>
        <v>0</v>
      </c>
      <c r="L620" s="9" t="n">
        <f aca="false">SUMIFS(ROBA_U_DOLASKU!$C$6:$C$95,ROBA_U_DOLASKU!$A$6:$A$95,A620,ROBA_U_DOLASKU!$H$6:$H$95,2)</f>
        <v>0</v>
      </c>
      <c r="M620" s="9" t="n">
        <f aca="false">SUMIFS(ROBA_U_DOLASKU!$B$6:$B$95,ROBA_U_DOLASKU!$A$6:$A$95,A620,ROBA_U_DOLASKU!$H$6:$H$95,2)</f>
        <v>0</v>
      </c>
      <c r="N620" s="9" t="n">
        <f aca="false">SUMIFS(ROBA_U_DOLASKU!$C$6:$C$95,ROBA_U_DOLASKU!$A$6:$A$95,A620,ROBA_U_DOLASKU!$H$6:$H$95,3)</f>
        <v>0</v>
      </c>
      <c r="O620" s="9" t="n">
        <f aca="false">SUMIFS(ROBA_U_DOLASKU!$B$6:$B$95,ROBA_U_DOLASKU!$A$6:$A$95,A620,ROBA_U_DOLASKU!$H$6:$H$95,3)</f>
        <v>0</v>
      </c>
      <c r="P620" s="9" t="n">
        <f aca="false">IF(H620&lt;=0,999,IF(O620&gt;0,ROUND((F620-H620*N620+K620+M620+O620)/H620,1),IF(M620&gt;0,ROUND((F620-H620*L620+K620+M620)/H620,1),IF(K620&gt;0,ROUND((F620-H620*J620+K620)/H620,1),I620))))</f>
        <v>999</v>
      </c>
      <c r="Q620" s="22" t="str">
        <f aca="false">IF(H620&lt;=0,"Nema prodaje",IF(AND(K620=0,M620=0,O620=0),IF(I620&lt;POSTAVKE!$B$6,"Naruči odmah","Sve u redu"),IF(F620-H620*J620&lt;0,"Rupa za ~"&amp;TEXT(I620,"0.0")&amp;" mj.",IF(AND(M620&gt;0,F620-H620*L620+K620&lt;0),"Rupa nakon 1. dolaska",IF(AND(O620&gt;0,F620-H620*N620+K620+M620&lt;0),"Rupa nakon 2. dolaska",IF(P620&lt;POSTAVKE!$B$6,"Količina nije dovoljna",IF(I620&gt;=POSTAVKE!$B$6,"Sve u redu","Stiže na vrijeme")))))))</f>
        <v>Nema prodaje</v>
      </c>
      <c r="S620" s="23" t="n">
        <f aca="false">IFERROR(INDEX(PODACI_PRODAJA!B:B,MATCH($A620,PODACI_PRODAJA!$A:$A,0)),0)</f>
        <v>0</v>
      </c>
      <c r="T620" s="23" t="n">
        <f aca="false">IFERROR(INDEX(PODACI_PRODAJA!C:C,MATCH($A620,PODACI_PRODAJA!$A:$A,0)),0)</f>
        <v>0</v>
      </c>
      <c r="U620" s="23" t="n">
        <f aca="false">IFERROR(INDEX(PODACI_PRODAJA!D:D,MATCH($A620,PODACI_PRODAJA!$A:$A,0)),0)</f>
        <v>0</v>
      </c>
      <c r="V620" s="23" t="n">
        <f aca="false">IFERROR(INDEX(PODACI_PRODAJA!E:E,MATCH($A620,PODACI_PRODAJA!$A:$A,0)),0)</f>
        <v>0</v>
      </c>
      <c r="W620" s="23" t="n">
        <f aca="false">IFERROR(INDEX(PODACI_PRODAJA!F:F,MATCH($A620,PODACI_PRODAJA!$A:$A,0)),0)</f>
        <v>0</v>
      </c>
      <c r="X620" s="23" t="n">
        <f aca="false">IFERROR(INDEX(PODACI_PRODAJA!G:G,MATCH($A620,PODACI_PRODAJA!$A:$A,0)),0)</f>
        <v>0</v>
      </c>
      <c r="Y620" s="23" t="n">
        <f aca="false">IFERROR(INDEX(PODACI_PRODAJA!H:H,MATCH($A620,PODACI_PRODAJA!$A:$A,0)),0)</f>
        <v>0</v>
      </c>
      <c r="Z620" s="23" t="n">
        <f aca="false">IFERROR(INDEX(PODACI_PRODAJA!I:I,MATCH($A620,PODACI_PRODAJA!$A:$A,0)),0)</f>
        <v>0</v>
      </c>
      <c r="AA620" s="23" t="n">
        <f aca="false">IFERROR(INDEX(PODACI_PRODAJA!J:J,MATCH($A620,PODACI_PRODAJA!$A:$A,0)),0)</f>
        <v>0</v>
      </c>
      <c r="AB620" s="23" t="n">
        <f aca="false">IFERROR(INDEX(PODACI_PRODAJA!K:K,MATCH($A620,PODACI_PRODAJA!$A:$A,0)),0)</f>
        <v>0</v>
      </c>
      <c r="AC620" s="23" t="n">
        <f aca="false">IFERROR(INDEX(PODACI_PRODAJA!L:L,MATCH($A620,PODACI_PRODAJA!$A:$A,0)),0)</f>
        <v>0</v>
      </c>
      <c r="AD620" s="23" t="n">
        <f aca="false">IFERROR(INDEX(PODACI_PRODAJA!M:M,MATCH($A620,PODACI_PRODAJA!$A:$A,0)),0)</f>
        <v>0</v>
      </c>
    </row>
    <row r="621" customFormat="false" ht="15" hidden="false" customHeight="false" outlineLevel="0" collapsed="false">
      <c r="A621" s="11" t="str">
        <f aca="false">PODACI_ZALIHE!A618</f>
        <v>38288N576</v>
      </c>
      <c r="B621" s="8" t="str">
        <f aca="false">PODACI_ZALIHE!B618</f>
        <v>KLUDI BOZZ MIJEŠALICA ZA UMIVAONIK, 100 MM, BRUŠENI NIKL</v>
      </c>
      <c r="C621" s="9" t="str">
        <f aca="false">PODACI_ZALIHE!C618</f>
        <v>7485</v>
      </c>
      <c r="D621" s="8" t="str">
        <f aca="false">PODACI_ZALIHE!D618</f>
        <v>KLUDI GmbH &amp; Co. KG.,</v>
      </c>
      <c r="E621" s="19" t="n">
        <f aca="false">IF(PODACI_ZALIHE!E618="","",PODACI_ZALIHE!E618)</f>
        <v>1</v>
      </c>
      <c r="F621" s="20" t="n">
        <f aca="false">PODACI_ZALIHE!F618</f>
        <v>1</v>
      </c>
      <c r="G621" s="19" t="n">
        <f aca="false">IF(E621="","",E621-F621)</f>
        <v>0</v>
      </c>
      <c r="H621" s="9" t="n">
        <f aca="false">PODACI_PRODAJA!N771</f>
        <v>0</v>
      </c>
      <c r="I621" s="21" t="n">
        <f aca="false">IF(H621&lt;=0,999,ROUND(F621/H621,1))</f>
        <v>999</v>
      </c>
      <c r="J621" s="9" t="n">
        <f aca="false">SUMIFS(ROBA_U_DOLASKU!$C$6:$C$95,ROBA_U_DOLASKU!$A$6:$A$95,A621,ROBA_U_DOLASKU!$H$6:$H$95,1)</f>
        <v>0</v>
      </c>
      <c r="K621" s="9" t="n">
        <f aca="false">SUMIFS(ROBA_U_DOLASKU!$B$6:$B$95,ROBA_U_DOLASKU!$A$6:$A$95,A621,ROBA_U_DOLASKU!$H$6:$H$95,1)</f>
        <v>0</v>
      </c>
      <c r="L621" s="9" t="n">
        <f aca="false">SUMIFS(ROBA_U_DOLASKU!$C$6:$C$95,ROBA_U_DOLASKU!$A$6:$A$95,A621,ROBA_U_DOLASKU!$H$6:$H$95,2)</f>
        <v>0</v>
      </c>
      <c r="M621" s="9" t="n">
        <f aca="false">SUMIFS(ROBA_U_DOLASKU!$B$6:$B$95,ROBA_U_DOLASKU!$A$6:$A$95,A621,ROBA_U_DOLASKU!$H$6:$H$95,2)</f>
        <v>0</v>
      </c>
      <c r="N621" s="9" t="n">
        <f aca="false">SUMIFS(ROBA_U_DOLASKU!$C$6:$C$95,ROBA_U_DOLASKU!$A$6:$A$95,A621,ROBA_U_DOLASKU!$H$6:$H$95,3)</f>
        <v>0</v>
      </c>
      <c r="O621" s="9" t="n">
        <f aca="false">SUMIFS(ROBA_U_DOLASKU!$B$6:$B$95,ROBA_U_DOLASKU!$A$6:$A$95,A621,ROBA_U_DOLASKU!$H$6:$H$95,3)</f>
        <v>0</v>
      </c>
      <c r="P621" s="9" t="n">
        <f aca="false">IF(H621&lt;=0,999,IF(O621&gt;0,ROUND((F621-H621*N621+K621+M621+O621)/H621,1),IF(M621&gt;0,ROUND((F621-H621*L621+K621+M621)/H621,1),IF(K621&gt;0,ROUND((F621-H621*J621+K621)/H621,1),I621))))</f>
        <v>999</v>
      </c>
      <c r="Q621" s="22" t="str">
        <f aca="false">IF(H621&lt;=0,"Nema prodaje",IF(AND(K621=0,M621=0,O621=0),IF(I621&lt;POSTAVKE!$B$6,"Naruči odmah","Sve u redu"),IF(F621-H621*J621&lt;0,"Rupa za ~"&amp;TEXT(I621,"0.0")&amp;" mj.",IF(AND(M621&gt;0,F621-H621*L621+K621&lt;0),"Rupa nakon 1. dolaska",IF(AND(O621&gt;0,F621-H621*N621+K621+M621&lt;0),"Rupa nakon 2. dolaska",IF(P621&lt;POSTAVKE!$B$6,"Količina nije dovoljna",IF(I621&gt;=POSTAVKE!$B$6,"Sve u redu","Stiže na vrijeme")))))))</f>
        <v>Nema prodaje</v>
      </c>
      <c r="S621" s="23" t="n">
        <f aca="false">IFERROR(INDEX(PODACI_PRODAJA!B:B,MATCH($A621,PODACI_PRODAJA!$A:$A,0)),0)</f>
        <v>0</v>
      </c>
      <c r="T621" s="23" t="n">
        <f aca="false">IFERROR(INDEX(PODACI_PRODAJA!C:C,MATCH($A621,PODACI_PRODAJA!$A:$A,0)),0)</f>
        <v>0</v>
      </c>
      <c r="U621" s="23" t="n">
        <f aca="false">IFERROR(INDEX(PODACI_PRODAJA!D:D,MATCH($A621,PODACI_PRODAJA!$A:$A,0)),0)</f>
        <v>0</v>
      </c>
      <c r="V621" s="23" t="n">
        <f aca="false">IFERROR(INDEX(PODACI_PRODAJA!E:E,MATCH($A621,PODACI_PRODAJA!$A:$A,0)),0)</f>
        <v>0</v>
      </c>
      <c r="W621" s="23" t="n">
        <f aca="false">IFERROR(INDEX(PODACI_PRODAJA!F:F,MATCH($A621,PODACI_PRODAJA!$A:$A,0)),0)</f>
        <v>0</v>
      </c>
      <c r="X621" s="23" t="n">
        <f aca="false">IFERROR(INDEX(PODACI_PRODAJA!G:G,MATCH($A621,PODACI_PRODAJA!$A:$A,0)),0)</f>
        <v>0</v>
      </c>
      <c r="Y621" s="23" t="n">
        <f aca="false">IFERROR(INDEX(PODACI_PRODAJA!H:H,MATCH($A621,PODACI_PRODAJA!$A:$A,0)),0)</f>
        <v>0</v>
      </c>
      <c r="Z621" s="23" t="n">
        <f aca="false">IFERROR(INDEX(PODACI_PRODAJA!I:I,MATCH($A621,PODACI_PRODAJA!$A:$A,0)),0)</f>
        <v>0</v>
      </c>
      <c r="AA621" s="23" t="n">
        <f aca="false">IFERROR(INDEX(PODACI_PRODAJA!J:J,MATCH($A621,PODACI_PRODAJA!$A:$A,0)),0)</f>
        <v>0</v>
      </c>
      <c r="AB621" s="23" t="n">
        <f aca="false">IFERROR(INDEX(PODACI_PRODAJA!K:K,MATCH($A621,PODACI_PRODAJA!$A:$A,0)),0)</f>
        <v>0</v>
      </c>
      <c r="AC621" s="23" t="n">
        <f aca="false">IFERROR(INDEX(PODACI_PRODAJA!L:L,MATCH($A621,PODACI_PRODAJA!$A:$A,0)),0)</f>
        <v>0</v>
      </c>
      <c r="AD621" s="23" t="n">
        <f aca="false">IFERROR(INDEX(PODACI_PRODAJA!M:M,MATCH($A621,PODACI_PRODAJA!$A:$A,0)),0)</f>
        <v>0</v>
      </c>
    </row>
    <row r="622" customFormat="false" ht="15" hidden="false" customHeight="false" outlineLevel="0" collapsed="false">
      <c r="A622" s="11" t="str">
        <f aca="false">PODACI_ZALIHE!A619</f>
        <v>382883976</v>
      </c>
      <c r="B622" s="8" t="str">
        <f aca="false">PODACI_ZALIHE!B619</f>
        <v>KLUDI BOZZ MIJEŠALICA ZA UMIVAONIK 100 MM, CRNA MAT</v>
      </c>
      <c r="C622" s="9" t="str">
        <f aca="false">PODACI_ZALIHE!C619</f>
        <v>7485</v>
      </c>
      <c r="D622" s="8" t="str">
        <f aca="false">PODACI_ZALIHE!D619</f>
        <v>KLUDI GmbH &amp; Co. KG.,</v>
      </c>
      <c r="E622" s="19" t="n">
        <f aca="false">IF(PODACI_ZALIHE!E619="","",PODACI_ZALIHE!E619)</f>
        <v>1</v>
      </c>
      <c r="F622" s="20" t="n">
        <f aca="false">PODACI_ZALIHE!F619</f>
        <v>1</v>
      </c>
      <c r="G622" s="19" t="n">
        <f aca="false">IF(E622="","",E622-F622)</f>
        <v>0</v>
      </c>
      <c r="H622" s="9" t="n">
        <f aca="false">PODACI_PRODAJA!N772</f>
        <v>0</v>
      </c>
      <c r="I622" s="21" t="n">
        <f aca="false">IF(H622&lt;=0,999,ROUND(F622/H622,1))</f>
        <v>999</v>
      </c>
      <c r="J622" s="9" t="n">
        <f aca="false">SUMIFS(ROBA_U_DOLASKU!$C$6:$C$95,ROBA_U_DOLASKU!$A$6:$A$95,A622,ROBA_U_DOLASKU!$H$6:$H$95,1)</f>
        <v>0</v>
      </c>
      <c r="K622" s="9" t="n">
        <f aca="false">SUMIFS(ROBA_U_DOLASKU!$B$6:$B$95,ROBA_U_DOLASKU!$A$6:$A$95,A622,ROBA_U_DOLASKU!$H$6:$H$95,1)</f>
        <v>0</v>
      </c>
      <c r="L622" s="9" t="n">
        <f aca="false">SUMIFS(ROBA_U_DOLASKU!$C$6:$C$95,ROBA_U_DOLASKU!$A$6:$A$95,A622,ROBA_U_DOLASKU!$H$6:$H$95,2)</f>
        <v>0</v>
      </c>
      <c r="M622" s="9" t="n">
        <f aca="false">SUMIFS(ROBA_U_DOLASKU!$B$6:$B$95,ROBA_U_DOLASKU!$A$6:$A$95,A622,ROBA_U_DOLASKU!$H$6:$H$95,2)</f>
        <v>0</v>
      </c>
      <c r="N622" s="9" t="n">
        <f aca="false">SUMIFS(ROBA_U_DOLASKU!$C$6:$C$95,ROBA_U_DOLASKU!$A$6:$A$95,A622,ROBA_U_DOLASKU!$H$6:$H$95,3)</f>
        <v>0</v>
      </c>
      <c r="O622" s="9" t="n">
        <f aca="false">SUMIFS(ROBA_U_DOLASKU!$B$6:$B$95,ROBA_U_DOLASKU!$A$6:$A$95,A622,ROBA_U_DOLASKU!$H$6:$H$95,3)</f>
        <v>0</v>
      </c>
      <c r="P622" s="9" t="n">
        <f aca="false">IF(H622&lt;=0,999,IF(O622&gt;0,ROUND((F622-H622*N622+K622+M622+O622)/H622,1),IF(M622&gt;0,ROUND((F622-H622*L622+K622+M622)/H622,1),IF(K622&gt;0,ROUND((F622-H622*J622+K622)/H622,1),I622))))</f>
        <v>999</v>
      </c>
      <c r="Q622" s="22" t="str">
        <f aca="false">IF(H622&lt;=0,"Nema prodaje",IF(AND(K622=0,M622=0,O622=0),IF(I622&lt;POSTAVKE!$B$6,"Naruči odmah","Sve u redu"),IF(F622-H622*J622&lt;0,"Rupa za ~"&amp;TEXT(I622,"0.0")&amp;" mj.",IF(AND(M622&gt;0,F622-H622*L622+K622&lt;0),"Rupa nakon 1. dolaska",IF(AND(O622&gt;0,F622-H622*N622+K622+M622&lt;0),"Rupa nakon 2. dolaska",IF(P622&lt;POSTAVKE!$B$6,"Količina nije dovoljna",IF(I622&gt;=POSTAVKE!$B$6,"Sve u redu","Stiže na vrijeme")))))))</f>
        <v>Nema prodaje</v>
      </c>
      <c r="S622" s="23" t="n">
        <f aca="false">IFERROR(INDEX(PODACI_PRODAJA!B:B,MATCH($A622,PODACI_PRODAJA!$A:$A,0)),0)</f>
        <v>0</v>
      </c>
      <c r="T622" s="23" t="n">
        <f aca="false">IFERROR(INDEX(PODACI_PRODAJA!C:C,MATCH($A622,PODACI_PRODAJA!$A:$A,0)),0)</f>
        <v>0</v>
      </c>
      <c r="U622" s="23" t="n">
        <f aca="false">IFERROR(INDEX(PODACI_PRODAJA!D:D,MATCH($A622,PODACI_PRODAJA!$A:$A,0)),0)</f>
        <v>0</v>
      </c>
      <c r="V622" s="23" t="n">
        <f aca="false">IFERROR(INDEX(PODACI_PRODAJA!E:E,MATCH($A622,PODACI_PRODAJA!$A:$A,0)),0)</f>
        <v>0</v>
      </c>
      <c r="W622" s="23" t="n">
        <f aca="false">IFERROR(INDEX(PODACI_PRODAJA!F:F,MATCH($A622,PODACI_PRODAJA!$A:$A,0)),0)</f>
        <v>0</v>
      </c>
      <c r="X622" s="23" t="n">
        <f aca="false">IFERROR(INDEX(PODACI_PRODAJA!G:G,MATCH($A622,PODACI_PRODAJA!$A:$A,0)),0)</f>
        <v>0</v>
      </c>
      <c r="Y622" s="23" t="n">
        <f aca="false">IFERROR(INDEX(PODACI_PRODAJA!H:H,MATCH($A622,PODACI_PRODAJA!$A:$A,0)),0)</f>
        <v>0</v>
      </c>
      <c r="Z622" s="23" t="n">
        <f aca="false">IFERROR(INDEX(PODACI_PRODAJA!I:I,MATCH($A622,PODACI_PRODAJA!$A:$A,0)),0)</f>
        <v>0</v>
      </c>
      <c r="AA622" s="23" t="n">
        <f aca="false">IFERROR(INDEX(PODACI_PRODAJA!J:J,MATCH($A622,PODACI_PRODAJA!$A:$A,0)),0)</f>
        <v>0</v>
      </c>
      <c r="AB622" s="23" t="n">
        <f aca="false">IFERROR(INDEX(PODACI_PRODAJA!K:K,MATCH($A622,PODACI_PRODAJA!$A:$A,0)),0)</f>
        <v>0</v>
      </c>
      <c r="AC622" s="23" t="n">
        <f aca="false">IFERROR(INDEX(PODACI_PRODAJA!L:L,MATCH($A622,PODACI_PRODAJA!$A:$A,0)),0)</f>
        <v>0</v>
      </c>
      <c r="AD622" s="23" t="n">
        <f aca="false">IFERROR(INDEX(PODACI_PRODAJA!M:M,MATCH($A622,PODACI_PRODAJA!$A:$A,0)),0)</f>
        <v>0</v>
      </c>
    </row>
    <row r="623" customFormat="false" ht="15" hidden="false" customHeight="false" outlineLevel="0" collapsed="false">
      <c r="A623" s="11" t="str">
        <f aca="false">PODACI_ZALIHE!A620</f>
        <v>382885376</v>
      </c>
      <c r="B623" s="8" t="str">
        <f aca="false">PODACI_ZALIHE!B620</f>
        <v>KLUDI BOZZ MIJEŠALICA ZA UMIVAONIK, 100 MM, BIJELA MAT</v>
      </c>
      <c r="C623" s="9" t="str">
        <f aca="false">PODACI_ZALIHE!C620</f>
        <v>7485</v>
      </c>
      <c r="D623" s="8" t="str">
        <f aca="false">PODACI_ZALIHE!D620</f>
        <v>KLUDI GmbH &amp; Co. KG.,</v>
      </c>
      <c r="E623" s="19" t="n">
        <f aca="false">IF(PODACI_ZALIHE!E620="","",PODACI_ZALIHE!E620)</f>
        <v>1</v>
      </c>
      <c r="F623" s="20" t="n">
        <f aca="false">PODACI_ZALIHE!F620</f>
        <v>1</v>
      </c>
      <c r="G623" s="19" t="n">
        <f aca="false">IF(E623="","",E623-F623)</f>
        <v>0</v>
      </c>
      <c r="H623" s="9" t="n">
        <f aca="false">PODACI_PRODAJA!N773</f>
        <v>0</v>
      </c>
      <c r="I623" s="21" t="n">
        <f aca="false">IF(H623&lt;=0,999,ROUND(F623/H623,1))</f>
        <v>999</v>
      </c>
      <c r="J623" s="9" t="n">
        <f aca="false">SUMIFS(ROBA_U_DOLASKU!$C$6:$C$95,ROBA_U_DOLASKU!$A$6:$A$95,A623,ROBA_U_DOLASKU!$H$6:$H$95,1)</f>
        <v>0</v>
      </c>
      <c r="K623" s="9" t="n">
        <f aca="false">SUMIFS(ROBA_U_DOLASKU!$B$6:$B$95,ROBA_U_DOLASKU!$A$6:$A$95,A623,ROBA_U_DOLASKU!$H$6:$H$95,1)</f>
        <v>0</v>
      </c>
      <c r="L623" s="9" t="n">
        <f aca="false">SUMIFS(ROBA_U_DOLASKU!$C$6:$C$95,ROBA_U_DOLASKU!$A$6:$A$95,A623,ROBA_U_DOLASKU!$H$6:$H$95,2)</f>
        <v>0</v>
      </c>
      <c r="M623" s="9" t="n">
        <f aca="false">SUMIFS(ROBA_U_DOLASKU!$B$6:$B$95,ROBA_U_DOLASKU!$A$6:$A$95,A623,ROBA_U_DOLASKU!$H$6:$H$95,2)</f>
        <v>0</v>
      </c>
      <c r="N623" s="9" t="n">
        <f aca="false">SUMIFS(ROBA_U_DOLASKU!$C$6:$C$95,ROBA_U_DOLASKU!$A$6:$A$95,A623,ROBA_U_DOLASKU!$H$6:$H$95,3)</f>
        <v>0</v>
      </c>
      <c r="O623" s="9" t="n">
        <f aca="false">SUMIFS(ROBA_U_DOLASKU!$B$6:$B$95,ROBA_U_DOLASKU!$A$6:$A$95,A623,ROBA_U_DOLASKU!$H$6:$H$95,3)</f>
        <v>0</v>
      </c>
      <c r="P623" s="9" t="n">
        <f aca="false">IF(H623&lt;=0,999,IF(O623&gt;0,ROUND((F623-H623*N623+K623+M623+O623)/H623,1),IF(M623&gt;0,ROUND((F623-H623*L623+K623+M623)/H623,1),IF(K623&gt;0,ROUND((F623-H623*J623+K623)/H623,1),I623))))</f>
        <v>999</v>
      </c>
      <c r="Q623" s="22" t="str">
        <f aca="false">IF(H623&lt;=0,"Nema prodaje",IF(AND(K623=0,M623=0,O623=0),IF(I623&lt;POSTAVKE!$B$6,"Naruči odmah","Sve u redu"),IF(F623-H623*J623&lt;0,"Rupa za ~"&amp;TEXT(I623,"0.0")&amp;" mj.",IF(AND(M623&gt;0,F623-H623*L623+K623&lt;0),"Rupa nakon 1. dolaska",IF(AND(O623&gt;0,F623-H623*N623+K623+M623&lt;0),"Rupa nakon 2. dolaska",IF(P623&lt;POSTAVKE!$B$6,"Količina nije dovoljna",IF(I623&gt;=POSTAVKE!$B$6,"Sve u redu","Stiže na vrijeme")))))))</f>
        <v>Nema prodaje</v>
      </c>
      <c r="S623" s="23" t="n">
        <f aca="false">IFERROR(INDEX(PODACI_PRODAJA!B:B,MATCH($A623,PODACI_PRODAJA!$A:$A,0)),0)</f>
        <v>0</v>
      </c>
      <c r="T623" s="23" t="n">
        <f aca="false">IFERROR(INDEX(PODACI_PRODAJA!C:C,MATCH($A623,PODACI_PRODAJA!$A:$A,0)),0)</f>
        <v>0</v>
      </c>
      <c r="U623" s="23" t="n">
        <f aca="false">IFERROR(INDEX(PODACI_PRODAJA!D:D,MATCH($A623,PODACI_PRODAJA!$A:$A,0)),0)</f>
        <v>0</v>
      </c>
      <c r="V623" s="23" t="n">
        <f aca="false">IFERROR(INDEX(PODACI_PRODAJA!E:E,MATCH($A623,PODACI_PRODAJA!$A:$A,0)),0)</f>
        <v>0</v>
      </c>
      <c r="W623" s="23" t="n">
        <f aca="false">IFERROR(INDEX(PODACI_PRODAJA!F:F,MATCH($A623,PODACI_PRODAJA!$A:$A,0)),0)</f>
        <v>0</v>
      </c>
      <c r="X623" s="23" t="n">
        <f aca="false">IFERROR(INDEX(PODACI_PRODAJA!G:G,MATCH($A623,PODACI_PRODAJA!$A:$A,0)),0)</f>
        <v>0</v>
      </c>
      <c r="Y623" s="23" t="n">
        <f aca="false">IFERROR(INDEX(PODACI_PRODAJA!H:H,MATCH($A623,PODACI_PRODAJA!$A:$A,0)),0)</f>
        <v>0</v>
      </c>
      <c r="Z623" s="23" t="n">
        <f aca="false">IFERROR(INDEX(PODACI_PRODAJA!I:I,MATCH($A623,PODACI_PRODAJA!$A:$A,0)),0)</f>
        <v>0</v>
      </c>
      <c r="AA623" s="23" t="n">
        <f aca="false">IFERROR(INDEX(PODACI_PRODAJA!J:J,MATCH($A623,PODACI_PRODAJA!$A:$A,0)),0)</f>
        <v>0</v>
      </c>
      <c r="AB623" s="23" t="n">
        <f aca="false">IFERROR(INDEX(PODACI_PRODAJA!K:K,MATCH($A623,PODACI_PRODAJA!$A:$A,0)),0)</f>
        <v>0</v>
      </c>
      <c r="AC623" s="23" t="n">
        <f aca="false">IFERROR(INDEX(PODACI_PRODAJA!L:L,MATCH($A623,PODACI_PRODAJA!$A:$A,0)),0)</f>
        <v>0</v>
      </c>
      <c r="AD623" s="23" t="n">
        <f aca="false">IFERROR(INDEX(PODACI_PRODAJA!M:M,MATCH($A623,PODACI_PRODAJA!$A:$A,0)),0)</f>
        <v>0</v>
      </c>
    </row>
    <row r="624" customFormat="false" ht="15" hidden="false" customHeight="false" outlineLevel="0" collapsed="false">
      <c r="A624" s="11" t="str">
        <f aca="false">PODACI_ZALIHE!A621</f>
        <v>400280575</v>
      </c>
      <c r="B624" s="8" t="str">
        <f aca="false">PODACI_ZALIHE!B621</f>
        <v>KLUDI PURE&amp;STYLE MIJEŠALICA ZA UMIVAONIK 75 MM, BEZ PODIZAČA SIFONA, KROM</v>
      </c>
      <c r="C624" s="9" t="str">
        <f aca="false">PODACI_ZALIHE!C621</f>
        <v>7485</v>
      </c>
      <c r="D624" s="8" t="str">
        <f aca="false">PODACI_ZALIHE!D621</f>
        <v>KLUDI GmbH &amp; Co. KG.,</v>
      </c>
      <c r="E624" s="19" t="n">
        <f aca="false">IF(PODACI_ZALIHE!E621="","",PODACI_ZALIHE!E621)</f>
        <v>1</v>
      </c>
      <c r="F624" s="20" t="n">
        <f aca="false">PODACI_ZALIHE!F621</f>
        <v>1</v>
      </c>
      <c r="G624" s="19" t="n">
        <f aca="false">IF(E624="","",E624-F624)</f>
        <v>0</v>
      </c>
      <c r="H624" s="9" t="n">
        <f aca="false">PODACI_PRODAJA!N778</f>
        <v>0</v>
      </c>
      <c r="I624" s="21" t="n">
        <f aca="false">IF(H624&lt;=0,999,ROUND(F624/H624,1))</f>
        <v>999</v>
      </c>
      <c r="J624" s="9" t="n">
        <f aca="false">SUMIFS(ROBA_U_DOLASKU!$C$6:$C$95,ROBA_U_DOLASKU!$A$6:$A$95,A624,ROBA_U_DOLASKU!$H$6:$H$95,1)</f>
        <v>0</v>
      </c>
      <c r="K624" s="9" t="n">
        <f aca="false">SUMIFS(ROBA_U_DOLASKU!$B$6:$B$95,ROBA_U_DOLASKU!$A$6:$A$95,A624,ROBA_U_DOLASKU!$H$6:$H$95,1)</f>
        <v>0</v>
      </c>
      <c r="L624" s="9" t="n">
        <f aca="false">SUMIFS(ROBA_U_DOLASKU!$C$6:$C$95,ROBA_U_DOLASKU!$A$6:$A$95,A624,ROBA_U_DOLASKU!$H$6:$H$95,2)</f>
        <v>0</v>
      </c>
      <c r="M624" s="9" t="n">
        <f aca="false">SUMIFS(ROBA_U_DOLASKU!$B$6:$B$95,ROBA_U_DOLASKU!$A$6:$A$95,A624,ROBA_U_DOLASKU!$H$6:$H$95,2)</f>
        <v>0</v>
      </c>
      <c r="N624" s="9" t="n">
        <f aca="false">SUMIFS(ROBA_U_DOLASKU!$C$6:$C$95,ROBA_U_DOLASKU!$A$6:$A$95,A624,ROBA_U_DOLASKU!$H$6:$H$95,3)</f>
        <v>0</v>
      </c>
      <c r="O624" s="9" t="n">
        <f aca="false">SUMIFS(ROBA_U_DOLASKU!$B$6:$B$95,ROBA_U_DOLASKU!$A$6:$A$95,A624,ROBA_U_DOLASKU!$H$6:$H$95,3)</f>
        <v>0</v>
      </c>
      <c r="P624" s="9" t="n">
        <f aca="false">IF(H624&lt;=0,999,IF(O624&gt;0,ROUND((F624-H624*N624+K624+M624+O624)/H624,1),IF(M624&gt;0,ROUND((F624-H624*L624+K624+M624)/H624,1),IF(K624&gt;0,ROUND((F624-H624*J624+K624)/H624,1),I624))))</f>
        <v>999</v>
      </c>
      <c r="Q624" s="22" t="str">
        <f aca="false">IF(H624&lt;=0,"Nema prodaje",IF(AND(K624=0,M624=0,O624=0),IF(I624&lt;POSTAVKE!$B$6,"Naruči odmah","Sve u redu"),IF(F624-H624*J624&lt;0,"Rupa za ~"&amp;TEXT(I624,"0.0")&amp;" mj.",IF(AND(M624&gt;0,F624-H624*L624+K624&lt;0),"Rupa nakon 1. dolaska",IF(AND(O624&gt;0,F624-H624*N624+K624+M624&lt;0),"Rupa nakon 2. dolaska",IF(P624&lt;POSTAVKE!$B$6,"Količina nije dovoljna",IF(I624&gt;=POSTAVKE!$B$6,"Sve u redu","Stiže na vrijeme")))))))</f>
        <v>Nema prodaje</v>
      </c>
      <c r="S624" s="23" t="n">
        <f aca="false">IFERROR(INDEX(PODACI_PRODAJA!B:B,MATCH($A624,PODACI_PRODAJA!$A:$A,0)),0)</f>
        <v>0</v>
      </c>
      <c r="T624" s="23" t="n">
        <f aca="false">IFERROR(INDEX(PODACI_PRODAJA!C:C,MATCH($A624,PODACI_PRODAJA!$A:$A,0)),0)</f>
        <v>0</v>
      </c>
      <c r="U624" s="23" t="n">
        <f aca="false">IFERROR(INDEX(PODACI_PRODAJA!D:D,MATCH($A624,PODACI_PRODAJA!$A:$A,0)),0)</f>
        <v>0</v>
      </c>
      <c r="V624" s="23" t="n">
        <f aca="false">IFERROR(INDEX(PODACI_PRODAJA!E:E,MATCH($A624,PODACI_PRODAJA!$A:$A,0)),0)</f>
        <v>0</v>
      </c>
      <c r="W624" s="23" t="n">
        <f aca="false">IFERROR(INDEX(PODACI_PRODAJA!F:F,MATCH($A624,PODACI_PRODAJA!$A:$A,0)),0)</f>
        <v>0</v>
      </c>
      <c r="X624" s="23" t="n">
        <f aca="false">IFERROR(INDEX(PODACI_PRODAJA!G:G,MATCH($A624,PODACI_PRODAJA!$A:$A,0)),0)</f>
        <v>0</v>
      </c>
      <c r="Y624" s="23" t="n">
        <f aca="false">IFERROR(INDEX(PODACI_PRODAJA!H:H,MATCH($A624,PODACI_PRODAJA!$A:$A,0)),0)</f>
        <v>0</v>
      </c>
      <c r="Z624" s="23" t="n">
        <f aca="false">IFERROR(INDEX(PODACI_PRODAJA!I:I,MATCH($A624,PODACI_PRODAJA!$A:$A,0)),0)</f>
        <v>0</v>
      </c>
      <c r="AA624" s="23" t="n">
        <f aca="false">IFERROR(INDEX(PODACI_PRODAJA!J:J,MATCH($A624,PODACI_PRODAJA!$A:$A,0)),0)</f>
        <v>0</v>
      </c>
      <c r="AB624" s="23" t="n">
        <f aca="false">IFERROR(INDEX(PODACI_PRODAJA!K:K,MATCH($A624,PODACI_PRODAJA!$A:$A,0)),0)</f>
        <v>0</v>
      </c>
      <c r="AC624" s="23" t="n">
        <f aca="false">IFERROR(INDEX(PODACI_PRODAJA!L:L,MATCH($A624,PODACI_PRODAJA!$A:$A,0)),0)</f>
        <v>0</v>
      </c>
      <c r="AD624" s="23" t="n">
        <f aca="false">IFERROR(INDEX(PODACI_PRODAJA!M:M,MATCH($A624,PODACI_PRODAJA!$A:$A,0)),0)</f>
        <v>0</v>
      </c>
    </row>
    <row r="625" customFormat="false" ht="15" hidden="false" customHeight="false" outlineLevel="0" collapsed="false">
      <c r="A625" s="11" t="str">
        <f aca="false">PODACI_ZALIHE!A622</f>
        <v>402923975</v>
      </c>
      <c r="B625" s="8" t="str">
        <f aca="false">PODACI_ZALIHE!B622</f>
        <v>KLUDI PURE&amp;STYLE MIJEŠALICA ZA UMIVAONIK 100 MM, BEZ PODIZAČA SIFONA, CRNA MAT</v>
      </c>
      <c r="C625" s="9" t="str">
        <f aca="false">PODACI_ZALIHE!C622</f>
        <v>7485</v>
      </c>
      <c r="D625" s="8" t="str">
        <f aca="false">PODACI_ZALIHE!D622</f>
        <v>KLUDI GmbH &amp; Co. KG.,</v>
      </c>
      <c r="E625" s="19" t="n">
        <f aca="false">IF(PODACI_ZALIHE!E622="","",PODACI_ZALIHE!E622)</f>
        <v>1</v>
      </c>
      <c r="F625" s="20" t="n">
        <f aca="false">PODACI_ZALIHE!F622</f>
        <v>1</v>
      </c>
      <c r="G625" s="19" t="n">
        <f aca="false">IF(E625="","",E625-F625)</f>
        <v>0</v>
      </c>
      <c r="H625" s="9" t="n">
        <f aca="false">PODACI_PRODAJA!N780</f>
        <v>0</v>
      </c>
      <c r="I625" s="21" t="n">
        <f aca="false">IF(H625&lt;=0,999,ROUND(F625/H625,1))</f>
        <v>999</v>
      </c>
      <c r="J625" s="9" t="n">
        <f aca="false">SUMIFS(ROBA_U_DOLASKU!$C$6:$C$95,ROBA_U_DOLASKU!$A$6:$A$95,A625,ROBA_U_DOLASKU!$H$6:$H$95,1)</f>
        <v>0</v>
      </c>
      <c r="K625" s="9" t="n">
        <f aca="false">SUMIFS(ROBA_U_DOLASKU!$B$6:$B$95,ROBA_U_DOLASKU!$A$6:$A$95,A625,ROBA_U_DOLASKU!$H$6:$H$95,1)</f>
        <v>0</v>
      </c>
      <c r="L625" s="9" t="n">
        <f aca="false">SUMIFS(ROBA_U_DOLASKU!$C$6:$C$95,ROBA_U_DOLASKU!$A$6:$A$95,A625,ROBA_U_DOLASKU!$H$6:$H$95,2)</f>
        <v>0</v>
      </c>
      <c r="M625" s="9" t="n">
        <f aca="false">SUMIFS(ROBA_U_DOLASKU!$B$6:$B$95,ROBA_U_DOLASKU!$A$6:$A$95,A625,ROBA_U_DOLASKU!$H$6:$H$95,2)</f>
        <v>0</v>
      </c>
      <c r="N625" s="9" t="n">
        <f aca="false">SUMIFS(ROBA_U_DOLASKU!$C$6:$C$95,ROBA_U_DOLASKU!$A$6:$A$95,A625,ROBA_U_DOLASKU!$H$6:$H$95,3)</f>
        <v>0</v>
      </c>
      <c r="O625" s="9" t="n">
        <f aca="false">SUMIFS(ROBA_U_DOLASKU!$B$6:$B$95,ROBA_U_DOLASKU!$A$6:$A$95,A625,ROBA_U_DOLASKU!$H$6:$H$95,3)</f>
        <v>0</v>
      </c>
      <c r="P625" s="9" t="n">
        <f aca="false">IF(H625&lt;=0,999,IF(O625&gt;0,ROUND((F625-H625*N625+K625+M625+O625)/H625,1),IF(M625&gt;0,ROUND((F625-H625*L625+K625+M625)/H625,1),IF(K625&gt;0,ROUND((F625-H625*J625+K625)/H625,1),I625))))</f>
        <v>999</v>
      </c>
      <c r="Q625" s="22" t="str">
        <f aca="false">IF(H625&lt;=0,"Nema prodaje",IF(AND(K625=0,M625=0,O625=0),IF(I625&lt;POSTAVKE!$B$6,"Naruči odmah","Sve u redu"),IF(F625-H625*J625&lt;0,"Rupa za ~"&amp;TEXT(I625,"0.0")&amp;" mj.",IF(AND(M625&gt;0,F625-H625*L625+K625&lt;0),"Rupa nakon 1. dolaska",IF(AND(O625&gt;0,F625-H625*N625+K625+M625&lt;0),"Rupa nakon 2. dolaska",IF(P625&lt;POSTAVKE!$B$6,"Količina nije dovoljna",IF(I625&gt;=POSTAVKE!$B$6,"Sve u redu","Stiže na vrijeme")))))))</f>
        <v>Nema prodaje</v>
      </c>
      <c r="S625" s="23" t="n">
        <f aca="false">IFERROR(INDEX(PODACI_PRODAJA!B:B,MATCH($A625,PODACI_PRODAJA!$A:$A,0)),0)</f>
        <v>0</v>
      </c>
      <c r="T625" s="23" t="n">
        <f aca="false">IFERROR(INDEX(PODACI_PRODAJA!C:C,MATCH($A625,PODACI_PRODAJA!$A:$A,0)),0)</f>
        <v>0</v>
      </c>
      <c r="U625" s="23" t="n">
        <f aca="false">IFERROR(INDEX(PODACI_PRODAJA!D:D,MATCH($A625,PODACI_PRODAJA!$A:$A,0)),0)</f>
        <v>0</v>
      </c>
      <c r="V625" s="23" t="n">
        <f aca="false">IFERROR(INDEX(PODACI_PRODAJA!E:E,MATCH($A625,PODACI_PRODAJA!$A:$A,0)),0)</f>
        <v>0</v>
      </c>
      <c r="W625" s="23" t="n">
        <f aca="false">IFERROR(INDEX(PODACI_PRODAJA!F:F,MATCH($A625,PODACI_PRODAJA!$A:$A,0)),0)</f>
        <v>0</v>
      </c>
      <c r="X625" s="23" t="n">
        <f aca="false">IFERROR(INDEX(PODACI_PRODAJA!G:G,MATCH($A625,PODACI_PRODAJA!$A:$A,0)),0)</f>
        <v>0</v>
      </c>
      <c r="Y625" s="23" t="n">
        <f aca="false">IFERROR(INDEX(PODACI_PRODAJA!H:H,MATCH($A625,PODACI_PRODAJA!$A:$A,0)),0)</f>
        <v>0</v>
      </c>
      <c r="Z625" s="23" t="n">
        <f aca="false">IFERROR(INDEX(PODACI_PRODAJA!I:I,MATCH($A625,PODACI_PRODAJA!$A:$A,0)),0)</f>
        <v>0</v>
      </c>
      <c r="AA625" s="23" t="n">
        <f aca="false">IFERROR(INDEX(PODACI_PRODAJA!J:J,MATCH($A625,PODACI_PRODAJA!$A:$A,0)),0)</f>
        <v>0</v>
      </c>
      <c r="AB625" s="23" t="n">
        <f aca="false">IFERROR(INDEX(PODACI_PRODAJA!K:K,MATCH($A625,PODACI_PRODAJA!$A:$A,0)),0)</f>
        <v>0</v>
      </c>
      <c r="AC625" s="23" t="n">
        <f aca="false">IFERROR(INDEX(PODACI_PRODAJA!L:L,MATCH($A625,PODACI_PRODAJA!$A:$A,0)),0)</f>
        <v>0</v>
      </c>
      <c r="AD625" s="23" t="n">
        <f aca="false">IFERROR(INDEX(PODACI_PRODAJA!M:M,MATCH($A625,PODACI_PRODAJA!$A:$A,0)),0)</f>
        <v>0</v>
      </c>
    </row>
    <row r="626" customFormat="false" ht="15" hidden="false" customHeight="false" outlineLevel="0" collapsed="false">
      <c r="A626" s="11" t="str">
        <f aca="false">PODACI_ZALIHE!A623</f>
        <v>42282N075</v>
      </c>
      <c r="B626" s="8" t="str">
        <f aca="false">PODACI_ZALIHE!B623</f>
        <v>KLUDI RENON MIJEŠALICA ZA UMIVAONIK, 110 MM, BRUŠENO ZLATO</v>
      </c>
      <c r="C626" s="9" t="str">
        <f aca="false">PODACI_ZALIHE!C623</f>
        <v>7485</v>
      </c>
      <c r="D626" s="8" t="str">
        <f aca="false">PODACI_ZALIHE!D623</f>
        <v>KLUDI GmbH &amp; Co. KG.,</v>
      </c>
      <c r="E626" s="19" t="n">
        <f aca="false">IF(PODACI_ZALIHE!E623="","",PODACI_ZALIHE!E623)</f>
        <v>1</v>
      </c>
      <c r="F626" s="20" t="n">
        <f aca="false">PODACI_ZALIHE!F623</f>
        <v>1</v>
      </c>
      <c r="G626" s="19" t="n">
        <f aca="false">IF(E626="","",E626-F626)</f>
        <v>0</v>
      </c>
      <c r="H626" s="9" t="n">
        <f aca="false">PODACI_PRODAJA!N784</f>
        <v>0</v>
      </c>
      <c r="I626" s="21" t="n">
        <f aca="false">IF(H626&lt;=0,999,ROUND(F626/H626,1))</f>
        <v>999</v>
      </c>
      <c r="J626" s="9" t="n">
        <f aca="false">SUMIFS(ROBA_U_DOLASKU!$C$6:$C$95,ROBA_U_DOLASKU!$A$6:$A$95,A626,ROBA_U_DOLASKU!$H$6:$H$95,1)</f>
        <v>0</v>
      </c>
      <c r="K626" s="9" t="n">
        <f aca="false">SUMIFS(ROBA_U_DOLASKU!$B$6:$B$95,ROBA_U_DOLASKU!$A$6:$A$95,A626,ROBA_U_DOLASKU!$H$6:$H$95,1)</f>
        <v>0</v>
      </c>
      <c r="L626" s="9" t="n">
        <f aca="false">SUMIFS(ROBA_U_DOLASKU!$C$6:$C$95,ROBA_U_DOLASKU!$A$6:$A$95,A626,ROBA_U_DOLASKU!$H$6:$H$95,2)</f>
        <v>0</v>
      </c>
      <c r="M626" s="9" t="n">
        <f aca="false">SUMIFS(ROBA_U_DOLASKU!$B$6:$B$95,ROBA_U_DOLASKU!$A$6:$A$95,A626,ROBA_U_DOLASKU!$H$6:$H$95,2)</f>
        <v>0</v>
      </c>
      <c r="N626" s="9" t="n">
        <f aca="false">SUMIFS(ROBA_U_DOLASKU!$C$6:$C$95,ROBA_U_DOLASKU!$A$6:$A$95,A626,ROBA_U_DOLASKU!$H$6:$H$95,3)</f>
        <v>0</v>
      </c>
      <c r="O626" s="9" t="n">
        <f aca="false">SUMIFS(ROBA_U_DOLASKU!$B$6:$B$95,ROBA_U_DOLASKU!$A$6:$A$95,A626,ROBA_U_DOLASKU!$H$6:$H$95,3)</f>
        <v>0</v>
      </c>
      <c r="P626" s="9" t="n">
        <f aca="false">IF(H626&lt;=0,999,IF(O626&gt;0,ROUND((F626-H626*N626+K626+M626+O626)/H626,1),IF(M626&gt;0,ROUND((F626-H626*L626+K626+M626)/H626,1),IF(K626&gt;0,ROUND((F626-H626*J626+K626)/H626,1),I626))))</f>
        <v>999</v>
      </c>
      <c r="Q626" s="22" t="str">
        <f aca="false">IF(H626&lt;=0,"Nema prodaje",IF(AND(K626=0,M626=0,O626=0),IF(I626&lt;POSTAVKE!$B$6,"Naruči odmah","Sve u redu"),IF(F626-H626*J626&lt;0,"Rupa za ~"&amp;TEXT(I626,"0.0")&amp;" mj.",IF(AND(M626&gt;0,F626-H626*L626+K626&lt;0),"Rupa nakon 1. dolaska",IF(AND(O626&gt;0,F626-H626*N626+K626+M626&lt;0),"Rupa nakon 2. dolaska",IF(P626&lt;POSTAVKE!$B$6,"Količina nije dovoljna",IF(I626&gt;=POSTAVKE!$B$6,"Sve u redu","Stiže na vrijeme")))))))</f>
        <v>Nema prodaje</v>
      </c>
      <c r="S626" s="23" t="n">
        <f aca="false">IFERROR(INDEX(PODACI_PRODAJA!B:B,MATCH($A626,PODACI_PRODAJA!$A:$A,0)),0)</f>
        <v>0</v>
      </c>
      <c r="T626" s="23" t="n">
        <f aca="false">IFERROR(INDEX(PODACI_PRODAJA!C:C,MATCH($A626,PODACI_PRODAJA!$A:$A,0)),0)</f>
        <v>0</v>
      </c>
      <c r="U626" s="23" t="n">
        <f aca="false">IFERROR(INDEX(PODACI_PRODAJA!D:D,MATCH($A626,PODACI_PRODAJA!$A:$A,0)),0)</f>
        <v>0</v>
      </c>
      <c r="V626" s="23" t="n">
        <f aca="false">IFERROR(INDEX(PODACI_PRODAJA!E:E,MATCH($A626,PODACI_PRODAJA!$A:$A,0)),0)</f>
        <v>0</v>
      </c>
      <c r="W626" s="23" t="n">
        <f aca="false">IFERROR(INDEX(PODACI_PRODAJA!F:F,MATCH($A626,PODACI_PRODAJA!$A:$A,0)),0)</f>
        <v>0</v>
      </c>
      <c r="X626" s="23" t="n">
        <f aca="false">IFERROR(INDEX(PODACI_PRODAJA!G:G,MATCH($A626,PODACI_PRODAJA!$A:$A,0)),0)</f>
        <v>0</v>
      </c>
      <c r="Y626" s="23" t="n">
        <f aca="false">IFERROR(INDEX(PODACI_PRODAJA!H:H,MATCH($A626,PODACI_PRODAJA!$A:$A,0)),0)</f>
        <v>0</v>
      </c>
      <c r="Z626" s="23" t="n">
        <f aca="false">IFERROR(INDEX(PODACI_PRODAJA!I:I,MATCH($A626,PODACI_PRODAJA!$A:$A,0)),0)</f>
        <v>0</v>
      </c>
      <c r="AA626" s="23" t="n">
        <f aca="false">IFERROR(INDEX(PODACI_PRODAJA!J:J,MATCH($A626,PODACI_PRODAJA!$A:$A,0)),0)</f>
        <v>0</v>
      </c>
      <c r="AB626" s="23" t="n">
        <f aca="false">IFERROR(INDEX(PODACI_PRODAJA!K:K,MATCH($A626,PODACI_PRODAJA!$A:$A,0)),0)</f>
        <v>0</v>
      </c>
      <c r="AC626" s="23" t="n">
        <f aca="false">IFERROR(INDEX(PODACI_PRODAJA!L:L,MATCH($A626,PODACI_PRODAJA!$A:$A,0)),0)</f>
        <v>0</v>
      </c>
      <c r="AD626" s="23" t="n">
        <f aca="false">IFERROR(INDEX(PODACI_PRODAJA!M:M,MATCH($A626,PODACI_PRODAJA!$A:$A,0)),0)</f>
        <v>0</v>
      </c>
    </row>
    <row r="627" customFormat="false" ht="15" hidden="false" customHeight="false" outlineLevel="0" collapsed="false">
      <c r="A627" s="11" t="str">
        <f aca="false">PODACI_ZALIHE!A624</f>
        <v>42282N175</v>
      </c>
      <c r="B627" s="8" t="str">
        <f aca="false">PODACI_ZALIHE!B624</f>
        <v>KLUDI RENON MIJEŠALICA ZA UMIVAONIK, 110 MM, BRUŠENA BRONCA</v>
      </c>
      <c r="C627" s="9" t="str">
        <f aca="false">PODACI_ZALIHE!C624</f>
        <v>7485</v>
      </c>
      <c r="D627" s="8" t="str">
        <f aca="false">PODACI_ZALIHE!D624</f>
        <v>KLUDI GmbH &amp; Co. KG.,</v>
      </c>
      <c r="E627" s="19" t="n">
        <f aca="false">IF(PODACI_ZALIHE!E624="","",PODACI_ZALIHE!E624)</f>
        <v>1</v>
      </c>
      <c r="F627" s="20" t="n">
        <f aca="false">PODACI_ZALIHE!F624</f>
        <v>1</v>
      </c>
      <c r="G627" s="19" t="n">
        <f aca="false">IF(E627="","",E627-F627)</f>
        <v>0</v>
      </c>
      <c r="H627" s="9" t="n">
        <f aca="false">PODACI_PRODAJA!N785</f>
        <v>0</v>
      </c>
      <c r="I627" s="21" t="n">
        <f aca="false">IF(H627&lt;=0,999,ROUND(F627/H627,1))</f>
        <v>999</v>
      </c>
      <c r="J627" s="9" t="n">
        <f aca="false">SUMIFS(ROBA_U_DOLASKU!$C$6:$C$95,ROBA_U_DOLASKU!$A$6:$A$95,A627,ROBA_U_DOLASKU!$H$6:$H$95,1)</f>
        <v>0</v>
      </c>
      <c r="K627" s="9" t="n">
        <f aca="false">SUMIFS(ROBA_U_DOLASKU!$B$6:$B$95,ROBA_U_DOLASKU!$A$6:$A$95,A627,ROBA_U_DOLASKU!$H$6:$H$95,1)</f>
        <v>0</v>
      </c>
      <c r="L627" s="9" t="n">
        <f aca="false">SUMIFS(ROBA_U_DOLASKU!$C$6:$C$95,ROBA_U_DOLASKU!$A$6:$A$95,A627,ROBA_U_DOLASKU!$H$6:$H$95,2)</f>
        <v>0</v>
      </c>
      <c r="M627" s="9" t="n">
        <f aca="false">SUMIFS(ROBA_U_DOLASKU!$B$6:$B$95,ROBA_U_DOLASKU!$A$6:$A$95,A627,ROBA_U_DOLASKU!$H$6:$H$95,2)</f>
        <v>0</v>
      </c>
      <c r="N627" s="9" t="n">
        <f aca="false">SUMIFS(ROBA_U_DOLASKU!$C$6:$C$95,ROBA_U_DOLASKU!$A$6:$A$95,A627,ROBA_U_DOLASKU!$H$6:$H$95,3)</f>
        <v>0</v>
      </c>
      <c r="O627" s="9" t="n">
        <f aca="false">SUMIFS(ROBA_U_DOLASKU!$B$6:$B$95,ROBA_U_DOLASKU!$A$6:$A$95,A627,ROBA_U_DOLASKU!$H$6:$H$95,3)</f>
        <v>0</v>
      </c>
      <c r="P627" s="9" t="n">
        <f aca="false">IF(H627&lt;=0,999,IF(O627&gt;0,ROUND((F627-H627*N627+K627+M627+O627)/H627,1),IF(M627&gt;0,ROUND((F627-H627*L627+K627+M627)/H627,1),IF(K627&gt;0,ROUND((F627-H627*J627+K627)/H627,1),I627))))</f>
        <v>999</v>
      </c>
      <c r="Q627" s="22" t="str">
        <f aca="false">IF(H627&lt;=0,"Nema prodaje",IF(AND(K627=0,M627=0,O627=0),IF(I627&lt;POSTAVKE!$B$6,"Naruči odmah","Sve u redu"),IF(F627-H627*J627&lt;0,"Rupa za ~"&amp;TEXT(I627,"0.0")&amp;" mj.",IF(AND(M627&gt;0,F627-H627*L627+K627&lt;0),"Rupa nakon 1. dolaska",IF(AND(O627&gt;0,F627-H627*N627+K627+M627&lt;0),"Rupa nakon 2. dolaska",IF(P627&lt;POSTAVKE!$B$6,"Količina nije dovoljna",IF(I627&gt;=POSTAVKE!$B$6,"Sve u redu","Stiže na vrijeme")))))))</f>
        <v>Nema prodaje</v>
      </c>
      <c r="S627" s="23" t="n">
        <f aca="false">IFERROR(INDEX(PODACI_PRODAJA!B:B,MATCH($A627,PODACI_PRODAJA!$A:$A,0)),0)</f>
        <v>0</v>
      </c>
      <c r="T627" s="23" t="n">
        <f aca="false">IFERROR(INDEX(PODACI_PRODAJA!C:C,MATCH($A627,PODACI_PRODAJA!$A:$A,0)),0)</f>
        <v>0</v>
      </c>
      <c r="U627" s="23" t="n">
        <f aca="false">IFERROR(INDEX(PODACI_PRODAJA!D:D,MATCH($A627,PODACI_PRODAJA!$A:$A,0)),0)</f>
        <v>0</v>
      </c>
      <c r="V627" s="23" t="n">
        <f aca="false">IFERROR(INDEX(PODACI_PRODAJA!E:E,MATCH($A627,PODACI_PRODAJA!$A:$A,0)),0)</f>
        <v>0</v>
      </c>
      <c r="W627" s="23" t="n">
        <f aca="false">IFERROR(INDEX(PODACI_PRODAJA!F:F,MATCH($A627,PODACI_PRODAJA!$A:$A,0)),0)</f>
        <v>0</v>
      </c>
      <c r="X627" s="23" t="n">
        <f aca="false">IFERROR(INDEX(PODACI_PRODAJA!G:G,MATCH($A627,PODACI_PRODAJA!$A:$A,0)),0)</f>
        <v>0</v>
      </c>
      <c r="Y627" s="23" t="n">
        <f aca="false">IFERROR(INDEX(PODACI_PRODAJA!H:H,MATCH($A627,PODACI_PRODAJA!$A:$A,0)),0)</f>
        <v>0</v>
      </c>
      <c r="Z627" s="23" t="n">
        <f aca="false">IFERROR(INDEX(PODACI_PRODAJA!I:I,MATCH($A627,PODACI_PRODAJA!$A:$A,0)),0)</f>
        <v>0</v>
      </c>
      <c r="AA627" s="23" t="n">
        <f aca="false">IFERROR(INDEX(PODACI_PRODAJA!J:J,MATCH($A627,PODACI_PRODAJA!$A:$A,0)),0)</f>
        <v>0</v>
      </c>
      <c r="AB627" s="23" t="n">
        <f aca="false">IFERROR(INDEX(PODACI_PRODAJA!K:K,MATCH($A627,PODACI_PRODAJA!$A:$A,0)),0)</f>
        <v>0</v>
      </c>
      <c r="AC627" s="23" t="n">
        <f aca="false">IFERROR(INDEX(PODACI_PRODAJA!L:L,MATCH($A627,PODACI_PRODAJA!$A:$A,0)),0)</f>
        <v>0</v>
      </c>
      <c r="AD627" s="23" t="n">
        <f aca="false">IFERROR(INDEX(PODACI_PRODAJA!M:M,MATCH($A627,PODACI_PRODAJA!$A:$A,0)),0)</f>
        <v>0</v>
      </c>
    </row>
    <row r="628" customFormat="false" ht="15" hidden="false" customHeight="false" outlineLevel="0" collapsed="false">
      <c r="A628" s="11" t="str">
        <f aca="false">PODACI_ZALIHE!A625</f>
        <v>42282N275</v>
      </c>
      <c r="B628" s="8" t="str">
        <f aca="false">PODACI_ZALIHE!B625</f>
        <v>KLUDI RENON MIJEŠALICA ZA UMIVAONIK, 110 MM, BRUŠENI GUNMETAL</v>
      </c>
      <c r="C628" s="9" t="str">
        <f aca="false">PODACI_ZALIHE!C625</f>
        <v>7485</v>
      </c>
      <c r="D628" s="8" t="str">
        <f aca="false">PODACI_ZALIHE!D625</f>
        <v>KLUDI GmbH &amp; Co. KG.,</v>
      </c>
      <c r="E628" s="19" t="n">
        <f aca="false">IF(PODACI_ZALIHE!E625="","",PODACI_ZALIHE!E625)</f>
        <v>1</v>
      </c>
      <c r="F628" s="20" t="n">
        <f aca="false">PODACI_ZALIHE!F625</f>
        <v>1</v>
      </c>
      <c r="G628" s="19" t="n">
        <f aca="false">IF(E628="","",E628-F628)</f>
        <v>0</v>
      </c>
      <c r="H628" s="9" t="n">
        <f aca="false">PODACI_PRODAJA!N786</f>
        <v>0</v>
      </c>
      <c r="I628" s="21" t="n">
        <f aca="false">IF(H628&lt;=0,999,ROUND(F628/H628,1))</f>
        <v>999</v>
      </c>
      <c r="J628" s="9" t="n">
        <f aca="false">SUMIFS(ROBA_U_DOLASKU!$C$6:$C$95,ROBA_U_DOLASKU!$A$6:$A$95,A628,ROBA_U_DOLASKU!$H$6:$H$95,1)</f>
        <v>0</v>
      </c>
      <c r="K628" s="9" t="n">
        <f aca="false">SUMIFS(ROBA_U_DOLASKU!$B$6:$B$95,ROBA_U_DOLASKU!$A$6:$A$95,A628,ROBA_U_DOLASKU!$H$6:$H$95,1)</f>
        <v>0</v>
      </c>
      <c r="L628" s="9" t="n">
        <f aca="false">SUMIFS(ROBA_U_DOLASKU!$C$6:$C$95,ROBA_U_DOLASKU!$A$6:$A$95,A628,ROBA_U_DOLASKU!$H$6:$H$95,2)</f>
        <v>0</v>
      </c>
      <c r="M628" s="9" t="n">
        <f aca="false">SUMIFS(ROBA_U_DOLASKU!$B$6:$B$95,ROBA_U_DOLASKU!$A$6:$A$95,A628,ROBA_U_DOLASKU!$H$6:$H$95,2)</f>
        <v>0</v>
      </c>
      <c r="N628" s="9" t="n">
        <f aca="false">SUMIFS(ROBA_U_DOLASKU!$C$6:$C$95,ROBA_U_DOLASKU!$A$6:$A$95,A628,ROBA_U_DOLASKU!$H$6:$H$95,3)</f>
        <v>0</v>
      </c>
      <c r="O628" s="9" t="n">
        <f aca="false">SUMIFS(ROBA_U_DOLASKU!$B$6:$B$95,ROBA_U_DOLASKU!$A$6:$A$95,A628,ROBA_U_DOLASKU!$H$6:$H$95,3)</f>
        <v>0</v>
      </c>
      <c r="P628" s="9" t="n">
        <f aca="false">IF(H628&lt;=0,999,IF(O628&gt;0,ROUND((F628-H628*N628+K628+M628+O628)/H628,1),IF(M628&gt;0,ROUND((F628-H628*L628+K628+M628)/H628,1),IF(K628&gt;0,ROUND((F628-H628*J628+K628)/H628,1),I628))))</f>
        <v>999</v>
      </c>
      <c r="Q628" s="22" t="str">
        <f aca="false">IF(H628&lt;=0,"Nema prodaje",IF(AND(K628=0,M628=0,O628=0),IF(I628&lt;POSTAVKE!$B$6,"Naruči odmah","Sve u redu"),IF(F628-H628*J628&lt;0,"Rupa za ~"&amp;TEXT(I628,"0.0")&amp;" mj.",IF(AND(M628&gt;0,F628-H628*L628+K628&lt;0),"Rupa nakon 1. dolaska",IF(AND(O628&gt;0,F628-H628*N628+K628+M628&lt;0),"Rupa nakon 2. dolaska",IF(P628&lt;POSTAVKE!$B$6,"Količina nije dovoljna",IF(I628&gt;=POSTAVKE!$B$6,"Sve u redu","Stiže na vrijeme")))))))</f>
        <v>Nema prodaje</v>
      </c>
      <c r="S628" s="23" t="n">
        <f aca="false">IFERROR(INDEX(PODACI_PRODAJA!B:B,MATCH($A628,PODACI_PRODAJA!$A:$A,0)),0)</f>
        <v>0</v>
      </c>
      <c r="T628" s="23" t="n">
        <f aca="false">IFERROR(INDEX(PODACI_PRODAJA!C:C,MATCH($A628,PODACI_PRODAJA!$A:$A,0)),0)</f>
        <v>0</v>
      </c>
      <c r="U628" s="23" t="n">
        <f aca="false">IFERROR(INDEX(PODACI_PRODAJA!D:D,MATCH($A628,PODACI_PRODAJA!$A:$A,0)),0)</f>
        <v>0</v>
      </c>
      <c r="V628" s="23" t="n">
        <f aca="false">IFERROR(INDEX(PODACI_PRODAJA!E:E,MATCH($A628,PODACI_PRODAJA!$A:$A,0)),0)</f>
        <v>0</v>
      </c>
      <c r="W628" s="23" t="n">
        <f aca="false">IFERROR(INDEX(PODACI_PRODAJA!F:F,MATCH($A628,PODACI_PRODAJA!$A:$A,0)),0)</f>
        <v>0</v>
      </c>
      <c r="X628" s="23" t="n">
        <f aca="false">IFERROR(INDEX(PODACI_PRODAJA!G:G,MATCH($A628,PODACI_PRODAJA!$A:$A,0)),0)</f>
        <v>0</v>
      </c>
      <c r="Y628" s="23" t="n">
        <f aca="false">IFERROR(INDEX(PODACI_PRODAJA!H:H,MATCH($A628,PODACI_PRODAJA!$A:$A,0)),0)</f>
        <v>0</v>
      </c>
      <c r="Z628" s="23" t="n">
        <f aca="false">IFERROR(INDEX(PODACI_PRODAJA!I:I,MATCH($A628,PODACI_PRODAJA!$A:$A,0)),0)</f>
        <v>0</v>
      </c>
      <c r="AA628" s="23" t="n">
        <f aca="false">IFERROR(INDEX(PODACI_PRODAJA!J:J,MATCH($A628,PODACI_PRODAJA!$A:$A,0)),0)</f>
        <v>0</v>
      </c>
      <c r="AB628" s="23" t="n">
        <f aca="false">IFERROR(INDEX(PODACI_PRODAJA!K:K,MATCH($A628,PODACI_PRODAJA!$A:$A,0)),0)</f>
        <v>0</v>
      </c>
      <c r="AC628" s="23" t="n">
        <f aca="false">IFERROR(INDEX(PODACI_PRODAJA!L:L,MATCH($A628,PODACI_PRODAJA!$A:$A,0)),0)</f>
        <v>0</v>
      </c>
      <c r="AD628" s="23" t="n">
        <f aca="false">IFERROR(INDEX(PODACI_PRODAJA!M:M,MATCH($A628,PODACI_PRODAJA!$A:$A,0)),0)</f>
        <v>0</v>
      </c>
    </row>
    <row r="629" customFormat="false" ht="15" hidden="false" customHeight="false" outlineLevel="0" collapsed="false">
      <c r="A629" s="11" t="str">
        <f aca="false">PODACI_ZALIHE!A626</f>
        <v>422823975</v>
      </c>
      <c r="B629" s="8" t="str">
        <f aca="false">PODACI_ZALIHE!B626</f>
        <v>KLUDI RENON MIJEŠALICA ZA UMIVAONIK 110 MM, CRNA MAT</v>
      </c>
      <c r="C629" s="9" t="str">
        <f aca="false">PODACI_ZALIHE!C626</f>
        <v>7485</v>
      </c>
      <c r="D629" s="8" t="str">
        <f aca="false">PODACI_ZALIHE!D626</f>
        <v>KLUDI GmbH &amp; Co. KG.,</v>
      </c>
      <c r="E629" s="19" t="n">
        <f aca="false">IF(PODACI_ZALIHE!E626="","",PODACI_ZALIHE!E626)</f>
        <v>1</v>
      </c>
      <c r="F629" s="20" t="n">
        <f aca="false">PODACI_ZALIHE!F626</f>
        <v>1</v>
      </c>
      <c r="G629" s="19" t="n">
        <f aca="false">IF(E629="","",E629-F629)</f>
        <v>0</v>
      </c>
      <c r="H629" s="9" t="n">
        <f aca="false">PODACI_PRODAJA!N788</f>
        <v>0</v>
      </c>
      <c r="I629" s="21" t="n">
        <f aca="false">IF(H629&lt;=0,999,ROUND(F629/H629,1))</f>
        <v>999</v>
      </c>
      <c r="J629" s="9" t="n">
        <f aca="false">SUMIFS(ROBA_U_DOLASKU!$C$6:$C$95,ROBA_U_DOLASKU!$A$6:$A$95,A629,ROBA_U_DOLASKU!$H$6:$H$95,1)</f>
        <v>0</v>
      </c>
      <c r="K629" s="9" t="n">
        <f aca="false">SUMIFS(ROBA_U_DOLASKU!$B$6:$B$95,ROBA_U_DOLASKU!$A$6:$A$95,A629,ROBA_U_DOLASKU!$H$6:$H$95,1)</f>
        <v>0</v>
      </c>
      <c r="L629" s="9" t="n">
        <f aca="false">SUMIFS(ROBA_U_DOLASKU!$C$6:$C$95,ROBA_U_DOLASKU!$A$6:$A$95,A629,ROBA_U_DOLASKU!$H$6:$H$95,2)</f>
        <v>0</v>
      </c>
      <c r="M629" s="9" t="n">
        <f aca="false">SUMIFS(ROBA_U_DOLASKU!$B$6:$B$95,ROBA_U_DOLASKU!$A$6:$A$95,A629,ROBA_U_DOLASKU!$H$6:$H$95,2)</f>
        <v>0</v>
      </c>
      <c r="N629" s="9" t="n">
        <f aca="false">SUMIFS(ROBA_U_DOLASKU!$C$6:$C$95,ROBA_U_DOLASKU!$A$6:$A$95,A629,ROBA_U_DOLASKU!$H$6:$H$95,3)</f>
        <v>0</v>
      </c>
      <c r="O629" s="9" t="n">
        <f aca="false">SUMIFS(ROBA_U_DOLASKU!$B$6:$B$95,ROBA_U_DOLASKU!$A$6:$A$95,A629,ROBA_U_DOLASKU!$H$6:$H$95,3)</f>
        <v>0</v>
      </c>
      <c r="P629" s="9" t="n">
        <f aca="false">IF(H629&lt;=0,999,IF(O629&gt;0,ROUND((F629-H629*N629+K629+M629+O629)/H629,1),IF(M629&gt;0,ROUND((F629-H629*L629+K629+M629)/H629,1),IF(K629&gt;0,ROUND((F629-H629*J629+K629)/H629,1),I629))))</f>
        <v>999</v>
      </c>
      <c r="Q629" s="22" t="str">
        <f aca="false">IF(H629&lt;=0,"Nema prodaje",IF(AND(K629=0,M629=0,O629=0),IF(I629&lt;POSTAVKE!$B$6,"Naruči odmah","Sve u redu"),IF(F629-H629*J629&lt;0,"Rupa za ~"&amp;TEXT(I629,"0.0")&amp;" mj.",IF(AND(M629&gt;0,F629-H629*L629+K629&lt;0),"Rupa nakon 1. dolaska",IF(AND(O629&gt;0,F629-H629*N629+K629+M629&lt;0),"Rupa nakon 2. dolaska",IF(P629&lt;POSTAVKE!$B$6,"Količina nije dovoljna",IF(I629&gt;=POSTAVKE!$B$6,"Sve u redu","Stiže na vrijeme")))))))</f>
        <v>Nema prodaje</v>
      </c>
      <c r="S629" s="23" t="n">
        <f aca="false">IFERROR(INDEX(PODACI_PRODAJA!B:B,MATCH($A629,PODACI_PRODAJA!$A:$A,0)),0)</f>
        <v>0</v>
      </c>
      <c r="T629" s="23" t="n">
        <f aca="false">IFERROR(INDEX(PODACI_PRODAJA!C:C,MATCH($A629,PODACI_PRODAJA!$A:$A,0)),0)</f>
        <v>0</v>
      </c>
      <c r="U629" s="23" t="n">
        <f aca="false">IFERROR(INDEX(PODACI_PRODAJA!D:D,MATCH($A629,PODACI_PRODAJA!$A:$A,0)),0)</f>
        <v>0</v>
      </c>
      <c r="V629" s="23" t="n">
        <f aca="false">IFERROR(INDEX(PODACI_PRODAJA!E:E,MATCH($A629,PODACI_PRODAJA!$A:$A,0)),0)</f>
        <v>0</v>
      </c>
      <c r="W629" s="23" t="n">
        <f aca="false">IFERROR(INDEX(PODACI_PRODAJA!F:F,MATCH($A629,PODACI_PRODAJA!$A:$A,0)),0)</f>
        <v>0</v>
      </c>
      <c r="X629" s="23" t="n">
        <f aca="false">IFERROR(INDEX(PODACI_PRODAJA!G:G,MATCH($A629,PODACI_PRODAJA!$A:$A,0)),0)</f>
        <v>0</v>
      </c>
      <c r="Y629" s="23" t="n">
        <f aca="false">IFERROR(INDEX(PODACI_PRODAJA!H:H,MATCH($A629,PODACI_PRODAJA!$A:$A,0)),0)</f>
        <v>0</v>
      </c>
      <c r="Z629" s="23" t="n">
        <f aca="false">IFERROR(INDEX(PODACI_PRODAJA!I:I,MATCH($A629,PODACI_PRODAJA!$A:$A,0)),0)</f>
        <v>0</v>
      </c>
      <c r="AA629" s="23" t="n">
        <f aca="false">IFERROR(INDEX(PODACI_PRODAJA!J:J,MATCH($A629,PODACI_PRODAJA!$A:$A,0)),0)</f>
        <v>0</v>
      </c>
      <c r="AB629" s="23" t="n">
        <f aca="false">IFERROR(INDEX(PODACI_PRODAJA!K:K,MATCH($A629,PODACI_PRODAJA!$A:$A,0)),0)</f>
        <v>0</v>
      </c>
      <c r="AC629" s="23" t="n">
        <f aca="false">IFERROR(INDEX(PODACI_PRODAJA!L:L,MATCH($A629,PODACI_PRODAJA!$A:$A,0)),0)</f>
        <v>0</v>
      </c>
      <c r="AD629" s="23" t="n">
        <f aca="false">IFERROR(INDEX(PODACI_PRODAJA!M:M,MATCH($A629,PODACI_PRODAJA!$A:$A,0)),0)</f>
        <v>0</v>
      </c>
    </row>
    <row r="630" customFormat="false" ht="15" hidden="false" customHeight="false" outlineLevel="0" collapsed="false">
      <c r="A630" s="11" t="str">
        <f aca="false">PODACI_ZALIHE!A627</f>
        <v>422825375</v>
      </c>
      <c r="B630" s="8" t="str">
        <f aca="false">PODACI_ZALIHE!B627</f>
        <v>KLUDI RENON MIJEŠALICA ZA UMIVAONIK 110 MM, BIJELA MAT</v>
      </c>
      <c r="C630" s="9" t="str">
        <f aca="false">PODACI_ZALIHE!C627</f>
        <v>7485</v>
      </c>
      <c r="D630" s="8" t="str">
        <f aca="false">PODACI_ZALIHE!D627</f>
        <v>KLUDI GmbH &amp; Co. KG.,</v>
      </c>
      <c r="E630" s="19" t="n">
        <f aca="false">IF(PODACI_ZALIHE!E627="","",PODACI_ZALIHE!E627)</f>
        <v>1</v>
      </c>
      <c r="F630" s="20" t="n">
        <f aca="false">PODACI_ZALIHE!F627</f>
        <v>1</v>
      </c>
      <c r="G630" s="19" t="n">
        <f aca="false">IF(E630="","",E630-F630)</f>
        <v>0</v>
      </c>
      <c r="H630" s="9" t="n">
        <f aca="false">PODACI_PRODAJA!N789</f>
        <v>0</v>
      </c>
      <c r="I630" s="21" t="n">
        <f aca="false">IF(H630&lt;=0,999,ROUND(F630/H630,1))</f>
        <v>999</v>
      </c>
      <c r="J630" s="9" t="n">
        <f aca="false">SUMIFS(ROBA_U_DOLASKU!$C$6:$C$95,ROBA_U_DOLASKU!$A$6:$A$95,A630,ROBA_U_DOLASKU!$H$6:$H$95,1)</f>
        <v>0</v>
      </c>
      <c r="K630" s="9" t="n">
        <f aca="false">SUMIFS(ROBA_U_DOLASKU!$B$6:$B$95,ROBA_U_DOLASKU!$A$6:$A$95,A630,ROBA_U_DOLASKU!$H$6:$H$95,1)</f>
        <v>0</v>
      </c>
      <c r="L630" s="9" t="n">
        <f aca="false">SUMIFS(ROBA_U_DOLASKU!$C$6:$C$95,ROBA_U_DOLASKU!$A$6:$A$95,A630,ROBA_U_DOLASKU!$H$6:$H$95,2)</f>
        <v>0</v>
      </c>
      <c r="M630" s="9" t="n">
        <f aca="false">SUMIFS(ROBA_U_DOLASKU!$B$6:$B$95,ROBA_U_DOLASKU!$A$6:$A$95,A630,ROBA_U_DOLASKU!$H$6:$H$95,2)</f>
        <v>0</v>
      </c>
      <c r="N630" s="9" t="n">
        <f aca="false">SUMIFS(ROBA_U_DOLASKU!$C$6:$C$95,ROBA_U_DOLASKU!$A$6:$A$95,A630,ROBA_U_DOLASKU!$H$6:$H$95,3)</f>
        <v>0</v>
      </c>
      <c r="O630" s="9" t="n">
        <f aca="false">SUMIFS(ROBA_U_DOLASKU!$B$6:$B$95,ROBA_U_DOLASKU!$A$6:$A$95,A630,ROBA_U_DOLASKU!$H$6:$H$95,3)</f>
        <v>0</v>
      </c>
      <c r="P630" s="9" t="n">
        <f aca="false">IF(H630&lt;=0,999,IF(O630&gt;0,ROUND((F630-H630*N630+K630+M630+O630)/H630,1),IF(M630&gt;0,ROUND((F630-H630*L630+K630+M630)/H630,1),IF(K630&gt;0,ROUND((F630-H630*J630+K630)/H630,1),I630))))</f>
        <v>999</v>
      </c>
      <c r="Q630" s="22" t="str">
        <f aca="false">IF(H630&lt;=0,"Nema prodaje",IF(AND(K630=0,M630=0,O630=0),IF(I630&lt;POSTAVKE!$B$6,"Naruči odmah","Sve u redu"),IF(F630-H630*J630&lt;0,"Rupa za ~"&amp;TEXT(I630,"0.0")&amp;" mj.",IF(AND(M630&gt;0,F630-H630*L630+K630&lt;0),"Rupa nakon 1. dolaska",IF(AND(O630&gt;0,F630-H630*N630+K630+M630&lt;0),"Rupa nakon 2. dolaska",IF(P630&lt;POSTAVKE!$B$6,"Količina nije dovoljna",IF(I630&gt;=POSTAVKE!$B$6,"Sve u redu","Stiže na vrijeme")))))))</f>
        <v>Nema prodaje</v>
      </c>
      <c r="S630" s="23" t="n">
        <f aca="false">IFERROR(INDEX(PODACI_PRODAJA!B:B,MATCH($A630,PODACI_PRODAJA!$A:$A,0)),0)</f>
        <v>0</v>
      </c>
      <c r="T630" s="23" t="n">
        <f aca="false">IFERROR(INDEX(PODACI_PRODAJA!C:C,MATCH($A630,PODACI_PRODAJA!$A:$A,0)),0)</f>
        <v>0</v>
      </c>
      <c r="U630" s="23" t="n">
        <f aca="false">IFERROR(INDEX(PODACI_PRODAJA!D:D,MATCH($A630,PODACI_PRODAJA!$A:$A,0)),0)</f>
        <v>0</v>
      </c>
      <c r="V630" s="23" t="n">
        <f aca="false">IFERROR(INDEX(PODACI_PRODAJA!E:E,MATCH($A630,PODACI_PRODAJA!$A:$A,0)),0)</f>
        <v>0</v>
      </c>
      <c r="W630" s="23" t="n">
        <f aca="false">IFERROR(INDEX(PODACI_PRODAJA!F:F,MATCH($A630,PODACI_PRODAJA!$A:$A,0)),0)</f>
        <v>0</v>
      </c>
      <c r="X630" s="23" t="n">
        <f aca="false">IFERROR(INDEX(PODACI_PRODAJA!G:G,MATCH($A630,PODACI_PRODAJA!$A:$A,0)),0)</f>
        <v>0</v>
      </c>
      <c r="Y630" s="23" t="n">
        <f aca="false">IFERROR(INDEX(PODACI_PRODAJA!H:H,MATCH($A630,PODACI_PRODAJA!$A:$A,0)),0)</f>
        <v>0</v>
      </c>
      <c r="Z630" s="23" t="n">
        <f aca="false">IFERROR(INDEX(PODACI_PRODAJA!I:I,MATCH($A630,PODACI_PRODAJA!$A:$A,0)),0)</f>
        <v>0</v>
      </c>
      <c r="AA630" s="23" t="n">
        <f aca="false">IFERROR(INDEX(PODACI_PRODAJA!J:J,MATCH($A630,PODACI_PRODAJA!$A:$A,0)),0)</f>
        <v>0</v>
      </c>
      <c r="AB630" s="23" t="n">
        <f aca="false">IFERROR(INDEX(PODACI_PRODAJA!K:K,MATCH($A630,PODACI_PRODAJA!$A:$A,0)),0)</f>
        <v>0</v>
      </c>
      <c r="AC630" s="23" t="n">
        <f aca="false">IFERROR(INDEX(PODACI_PRODAJA!L:L,MATCH($A630,PODACI_PRODAJA!$A:$A,0)),0)</f>
        <v>0</v>
      </c>
      <c r="AD630" s="23" t="n">
        <f aca="false">IFERROR(INDEX(PODACI_PRODAJA!M:M,MATCH($A630,PODACI_PRODAJA!$A:$A,0)),0)</f>
        <v>0</v>
      </c>
    </row>
    <row r="631" customFormat="false" ht="15" hidden="false" customHeight="false" outlineLevel="0" collapsed="false">
      <c r="A631" s="11" t="str">
        <f aca="false">PODACI_ZALIHE!A628</f>
        <v>42298N075</v>
      </c>
      <c r="B631" s="8" t="str">
        <f aca="false">PODACI_ZALIHE!B628</f>
        <v>KLUDI RENON MIJEŠALICA ZA UMIVAONIK 240 MM, BRUŠENO ZLATO</v>
      </c>
      <c r="C631" s="9" t="str">
        <f aca="false">PODACI_ZALIHE!C628</f>
        <v>7485</v>
      </c>
      <c r="D631" s="8" t="str">
        <f aca="false">PODACI_ZALIHE!D628</f>
        <v>KLUDI GmbH &amp; Co. KG.,</v>
      </c>
      <c r="E631" s="19" t="n">
        <f aca="false">IF(PODACI_ZALIHE!E628="","",PODACI_ZALIHE!E628)</f>
        <v>1</v>
      </c>
      <c r="F631" s="20" t="n">
        <f aca="false">PODACI_ZALIHE!F628</f>
        <v>1</v>
      </c>
      <c r="G631" s="19" t="n">
        <f aca="false">IF(E631="","",E631-F631)</f>
        <v>0</v>
      </c>
      <c r="H631" s="9" t="n">
        <f aca="false">PODACI_PRODAJA!N790</f>
        <v>0</v>
      </c>
      <c r="I631" s="21" t="n">
        <f aca="false">IF(H631&lt;=0,999,ROUND(F631/H631,1))</f>
        <v>999</v>
      </c>
      <c r="J631" s="9" t="n">
        <f aca="false">SUMIFS(ROBA_U_DOLASKU!$C$6:$C$95,ROBA_U_DOLASKU!$A$6:$A$95,A631,ROBA_U_DOLASKU!$H$6:$H$95,1)</f>
        <v>0</v>
      </c>
      <c r="K631" s="9" t="n">
        <f aca="false">SUMIFS(ROBA_U_DOLASKU!$B$6:$B$95,ROBA_U_DOLASKU!$A$6:$A$95,A631,ROBA_U_DOLASKU!$H$6:$H$95,1)</f>
        <v>0</v>
      </c>
      <c r="L631" s="9" t="n">
        <f aca="false">SUMIFS(ROBA_U_DOLASKU!$C$6:$C$95,ROBA_U_DOLASKU!$A$6:$A$95,A631,ROBA_U_DOLASKU!$H$6:$H$95,2)</f>
        <v>0</v>
      </c>
      <c r="M631" s="9" t="n">
        <f aca="false">SUMIFS(ROBA_U_DOLASKU!$B$6:$B$95,ROBA_U_DOLASKU!$A$6:$A$95,A631,ROBA_U_DOLASKU!$H$6:$H$95,2)</f>
        <v>0</v>
      </c>
      <c r="N631" s="9" t="n">
        <f aca="false">SUMIFS(ROBA_U_DOLASKU!$C$6:$C$95,ROBA_U_DOLASKU!$A$6:$A$95,A631,ROBA_U_DOLASKU!$H$6:$H$95,3)</f>
        <v>0</v>
      </c>
      <c r="O631" s="9" t="n">
        <f aca="false">SUMIFS(ROBA_U_DOLASKU!$B$6:$B$95,ROBA_U_DOLASKU!$A$6:$A$95,A631,ROBA_U_DOLASKU!$H$6:$H$95,3)</f>
        <v>0</v>
      </c>
      <c r="P631" s="9" t="n">
        <f aca="false">IF(H631&lt;=0,999,IF(O631&gt;0,ROUND((F631-H631*N631+K631+M631+O631)/H631,1),IF(M631&gt;0,ROUND((F631-H631*L631+K631+M631)/H631,1),IF(K631&gt;0,ROUND((F631-H631*J631+K631)/H631,1),I631))))</f>
        <v>999</v>
      </c>
      <c r="Q631" s="22" t="str">
        <f aca="false">IF(H631&lt;=0,"Nema prodaje",IF(AND(K631=0,M631=0,O631=0),IF(I631&lt;POSTAVKE!$B$6,"Naruči odmah","Sve u redu"),IF(F631-H631*J631&lt;0,"Rupa za ~"&amp;TEXT(I631,"0.0")&amp;" mj.",IF(AND(M631&gt;0,F631-H631*L631+K631&lt;0),"Rupa nakon 1. dolaska",IF(AND(O631&gt;0,F631-H631*N631+K631+M631&lt;0),"Rupa nakon 2. dolaska",IF(P631&lt;POSTAVKE!$B$6,"Količina nije dovoljna",IF(I631&gt;=POSTAVKE!$B$6,"Sve u redu","Stiže na vrijeme")))))))</f>
        <v>Nema prodaje</v>
      </c>
      <c r="S631" s="23" t="n">
        <f aca="false">IFERROR(INDEX(PODACI_PRODAJA!B:B,MATCH($A631,PODACI_PRODAJA!$A:$A,0)),0)</f>
        <v>0</v>
      </c>
      <c r="T631" s="23" t="n">
        <f aca="false">IFERROR(INDEX(PODACI_PRODAJA!C:C,MATCH($A631,PODACI_PRODAJA!$A:$A,0)),0)</f>
        <v>0</v>
      </c>
      <c r="U631" s="23" t="n">
        <f aca="false">IFERROR(INDEX(PODACI_PRODAJA!D:D,MATCH($A631,PODACI_PRODAJA!$A:$A,0)),0)</f>
        <v>0</v>
      </c>
      <c r="V631" s="23" t="n">
        <f aca="false">IFERROR(INDEX(PODACI_PRODAJA!E:E,MATCH($A631,PODACI_PRODAJA!$A:$A,0)),0)</f>
        <v>0</v>
      </c>
      <c r="W631" s="23" t="n">
        <f aca="false">IFERROR(INDEX(PODACI_PRODAJA!F:F,MATCH($A631,PODACI_PRODAJA!$A:$A,0)),0)</f>
        <v>0</v>
      </c>
      <c r="X631" s="23" t="n">
        <f aca="false">IFERROR(INDEX(PODACI_PRODAJA!G:G,MATCH($A631,PODACI_PRODAJA!$A:$A,0)),0)</f>
        <v>0</v>
      </c>
      <c r="Y631" s="23" t="n">
        <f aca="false">IFERROR(INDEX(PODACI_PRODAJA!H:H,MATCH($A631,PODACI_PRODAJA!$A:$A,0)),0)</f>
        <v>0</v>
      </c>
      <c r="Z631" s="23" t="n">
        <f aca="false">IFERROR(INDEX(PODACI_PRODAJA!I:I,MATCH($A631,PODACI_PRODAJA!$A:$A,0)),0)</f>
        <v>0</v>
      </c>
      <c r="AA631" s="23" t="n">
        <f aca="false">IFERROR(INDEX(PODACI_PRODAJA!J:J,MATCH($A631,PODACI_PRODAJA!$A:$A,0)),0)</f>
        <v>0</v>
      </c>
      <c r="AB631" s="23" t="n">
        <f aca="false">IFERROR(INDEX(PODACI_PRODAJA!K:K,MATCH($A631,PODACI_PRODAJA!$A:$A,0)),0)</f>
        <v>0</v>
      </c>
      <c r="AC631" s="23" t="n">
        <f aca="false">IFERROR(INDEX(PODACI_PRODAJA!L:L,MATCH($A631,PODACI_PRODAJA!$A:$A,0)),0)</f>
        <v>0</v>
      </c>
      <c r="AD631" s="23" t="n">
        <f aca="false">IFERROR(INDEX(PODACI_PRODAJA!M:M,MATCH($A631,PODACI_PRODAJA!$A:$A,0)),0)</f>
        <v>0</v>
      </c>
    </row>
    <row r="632" customFormat="false" ht="15" hidden="false" customHeight="false" outlineLevel="0" collapsed="false">
      <c r="A632" s="11" t="str">
        <f aca="false">PODACI_ZALIHE!A629</f>
        <v>42298N175</v>
      </c>
      <c r="B632" s="8" t="str">
        <f aca="false">PODACI_ZALIHE!B629</f>
        <v>KLUDI RENON MIJEŠALICA ZA UMIVAONIK 240 MM, BRUŠENA BRONCA</v>
      </c>
      <c r="C632" s="9" t="str">
        <f aca="false">PODACI_ZALIHE!C629</f>
        <v>7485</v>
      </c>
      <c r="D632" s="8" t="str">
        <f aca="false">PODACI_ZALIHE!D629</f>
        <v>KLUDI GmbH &amp; Co. KG.,</v>
      </c>
      <c r="E632" s="19" t="n">
        <f aca="false">IF(PODACI_ZALIHE!E629="","",PODACI_ZALIHE!E629)</f>
        <v>1</v>
      </c>
      <c r="F632" s="20" t="n">
        <f aca="false">PODACI_ZALIHE!F629</f>
        <v>1</v>
      </c>
      <c r="G632" s="19" t="n">
        <f aca="false">IF(E632="","",E632-F632)</f>
        <v>0</v>
      </c>
      <c r="H632" s="9" t="n">
        <f aca="false">PODACI_PRODAJA!N791</f>
        <v>0</v>
      </c>
      <c r="I632" s="21" t="n">
        <f aca="false">IF(H632&lt;=0,999,ROUND(F632/H632,1))</f>
        <v>999</v>
      </c>
      <c r="J632" s="9" t="n">
        <f aca="false">SUMIFS(ROBA_U_DOLASKU!$C$6:$C$95,ROBA_U_DOLASKU!$A$6:$A$95,A632,ROBA_U_DOLASKU!$H$6:$H$95,1)</f>
        <v>0</v>
      </c>
      <c r="K632" s="9" t="n">
        <f aca="false">SUMIFS(ROBA_U_DOLASKU!$B$6:$B$95,ROBA_U_DOLASKU!$A$6:$A$95,A632,ROBA_U_DOLASKU!$H$6:$H$95,1)</f>
        <v>0</v>
      </c>
      <c r="L632" s="9" t="n">
        <f aca="false">SUMIFS(ROBA_U_DOLASKU!$C$6:$C$95,ROBA_U_DOLASKU!$A$6:$A$95,A632,ROBA_U_DOLASKU!$H$6:$H$95,2)</f>
        <v>0</v>
      </c>
      <c r="M632" s="9" t="n">
        <f aca="false">SUMIFS(ROBA_U_DOLASKU!$B$6:$B$95,ROBA_U_DOLASKU!$A$6:$A$95,A632,ROBA_U_DOLASKU!$H$6:$H$95,2)</f>
        <v>0</v>
      </c>
      <c r="N632" s="9" t="n">
        <f aca="false">SUMIFS(ROBA_U_DOLASKU!$C$6:$C$95,ROBA_U_DOLASKU!$A$6:$A$95,A632,ROBA_U_DOLASKU!$H$6:$H$95,3)</f>
        <v>0</v>
      </c>
      <c r="O632" s="9" t="n">
        <f aca="false">SUMIFS(ROBA_U_DOLASKU!$B$6:$B$95,ROBA_U_DOLASKU!$A$6:$A$95,A632,ROBA_U_DOLASKU!$H$6:$H$95,3)</f>
        <v>0</v>
      </c>
      <c r="P632" s="9" t="n">
        <f aca="false">IF(H632&lt;=0,999,IF(O632&gt;0,ROUND((F632-H632*N632+K632+M632+O632)/H632,1),IF(M632&gt;0,ROUND((F632-H632*L632+K632+M632)/H632,1),IF(K632&gt;0,ROUND((F632-H632*J632+K632)/H632,1),I632))))</f>
        <v>999</v>
      </c>
      <c r="Q632" s="22" t="str">
        <f aca="false">IF(H632&lt;=0,"Nema prodaje",IF(AND(K632=0,M632=0,O632=0),IF(I632&lt;POSTAVKE!$B$6,"Naruči odmah","Sve u redu"),IF(F632-H632*J632&lt;0,"Rupa za ~"&amp;TEXT(I632,"0.0")&amp;" mj.",IF(AND(M632&gt;0,F632-H632*L632+K632&lt;0),"Rupa nakon 1. dolaska",IF(AND(O632&gt;0,F632-H632*N632+K632+M632&lt;0),"Rupa nakon 2. dolaska",IF(P632&lt;POSTAVKE!$B$6,"Količina nije dovoljna",IF(I632&gt;=POSTAVKE!$B$6,"Sve u redu","Stiže na vrijeme")))))))</f>
        <v>Nema prodaje</v>
      </c>
      <c r="S632" s="23" t="n">
        <f aca="false">IFERROR(INDEX(PODACI_PRODAJA!B:B,MATCH($A632,PODACI_PRODAJA!$A:$A,0)),0)</f>
        <v>0</v>
      </c>
      <c r="T632" s="23" t="n">
        <f aca="false">IFERROR(INDEX(PODACI_PRODAJA!C:C,MATCH($A632,PODACI_PRODAJA!$A:$A,0)),0)</f>
        <v>0</v>
      </c>
      <c r="U632" s="23" t="n">
        <f aca="false">IFERROR(INDEX(PODACI_PRODAJA!D:D,MATCH($A632,PODACI_PRODAJA!$A:$A,0)),0)</f>
        <v>0</v>
      </c>
      <c r="V632" s="23" t="n">
        <f aca="false">IFERROR(INDEX(PODACI_PRODAJA!E:E,MATCH($A632,PODACI_PRODAJA!$A:$A,0)),0)</f>
        <v>0</v>
      </c>
      <c r="W632" s="23" t="n">
        <f aca="false">IFERROR(INDEX(PODACI_PRODAJA!F:F,MATCH($A632,PODACI_PRODAJA!$A:$A,0)),0)</f>
        <v>0</v>
      </c>
      <c r="X632" s="23" t="n">
        <f aca="false">IFERROR(INDEX(PODACI_PRODAJA!G:G,MATCH($A632,PODACI_PRODAJA!$A:$A,0)),0)</f>
        <v>0</v>
      </c>
      <c r="Y632" s="23" t="n">
        <f aca="false">IFERROR(INDEX(PODACI_PRODAJA!H:H,MATCH($A632,PODACI_PRODAJA!$A:$A,0)),0)</f>
        <v>0</v>
      </c>
      <c r="Z632" s="23" t="n">
        <f aca="false">IFERROR(INDEX(PODACI_PRODAJA!I:I,MATCH($A632,PODACI_PRODAJA!$A:$A,0)),0)</f>
        <v>0</v>
      </c>
      <c r="AA632" s="23" t="n">
        <f aca="false">IFERROR(INDEX(PODACI_PRODAJA!J:J,MATCH($A632,PODACI_PRODAJA!$A:$A,0)),0)</f>
        <v>0</v>
      </c>
      <c r="AB632" s="23" t="n">
        <f aca="false">IFERROR(INDEX(PODACI_PRODAJA!K:K,MATCH($A632,PODACI_PRODAJA!$A:$A,0)),0)</f>
        <v>0</v>
      </c>
      <c r="AC632" s="23" t="n">
        <f aca="false">IFERROR(INDEX(PODACI_PRODAJA!L:L,MATCH($A632,PODACI_PRODAJA!$A:$A,0)),0)</f>
        <v>0</v>
      </c>
      <c r="AD632" s="23" t="n">
        <f aca="false">IFERROR(INDEX(PODACI_PRODAJA!M:M,MATCH($A632,PODACI_PRODAJA!$A:$A,0)),0)</f>
        <v>0</v>
      </c>
    </row>
    <row r="633" customFormat="false" ht="15" hidden="false" customHeight="false" outlineLevel="0" collapsed="false">
      <c r="A633" s="11" t="str">
        <f aca="false">PODACI_ZALIHE!A630</f>
        <v>42298N275</v>
      </c>
      <c r="B633" s="8" t="str">
        <f aca="false">PODACI_ZALIHE!B630</f>
        <v>KLUDI RENON MIJEŠALICA ZA UMIVAONIK 240 MM, BRUŠENI GUNMETAL</v>
      </c>
      <c r="C633" s="9" t="str">
        <f aca="false">PODACI_ZALIHE!C630</f>
        <v>7485</v>
      </c>
      <c r="D633" s="8" t="str">
        <f aca="false">PODACI_ZALIHE!D630</f>
        <v>KLUDI GmbH &amp; Co. KG.,</v>
      </c>
      <c r="E633" s="19" t="n">
        <f aca="false">IF(PODACI_ZALIHE!E630="","",PODACI_ZALIHE!E630)</f>
        <v>1</v>
      </c>
      <c r="F633" s="20" t="n">
        <f aca="false">PODACI_ZALIHE!F630</f>
        <v>1</v>
      </c>
      <c r="G633" s="19" t="n">
        <f aca="false">IF(E633="","",E633-F633)</f>
        <v>0</v>
      </c>
      <c r="H633" s="9" t="n">
        <f aca="false">PODACI_PRODAJA!N792</f>
        <v>0</v>
      </c>
      <c r="I633" s="21" t="n">
        <f aca="false">IF(H633&lt;=0,999,ROUND(F633/H633,1))</f>
        <v>999</v>
      </c>
      <c r="J633" s="9" t="n">
        <f aca="false">SUMIFS(ROBA_U_DOLASKU!$C$6:$C$95,ROBA_U_DOLASKU!$A$6:$A$95,A633,ROBA_U_DOLASKU!$H$6:$H$95,1)</f>
        <v>0</v>
      </c>
      <c r="K633" s="9" t="n">
        <f aca="false">SUMIFS(ROBA_U_DOLASKU!$B$6:$B$95,ROBA_U_DOLASKU!$A$6:$A$95,A633,ROBA_U_DOLASKU!$H$6:$H$95,1)</f>
        <v>0</v>
      </c>
      <c r="L633" s="9" t="n">
        <f aca="false">SUMIFS(ROBA_U_DOLASKU!$C$6:$C$95,ROBA_U_DOLASKU!$A$6:$A$95,A633,ROBA_U_DOLASKU!$H$6:$H$95,2)</f>
        <v>0</v>
      </c>
      <c r="M633" s="9" t="n">
        <f aca="false">SUMIFS(ROBA_U_DOLASKU!$B$6:$B$95,ROBA_U_DOLASKU!$A$6:$A$95,A633,ROBA_U_DOLASKU!$H$6:$H$95,2)</f>
        <v>0</v>
      </c>
      <c r="N633" s="9" t="n">
        <f aca="false">SUMIFS(ROBA_U_DOLASKU!$C$6:$C$95,ROBA_U_DOLASKU!$A$6:$A$95,A633,ROBA_U_DOLASKU!$H$6:$H$95,3)</f>
        <v>0</v>
      </c>
      <c r="O633" s="9" t="n">
        <f aca="false">SUMIFS(ROBA_U_DOLASKU!$B$6:$B$95,ROBA_U_DOLASKU!$A$6:$A$95,A633,ROBA_U_DOLASKU!$H$6:$H$95,3)</f>
        <v>0</v>
      </c>
      <c r="P633" s="9" t="n">
        <f aca="false">IF(H633&lt;=0,999,IF(O633&gt;0,ROUND((F633-H633*N633+K633+M633+O633)/H633,1),IF(M633&gt;0,ROUND((F633-H633*L633+K633+M633)/H633,1),IF(K633&gt;0,ROUND((F633-H633*J633+K633)/H633,1),I633))))</f>
        <v>999</v>
      </c>
      <c r="Q633" s="22" t="str">
        <f aca="false">IF(H633&lt;=0,"Nema prodaje",IF(AND(K633=0,M633=0,O633=0),IF(I633&lt;POSTAVKE!$B$6,"Naruči odmah","Sve u redu"),IF(F633-H633*J633&lt;0,"Rupa za ~"&amp;TEXT(I633,"0.0")&amp;" mj.",IF(AND(M633&gt;0,F633-H633*L633+K633&lt;0),"Rupa nakon 1. dolaska",IF(AND(O633&gt;0,F633-H633*N633+K633+M633&lt;0),"Rupa nakon 2. dolaska",IF(P633&lt;POSTAVKE!$B$6,"Količina nije dovoljna",IF(I633&gt;=POSTAVKE!$B$6,"Sve u redu","Stiže na vrijeme")))))))</f>
        <v>Nema prodaje</v>
      </c>
      <c r="S633" s="23" t="n">
        <f aca="false">IFERROR(INDEX(PODACI_PRODAJA!B:B,MATCH($A633,PODACI_PRODAJA!$A:$A,0)),0)</f>
        <v>0</v>
      </c>
      <c r="T633" s="23" t="n">
        <f aca="false">IFERROR(INDEX(PODACI_PRODAJA!C:C,MATCH($A633,PODACI_PRODAJA!$A:$A,0)),0)</f>
        <v>0</v>
      </c>
      <c r="U633" s="23" t="n">
        <f aca="false">IFERROR(INDEX(PODACI_PRODAJA!D:D,MATCH($A633,PODACI_PRODAJA!$A:$A,0)),0)</f>
        <v>0</v>
      </c>
      <c r="V633" s="23" t="n">
        <f aca="false">IFERROR(INDEX(PODACI_PRODAJA!E:E,MATCH($A633,PODACI_PRODAJA!$A:$A,0)),0)</f>
        <v>0</v>
      </c>
      <c r="W633" s="23" t="n">
        <f aca="false">IFERROR(INDEX(PODACI_PRODAJA!F:F,MATCH($A633,PODACI_PRODAJA!$A:$A,0)),0)</f>
        <v>0</v>
      </c>
      <c r="X633" s="23" t="n">
        <f aca="false">IFERROR(INDEX(PODACI_PRODAJA!G:G,MATCH($A633,PODACI_PRODAJA!$A:$A,0)),0)</f>
        <v>0</v>
      </c>
      <c r="Y633" s="23" t="n">
        <f aca="false">IFERROR(INDEX(PODACI_PRODAJA!H:H,MATCH($A633,PODACI_PRODAJA!$A:$A,0)),0)</f>
        <v>0</v>
      </c>
      <c r="Z633" s="23" t="n">
        <f aca="false">IFERROR(INDEX(PODACI_PRODAJA!I:I,MATCH($A633,PODACI_PRODAJA!$A:$A,0)),0)</f>
        <v>0</v>
      </c>
      <c r="AA633" s="23" t="n">
        <f aca="false">IFERROR(INDEX(PODACI_PRODAJA!J:J,MATCH($A633,PODACI_PRODAJA!$A:$A,0)),0)</f>
        <v>0</v>
      </c>
      <c r="AB633" s="23" t="n">
        <f aca="false">IFERROR(INDEX(PODACI_PRODAJA!K:K,MATCH($A633,PODACI_PRODAJA!$A:$A,0)),0)</f>
        <v>0</v>
      </c>
      <c r="AC633" s="23" t="n">
        <f aca="false">IFERROR(INDEX(PODACI_PRODAJA!L:L,MATCH($A633,PODACI_PRODAJA!$A:$A,0)),0)</f>
        <v>0</v>
      </c>
      <c r="AD633" s="23" t="n">
        <f aca="false">IFERROR(INDEX(PODACI_PRODAJA!M:M,MATCH($A633,PODACI_PRODAJA!$A:$A,0)),0)</f>
        <v>0</v>
      </c>
    </row>
    <row r="634" customFormat="false" ht="15" hidden="false" customHeight="false" outlineLevel="0" collapsed="false">
      <c r="A634" s="11" t="str">
        <f aca="false">PODACI_ZALIHE!A631</f>
        <v>42298N575</v>
      </c>
      <c r="B634" s="8" t="str">
        <f aca="false">PODACI_ZALIHE!B631</f>
        <v>KLUDI RENON MIJEŠALICA ZA UMIVAONIK 240 MM, BRUŠENI NIKL</v>
      </c>
      <c r="C634" s="9" t="str">
        <f aca="false">PODACI_ZALIHE!C631</f>
        <v>7485</v>
      </c>
      <c r="D634" s="8" t="str">
        <f aca="false">PODACI_ZALIHE!D631</f>
        <v>KLUDI GmbH &amp; Co. KG.,</v>
      </c>
      <c r="E634" s="19" t="n">
        <f aca="false">IF(PODACI_ZALIHE!E631="","",PODACI_ZALIHE!E631)</f>
        <v>1</v>
      </c>
      <c r="F634" s="20" t="n">
        <f aca="false">PODACI_ZALIHE!F631</f>
        <v>1</v>
      </c>
      <c r="G634" s="19" t="n">
        <f aca="false">IF(E634="","",E634-F634)</f>
        <v>0</v>
      </c>
      <c r="H634" s="9" t="n">
        <f aca="false">PODACI_PRODAJA!N793</f>
        <v>0</v>
      </c>
      <c r="I634" s="21" t="n">
        <f aca="false">IF(H634&lt;=0,999,ROUND(F634/H634,1))</f>
        <v>999</v>
      </c>
      <c r="J634" s="9" t="n">
        <f aca="false">SUMIFS(ROBA_U_DOLASKU!$C$6:$C$95,ROBA_U_DOLASKU!$A$6:$A$95,A634,ROBA_U_DOLASKU!$H$6:$H$95,1)</f>
        <v>0</v>
      </c>
      <c r="K634" s="9" t="n">
        <f aca="false">SUMIFS(ROBA_U_DOLASKU!$B$6:$B$95,ROBA_U_DOLASKU!$A$6:$A$95,A634,ROBA_U_DOLASKU!$H$6:$H$95,1)</f>
        <v>0</v>
      </c>
      <c r="L634" s="9" t="n">
        <f aca="false">SUMIFS(ROBA_U_DOLASKU!$C$6:$C$95,ROBA_U_DOLASKU!$A$6:$A$95,A634,ROBA_U_DOLASKU!$H$6:$H$95,2)</f>
        <v>0</v>
      </c>
      <c r="M634" s="9" t="n">
        <f aca="false">SUMIFS(ROBA_U_DOLASKU!$B$6:$B$95,ROBA_U_DOLASKU!$A$6:$A$95,A634,ROBA_U_DOLASKU!$H$6:$H$95,2)</f>
        <v>0</v>
      </c>
      <c r="N634" s="9" t="n">
        <f aca="false">SUMIFS(ROBA_U_DOLASKU!$C$6:$C$95,ROBA_U_DOLASKU!$A$6:$A$95,A634,ROBA_U_DOLASKU!$H$6:$H$95,3)</f>
        <v>0</v>
      </c>
      <c r="O634" s="9" t="n">
        <f aca="false">SUMIFS(ROBA_U_DOLASKU!$B$6:$B$95,ROBA_U_DOLASKU!$A$6:$A$95,A634,ROBA_U_DOLASKU!$H$6:$H$95,3)</f>
        <v>0</v>
      </c>
      <c r="P634" s="9" t="n">
        <f aca="false">IF(H634&lt;=0,999,IF(O634&gt;0,ROUND((F634-H634*N634+K634+M634+O634)/H634,1),IF(M634&gt;0,ROUND((F634-H634*L634+K634+M634)/H634,1),IF(K634&gt;0,ROUND((F634-H634*J634+K634)/H634,1),I634))))</f>
        <v>999</v>
      </c>
      <c r="Q634" s="22" t="str">
        <f aca="false">IF(H634&lt;=0,"Nema prodaje",IF(AND(K634=0,M634=0,O634=0),IF(I634&lt;POSTAVKE!$B$6,"Naruči odmah","Sve u redu"),IF(F634-H634*J634&lt;0,"Rupa za ~"&amp;TEXT(I634,"0.0")&amp;" mj.",IF(AND(M634&gt;0,F634-H634*L634+K634&lt;0),"Rupa nakon 1. dolaska",IF(AND(O634&gt;0,F634-H634*N634+K634+M634&lt;0),"Rupa nakon 2. dolaska",IF(P634&lt;POSTAVKE!$B$6,"Količina nije dovoljna",IF(I634&gt;=POSTAVKE!$B$6,"Sve u redu","Stiže na vrijeme")))))))</f>
        <v>Nema prodaje</v>
      </c>
      <c r="S634" s="23" t="n">
        <f aca="false">IFERROR(INDEX(PODACI_PRODAJA!B:B,MATCH($A634,PODACI_PRODAJA!$A:$A,0)),0)</f>
        <v>0</v>
      </c>
      <c r="T634" s="23" t="n">
        <f aca="false">IFERROR(INDEX(PODACI_PRODAJA!C:C,MATCH($A634,PODACI_PRODAJA!$A:$A,0)),0)</f>
        <v>0</v>
      </c>
      <c r="U634" s="23" t="n">
        <f aca="false">IFERROR(INDEX(PODACI_PRODAJA!D:D,MATCH($A634,PODACI_PRODAJA!$A:$A,0)),0)</f>
        <v>0</v>
      </c>
      <c r="V634" s="23" t="n">
        <f aca="false">IFERROR(INDEX(PODACI_PRODAJA!E:E,MATCH($A634,PODACI_PRODAJA!$A:$A,0)),0)</f>
        <v>0</v>
      </c>
      <c r="W634" s="23" t="n">
        <f aca="false">IFERROR(INDEX(PODACI_PRODAJA!F:F,MATCH($A634,PODACI_PRODAJA!$A:$A,0)),0)</f>
        <v>0</v>
      </c>
      <c r="X634" s="23" t="n">
        <f aca="false">IFERROR(INDEX(PODACI_PRODAJA!G:G,MATCH($A634,PODACI_PRODAJA!$A:$A,0)),0)</f>
        <v>0</v>
      </c>
      <c r="Y634" s="23" t="n">
        <f aca="false">IFERROR(INDEX(PODACI_PRODAJA!H:H,MATCH($A634,PODACI_PRODAJA!$A:$A,0)),0)</f>
        <v>0</v>
      </c>
      <c r="Z634" s="23" t="n">
        <f aca="false">IFERROR(INDEX(PODACI_PRODAJA!I:I,MATCH($A634,PODACI_PRODAJA!$A:$A,0)),0)</f>
        <v>0</v>
      </c>
      <c r="AA634" s="23" t="n">
        <f aca="false">IFERROR(INDEX(PODACI_PRODAJA!J:J,MATCH($A634,PODACI_PRODAJA!$A:$A,0)),0)</f>
        <v>0</v>
      </c>
      <c r="AB634" s="23" t="n">
        <f aca="false">IFERROR(INDEX(PODACI_PRODAJA!K:K,MATCH($A634,PODACI_PRODAJA!$A:$A,0)),0)</f>
        <v>0</v>
      </c>
      <c r="AC634" s="23" t="n">
        <f aca="false">IFERROR(INDEX(PODACI_PRODAJA!L:L,MATCH($A634,PODACI_PRODAJA!$A:$A,0)),0)</f>
        <v>0</v>
      </c>
      <c r="AD634" s="23" t="n">
        <f aca="false">IFERROR(INDEX(PODACI_PRODAJA!M:M,MATCH($A634,PODACI_PRODAJA!$A:$A,0)),0)</f>
        <v>0</v>
      </c>
    </row>
    <row r="635" customFormat="false" ht="15" hidden="false" customHeight="false" outlineLevel="0" collapsed="false">
      <c r="A635" s="11" t="str">
        <f aca="false">PODACI_ZALIHE!A632</f>
        <v>6107105-00</v>
      </c>
      <c r="B635" s="8" t="str">
        <f aca="false">PODACI_ZALIHE!B632</f>
        <v>KLUDI TUŠ CRIJEVO SUPARAFLEX 1,25 M, KROM</v>
      </c>
      <c r="C635" s="9" t="str">
        <f aca="false">PODACI_ZALIHE!C632</f>
        <v>7485</v>
      </c>
      <c r="D635" s="8" t="str">
        <f aca="false">PODACI_ZALIHE!D632</f>
        <v>KLUDI GmbH &amp; Co. KG.,</v>
      </c>
      <c r="E635" s="19" t="n">
        <f aca="false">IF(PODACI_ZALIHE!E632="","",PODACI_ZALIHE!E632)</f>
        <v>1</v>
      </c>
      <c r="F635" s="20" t="n">
        <f aca="false">PODACI_ZALIHE!F632</f>
        <v>1</v>
      </c>
      <c r="G635" s="19" t="n">
        <f aca="false">IF(E635="","",E635-F635)</f>
        <v>0</v>
      </c>
      <c r="H635" s="9" t="n">
        <f aca="false">PODACI_PRODAJA!N799</f>
        <v>0</v>
      </c>
      <c r="I635" s="21" t="n">
        <f aca="false">IF(H635&lt;=0,999,ROUND(F635/H635,1))</f>
        <v>999</v>
      </c>
      <c r="J635" s="9" t="n">
        <f aca="false">SUMIFS(ROBA_U_DOLASKU!$C$6:$C$95,ROBA_U_DOLASKU!$A$6:$A$95,A635,ROBA_U_DOLASKU!$H$6:$H$95,1)</f>
        <v>0</v>
      </c>
      <c r="K635" s="9" t="n">
        <f aca="false">SUMIFS(ROBA_U_DOLASKU!$B$6:$B$95,ROBA_U_DOLASKU!$A$6:$A$95,A635,ROBA_U_DOLASKU!$H$6:$H$95,1)</f>
        <v>0</v>
      </c>
      <c r="L635" s="9" t="n">
        <f aca="false">SUMIFS(ROBA_U_DOLASKU!$C$6:$C$95,ROBA_U_DOLASKU!$A$6:$A$95,A635,ROBA_U_DOLASKU!$H$6:$H$95,2)</f>
        <v>0</v>
      </c>
      <c r="M635" s="9" t="n">
        <f aca="false">SUMIFS(ROBA_U_DOLASKU!$B$6:$B$95,ROBA_U_DOLASKU!$A$6:$A$95,A635,ROBA_U_DOLASKU!$H$6:$H$95,2)</f>
        <v>0</v>
      </c>
      <c r="N635" s="9" t="n">
        <f aca="false">SUMIFS(ROBA_U_DOLASKU!$C$6:$C$95,ROBA_U_DOLASKU!$A$6:$A$95,A635,ROBA_U_DOLASKU!$H$6:$H$95,3)</f>
        <v>0</v>
      </c>
      <c r="O635" s="9" t="n">
        <f aca="false">SUMIFS(ROBA_U_DOLASKU!$B$6:$B$95,ROBA_U_DOLASKU!$A$6:$A$95,A635,ROBA_U_DOLASKU!$H$6:$H$95,3)</f>
        <v>0</v>
      </c>
      <c r="P635" s="9" t="n">
        <f aca="false">IF(H635&lt;=0,999,IF(O635&gt;0,ROUND((F635-H635*N635+K635+M635+O635)/H635,1),IF(M635&gt;0,ROUND((F635-H635*L635+K635+M635)/H635,1),IF(K635&gt;0,ROUND((F635-H635*J635+K635)/H635,1),I635))))</f>
        <v>999</v>
      </c>
      <c r="Q635" s="22" t="str">
        <f aca="false">IF(H635&lt;=0,"Nema prodaje",IF(AND(K635=0,M635=0,O635=0),IF(I635&lt;POSTAVKE!$B$6,"Naruči odmah","Sve u redu"),IF(F635-H635*J635&lt;0,"Rupa za ~"&amp;TEXT(I635,"0.0")&amp;" mj.",IF(AND(M635&gt;0,F635-H635*L635+K635&lt;0),"Rupa nakon 1. dolaska",IF(AND(O635&gt;0,F635-H635*N635+K635+M635&lt;0),"Rupa nakon 2. dolaska",IF(P635&lt;POSTAVKE!$B$6,"Količina nije dovoljna",IF(I635&gt;=POSTAVKE!$B$6,"Sve u redu","Stiže na vrijeme")))))))</f>
        <v>Nema prodaje</v>
      </c>
      <c r="S635" s="23" t="n">
        <f aca="false">IFERROR(INDEX(PODACI_PRODAJA!B:B,MATCH($A635,PODACI_PRODAJA!$A:$A,0)),0)</f>
        <v>0</v>
      </c>
      <c r="T635" s="23" t="n">
        <f aca="false">IFERROR(INDEX(PODACI_PRODAJA!C:C,MATCH($A635,PODACI_PRODAJA!$A:$A,0)),0)</f>
        <v>0</v>
      </c>
      <c r="U635" s="23" t="n">
        <f aca="false">IFERROR(INDEX(PODACI_PRODAJA!D:D,MATCH($A635,PODACI_PRODAJA!$A:$A,0)),0)</f>
        <v>0</v>
      </c>
      <c r="V635" s="23" t="n">
        <f aca="false">IFERROR(INDEX(PODACI_PRODAJA!E:E,MATCH($A635,PODACI_PRODAJA!$A:$A,0)),0)</f>
        <v>0</v>
      </c>
      <c r="W635" s="23" t="n">
        <f aca="false">IFERROR(INDEX(PODACI_PRODAJA!F:F,MATCH($A635,PODACI_PRODAJA!$A:$A,0)),0)</f>
        <v>0</v>
      </c>
      <c r="X635" s="23" t="n">
        <f aca="false">IFERROR(INDEX(PODACI_PRODAJA!G:G,MATCH($A635,PODACI_PRODAJA!$A:$A,0)),0)</f>
        <v>0</v>
      </c>
      <c r="Y635" s="23" t="n">
        <f aca="false">IFERROR(INDEX(PODACI_PRODAJA!H:H,MATCH($A635,PODACI_PRODAJA!$A:$A,0)),0)</f>
        <v>0</v>
      </c>
      <c r="Z635" s="23" t="n">
        <f aca="false">IFERROR(INDEX(PODACI_PRODAJA!I:I,MATCH($A635,PODACI_PRODAJA!$A:$A,0)),0)</f>
        <v>0</v>
      </c>
      <c r="AA635" s="23" t="n">
        <f aca="false">IFERROR(INDEX(PODACI_PRODAJA!J:J,MATCH($A635,PODACI_PRODAJA!$A:$A,0)),0)</f>
        <v>0</v>
      </c>
      <c r="AB635" s="23" t="n">
        <f aca="false">IFERROR(INDEX(PODACI_PRODAJA!K:K,MATCH($A635,PODACI_PRODAJA!$A:$A,0)),0)</f>
        <v>0</v>
      </c>
      <c r="AC635" s="23" t="n">
        <f aca="false">IFERROR(INDEX(PODACI_PRODAJA!L:L,MATCH($A635,PODACI_PRODAJA!$A:$A,0)),0)</f>
        <v>0</v>
      </c>
      <c r="AD635" s="23" t="n">
        <f aca="false">IFERROR(INDEX(PODACI_PRODAJA!M:M,MATCH($A635,PODACI_PRODAJA!$A:$A,0)),0)</f>
        <v>0</v>
      </c>
    </row>
    <row r="636" customFormat="false" ht="15" hidden="false" customHeight="false" outlineLevel="0" collapsed="false">
      <c r="A636" s="11" t="str">
        <f aca="false">PODACI_ZALIHE!A633</f>
        <v>6555805-00</v>
      </c>
      <c r="B636" s="8" t="str">
        <f aca="false">PODACI_ZALIHE!B633</f>
        <v>KLUDI A-QA DRŽAČ TUŠ SLUŠALICE, KROM</v>
      </c>
      <c r="C636" s="9" t="str">
        <f aca="false">PODACI_ZALIHE!C633</f>
        <v>7485</v>
      </c>
      <c r="D636" s="8" t="str">
        <f aca="false">PODACI_ZALIHE!D633</f>
        <v>KLUDI GmbH &amp; Co. KG.,</v>
      </c>
      <c r="E636" s="19" t="n">
        <f aca="false">IF(PODACI_ZALIHE!E633="","",PODACI_ZALIHE!E633)</f>
        <v>1</v>
      </c>
      <c r="F636" s="20" t="n">
        <f aca="false">PODACI_ZALIHE!F633</f>
        <v>1</v>
      </c>
      <c r="G636" s="19" t="n">
        <f aca="false">IF(E636="","",E636-F636)</f>
        <v>0</v>
      </c>
      <c r="H636" s="9" t="n">
        <f aca="false">PODACI_PRODAJA!N805</f>
        <v>0</v>
      </c>
      <c r="I636" s="21" t="n">
        <f aca="false">IF(H636&lt;=0,999,ROUND(F636/H636,1))</f>
        <v>999</v>
      </c>
      <c r="J636" s="9" t="n">
        <f aca="false">SUMIFS(ROBA_U_DOLASKU!$C$6:$C$95,ROBA_U_DOLASKU!$A$6:$A$95,A636,ROBA_U_DOLASKU!$H$6:$H$95,1)</f>
        <v>0</v>
      </c>
      <c r="K636" s="9" t="n">
        <f aca="false">SUMIFS(ROBA_U_DOLASKU!$B$6:$B$95,ROBA_U_DOLASKU!$A$6:$A$95,A636,ROBA_U_DOLASKU!$H$6:$H$95,1)</f>
        <v>0</v>
      </c>
      <c r="L636" s="9" t="n">
        <f aca="false">SUMIFS(ROBA_U_DOLASKU!$C$6:$C$95,ROBA_U_DOLASKU!$A$6:$A$95,A636,ROBA_U_DOLASKU!$H$6:$H$95,2)</f>
        <v>0</v>
      </c>
      <c r="M636" s="9" t="n">
        <f aca="false">SUMIFS(ROBA_U_DOLASKU!$B$6:$B$95,ROBA_U_DOLASKU!$A$6:$A$95,A636,ROBA_U_DOLASKU!$H$6:$H$95,2)</f>
        <v>0</v>
      </c>
      <c r="N636" s="9" t="n">
        <f aca="false">SUMIFS(ROBA_U_DOLASKU!$C$6:$C$95,ROBA_U_DOLASKU!$A$6:$A$95,A636,ROBA_U_DOLASKU!$H$6:$H$95,3)</f>
        <v>0</v>
      </c>
      <c r="O636" s="9" t="n">
        <f aca="false">SUMIFS(ROBA_U_DOLASKU!$B$6:$B$95,ROBA_U_DOLASKU!$A$6:$A$95,A636,ROBA_U_DOLASKU!$H$6:$H$95,3)</f>
        <v>0</v>
      </c>
      <c r="P636" s="9" t="n">
        <f aca="false">IF(H636&lt;=0,999,IF(O636&gt;0,ROUND((F636-H636*N636+K636+M636+O636)/H636,1),IF(M636&gt;0,ROUND((F636-H636*L636+K636+M636)/H636,1),IF(K636&gt;0,ROUND((F636-H636*J636+K636)/H636,1),I636))))</f>
        <v>999</v>
      </c>
      <c r="Q636" s="22" t="str">
        <f aca="false">IF(H636&lt;=0,"Nema prodaje",IF(AND(K636=0,M636=0,O636=0),IF(I636&lt;POSTAVKE!$B$6,"Naruči odmah","Sve u redu"),IF(F636-H636*J636&lt;0,"Rupa za ~"&amp;TEXT(I636,"0.0")&amp;" mj.",IF(AND(M636&gt;0,F636-H636*L636+K636&lt;0),"Rupa nakon 1. dolaska",IF(AND(O636&gt;0,F636-H636*N636+K636+M636&lt;0),"Rupa nakon 2. dolaska",IF(P636&lt;POSTAVKE!$B$6,"Količina nije dovoljna",IF(I636&gt;=POSTAVKE!$B$6,"Sve u redu","Stiže na vrijeme")))))))</f>
        <v>Nema prodaje</v>
      </c>
      <c r="S636" s="23" t="n">
        <f aca="false">IFERROR(INDEX(PODACI_PRODAJA!B:B,MATCH($A636,PODACI_PRODAJA!$A:$A,0)),0)</f>
        <v>0</v>
      </c>
      <c r="T636" s="23" t="n">
        <f aca="false">IFERROR(INDEX(PODACI_PRODAJA!C:C,MATCH($A636,PODACI_PRODAJA!$A:$A,0)),0)</f>
        <v>0</v>
      </c>
      <c r="U636" s="23" t="n">
        <f aca="false">IFERROR(INDEX(PODACI_PRODAJA!D:D,MATCH($A636,PODACI_PRODAJA!$A:$A,0)),0)</f>
        <v>0</v>
      </c>
      <c r="V636" s="23" t="n">
        <f aca="false">IFERROR(INDEX(PODACI_PRODAJA!E:E,MATCH($A636,PODACI_PRODAJA!$A:$A,0)),0)</f>
        <v>0</v>
      </c>
      <c r="W636" s="23" t="n">
        <f aca="false">IFERROR(INDEX(PODACI_PRODAJA!F:F,MATCH($A636,PODACI_PRODAJA!$A:$A,0)),0)</f>
        <v>0</v>
      </c>
      <c r="X636" s="23" t="n">
        <f aca="false">IFERROR(INDEX(PODACI_PRODAJA!G:G,MATCH($A636,PODACI_PRODAJA!$A:$A,0)),0)</f>
        <v>0</v>
      </c>
      <c r="Y636" s="23" t="n">
        <f aca="false">IFERROR(INDEX(PODACI_PRODAJA!H:H,MATCH($A636,PODACI_PRODAJA!$A:$A,0)),0)</f>
        <v>0</v>
      </c>
      <c r="Z636" s="23" t="n">
        <f aca="false">IFERROR(INDEX(PODACI_PRODAJA!I:I,MATCH($A636,PODACI_PRODAJA!$A:$A,0)),0)</f>
        <v>0</v>
      </c>
      <c r="AA636" s="23" t="n">
        <f aca="false">IFERROR(INDEX(PODACI_PRODAJA!J:J,MATCH($A636,PODACI_PRODAJA!$A:$A,0)),0)</f>
        <v>0</v>
      </c>
      <c r="AB636" s="23" t="n">
        <f aca="false">IFERROR(INDEX(PODACI_PRODAJA!K:K,MATCH($A636,PODACI_PRODAJA!$A:$A,0)),0)</f>
        <v>0</v>
      </c>
      <c r="AC636" s="23" t="n">
        <f aca="false">IFERROR(INDEX(PODACI_PRODAJA!L:L,MATCH($A636,PODACI_PRODAJA!$A:$A,0)),0)</f>
        <v>0</v>
      </c>
      <c r="AD636" s="23" t="n">
        <f aca="false">IFERROR(INDEX(PODACI_PRODAJA!M:M,MATCH($A636,PODACI_PRODAJA!$A:$A,0)),0)</f>
        <v>0</v>
      </c>
    </row>
    <row r="637" customFormat="false" ht="15" hidden="false" customHeight="false" outlineLevel="0" collapsed="false">
      <c r="A637" s="11" t="str">
        <f aca="false">PODACI_ZALIHE!A634</f>
        <v>6709005-00</v>
      </c>
      <c r="B637" s="8" t="str">
        <f aca="false">PODACI_ZALIHE!B634</f>
        <v>KLUDI FRESHLINE TUŠ SISTEM BEZ MIJEŠALICE, KROM</v>
      </c>
      <c r="C637" s="9" t="str">
        <f aca="false">PODACI_ZALIHE!C634</f>
        <v>7485</v>
      </c>
      <c r="D637" s="8" t="str">
        <f aca="false">PODACI_ZALIHE!D634</f>
        <v>KLUDI GmbH &amp; Co. KG.,</v>
      </c>
      <c r="E637" s="19" t="n">
        <f aca="false">IF(PODACI_ZALIHE!E634="","",PODACI_ZALIHE!E634)</f>
        <v>1</v>
      </c>
      <c r="F637" s="20" t="n">
        <f aca="false">PODACI_ZALIHE!F634</f>
        <v>1</v>
      </c>
      <c r="G637" s="19" t="n">
        <f aca="false">IF(E637="","",E637-F637)</f>
        <v>0</v>
      </c>
      <c r="H637" s="9" t="n">
        <f aca="false">PODACI_PRODAJA!N810</f>
        <v>0</v>
      </c>
      <c r="I637" s="21" t="n">
        <f aca="false">IF(H637&lt;=0,999,ROUND(F637/H637,1))</f>
        <v>999</v>
      </c>
      <c r="J637" s="9" t="n">
        <f aca="false">SUMIFS(ROBA_U_DOLASKU!$C$6:$C$95,ROBA_U_DOLASKU!$A$6:$A$95,A637,ROBA_U_DOLASKU!$H$6:$H$95,1)</f>
        <v>0</v>
      </c>
      <c r="K637" s="9" t="n">
        <f aca="false">SUMIFS(ROBA_U_DOLASKU!$B$6:$B$95,ROBA_U_DOLASKU!$A$6:$A$95,A637,ROBA_U_DOLASKU!$H$6:$H$95,1)</f>
        <v>0</v>
      </c>
      <c r="L637" s="9" t="n">
        <f aca="false">SUMIFS(ROBA_U_DOLASKU!$C$6:$C$95,ROBA_U_DOLASKU!$A$6:$A$95,A637,ROBA_U_DOLASKU!$H$6:$H$95,2)</f>
        <v>0</v>
      </c>
      <c r="M637" s="9" t="n">
        <f aca="false">SUMIFS(ROBA_U_DOLASKU!$B$6:$B$95,ROBA_U_DOLASKU!$A$6:$A$95,A637,ROBA_U_DOLASKU!$H$6:$H$95,2)</f>
        <v>0</v>
      </c>
      <c r="N637" s="9" t="n">
        <f aca="false">SUMIFS(ROBA_U_DOLASKU!$C$6:$C$95,ROBA_U_DOLASKU!$A$6:$A$95,A637,ROBA_U_DOLASKU!$H$6:$H$95,3)</f>
        <v>0</v>
      </c>
      <c r="O637" s="9" t="n">
        <f aca="false">SUMIFS(ROBA_U_DOLASKU!$B$6:$B$95,ROBA_U_DOLASKU!$A$6:$A$95,A637,ROBA_U_DOLASKU!$H$6:$H$95,3)</f>
        <v>0</v>
      </c>
      <c r="P637" s="9" t="n">
        <f aca="false">IF(H637&lt;=0,999,IF(O637&gt;0,ROUND((F637-H637*N637+K637+M637+O637)/H637,1),IF(M637&gt;0,ROUND((F637-H637*L637+K637+M637)/H637,1),IF(K637&gt;0,ROUND((F637-H637*J637+K637)/H637,1),I637))))</f>
        <v>999</v>
      </c>
      <c r="Q637" s="22" t="str">
        <f aca="false">IF(H637&lt;=0,"Nema prodaje",IF(AND(K637=0,M637=0,O637=0),IF(I637&lt;POSTAVKE!$B$6,"Naruči odmah","Sve u redu"),IF(F637-H637*J637&lt;0,"Rupa za ~"&amp;TEXT(I637,"0.0")&amp;" mj.",IF(AND(M637&gt;0,F637-H637*L637+K637&lt;0),"Rupa nakon 1. dolaska",IF(AND(O637&gt;0,F637-H637*N637+K637+M637&lt;0),"Rupa nakon 2. dolaska",IF(P637&lt;POSTAVKE!$B$6,"Količina nije dovoljna",IF(I637&gt;=POSTAVKE!$B$6,"Sve u redu","Stiže na vrijeme")))))))</f>
        <v>Nema prodaje</v>
      </c>
      <c r="S637" s="23" t="n">
        <f aca="false">IFERROR(INDEX(PODACI_PRODAJA!B:B,MATCH($A637,PODACI_PRODAJA!$A:$A,0)),0)</f>
        <v>0</v>
      </c>
      <c r="T637" s="23" t="n">
        <f aca="false">IFERROR(INDEX(PODACI_PRODAJA!C:C,MATCH($A637,PODACI_PRODAJA!$A:$A,0)),0)</f>
        <v>0</v>
      </c>
      <c r="U637" s="23" t="n">
        <f aca="false">IFERROR(INDEX(PODACI_PRODAJA!D:D,MATCH($A637,PODACI_PRODAJA!$A:$A,0)),0)</f>
        <v>0</v>
      </c>
      <c r="V637" s="23" t="n">
        <f aca="false">IFERROR(INDEX(PODACI_PRODAJA!E:E,MATCH($A637,PODACI_PRODAJA!$A:$A,0)),0)</f>
        <v>0</v>
      </c>
      <c r="W637" s="23" t="n">
        <f aca="false">IFERROR(INDEX(PODACI_PRODAJA!F:F,MATCH($A637,PODACI_PRODAJA!$A:$A,0)),0)</f>
        <v>0</v>
      </c>
      <c r="X637" s="23" t="n">
        <f aca="false">IFERROR(INDEX(PODACI_PRODAJA!G:G,MATCH($A637,PODACI_PRODAJA!$A:$A,0)),0)</f>
        <v>0</v>
      </c>
      <c r="Y637" s="23" t="n">
        <f aca="false">IFERROR(INDEX(PODACI_PRODAJA!H:H,MATCH($A637,PODACI_PRODAJA!$A:$A,0)),0)</f>
        <v>0</v>
      </c>
      <c r="Z637" s="23" t="n">
        <f aca="false">IFERROR(INDEX(PODACI_PRODAJA!I:I,MATCH($A637,PODACI_PRODAJA!$A:$A,0)),0)</f>
        <v>0</v>
      </c>
      <c r="AA637" s="23" t="n">
        <f aca="false">IFERROR(INDEX(PODACI_PRODAJA!J:J,MATCH($A637,PODACI_PRODAJA!$A:$A,0)),0)</f>
        <v>0</v>
      </c>
      <c r="AB637" s="23" t="n">
        <f aca="false">IFERROR(INDEX(PODACI_PRODAJA!K:K,MATCH($A637,PODACI_PRODAJA!$A:$A,0)),0)</f>
        <v>0</v>
      </c>
      <c r="AC637" s="23" t="n">
        <f aca="false">IFERROR(INDEX(PODACI_PRODAJA!L:L,MATCH($A637,PODACI_PRODAJA!$A:$A,0)),0)</f>
        <v>0</v>
      </c>
      <c r="AD637" s="23" t="n">
        <f aca="false">IFERROR(INDEX(PODACI_PRODAJA!M:M,MATCH($A637,PODACI_PRODAJA!$A:$A,0)),0)</f>
        <v>0</v>
      </c>
    </row>
    <row r="638" customFormat="false" ht="15" hidden="false" customHeight="false" outlineLevel="0" collapsed="false">
      <c r="A638" s="11" t="str">
        <f aca="false">PODACI_ZALIHE!A635</f>
        <v>88088</v>
      </c>
      <c r="B638" s="8" t="str">
        <f aca="false">PODACI_ZALIHE!B635</f>
        <v>KLUDI PODŽBUKNI ELEMENT ZA SAMOSTOJEĆE MIJEŠALICE</v>
      </c>
      <c r="C638" s="9" t="str">
        <f aca="false">PODACI_ZALIHE!C635</f>
        <v>7485</v>
      </c>
      <c r="D638" s="8" t="str">
        <f aca="false">PODACI_ZALIHE!D635</f>
        <v>KLUDI GmbH &amp; Co. KG.,</v>
      </c>
      <c r="E638" s="19" t="n">
        <f aca="false">IF(PODACI_ZALIHE!E635="","",PODACI_ZALIHE!E635)</f>
        <v>1</v>
      </c>
      <c r="F638" s="20" t="n">
        <f aca="false">PODACI_ZALIHE!F635</f>
        <v>1</v>
      </c>
      <c r="G638" s="19" t="n">
        <f aca="false">IF(E638="","",E638-F638)</f>
        <v>0</v>
      </c>
      <c r="H638" s="9" t="n">
        <f aca="false">PODACI_PRODAJA!N820</f>
        <v>0</v>
      </c>
      <c r="I638" s="21" t="n">
        <f aca="false">IF(H638&lt;=0,999,ROUND(F638/H638,1))</f>
        <v>999</v>
      </c>
      <c r="J638" s="9" t="n">
        <f aca="false">SUMIFS(ROBA_U_DOLASKU!$C$6:$C$95,ROBA_U_DOLASKU!$A$6:$A$95,A638,ROBA_U_DOLASKU!$H$6:$H$95,1)</f>
        <v>0</v>
      </c>
      <c r="K638" s="9" t="n">
        <f aca="false">SUMIFS(ROBA_U_DOLASKU!$B$6:$B$95,ROBA_U_DOLASKU!$A$6:$A$95,A638,ROBA_U_DOLASKU!$H$6:$H$95,1)</f>
        <v>0</v>
      </c>
      <c r="L638" s="9" t="n">
        <f aca="false">SUMIFS(ROBA_U_DOLASKU!$C$6:$C$95,ROBA_U_DOLASKU!$A$6:$A$95,A638,ROBA_U_DOLASKU!$H$6:$H$95,2)</f>
        <v>0</v>
      </c>
      <c r="M638" s="9" t="n">
        <f aca="false">SUMIFS(ROBA_U_DOLASKU!$B$6:$B$95,ROBA_U_DOLASKU!$A$6:$A$95,A638,ROBA_U_DOLASKU!$H$6:$H$95,2)</f>
        <v>0</v>
      </c>
      <c r="N638" s="9" t="n">
        <f aca="false">SUMIFS(ROBA_U_DOLASKU!$C$6:$C$95,ROBA_U_DOLASKU!$A$6:$A$95,A638,ROBA_U_DOLASKU!$H$6:$H$95,3)</f>
        <v>0</v>
      </c>
      <c r="O638" s="9" t="n">
        <f aca="false">SUMIFS(ROBA_U_DOLASKU!$B$6:$B$95,ROBA_U_DOLASKU!$A$6:$A$95,A638,ROBA_U_DOLASKU!$H$6:$H$95,3)</f>
        <v>0</v>
      </c>
      <c r="P638" s="9" t="n">
        <f aca="false">IF(H638&lt;=0,999,IF(O638&gt;0,ROUND((F638-H638*N638+K638+M638+O638)/H638,1),IF(M638&gt;0,ROUND((F638-H638*L638+K638+M638)/H638,1),IF(K638&gt;0,ROUND((F638-H638*J638+K638)/H638,1),I638))))</f>
        <v>999</v>
      </c>
      <c r="Q638" s="22" t="str">
        <f aca="false">IF(H638&lt;=0,"Nema prodaje",IF(AND(K638=0,M638=0,O638=0),IF(I638&lt;POSTAVKE!$B$6,"Naruči odmah","Sve u redu"),IF(F638-H638*J638&lt;0,"Rupa za ~"&amp;TEXT(I638,"0.0")&amp;" mj.",IF(AND(M638&gt;0,F638-H638*L638+K638&lt;0),"Rupa nakon 1. dolaska",IF(AND(O638&gt;0,F638-H638*N638+K638+M638&lt;0),"Rupa nakon 2. dolaska",IF(P638&lt;POSTAVKE!$B$6,"Količina nije dovoljna",IF(I638&gt;=POSTAVKE!$B$6,"Sve u redu","Stiže na vrijeme")))))))</f>
        <v>Nema prodaje</v>
      </c>
      <c r="S638" s="23" t="n">
        <f aca="false">IFERROR(INDEX(PODACI_PRODAJA!B:B,MATCH($A638,PODACI_PRODAJA!$A:$A,0)),0)</f>
        <v>0</v>
      </c>
      <c r="T638" s="23" t="n">
        <f aca="false">IFERROR(INDEX(PODACI_PRODAJA!C:C,MATCH($A638,PODACI_PRODAJA!$A:$A,0)),0)</f>
        <v>0</v>
      </c>
      <c r="U638" s="23" t="n">
        <f aca="false">IFERROR(INDEX(PODACI_PRODAJA!D:D,MATCH($A638,PODACI_PRODAJA!$A:$A,0)),0)</f>
        <v>0</v>
      </c>
      <c r="V638" s="23" t="n">
        <f aca="false">IFERROR(INDEX(PODACI_PRODAJA!E:E,MATCH($A638,PODACI_PRODAJA!$A:$A,0)),0)</f>
        <v>0</v>
      </c>
      <c r="W638" s="23" t="n">
        <f aca="false">IFERROR(INDEX(PODACI_PRODAJA!F:F,MATCH($A638,PODACI_PRODAJA!$A:$A,0)),0)</f>
        <v>0</v>
      </c>
      <c r="X638" s="23" t="n">
        <f aca="false">IFERROR(INDEX(PODACI_PRODAJA!G:G,MATCH($A638,PODACI_PRODAJA!$A:$A,0)),0)</f>
        <v>0</v>
      </c>
      <c r="Y638" s="23" t="n">
        <f aca="false">IFERROR(INDEX(PODACI_PRODAJA!H:H,MATCH($A638,PODACI_PRODAJA!$A:$A,0)),0)</f>
        <v>0</v>
      </c>
      <c r="Z638" s="23" t="n">
        <f aca="false">IFERROR(INDEX(PODACI_PRODAJA!I:I,MATCH($A638,PODACI_PRODAJA!$A:$A,0)),0)</f>
        <v>0</v>
      </c>
      <c r="AA638" s="23" t="n">
        <f aca="false">IFERROR(INDEX(PODACI_PRODAJA!J:J,MATCH($A638,PODACI_PRODAJA!$A:$A,0)),0)</f>
        <v>0</v>
      </c>
      <c r="AB638" s="23" t="n">
        <f aca="false">IFERROR(INDEX(PODACI_PRODAJA!K:K,MATCH($A638,PODACI_PRODAJA!$A:$A,0)),0)</f>
        <v>0</v>
      </c>
      <c r="AC638" s="23" t="n">
        <f aca="false">IFERROR(INDEX(PODACI_PRODAJA!L:L,MATCH($A638,PODACI_PRODAJA!$A:$A,0)),0)</f>
        <v>0</v>
      </c>
      <c r="AD638" s="23" t="n">
        <f aca="false">IFERROR(INDEX(PODACI_PRODAJA!M:M,MATCH($A638,PODACI_PRODAJA!$A:$A,0)),0)</f>
        <v>0</v>
      </c>
    </row>
    <row r="639" customFormat="false" ht="15" hidden="false" customHeight="false" outlineLevel="0" collapsed="false">
      <c r="A639" s="11" t="str">
        <f aca="false">PODACI_ZALIHE!A636</f>
        <v>AA02024</v>
      </c>
      <c r="B639" s="8" t="str">
        <f aca="false">PODACI_ZALIHE!B636</f>
        <v>RUBIA 80120 PRAVOKUTNA TUŠ KABINA 80x120x205 cm</v>
      </c>
      <c r="C639" s="9" t="n">
        <f aca="false">PODACI_ZALIHE!C636</f>
        <v>0</v>
      </c>
      <c r="D639" s="8" t="n">
        <f aca="false">PODACI_ZALIHE!D636</f>
        <v>0</v>
      </c>
      <c r="E639" s="19" t="n">
        <f aca="false">IF(PODACI_ZALIHE!E636="","",PODACI_ZALIHE!E636)</f>
        <v>0</v>
      </c>
      <c r="F639" s="20" t="n">
        <f aca="false">PODACI_ZALIHE!F636</f>
        <v>0</v>
      </c>
      <c r="G639" s="19" t="n">
        <f aca="false">IF(E639="","",E639-F639)</f>
        <v>0</v>
      </c>
      <c r="H639" s="9" t="n">
        <v>0</v>
      </c>
      <c r="I639" s="21" t="n">
        <f aca="false">IF(H639&lt;=0,999,ROUND(F639/H639,1))</f>
        <v>999</v>
      </c>
      <c r="J639" s="9" t="n">
        <f aca="false">SUMIFS(ROBA_U_DOLASKU!$C$6:$C$95,ROBA_U_DOLASKU!$A$6:$A$95,A639,ROBA_U_DOLASKU!$H$6:$H$95,1)</f>
        <v>0</v>
      </c>
      <c r="K639" s="9" t="n">
        <f aca="false">SUMIFS(ROBA_U_DOLASKU!$B$6:$B$95,ROBA_U_DOLASKU!$A$6:$A$95,A639,ROBA_U_DOLASKU!$H$6:$H$95,1)</f>
        <v>0</v>
      </c>
      <c r="L639" s="9" t="n">
        <f aca="false">SUMIFS(ROBA_U_DOLASKU!$C$6:$C$95,ROBA_U_DOLASKU!$A$6:$A$95,A639,ROBA_U_DOLASKU!$H$6:$H$95,2)</f>
        <v>0</v>
      </c>
      <c r="M639" s="9" t="n">
        <f aca="false">SUMIFS(ROBA_U_DOLASKU!$B$6:$B$95,ROBA_U_DOLASKU!$A$6:$A$95,A639,ROBA_U_DOLASKU!$H$6:$H$95,2)</f>
        <v>0</v>
      </c>
      <c r="N639" s="9" t="n">
        <f aca="false">SUMIFS(ROBA_U_DOLASKU!$C$6:$C$95,ROBA_U_DOLASKU!$A$6:$A$95,A639,ROBA_U_DOLASKU!$H$6:$H$95,3)</f>
        <v>0</v>
      </c>
      <c r="O639" s="9" t="n">
        <f aca="false">SUMIFS(ROBA_U_DOLASKU!$B$6:$B$95,ROBA_U_DOLASKU!$A$6:$A$95,A639,ROBA_U_DOLASKU!$H$6:$H$95,3)</f>
        <v>0</v>
      </c>
      <c r="P639" s="9" t="n">
        <f aca="false">IF(H639&lt;=0,999,IF(O639&gt;0,ROUND((F639-H639*N639+K639+M639+O639)/H639,1),IF(M639&gt;0,ROUND((F639-H639*L639+K639+M639)/H639,1),IF(K639&gt;0,ROUND((F639-H639*J639+K639)/H639,1),I639))))</f>
        <v>999</v>
      </c>
      <c r="Q639" s="22" t="str">
        <f aca="false">IF(H639&lt;=0,"Nema prodaje",IF(AND(K639=0,M639=0,O639=0),IF(I639&lt;POSTAVKE!$B$6,"Naruči odmah","Sve u redu"),IF(F639-H639*J639&lt;0,"Rupa za ~"&amp;TEXT(I639,"0.0")&amp;" mj.",IF(AND(M639&gt;0,F639-H639*L639+K639&lt;0),"Rupa nakon 1. dolaska",IF(AND(O639&gt;0,F639-H639*N639+K639+M639&lt;0),"Rupa nakon 2. dolaska",IF(P639&lt;POSTAVKE!$B$6,"Količina nije dovoljna",IF(I639&gt;=POSTAVKE!$B$6,"Sve u redu","Stiže na vrijeme")))))))</f>
        <v>Nema prodaje</v>
      </c>
      <c r="S639" s="23" t="n">
        <f aca="false">IFERROR(INDEX(PODACI_PRODAJA!B:B,MATCH($A639,PODACI_PRODAJA!$A:$A,0)),0)</f>
        <v>0</v>
      </c>
      <c r="T639" s="23" t="n">
        <f aca="false">IFERROR(INDEX(PODACI_PRODAJA!C:C,MATCH($A639,PODACI_PRODAJA!$A:$A,0)),0)</f>
        <v>0</v>
      </c>
      <c r="U639" s="23" t="n">
        <f aca="false">IFERROR(INDEX(PODACI_PRODAJA!D:D,MATCH($A639,PODACI_PRODAJA!$A:$A,0)),0)</f>
        <v>0</v>
      </c>
      <c r="V639" s="23" t="n">
        <f aca="false">IFERROR(INDEX(PODACI_PRODAJA!E:E,MATCH($A639,PODACI_PRODAJA!$A:$A,0)),0)</f>
        <v>0</v>
      </c>
      <c r="W639" s="23" t="n">
        <f aca="false">IFERROR(INDEX(PODACI_PRODAJA!F:F,MATCH($A639,PODACI_PRODAJA!$A:$A,0)),0)</f>
        <v>0</v>
      </c>
      <c r="X639" s="23" t="n">
        <f aca="false">IFERROR(INDEX(PODACI_PRODAJA!G:G,MATCH($A639,PODACI_PRODAJA!$A:$A,0)),0)</f>
        <v>0</v>
      </c>
      <c r="Y639" s="23" t="n">
        <f aca="false">IFERROR(INDEX(PODACI_PRODAJA!H:H,MATCH($A639,PODACI_PRODAJA!$A:$A,0)),0)</f>
        <v>0</v>
      </c>
      <c r="Z639" s="23" t="n">
        <f aca="false">IFERROR(INDEX(PODACI_PRODAJA!I:I,MATCH($A639,PODACI_PRODAJA!$A:$A,0)),0)</f>
        <v>0</v>
      </c>
      <c r="AA639" s="23" t="n">
        <f aca="false">IFERROR(INDEX(PODACI_PRODAJA!J:J,MATCH($A639,PODACI_PRODAJA!$A:$A,0)),0)</f>
        <v>0</v>
      </c>
      <c r="AB639" s="23" t="n">
        <f aca="false">IFERROR(INDEX(PODACI_PRODAJA!K:K,MATCH($A639,PODACI_PRODAJA!$A:$A,0)),0)</f>
        <v>0</v>
      </c>
      <c r="AC639" s="23" t="n">
        <f aca="false">IFERROR(INDEX(PODACI_PRODAJA!L:L,MATCH($A639,PODACI_PRODAJA!$A:$A,0)),0)</f>
        <v>0</v>
      </c>
      <c r="AD639" s="23" t="n">
        <f aca="false">IFERROR(INDEX(PODACI_PRODAJA!M:M,MATCH($A639,PODACI_PRODAJA!$A:$A,0)),0)</f>
        <v>0</v>
      </c>
    </row>
    <row r="640" customFormat="false" ht="15" hidden="false" customHeight="false" outlineLevel="0" collapsed="false">
      <c r="A640" s="11" t="str">
        <f aca="false">PODACI_ZALIHE!A637</f>
        <v>AA02283</v>
      </c>
      <c r="B640" s="8" t="str">
        <f aca="false">PODACI_ZALIHE!B637</f>
        <v>LUGO 90 POLUKRUŽNA TUŠ KABINA 90X90X205cm</v>
      </c>
      <c r="C640" s="9" t="n">
        <f aca="false">PODACI_ZALIHE!C637</f>
        <v>0</v>
      </c>
      <c r="D640" s="8" t="n">
        <f aca="false">PODACI_ZALIHE!D637</f>
        <v>0</v>
      </c>
      <c r="E640" s="19" t="n">
        <f aca="false">IF(PODACI_ZALIHE!E637="","",PODACI_ZALIHE!E637)</f>
        <v>0</v>
      </c>
      <c r="F640" s="20" t="n">
        <f aca="false">PODACI_ZALIHE!F637</f>
        <v>0</v>
      </c>
      <c r="G640" s="19" t="n">
        <f aca="false">IF(E640="","",E640-F640)</f>
        <v>0</v>
      </c>
      <c r="H640" s="9" t="n">
        <v>0</v>
      </c>
      <c r="I640" s="21" t="n">
        <f aca="false">IF(H640&lt;=0,999,ROUND(F640/H640,1))</f>
        <v>999</v>
      </c>
      <c r="J640" s="9" t="n">
        <f aca="false">SUMIFS(ROBA_U_DOLASKU!$C$6:$C$95,ROBA_U_DOLASKU!$A$6:$A$95,A640,ROBA_U_DOLASKU!$H$6:$H$95,1)</f>
        <v>0</v>
      </c>
      <c r="K640" s="9" t="n">
        <f aca="false">SUMIFS(ROBA_U_DOLASKU!$B$6:$B$95,ROBA_U_DOLASKU!$A$6:$A$95,A640,ROBA_U_DOLASKU!$H$6:$H$95,1)</f>
        <v>0</v>
      </c>
      <c r="L640" s="9" t="n">
        <f aca="false">SUMIFS(ROBA_U_DOLASKU!$C$6:$C$95,ROBA_U_DOLASKU!$A$6:$A$95,A640,ROBA_U_DOLASKU!$H$6:$H$95,2)</f>
        <v>0</v>
      </c>
      <c r="M640" s="9" t="n">
        <f aca="false">SUMIFS(ROBA_U_DOLASKU!$B$6:$B$95,ROBA_U_DOLASKU!$A$6:$A$95,A640,ROBA_U_DOLASKU!$H$6:$H$95,2)</f>
        <v>0</v>
      </c>
      <c r="N640" s="9" t="n">
        <f aca="false">SUMIFS(ROBA_U_DOLASKU!$C$6:$C$95,ROBA_U_DOLASKU!$A$6:$A$95,A640,ROBA_U_DOLASKU!$H$6:$H$95,3)</f>
        <v>0</v>
      </c>
      <c r="O640" s="9" t="n">
        <f aca="false">SUMIFS(ROBA_U_DOLASKU!$B$6:$B$95,ROBA_U_DOLASKU!$A$6:$A$95,A640,ROBA_U_DOLASKU!$H$6:$H$95,3)</f>
        <v>0</v>
      </c>
      <c r="P640" s="9" t="n">
        <f aca="false">IF(H640&lt;=0,999,IF(O640&gt;0,ROUND((F640-H640*N640+K640+M640+O640)/H640,1),IF(M640&gt;0,ROUND((F640-H640*L640+K640+M640)/H640,1),IF(K640&gt;0,ROUND((F640-H640*J640+K640)/H640,1),I640))))</f>
        <v>999</v>
      </c>
      <c r="Q640" s="22" t="str">
        <f aca="false">IF(H640&lt;=0,"Nema prodaje",IF(AND(K640=0,M640=0,O640=0),IF(I640&lt;POSTAVKE!$B$6,"Naruči odmah","Sve u redu"),IF(F640-H640*J640&lt;0,"Rupa za ~"&amp;TEXT(I640,"0.0")&amp;" mj.",IF(AND(M640&gt;0,F640-H640*L640+K640&lt;0),"Rupa nakon 1. dolaska",IF(AND(O640&gt;0,F640-H640*N640+K640+M640&lt;0),"Rupa nakon 2. dolaska",IF(P640&lt;POSTAVKE!$B$6,"Količina nije dovoljna",IF(I640&gt;=POSTAVKE!$B$6,"Sve u redu","Stiže na vrijeme")))))))</f>
        <v>Nema prodaje</v>
      </c>
      <c r="S640" s="23" t="n">
        <f aca="false">IFERROR(INDEX(PODACI_PRODAJA!B:B,MATCH($A640,PODACI_PRODAJA!$A:$A,0)),0)</f>
        <v>0</v>
      </c>
      <c r="T640" s="23" t="n">
        <f aca="false">IFERROR(INDEX(PODACI_PRODAJA!C:C,MATCH($A640,PODACI_PRODAJA!$A:$A,0)),0)</f>
        <v>0</v>
      </c>
      <c r="U640" s="23" t="n">
        <f aca="false">IFERROR(INDEX(PODACI_PRODAJA!D:D,MATCH($A640,PODACI_PRODAJA!$A:$A,0)),0)</f>
        <v>0</v>
      </c>
      <c r="V640" s="23" t="n">
        <f aca="false">IFERROR(INDEX(PODACI_PRODAJA!E:E,MATCH($A640,PODACI_PRODAJA!$A:$A,0)),0)</f>
        <v>0</v>
      </c>
      <c r="W640" s="23" t="n">
        <f aca="false">IFERROR(INDEX(PODACI_PRODAJA!F:F,MATCH($A640,PODACI_PRODAJA!$A:$A,0)),0)</f>
        <v>0</v>
      </c>
      <c r="X640" s="23" t="n">
        <f aca="false">IFERROR(INDEX(PODACI_PRODAJA!G:G,MATCH($A640,PODACI_PRODAJA!$A:$A,0)),0)</f>
        <v>0</v>
      </c>
      <c r="Y640" s="23" t="n">
        <f aca="false">IFERROR(INDEX(PODACI_PRODAJA!H:H,MATCH($A640,PODACI_PRODAJA!$A:$A,0)),0)</f>
        <v>0</v>
      </c>
      <c r="Z640" s="23" t="n">
        <f aca="false">IFERROR(INDEX(PODACI_PRODAJA!I:I,MATCH($A640,PODACI_PRODAJA!$A:$A,0)),0)</f>
        <v>0</v>
      </c>
      <c r="AA640" s="23" t="n">
        <f aca="false">IFERROR(INDEX(PODACI_PRODAJA!J:J,MATCH($A640,PODACI_PRODAJA!$A:$A,0)),0)</f>
        <v>0</v>
      </c>
      <c r="AB640" s="23" t="n">
        <f aca="false">IFERROR(INDEX(PODACI_PRODAJA!K:K,MATCH($A640,PODACI_PRODAJA!$A:$A,0)),0)</f>
        <v>0</v>
      </c>
      <c r="AC640" s="23" t="n">
        <f aca="false">IFERROR(INDEX(PODACI_PRODAJA!L:L,MATCH($A640,PODACI_PRODAJA!$A:$A,0)),0)</f>
        <v>0</v>
      </c>
      <c r="AD640" s="23" t="n">
        <f aca="false">IFERROR(INDEX(PODACI_PRODAJA!M:M,MATCH($A640,PODACI_PRODAJA!$A:$A,0)),0)</f>
        <v>0</v>
      </c>
    </row>
    <row r="641" customFormat="false" ht="15" hidden="false" customHeight="false" outlineLevel="0" collapsed="false">
      <c r="A641" s="11" t="str">
        <f aca="false">PODACI_ZALIHE!A638</f>
        <v>AA04257</v>
      </c>
      <c r="B641" s="8" t="str">
        <f aca="false">PODACI_ZALIHE!B638</f>
        <v>MADERA 90 POLUKRUŽNA TUŠ KABINA 90x90x204 cm</v>
      </c>
      <c r="C641" s="9" t="n">
        <f aca="false">PODACI_ZALIHE!C638</f>
        <v>0</v>
      </c>
      <c r="D641" s="8" t="n">
        <f aca="false">PODACI_ZALIHE!D638</f>
        <v>0</v>
      </c>
      <c r="E641" s="19" t="str">
        <f aca="false">IF(PODACI_ZALIHE!E638="","",PODACI_ZALIHE!E638)</f>
        <v/>
      </c>
      <c r="F641" s="20" t="n">
        <f aca="false">PODACI_ZALIHE!F638</f>
        <v>0</v>
      </c>
      <c r="G641" s="19" t="str">
        <f aca="false">IF(E641="","",E641-F641)</f>
        <v/>
      </c>
      <c r="H641" s="9" t="n">
        <v>0</v>
      </c>
      <c r="I641" s="21" t="n">
        <f aca="false">IF(H641&lt;=0,999,ROUND(F641/H641,1))</f>
        <v>999</v>
      </c>
      <c r="J641" s="9" t="n">
        <f aca="false">SUMIFS(ROBA_U_DOLASKU!$C$6:$C$95,ROBA_U_DOLASKU!$A$6:$A$95,A641,ROBA_U_DOLASKU!$H$6:$H$95,1)</f>
        <v>0</v>
      </c>
      <c r="K641" s="9" t="n">
        <f aca="false">SUMIFS(ROBA_U_DOLASKU!$B$6:$B$95,ROBA_U_DOLASKU!$A$6:$A$95,A641,ROBA_U_DOLASKU!$H$6:$H$95,1)</f>
        <v>0</v>
      </c>
      <c r="L641" s="9" t="n">
        <f aca="false">SUMIFS(ROBA_U_DOLASKU!$C$6:$C$95,ROBA_U_DOLASKU!$A$6:$A$95,A641,ROBA_U_DOLASKU!$H$6:$H$95,2)</f>
        <v>0</v>
      </c>
      <c r="M641" s="9" t="n">
        <f aca="false">SUMIFS(ROBA_U_DOLASKU!$B$6:$B$95,ROBA_U_DOLASKU!$A$6:$A$95,A641,ROBA_U_DOLASKU!$H$6:$H$95,2)</f>
        <v>0</v>
      </c>
      <c r="N641" s="9" t="n">
        <f aca="false">SUMIFS(ROBA_U_DOLASKU!$C$6:$C$95,ROBA_U_DOLASKU!$A$6:$A$95,A641,ROBA_U_DOLASKU!$H$6:$H$95,3)</f>
        <v>0</v>
      </c>
      <c r="O641" s="9" t="n">
        <f aca="false">SUMIFS(ROBA_U_DOLASKU!$B$6:$B$95,ROBA_U_DOLASKU!$A$6:$A$95,A641,ROBA_U_DOLASKU!$H$6:$H$95,3)</f>
        <v>0</v>
      </c>
      <c r="P641" s="9" t="n">
        <f aca="false">IF(H641&lt;=0,999,IF(O641&gt;0,ROUND((F641-H641*N641+K641+M641+O641)/H641,1),IF(M641&gt;0,ROUND((F641-H641*L641+K641+M641)/H641,1),IF(K641&gt;0,ROUND((F641-H641*J641+K641)/H641,1),I641))))</f>
        <v>999</v>
      </c>
      <c r="Q641" s="22" t="str">
        <f aca="false">IF(H641&lt;=0,"Nema prodaje",IF(AND(K641=0,M641=0,O641=0),IF(I641&lt;POSTAVKE!$B$6,"Naruči odmah","Sve u redu"),IF(F641-H641*J641&lt;0,"Rupa za ~"&amp;TEXT(I641,"0.0")&amp;" mj.",IF(AND(M641&gt;0,F641-H641*L641+K641&lt;0),"Rupa nakon 1. dolaska",IF(AND(O641&gt;0,F641-H641*N641+K641+M641&lt;0),"Rupa nakon 2. dolaska",IF(P641&lt;POSTAVKE!$B$6,"Količina nije dovoljna",IF(I641&gt;=POSTAVKE!$B$6,"Sve u redu","Stiže na vrijeme")))))))</f>
        <v>Nema prodaje</v>
      </c>
      <c r="S641" s="23" t="n">
        <f aca="false">IFERROR(INDEX(PODACI_PRODAJA!B:B,MATCH($A641,PODACI_PRODAJA!$A:$A,0)),0)</f>
        <v>0</v>
      </c>
      <c r="T641" s="23" t="n">
        <f aca="false">IFERROR(INDEX(PODACI_PRODAJA!C:C,MATCH($A641,PODACI_PRODAJA!$A:$A,0)),0)</f>
        <v>0</v>
      </c>
      <c r="U641" s="23" t="n">
        <f aca="false">IFERROR(INDEX(PODACI_PRODAJA!D:D,MATCH($A641,PODACI_PRODAJA!$A:$A,0)),0)</f>
        <v>0</v>
      </c>
      <c r="V641" s="23" t="n">
        <f aca="false">IFERROR(INDEX(PODACI_PRODAJA!E:E,MATCH($A641,PODACI_PRODAJA!$A:$A,0)),0)</f>
        <v>0</v>
      </c>
      <c r="W641" s="23" t="n">
        <f aca="false">IFERROR(INDEX(PODACI_PRODAJA!F:F,MATCH($A641,PODACI_PRODAJA!$A:$A,0)),0)</f>
        <v>0</v>
      </c>
      <c r="X641" s="23" t="n">
        <f aca="false">IFERROR(INDEX(PODACI_PRODAJA!G:G,MATCH($A641,PODACI_PRODAJA!$A:$A,0)),0)</f>
        <v>0</v>
      </c>
      <c r="Y641" s="23" t="n">
        <f aca="false">IFERROR(INDEX(PODACI_PRODAJA!H:H,MATCH($A641,PODACI_PRODAJA!$A:$A,0)),0)</f>
        <v>0</v>
      </c>
      <c r="Z641" s="23" t="n">
        <f aca="false">IFERROR(INDEX(PODACI_PRODAJA!I:I,MATCH($A641,PODACI_PRODAJA!$A:$A,0)),0)</f>
        <v>0</v>
      </c>
      <c r="AA641" s="23" t="n">
        <f aca="false">IFERROR(INDEX(PODACI_PRODAJA!J:J,MATCH($A641,PODACI_PRODAJA!$A:$A,0)),0)</f>
        <v>0</v>
      </c>
      <c r="AB641" s="23" t="n">
        <f aca="false">IFERROR(INDEX(PODACI_PRODAJA!K:K,MATCH($A641,PODACI_PRODAJA!$A:$A,0)),0)</f>
        <v>0</v>
      </c>
      <c r="AC641" s="23" t="n">
        <f aca="false">IFERROR(INDEX(PODACI_PRODAJA!L:L,MATCH($A641,PODACI_PRODAJA!$A:$A,0)),0)</f>
        <v>0</v>
      </c>
      <c r="AD641" s="23" t="n">
        <f aca="false">IFERROR(INDEX(PODACI_PRODAJA!M:M,MATCH($A641,PODACI_PRODAJA!$A:$A,0)),0)</f>
        <v>0</v>
      </c>
    </row>
    <row r="642" customFormat="false" ht="15" hidden="false" customHeight="false" outlineLevel="0" collapsed="false">
      <c r="A642" s="11" t="str">
        <f aca="false">PODACI_ZALIHE!A639</f>
        <v>AA16012</v>
      </c>
      <c r="B642" s="8" t="str">
        <f aca="false">PODACI_ZALIHE!B639</f>
        <v>GRAY 90 KVADRATNA TUŠ KABINA 90X90X205</v>
      </c>
      <c r="C642" s="9" t="n">
        <f aca="false">PODACI_ZALIHE!C639</f>
        <v>0</v>
      </c>
      <c r="D642" s="8" t="n">
        <f aca="false">PODACI_ZALIHE!D639</f>
        <v>0</v>
      </c>
      <c r="E642" s="19" t="n">
        <f aca="false">IF(PODACI_ZALIHE!E639="","",PODACI_ZALIHE!E639)</f>
        <v>0</v>
      </c>
      <c r="F642" s="20" t="n">
        <f aca="false">PODACI_ZALIHE!F639</f>
        <v>0</v>
      </c>
      <c r="G642" s="19" t="n">
        <f aca="false">IF(E642="","",E642-F642)</f>
        <v>0</v>
      </c>
      <c r="H642" s="9" t="n">
        <v>0</v>
      </c>
      <c r="I642" s="21" t="n">
        <f aca="false">IF(H642&lt;=0,999,ROUND(F642/H642,1))</f>
        <v>999</v>
      </c>
      <c r="J642" s="9" t="n">
        <f aca="false">SUMIFS(ROBA_U_DOLASKU!$C$6:$C$95,ROBA_U_DOLASKU!$A$6:$A$95,A642,ROBA_U_DOLASKU!$H$6:$H$95,1)</f>
        <v>0</v>
      </c>
      <c r="K642" s="9" t="n">
        <f aca="false">SUMIFS(ROBA_U_DOLASKU!$B$6:$B$95,ROBA_U_DOLASKU!$A$6:$A$95,A642,ROBA_U_DOLASKU!$H$6:$H$95,1)</f>
        <v>0</v>
      </c>
      <c r="L642" s="9" t="n">
        <f aca="false">SUMIFS(ROBA_U_DOLASKU!$C$6:$C$95,ROBA_U_DOLASKU!$A$6:$A$95,A642,ROBA_U_DOLASKU!$H$6:$H$95,2)</f>
        <v>0</v>
      </c>
      <c r="M642" s="9" t="n">
        <f aca="false">SUMIFS(ROBA_U_DOLASKU!$B$6:$B$95,ROBA_U_DOLASKU!$A$6:$A$95,A642,ROBA_U_DOLASKU!$H$6:$H$95,2)</f>
        <v>0</v>
      </c>
      <c r="N642" s="9" t="n">
        <f aca="false">SUMIFS(ROBA_U_DOLASKU!$C$6:$C$95,ROBA_U_DOLASKU!$A$6:$A$95,A642,ROBA_U_DOLASKU!$H$6:$H$95,3)</f>
        <v>0</v>
      </c>
      <c r="O642" s="9" t="n">
        <f aca="false">SUMIFS(ROBA_U_DOLASKU!$B$6:$B$95,ROBA_U_DOLASKU!$A$6:$A$95,A642,ROBA_U_DOLASKU!$H$6:$H$95,3)</f>
        <v>0</v>
      </c>
      <c r="P642" s="9" t="n">
        <f aca="false">IF(H642&lt;=0,999,IF(O642&gt;0,ROUND((F642-H642*N642+K642+M642+O642)/H642,1),IF(M642&gt;0,ROUND((F642-H642*L642+K642+M642)/H642,1),IF(K642&gt;0,ROUND((F642-H642*J642+K642)/H642,1),I642))))</f>
        <v>999</v>
      </c>
      <c r="Q642" s="22" t="str">
        <f aca="false">IF(H642&lt;=0,"Nema prodaje",IF(AND(K642=0,M642=0,O642=0),IF(I642&lt;POSTAVKE!$B$6,"Naruči odmah","Sve u redu"),IF(F642-H642*J642&lt;0,"Rupa za ~"&amp;TEXT(I642,"0.0")&amp;" mj.",IF(AND(M642&gt;0,F642-H642*L642+K642&lt;0),"Rupa nakon 1. dolaska",IF(AND(O642&gt;0,F642-H642*N642+K642+M642&lt;0),"Rupa nakon 2. dolaska",IF(P642&lt;POSTAVKE!$B$6,"Količina nije dovoljna",IF(I642&gt;=POSTAVKE!$B$6,"Sve u redu","Stiže na vrijeme")))))))</f>
        <v>Nema prodaje</v>
      </c>
      <c r="S642" s="23" t="n">
        <f aca="false">IFERROR(INDEX(PODACI_PRODAJA!B:B,MATCH($A642,PODACI_PRODAJA!$A:$A,0)),0)</f>
        <v>0</v>
      </c>
      <c r="T642" s="23" t="n">
        <f aca="false">IFERROR(INDEX(PODACI_PRODAJA!C:C,MATCH($A642,PODACI_PRODAJA!$A:$A,0)),0)</f>
        <v>0</v>
      </c>
      <c r="U642" s="23" t="n">
        <f aca="false">IFERROR(INDEX(PODACI_PRODAJA!D:D,MATCH($A642,PODACI_PRODAJA!$A:$A,0)),0)</f>
        <v>0</v>
      </c>
      <c r="V642" s="23" t="n">
        <f aca="false">IFERROR(INDEX(PODACI_PRODAJA!E:E,MATCH($A642,PODACI_PRODAJA!$A:$A,0)),0)</f>
        <v>0</v>
      </c>
      <c r="W642" s="23" t="n">
        <f aca="false">IFERROR(INDEX(PODACI_PRODAJA!F:F,MATCH($A642,PODACI_PRODAJA!$A:$A,0)),0)</f>
        <v>0</v>
      </c>
      <c r="X642" s="23" t="n">
        <f aca="false">IFERROR(INDEX(PODACI_PRODAJA!G:G,MATCH($A642,PODACI_PRODAJA!$A:$A,0)),0)</f>
        <v>0</v>
      </c>
      <c r="Y642" s="23" t="n">
        <f aca="false">IFERROR(INDEX(PODACI_PRODAJA!H:H,MATCH($A642,PODACI_PRODAJA!$A:$A,0)),0)</f>
        <v>0</v>
      </c>
      <c r="Z642" s="23" t="n">
        <f aca="false">IFERROR(INDEX(PODACI_PRODAJA!I:I,MATCH($A642,PODACI_PRODAJA!$A:$A,0)),0)</f>
        <v>0</v>
      </c>
      <c r="AA642" s="23" t="n">
        <f aca="false">IFERROR(INDEX(PODACI_PRODAJA!J:J,MATCH($A642,PODACI_PRODAJA!$A:$A,0)),0)</f>
        <v>0</v>
      </c>
      <c r="AB642" s="23" t="n">
        <f aca="false">IFERROR(INDEX(PODACI_PRODAJA!K:K,MATCH($A642,PODACI_PRODAJA!$A:$A,0)),0)</f>
        <v>0</v>
      </c>
      <c r="AC642" s="23" t="n">
        <f aca="false">IFERROR(INDEX(PODACI_PRODAJA!L:L,MATCH($A642,PODACI_PRODAJA!$A:$A,0)),0)</f>
        <v>0</v>
      </c>
      <c r="AD642" s="23" t="n">
        <f aca="false">IFERROR(INDEX(PODACI_PRODAJA!M:M,MATCH($A642,PODACI_PRODAJA!$A:$A,0)),0)</f>
        <v>0</v>
      </c>
    </row>
    <row r="643" customFormat="false" ht="15" hidden="false" customHeight="false" outlineLevel="0" collapsed="false">
      <c r="A643" s="11" t="str">
        <f aca="false">PODACI_ZALIHE!A640</f>
        <v>AA16117</v>
      </c>
      <c r="B643" s="8" t="str">
        <f aca="false">PODACI_ZALIHE!B640</f>
        <v>SPRING 90 POLUKRUŽNA TUŠ KABINA 90x90x195 cm</v>
      </c>
      <c r="C643" s="9" t="n">
        <f aca="false">PODACI_ZALIHE!C640</f>
        <v>0</v>
      </c>
      <c r="D643" s="8" t="n">
        <f aca="false">PODACI_ZALIHE!D640</f>
        <v>0</v>
      </c>
      <c r="E643" s="19" t="n">
        <f aca="false">IF(PODACI_ZALIHE!E640="","",PODACI_ZALIHE!E640)</f>
        <v>0</v>
      </c>
      <c r="F643" s="20" t="n">
        <f aca="false">PODACI_ZALIHE!F640</f>
        <v>0</v>
      </c>
      <c r="G643" s="19" t="n">
        <f aca="false">IF(E643="","",E643-F643)</f>
        <v>0</v>
      </c>
      <c r="H643" s="9" t="n">
        <v>0</v>
      </c>
      <c r="I643" s="21" t="n">
        <f aca="false">IF(H643&lt;=0,999,ROUND(F643/H643,1))</f>
        <v>999</v>
      </c>
      <c r="J643" s="9" t="n">
        <f aca="false">SUMIFS(ROBA_U_DOLASKU!$C$6:$C$95,ROBA_U_DOLASKU!$A$6:$A$95,A643,ROBA_U_DOLASKU!$H$6:$H$95,1)</f>
        <v>0</v>
      </c>
      <c r="K643" s="9" t="n">
        <f aca="false">SUMIFS(ROBA_U_DOLASKU!$B$6:$B$95,ROBA_U_DOLASKU!$A$6:$A$95,A643,ROBA_U_DOLASKU!$H$6:$H$95,1)</f>
        <v>0</v>
      </c>
      <c r="L643" s="9" t="n">
        <f aca="false">SUMIFS(ROBA_U_DOLASKU!$C$6:$C$95,ROBA_U_DOLASKU!$A$6:$A$95,A643,ROBA_U_DOLASKU!$H$6:$H$95,2)</f>
        <v>0</v>
      </c>
      <c r="M643" s="9" t="n">
        <f aca="false">SUMIFS(ROBA_U_DOLASKU!$B$6:$B$95,ROBA_U_DOLASKU!$A$6:$A$95,A643,ROBA_U_DOLASKU!$H$6:$H$95,2)</f>
        <v>0</v>
      </c>
      <c r="N643" s="9" t="n">
        <f aca="false">SUMIFS(ROBA_U_DOLASKU!$C$6:$C$95,ROBA_U_DOLASKU!$A$6:$A$95,A643,ROBA_U_DOLASKU!$H$6:$H$95,3)</f>
        <v>0</v>
      </c>
      <c r="O643" s="9" t="n">
        <f aca="false">SUMIFS(ROBA_U_DOLASKU!$B$6:$B$95,ROBA_U_DOLASKU!$A$6:$A$95,A643,ROBA_U_DOLASKU!$H$6:$H$95,3)</f>
        <v>0</v>
      </c>
      <c r="P643" s="9" t="n">
        <f aca="false">IF(H643&lt;=0,999,IF(O643&gt;0,ROUND((F643-H643*N643+K643+M643+O643)/H643,1),IF(M643&gt;0,ROUND((F643-H643*L643+K643+M643)/H643,1),IF(K643&gt;0,ROUND((F643-H643*J643+K643)/H643,1),I643))))</f>
        <v>999</v>
      </c>
      <c r="Q643" s="22" t="str">
        <f aca="false">IF(H643&lt;=0,"Nema prodaje",IF(AND(K643=0,M643=0,O643=0),IF(I643&lt;POSTAVKE!$B$6,"Naruči odmah","Sve u redu"),IF(F643-H643*J643&lt;0,"Rupa za ~"&amp;TEXT(I643,"0.0")&amp;" mj.",IF(AND(M643&gt;0,F643-H643*L643+K643&lt;0),"Rupa nakon 1. dolaska",IF(AND(O643&gt;0,F643-H643*N643+K643+M643&lt;0),"Rupa nakon 2. dolaska",IF(P643&lt;POSTAVKE!$B$6,"Količina nije dovoljna",IF(I643&gt;=POSTAVKE!$B$6,"Sve u redu","Stiže na vrijeme")))))))</f>
        <v>Nema prodaje</v>
      </c>
      <c r="S643" s="23" t="n">
        <f aca="false">IFERROR(INDEX(PODACI_PRODAJA!B:B,MATCH($A643,PODACI_PRODAJA!$A:$A,0)),0)</f>
        <v>0</v>
      </c>
      <c r="T643" s="23" t="n">
        <f aca="false">IFERROR(INDEX(PODACI_PRODAJA!C:C,MATCH($A643,PODACI_PRODAJA!$A:$A,0)),0)</f>
        <v>0</v>
      </c>
      <c r="U643" s="23" t="n">
        <f aca="false">IFERROR(INDEX(PODACI_PRODAJA!D:D,MATCH($A643,PODACI_PRODAJA!$A:$A,0)),0)</f>
        <v>0</v>
      </c>
      <c r="V643" s="23" t="n">
        <f aca="false">IFERROR(INDEX(PODACI_PRODAJA!E:E,MATCH($A643,PODACI_PRODAJA!$A:$A,0)),0)</f>
        <v>0</v>
      </c>
      <c r="W643" s="23" t="n">
        <f aca="false">IFERROR(INDEX(PODACI_PRODAJA!F:F,MATCH($A643,PODACI_PRODAJA!$A:$A,0)),0)</f>
        <v>0</v>
      </c>
      <c r="X643" s="23" t="n">
        <f aca="false">IFERROR(INDEX(PODACI_PRODAJA!G:G,MATCH($A643,PODACI_PRODAJA!$A:$A,0)),0)</f>
        <v>0</v>
      </c>
      <c r="Y643" s="23" t="n">
        <f aca="false">IFERROR(INDEX(PODACI_PRODAJA!H:H,MATCH($A643,PODACI_PRODAJA!$A:$A,0)),0)</f>
        <v>0</v>
      </c>
      <c r="Z643" s="23" t="n">
        <f aca="false">IFERROR(INDEX(PODACI_PRODAJA!I:I,MATCH($A643,PODACI_PRODAJA!$A:$A,0)),0)</f>
        <v>0</v>
      </c>
      <c r="AA643" s="23" t="n">
        <f aca="false">IFERROR(INDEX(PODACI_PRODAJA!J:J,MATCH($A643,PODACI_PRODAJA!$A:$A,0)),0)</f>
        <v>0</v>
      </c>
      <c r="AB643" s="23" t="n">
        <f aca="false">IFERROR(INDEX(PODACI_PRODAJA!K:K,MATCH($A643,PODACI_PRODAJA!$A:$A,0)),0)</f>
        <v>0</v>
      </c>
      <c r="AC643" s="23" t="n">
        <f aca="false">IFERROR(INDEX(PODACI_PRODAJA!L:L,MATCH($A643,PODACI_PRODAJA!$A:$A,0)),0)</f>
        <v>0</v>
      </c>
      <c r="AD643" s="23" t="n">
        <f aca="false">IFERROR(INDEX(PODACI_PRODAJA!M:M,MATCH($A643,PODACI_PRODAJA!$A:$A,0)),0)</f>
        <v>0</v>
      </c>
    </row>
    <row r="644" customFormat="false" ht="15" hidden="false" customHeight="false" outlineLevel="0" collapsed="false">
      <c r="A644" s="11" t="str">
        <f aca="false">PODACI_ZALIHE!A641</f>
        <v>AA16118</v>
      </c>
      <c r="B644" s="8" t="str">
        <f aca="false">PODACI_ZALIHE!B641</f>
        <v>SPRING 80 KVADRATNA TUŠ KABINA 80x80x195 cm</v>
      </c>
      <c r="C644" s="9" t="n">
        <f aca="false">PODACI_ZALIHE!C641</f>
        <v>0</v>
      </c>
      <c r="D644" s="8" t="n">
        <f aca="false">PODACI_ZALIHE!D641</f>
        <v>0</v>
      </c>
      <c r="E644" s="19" t="str">
        <f aca="false">IF(PODACI_ZALIHE!E641="","",PODACI_ZALIHE!E641)</f>
        <v/>
      </c>
      <c r="F644" s="20" t="n">
        <f aca="false">PODACI_ZALIHE!F641</f>
        <v>0</v>
      </c>
      <c r="G644" s="19" t="str">
        <f aca="false">IF(E644="","",E644-F644)</f>
        <v/>
      </c>
      <c r="H644" s="9" t="n">
        <v>0</v>
      </c>
      <c r="I644" s="21" t="n">
        <f aca="false">IF(H644&lt;=0,999,ROUND(F644/H644,1))</f>
        <v>999</v>
      </c>
      <c r="J644" s="9" t="n">
        <f aca="false">SUMIFS(ROBA_U_DOLASKU!$C$6:$C$95,ROBA_U_DOLASKU!$A$6:$A$95,A644,ROBA_U_DOLASKU!$H$6:$H$95,1)</f>
        <v>0</v>
      </c>
      <c r="K644" s="9" t="n">
        <f aca="false">SUMIFS(ROBA_U_DOLASKU!$B$6:$B$95,ROBA_U_DOLASKU!$A$6:$A$95,A644,ROBA_U_DOLASKU!$H$6:$H$95,1)</f>
        <v>0</v>
      </c>
      <c r="L644" s="9" t="n">
        <f aca="false">SUMIFS(ROBA_U_DOLASKU!$C$6:$C$95,ROBA_U_DOLASKU!$A$6:$A$95,A644,ROBA_U_DOLASKU!$H$6:$H$95,2)</f>
        <v>0</v>
      </c>
      <c r="M644" s="9" t="n">
        <f aca="false">SUMIFS(ROBA_U_DOLASKU!$B$6:$B$95,ROBA_U_DOLASKU!$A$6:$A$95,A644,ROBA_U_DOLASKU!$H$6:$H$95,2)</f>
        <v>0</v>
      </c>
      <c r="N644" s="9" t="n">
        <f aca="false">SUMIFS(ROBA_U_DOLASKU!$C$6:$C$95,ROBA_U_DOLASKU!$A$6:$A$95,A644,ROBA_U_DOLASKU!$H$6:$H$95,3)</f>
        <v>0</v>
      </c>
      <c r="O644" s="9" t="n">
        <f aca="false">SUMIFS(ROBA_U_DOLASKU!$B$6:$B$95,ROBA_U_DOLASKU!$A$6:$A$95,A644,ROBA_U_DOLASKU!$H$6:$H$95,3)</f>
        <v>0</v>
      </c>
      <c r="P644" s="9" t="n">
        <f aca="false">IF(H644&lt;=0,999,IF(O644&gt;0,ROUND((F644-H644*N644+K644+M644+O644)/H644,1),IF(M644&gt;0,ROUND((F644-H644*L644+K644+M644)/H644,1),IF(K644&gt;0,ROUND((F644-H644*J644+K644)/H644,1),I644))))</f>
        <v>999</v>
      </c>
      <c r="Q644" s="22" t="str">
        <f aca="false">IF(H644&lt;=0,"Nema prodaje",IF(AND(K644=0,M644=0,O644=0),IF(I644&lt;POSTAVKE!$B$6,"Naruči odmah","Sve u redu"),IF(F644-H644*J644&lt;0,"Rupa za ~"&amp;TEXT(I644,"0.0")&amp;" mj.",IF(AND(M644&gt;0,F644-H644*L644+K644&lt;0),"Rupa nakon 1. dolaska",IF(AND(O644&gt;0,F644-H644*N644+K644+M644&lt;0),"Rupa nakon 2. dolaska",IF(P644&lt;POSTAVKE!$B$6,"Količina nije dovoljna",IF(I644&gt;=POSTAVKE!$B$6,"Sve u redu","Stiže na vrijeme")))))))</f>
        <v>Nema prodaje</v>
      </c>
      <c r="S644" s="23" t="n">
        <f aca="false">IFERROR(INDEX(PODACI_PRODAJA!B:B,MATCH($A644,PODACI_PRODAJA!$A:$A,0)),0)</f>
        <v>0</v>
      </c>
      <c r="T644" s="23" t="n">
        <f aca="false">IFERROR(INDEX(PODACI_PRODAJA!C:C,MATCH($A644,PODACI_PRODAJA!$A:$A,0)),0)</f>
        <v>0</v>
      </c>
      <c r="U644" s="23" t="n">
        <f aca="false">IFERROR(INDEX(PODACI_PRODAJA!D:D,MATCH($A644,PODACI_PRODAJA!$A:$A,0)),0)</f>
        <v>0</v>
      </c>
      <c r="V644" s="23" t="n">
        <f aca="false">IFERROR(INDEX(PODACI_PRODAJA!E:E,MATCH($A644,PODACI_PRODAJA!$A:$A,0)),0)</f>
        <v>0</v>
      </c>
      <c r="W644" s="23" t="n">
        <f aca="false">IFERROR(INDEX(PODACI_PRODAJA!F:F,MATCH($A644,PODACI_PRODAJA!$A:$A,0)),0)</f>
        <v>0</v>
      </c>
      <c r="X644" s="23" t="n">
        <f aca="false">IFERROR(INDEX(PODACI_PRODAJA!G:G,MATCH($A644,PODACI_PRODAJA!$A:$A,0)),0)</f>
        <v>0</v>
      </c>
      <c r="Y644" s="23" t="n">
        <f aca="false">IFERROR(INDEX(PODACI_PRODAJA!H:H,MATCH($A644,PODACI_PRODAJA!$A:$A,0)),0)</f>
        <v>0</v>
      </c>
      <c r="Z644" s="23" t="n">
        <f aca="false">IFERROR(INDEX(PODACI_PRODAJA!I:I,MATCH($A644,PODACI_PRODAJA!$A:$A,0)),0)</f>
        <v>0</v>
      </c>
      <c r="AA644" s="23" t="n">
        <f aca="false">IFERROR(INDEX(PODACI_PRODAJA!J:J,MATCH($A644,PODACI_PRODAJA!$A:$A,0)),0)</f>
        <v>0</v>
      </c>
      <c r="AB644" s="23" t="n">
        <f aca="false">IFERROR(INDEX(PODACI_PRODAJA!K:K,MATCH($A644,PODACI_PRODAJA!$A:$A,0)),0)</f>
        <v>0</v>
      </c>
      <c r="AC644" s="23" t="n">
        <f aca="false">IFERROR(INDEX(PODACI_PRODAJA!L:L,MATCH($A644,PODACI_PRODAJA!$A:$A,0)),0)</f>
        <v>0</v>
      </c>
      <c r="AD644" s="23" t="n">
        <f aca="false">IFERROR(INDEX(PODACI_PRODAJA!M:M,MATCH($A644,PODACI_PRODAJA!$A:$A,0)),0)</f>
        <v>0</v>
      </c>
    </row>
    <row r="645" customFormat="false" ht="15" hidden="false" customHeight="false" outlineLevel="0" collapsed="false">
      <c r="A645" s="11" t="str">
        <f aca="false">PODACI_ZALIHE!A642</f>
        <v>APZ13-DOUBLE9-750</v>
      </c>
      <c r="B645" s="8" t="str">
        <f aca="false">PODACI_ZALIHE!B642</f>
        <v>TUŠ KANALICA ALCA 750 MM INOX</v>
      </c>
      <c r="C645" s="9" t="n">
        <f aca="false">PODACI_ZALIHE!C642</f>
        <v>0</v>
      </c>
      <c r="D645" s="8" t="n">
        <f aca="false">PODACI_ZALIHE!D642</f>
        <v>0</v>
      </c>
      <c r="E645" s="19" t="n">
        <f aca="false">IF(PODACI_ZALIHE!E642="","",PODACI_ZALIHE!E642)</f>
        <v>0</v>
      </c>
      <c r="F645" s="20" t="n">
        <f aca="false">PODACI_ZALIHE!F642</f>
        <v>0</v>
      </c>
      <c r="G645" s="19" t="n">
        <f aca="false">IF(E645="","",E645-F645)</f>
        <v>0</v>
      </c>
      <c r="H645" s="9" t="n">
        <f aca="false">PODACI_PRODAJA!N291</f>
        <v>2.5</v>
      </c>
      <c r="I645" s="21" t="n">
        <f aca="false">IF(H645&lt;=0,999,ROUND(F645/H645,1))</f>
        <v>0</v>
      </c>
      <c r="J645" s="9" t="n">
        <f aca="false">SUMIFS(ROBA_U_DOLASKU!$C$6:$C$95,ROBA_U_DOLASKU!$A$6:$A$95,A645,ROBA_U_DOLASKU!$H$6:$H$95,1)</f>
        <v>0</v>
      </c>
      <c r="K645" s="9" t="n">
        <f aca="false">SUMIFS(ROBA_U_DOLASKU!$B$6:$B$95,ROBA_U_DOLASKU!$A$6:$A$95,A645,ROBA_U_DOLASKU!$H$6:$H$95,1)</f>
        <v>0</v>
      </c>
      <c r="L645" s="9" t="n">
        <f aca="false">SUMIFS(ROBA_U_DOLASKU!$C$6:$C$95,ROBA_U_DOLASKU!$A$6:$A$95,A645,ROBA_U_DOLASKU!$H$6:$H$95,2)</f>
        <v>0</v>
      </c>
      <c r="M645" s="9" t="n">
        <f aca="false">SUMIFS(ROBA_U_DOLASKU!$B$6:$B$95,ROBA_U_DOLASKU!$A$6:$A$95,A645,ROBA_U_DOLASKU!$H$6:$H$95,2)</f>
        <v>0</v>
      </c>
      <c r="N645" s="9" t="n">
        <f aca="false">SUMIFS(ROBA_U_DOLASKU!$C$6:$C$95,ROBA_U_DOLASKU!$A$6:$A$95,A645,ROBA_U_DOLASKU!$H$6:$H$95,3)</f>
        <v>0</v>
      </c>
      <c r="O645" s="9" t="n">
        <f aca="false">SUMIFS(ROBA_U_DOLASKU!$B$6:$B$95,ROBA_U_DOLASKU!$A$6:$A$95,A645,ROBA_U_DOLASKU!$H$6:$H$95,3)</f>
        <v>0</v>
      </c>
      <c r="P645" s="9" t="n">
        <f aca="false">IF(H645&lt;=0,999,IF(O645&gt;0,ROUND((F645-H645*N645+K645+M645+O645)/H645,1),IF(M645&gt;0,ROUND((F645-H645*L645+K645+M645)/H645,1),IF(K645&gt;0,ROUND((F645-H645*J645+K645)/H645,1),I645))))</f>
        <v>0</v>
      </c>
      <c r="Q645" s="22" t="str">
        <f aca="false">IF(H645&lt;=0,"Nema prodaje",IF(AND(K645=0,M645=0,O645=0),IF(I645&lt;POSTAVKE!$B$6,"Naruči odmah","Sve u redu"),IF(F645-H645*J645&lt;0,"Rupa za ~"&amp;TEXT(I645,"0.0")&amp;" mj.",IF(AND(M645&gt;0,F645-H645*L645+K645&lt;0),"Rupa nakon 1. dolaska",IF(AND(O645&gt;0,F645-H645*N645+K645+M645&lt;0),"Rupa nakon 2. dolaska",IF(P645&lt;POSTAVKE!$B$6,"Količina nije dovoljna",IF(I645&gt;=POSTAVKE!$B$6,"Sve u redu","Stiže na vrijeme")))))))</f>
        <v>Naruči odmah</v>
      </c>
      <c r="S645" s="23" t="n">
        <f aca="false">IFERROR(INDEX(PODACI_PRODAJA!B:B,MATCH($A645,PODACI_PRODAJA!$A:$A,0)),0)</f>
        <v>0</v>
      </c>
      <c r="T645" s="23" t="n">
        <f aca="false">IFERROR(INDEX(PODACI_PRODAJA!C:C,MATCH($A645,PODACI_PRODAJA!$A:$A,0)),0)</f>
        <v>0</v>
      </c>
      <c r="U645" s="23" t="n">
        <f aca="false">IFERROR(INDEX(PODACI_PRODAJA!D:D,MATCH($A645,PODACI_PRODAJA!$A:$A,0)),0)</f>
        <v>0</v>
      </c>
      <c r="V645" s="23" t="n">
        <f aca="false">IFERROR(INDEX(PODACI_PRODAJA!E:E,MATCH($A645,PODACI_PRODAJA!$A:$A,0)),0)</f>
        <v>0</v>
      </c>
      <c r="W645" s="23" t="n">
        <f aca="false">IFERROR(INDEX(PODACI_PRODAJA!F:F,MATCH($A645,PODACI_PRODAJA!$A:$A,0)),0)</f>
        <v>0</v>
      </c>
      <c r="X645" s="23" t="n">
        <f aca="false">IFERROR(INDEX(PODACI_PRODAJA!G:G,MATCH($A645,PODACI_PRODAJA!$A:$A,0)),0)</f>
        <v>0</v>
      </c>
      <c r="Y645" s="23" t="n">
        <f aca="false">IFERROR(INDEX(PODACI_PRODAJA!H:H,MATCH($A645,PODACI_PRODAJA!$A:$A,0)),0)</f>
        <v>20</v>
      </c>
      <c r="Z645" s="23" t="n">
        <f aca="false">IFERROR(INDEX(PODACI_PRODAJA!I:I,MATCH($A645,PODACI_PRODAJA!$A:$A,0)),0)</f>
        <v>0</v>
      </c>
      <c r="AA645" s="23" t="n">
        <f aca="false">IFERROR(INDEX(PODACI_PRODAJA!J:J,MATCH($A645,PODACI_PRODAJA!$A:$A,0)),0)</f>
        <v>0</v>
      </c>
      <c r="AB645" s="23" t="n">
        <f aca="false">IFERROR(INDEX(PODACI_PRODAJA!K:K,MATCH($A645,PODACI_PRODAJA!$A:$A,0)),0)</f>
        <v>0</v>
      </c>
      <c r="AC645" s="23" t="n">
        <f aca="false">IFERROR(INDEX(PODACI_PRODAJA!L:L,MATCH($A645,PODACI_PRODAJA!$A:$A,0)),0)</f>
        <v>0</v>
      </c>
      <c r="AD645" s="23" t="n">
        <f aca="false">IFERROR(INDEX(PODACI_PRODAJA!M:M,MATCH($A645,PODACI_PRODAJA!$A:$A,0)),0)</f>
        <v>0</v>
      </c>
    </row>
    <row r="646" customFormat="false" ht="15" hidden="false" customHeight="false" outlineLevel="0" collapsed="false">
      <c r="A646" s="11" t="str">
        <f aca="false">PODACI_ZALIHE!A643</f>
        <v>A374122000</v>
      </c>
      <c r="B646" s="8" t="str">
        <f aca="false">PODACI_ZALIHE!B643</f>
        <v>ROCA TUŠ KADA ROMA KV 90X70, h=55mm, PORCULAN</v>
      </c>
      <c r="C646" s="9" t="n">
        <f aca="false">PODACI_ZALIHE!C643</f>
        <v>0</v>
      </c>
      <c r="D646" s="8" t="n">
        <f aca="false">PODACI_ZALIHE!D643</f>
        <v>0</v>
      </c>
      <c r="E646" s="19" t="n">
        <f aca="false">IF(PODACI_ZALIHE!E643="","",PODACI_ZALIHE!E643)</f>
        <v>0</v>
      </c>
      <c r="F646" s="20" t="n">
        <f aca="false">PODACI_ZALIHE!F643</f>
        <v>0</v>
      </c>
      <c r="G646" s="19" t="n">
        <f aca="false">IF(E646="","",E646-F646)</f>
        <v>0</v>
      </c>
      <c r="H646" s="9" t="n">
        <f aca="false">PODACI_PRODAJA!N292</f>
        <v>0.25</v>
      </c>
      <c r="I646" s="21" t="n">
        <f aca="false">IF(H646&lt;=0,999,ROUND(F646/H646,1))</f>
        <v>0</v>
      </c>
      <c r="J646" s="9" t="n">
        <f aca="false">SUMIFS(ROBA_U_DOLASKU!$C$6:$C$95,ROBA_U_DOLASKU!$A$6:$A$95,A646,ROBA_U_DOLASKU!$H$6:$H$95,1)</f>
        <v>0</v>
      </c>
      <c r="K646" s="9" t="n">
        <f aca="false">SUMIFS(ROBA_U_DOLASKU!$B$6:$B$95,ROBA_U_DOLASKU!$A$6:$A$95,A646,ROBA_U_DOLASKU!$H$6:$H$95,1)</f>
        <v>0</v>
      </c>
      <c r="L646" s="9" t="n">
        <f aca="false">SUMIFS(ROBA_U_DOLASKU!$C$6:$C$95,ROBA_U_DOLASKU!$A$6:$A$95,A646,ROBA_U_DOLASKU!$H$6:$H$95,2)</f>
        <v>0</v>
      </c>
      <c r="M646" s="9" t="n">
        <f aca="false">SUMIFS(ROBA_U_DOLASKU!$B$6:$B$95,ROBA_U_DOLASKU!$A$6:$A$95,A646,ROBA_U_DOLASKU!$H$6:$H$95,2)</f>
        <v>0</v>
      </c>
      <c r="N646" s="9" t="n">
        <f aca="false">SUMIFS(ROBA_U_DOLASKU!$C$6:$C$95,ROBA_U_DOLASKU!$A$6:$A$95,A646,ROBA_U_DOLASKU!$H$6:$H$95,3)</f>
        <v>0</v>
      </c>
      <c r="O646" s="9" t="n">
        <f aca="false">SUMIFS(ROBA_U_DOLASKU!$B$6:$B$95,ROBA_U_DOLASKU!$A$6:$A$95,A646,ROBA_U_DOLASKU!$H$6:$H$95,3)</f>
        <v>0</v>
      </c>
      <c r="P646" s="9" t="n">
        <f aca="false">IF(H646&lt;=0,999,IF(O646&gt;0,ROUND((F646-H646*N646+K646+M646+O646)/H646,1),IF(M646&gt;0,ROUND((F646-H646*L646+K646+M646)/H646,1),IF(K646&gt;0,ROUND((F646-H646*J646+K646)/H646,1),I646))))</f>
        <v>0</v>
      </c>
      <c r="Q646" s="22" t="str">
        <f aca="false">IF(H646&lt;=0,"Nema prodaje",IF(AND(K646=0,M646=0,O646=0),IF(I646&lt;POSTAVKE!$B$6,"Naruči odmah","Sve u redu"),IF(F646-H646*J646&lt;0,"Rupa za ~"&amp;TEXT(I646,"0.0")&amp;" mj.",IF(AND(M646&gt;0,F646-H646*L646+K646&lt;0),"Rupa nakon 1. dolaska",IF(AND(O646&gt;0,F646-H646*N646+K646+M646&lt;0),"Rupa nakon 2. dolaska",IF(P646&lt;POSTAVKE!$B$6,"Količina nije dovoljna",IF(I646&gt;=POSTAVKE!$B$6,"Sve u redu","Stiže na vrijeme")))))))</f>
        <v>Naruči odmah</v>
      </c>
      <c r="S646" s="23" t="n">
        <f aca="false">IFERROR(INDEX(PODACI_PRODAJA!B:B,MATCH($A646,PODACI_PRODAJA!$A:$A,0)),0)</f>
        <v>0</v>
      </c>
      <c r="T646" s="23" t="n">
        <f aca="false">IFERROR(INDEX(PODACI_PRODAJA!C:C,MATCH($A646,PODACI_PRODAJA!$A:$A,0)),0)</f>
        <v>0</v>
      </c>
      <c r="U646" s="23" t="n">
        <f aca="false">IFERROR(INDEX(PODACI_PRODAJA!D:D,MATCH($A646,PODACI_PRODAJA!$A:$A,0)),0)</f>
        <v>0</v>
      </c>
      <c r="V646" s="23" t="n">
        <f aca="false">IFERROR(INDEX(PODACI_PRODAJA!E:E,MATCH($A646,PODACI_PRODAJA!$A:$A,0)),0)</f>
        <v>0</v>
      </c>
      <c r="W646" s="23" t="n">
        <f aca="false">IFERROR(INDEX(PODACI_PRODAJA!F:F,MATCH($A646,PODACI_PRODAJA!$A:$A,0)),0)</f>
        <v>0</v>
      </c>
      <c r="X646" s="23" t="n">
        <f aca="false">IFERROR(INDEX(PODACI_PRODAJA!G:G,MATCH($A646,PODACI_PRODAJA!$A:$A,0)),0)</f>
        <v>0</v>
      </c>
      <c r="Y646" s="23" t="n">
        <f aca="false">IFERROR(INDEX(PODACI_PRODAJA!H:H,MATCH($A646,PODACI_PRODAJA!$A:$A,0)),0)</f>
        <v>2</v>
      </c>
      <c r="Z646" s="23" t="n">
        <f aca="false">IFERROR(INDEX(PODACI_PRODAJA!I:I,MATCH($A646,PODACI_PRODAJA!$A:$A,0)),0)</f>
        <v>0</v>
      </c>
      <c r="AA646" s="23" t="n">
        <f aca="false">IFERROR(INDEX(PODACI_PRODAJA!J:J,MATCH($A646,PODACI_PRODAJA!$A:$A,0)),0)</f>
        <v>0</v>
      </c>
      <c r="AB646" s="23" t="n">
        <f aca="false">IFERROR(INDEX(PODACI_PRODAJA!K:K,MATCH($A646,PODACI_PRODAJA!$A:$A,0)),0)</f>
        <v>0</v>
      </c>
      <c r="AC646" s="23" t="n">
        <f aca="false">IFERROR(INDEX(PODACI_PRODAJA!L:L,MATCH($A646,PODACI_PRODAJA!$A:$A,0)),0)</f>
        <v>0</v>
      </c>
      <c r="AD646" s="23" t="n">
        <f aca="false">IFERROR(INDEX(PODACI_PRODAJA!M:M,MATCH($A646,PODACI_PRODAJA!$A:$A,0)),0)</f>
        <v>0</v>
      </c>
    </row>
    <row r="647" customFormat="false" ht="15" hidden="false" customHeight="false" outlineLevel="0" collapsed="false">
      <c r="A647" s="11" t="str">
        <f aca="false">PODACI_ZALIHE!A644</f>
        <v>A374125000</v>
      </c>
      <c r="B647" s="8" t="str">
        <f aca="false">PODACI_ZALIHE!B644</f>
        <v>ROCA TUŠ KADA ROMA 120X80, h=55mm, PORCULAN</v>
      </c>
      <c r="C647" s="9" t="n">
        <f aca="false">PODACI_ZALIHE!C644</f>
        <v>0</v>
      </c>
      <c r="D647" s="8" t="n">
        <f aca="false">PODACI_ZALIHE!D644</f>
        <v>0</v>
      </c>
      <c r="E647" s="19" t="n">
        <f aca="false">IF(PODACI_ZALIHE!E644="","",PODACI_ZALIHE!E644)</f>
        <v>0</v>
      </c>
      <c r="F647" s="20" t="n">
        <f aca="false">PODACI_ZALIHE!F644</f>
        <v>0</v>
      </c>
      <c r="G647" s="19" t="n">
        <f aca="false">IF(E647="","",E647-F647)</f>
        <v>0</v>
      </c>
      <c r="H647" s="9" t="n">
        <v>0</v>
      </c>
      <c r="I647" s="21" t="n">
        <f aca="false">IF(H647&lt;=0,999,ROUND(F647/H647,1))</f>
        <v>999</v>
      </c>
      <c r="J647" s="9" t="n">
        <f aca="false">SUMIFS(ROBA_U_DOLASKU!$C$6:$C$95,ROBA_U_DOLASKU!$A$6:$A$95,A647,ROBA_U_DOLASKU!$H$6:$H$95,1)</f>
        <v>0</v>
      </c>
      <c r="K647" s="9" t="n">
        <f aca="false">SUMIFS(ROBA_U_DOLASKU!$B$6:$B$95,ROBA_U_DOLASKU!$A$6:$A$95,A647,ROBA_U_DOLASKU!$H$6:$H$95,1)</f>
        <v>0</v>
      </c>
      <c r="L647" s="9" t="n">
        <f aca="false">SUMIFS(ROBA_U_DOLASKU!$C$6:$C$95,ROBA_U_DOLASKU!$A$6:$A$95,A647,ROBA_U_DOLASKU!$H$6:$H$95,2)</f>
        <v>0</v>
      </c>
      <c r="M647" s="9" t="n">
        <f aca="false">SUMIFS(ROBA_U_DOLASKU!$B$6:$B$95,ROBA_U_DOLASKU!$A$6:$A$95,A647,ROBA_U_DOLASKU!$H$6:$H$95,2)</f>
        <v>0</v>
      </c>
      <c r="N647" s="9" t="n">
        <f aca="false">SUMIFS(ROBA_U_DOLASKU!$C$6:$C$95,ROBA_U_DOLASKU!$A$6:$A$95,A647,ROBA_U_DOLASKU!$H$6:$H$95,3)</f>
        <v>0</v>
      </c>
      <c r="O647" s="9" t="n">
        <f aca="false">SUMIFS(ROBA_U_DOLASKU!$B$6:$B$95,ROBA_U_DOLASKU!$A$6:$A$95,A647,ROBA_U_DOLASKU!$H$6:$H$95,3)</f>
        <v>0</v>
      </c>
      <c r="P647" s="9" t="n">
        <f aca="false">IF(H647&lt;=0,999,IF(O647&gt;0,ROUND((F647-H647*N647+K647+M647+O647)/H647,1),IF(M647&gt;0,ROUND((F647-H647*L647+K647+M647)/H647,1),IF(K647&gt;0,ROUND((F647-H647*J647+K647)/H647,1),I647))))</f>
        <v>999</v>
      </c>
      <c r="Q647" s="22" t="str">
        <f aca="false">IF(H647&lt;=0,"Nema prodaje",IF(AND(K647=0,M647=0,O647=0),IF(I647&lt;POSTAVKE!$B$6,"Naruči odmah","Sve u redu"),IF(F647-H647*J647&lt;0,"Rupa za ~"&amp;TEXT(I647,"0.0")&amp;" mj.",IF(AND(M647&gt;0,F647-H647*L647+K647&lt;0),"Rupa nakon 1. dolaska",IF(AND(O647&gt;0,F647-H647*N647+K647+M647&lt;0),"Rupa nakon 2. dolaska",IF(P647&lt;POSTAVKE!$B$6,"Količina nije dovoljna",IF(I647&gt;=POSTAVKE!$B$6,"Sve u redu","Stiže na vrijeme")))))))</f>
        <v>Nema prodaje</v>
      </c>
      <c r="S647" s="23" t="n">
        <f aca="false">IFERROR(INDEX(PODACI_PRODAJA!B:B,MATCH($A647,PODACI_PRODAJA!$A:$A,0)),0)</f>
        <v>0</v>
      </c>
      <c r="T647" s="23" t="n">
        <f aca="false">IFERROR(INDEX(PODACI_PRODAJA!C:C,MATCH($A647,PODACI_PRODAJA!$A:$A,0)),0)</f>
        <v>0</v>
      </c>
      <c r="U647" s="23" t="n">
        <f aca="false">IFERROR(INDEX(PODACI_PRODAJA!D:D,MATCH($A647,PODACI_PRODAJA!$A:$A,0)),0)</f>
        <v>0</v>
      </c>
      <c r="V647" s="23" t="n">
        <f aca="false">IFERROR(INDEX(PODACI_PRODAJA!E:E,MATCH($A647,PODACI_PRODAJA!$A:$A,0)),0)</f>
        <v>0</v>
      </c>
      <c r="W647" s="23" t="n">
        <f aca="false">IFERROR(INDEX(PODACI_PRODAJA!F:F,MATCH($A647,PODACI_PRODAJA!$A:$A,0)),0)</f>
        <v>0</v>
      </c>
      <c r="X647" s="23" t="n">
        <f aca="false">IFERROR(INDEX(PODACI_PRODAJA!G:G,MATCH($A647,PODACI_PRODAJA!$A:$A,0)),0)</f>
        <v>0</v>
      </c>
      <c r="Y647" s="23" t="n">
        <f aca="false">IFERROR(INDEX(PODACI_PRODAJA!H:H,MATCH($A647,PODACI_PRODAJA!$A:$A,0)),0)</f>
        <v>0</v>
      </c>
      <c r="Z647" s="23" t="n">
        <f aca="false">IFERROR(INDEX(PODACI_PRODAJA!I:I,MATCH($A647,PODACI_PRODAJA!$A:$A,0)),0)</f>
        <v>0</v>
      </c>
      <c r="AA647" s="23" t="n">
        <f aca="false">IFERROR(INDEX(PODACI_PRODAJA!J:J,MATCH($A647,PODACI_PRODAJA!$A:$A,0)),0)</f>
        <v>0</v>
      </c>
      <c r="AB647" s="23" t="n">
        <f aca="false">IFERROR(INDEX(PODACI_PRODAJA!K:K,MATCH($A647,PODACI_PRODAJA!$A:$A,0)),0)</f>
        <v>0</v>
      </c>
      <c r="AC647" s="23" t="n">
        <f aca="false">IFERROR(INDEX(PODACI_PRODAJA!L:L,MATCH($A647,PODACI_PRODAJA!$A:$A,0)),0)</f>
        <v>0</v>
      </c>
      <c r="AD647" s="23" t="n">
        <f aca="false">IFERROR(INDEX(PODACI_PRODAJA!M:M,MATCH($A647,PODACI_PRODAJA!$A:$A,0)),0)</f>
        <v>0</v>
      </c>
    </row>
    <row r="648" customFormat="false" ht="15" hidden="false" customHeight="false" outlineLevel="0" collapsed="false">
      <c r="A648" s="11" t="str">
        <f aca="false">PODACI_ZALIHE!A645</f>
        <v>PF00022517</v>
      </c>
      <c r="B648" s="8" t="str">
        <f aca="false">PODACI_ZALIHE!B645</f>
        <v>SINTESI NIMES WHITE 60X60 RETT. 7,4 mm (1,44/46,08)J48D4</v>
      </c>
      <c r="C648" s="9" t="str">
        <f aca="false">PODACI_ZALIHE!C645</f>
        <v>7382</v>
      </c>
      <c r="D648" s="8" t="str">
        <f aca="false">PODACI_ZALIHE!D645</f>
        <v>GRUPPO CERAMICHE GRESMALT S.p.A.</v>
      </c>
      <c r="E648" s="19" t="n">
        <f aca="false">IF(PODACI_ZALIHE!E645="","",PODACI_ZALIHE!E645)</f>
        <v>0</v>
      </c>
      <c r="F648" s="20" t="n">
        <f aca="false">PODACI_ZALIHE!F645</f>
        <v>0</v>
      </c>
      <c r="G648" s="19" t="n">
        <f aca="false">IF(E648="","",E648-F648)</f>
        <v>0</v>
      </c>
      <c r="H648" s="9" t="n">
        <f aca="false">PODACI_PRODAJA!N295</f>
        <v>5.72</v>
      </c>
      <c r="I648" s="21" t="n">
        <f aca="false">IF(H648&lt;=0,999,ROUND(F648/H648,1))</f>
        <v>0</v>
      </c>
      <c r="J648" s="9" t="n">
        <f aca="false">SUMIFS(ROBA_U_DOLASKU!$C$6:$C$95,ROBA_U_DOLASKU!$A$6:$A$95,A648,ROBA_U_DOLASKU!$H$6:$H$95,1)</f>
        <v>0</v>
      </c>
      <c r="K648" s="9" t="n">
        <f aca="false">SUMIFS(ROBA_U_DOLASKU!$B$6:$B$95,ROBA_U_DOLASKU!$A$6:$A$95,A648,ROBA_U_DOLASKU!$H$6:$H$95,1)</f>
        <v>0</v>
      </c>
      <c r="L648" s="9" t="n">
        <f aca="false">SUMIFS(ROBA_U_DOLASKU!$C$6:$C$95,ROBA_U_DOLASKU!$A$6:$A$95,A648,ROBA_U_DOLASKU!$H$6:$H$95,2)</f>
        <v>0</v>
      </c>
      <c r="M648" s="9" t="n">
        <f aca="false">SUMIFS(ROBA_U_DOLASKU!$B$6:$B$95,ROBA_U_DOLASKU!$A$6:$A$95,A648,ROBA_U_DOLASKU!$H$6:$H$95,2)</f>
        <v>0</v>
      </c>
      <c r="N648" s="9" t="n">
        <f aca="false">SUMIFS(ROBA_U_DOLASKU!$C$6:$C$95,ROBA_U_DOLASKU!$A$6:$A$95,A648,ROBA_U_DOLASKU!$H$6:$H$95,3)</f>
        <v>0</v>
      </c>
      <c r="O648" s="9" t="n">
        <f aca="false">SUMIFS(ROBA_U_DOLASKU!$B$6:$B$95,ROBA_U_DOLASKU!$A$6:$A$95,A648,ROBA_U_DOLASKU!$H$6:$H$95,3)</f>
        <v>0</v>
      </c>
      <c r="P648" s="9" t="n">
        <f aca="false">IF(H648&lt;=0,999,IF(O648&gt;0,ROUND((F648-H648*N648+K648+M648+O648)/H648,1),IF(M648&gt;0,ROUND((F648-H648*L648+K648+M648)/H648,1),IF(K648&gt;0,ROUND((F648-H648*J648+K648)/H648,1),I648))))</f>
        <v>0</v>
      </c>
      <c r="Q648" s="22" t="str">
        <f aca="false">IF(H648&lt;=0,"Nema prodaje",IF(AND(K648=0,M648=0,O648=0),IF(I648&lt;POSTAVKE!$B$6,"Naruči odmah","Sve u redu"),IF(F648-H648*J648&lt;0,"Rupa za ~"&amp;TEXT(I648,"0.0")&amp;" mj.",IF(AND(M648&gt;0,F648-H648*L648+K648&lt;0),"Rupa nakon 1. dolaska",IF(AND(O648&gt;0,F648-H648*N648+K648+M648&lt;0),"Rupa nakon 2. dolaska",IF(P648&lt;POSTAVKE!$B$6,"Količina nije dovoljna",IF(I648&gt;=POSTAVKE!$B$6,"Sve u redu","Stiže na vrijeme")))))))</f>
        <v>Naruči odmah</v>
      </c>
      <c r="S648" s="23" t="n">
        <f aca="false">IFERROR(INDEX(PODACI_PRODAJA!B:B,MATCH($A648,PODACI_PRODAJA!$A:$A,0)),0)</f>
        <v>0</v>
      </c>
      <c r="T648" s="23" t="n">
        <f aca="false">IFERROR(INDEX(PODACI_PRODAJA!C:C,MATCH($A648,PODACI_PRODAJA!$A:$A,0)),0)</f>
        <v>0</v>
      </c>
      <c r="U648" s="23" t="n">
        <f aca="false">IFERROR(INDEX(PODACI_PRODAJA!D:D,MATCH($A648,PODACI_PRODAJA!$A:$A,0)),0)</f>
        <v>0</v>
      </c>
      <c r="V648" s="23" t="n">
        <f aca="false">IFERROR(INDEX(PODACI_PRODAJA!E:E,MATCH($A648,PODACI_PRODAJA!$A:$A,0)),0)</f>
        <v>0</v>
      </c>
      <c r="W648" s="23" t="n">
        <f aca="false">IFERROR(INDEX(PODACI_PRODAJA!F:F,MATCH($A648,PODACI_PRODAJA!$A:$A,0)),0)</f>
        <v>0</v>
      </c>
      <c r="X648" s="23" t="n">
        <f aca="false">IFERROR(INDEX(PODACI_PRODAJA!G:G,MATCH($A648,PODACI_PRODAJA!$A:$A,0)),0)</f>
        <v>40.32</v>
      </c>
      <c r="Y648" s="23" t="n">
        <f aca="false">IFERROR(INDEX(PODACI_PRODAJA!H:H,MATCH($A648,PODACI_PRODAJA!$A:$A,0)),0)</f>
        <v>5.4</v>
      </c>
      <c r="Z648" s="23" t="n">
        <f aca="false">IFERROR(INDEX(PODACI_PRODAJA!I:I,MATCH($A648,PODACI_PRODAJA!$A:$A,0)),0)</f>
        <v>0</v>
      </c>
      <c r="AA648" s="23" t="n">
        <f aca="false">IFERROR(INDEX(PODACI_PRODAJA!J:J,MATCH($A648,PODACI_PRODAJA!$A:$A,0)),0)</f>
        <v>0</v>
      </c>
      <c r="AB648" s="23" t="n">
        <f aca="false">IFERROR(INDEX(PODACI_PRODAJA!K:K,MATCH($A648,PODACI_PRODAJA!$A:$A,0)),0)</f>
        <v>0</v>
      </c>
      <c r="AC648" s="23" t="n">
        <f aca="false">IFERROR(INDEX(PODACI_PRODAJA!L:L,MATCH($A648,PODACI_PRODAJA!$A:$A,0)),0)</f>
        <v>0</v>
      </c>
      <c r="AD648" s="23" t="n">
        <f aca="false">IFERROR(INDEX(PODACI_PRODAJA!M:M,MATCH($A648,PODACI_PRODAJA!$A:$A,0)),0)</f>
        <v>0</v>
      </c>
    </row>
    <row r="649" customFormat="false" ht="15" hidden="false" customHeight="false" outlineLevel="0" collapsed="false">
      <c r="A649" s="11" t="str">
        <f aca="false">PODACI_ZALIHE!A646</f>
        <v>PK000500</v>
      </c>
      <c r="B649" s="8" t="str">
        <f aca="false">PODACI_ZALIHE!B646</f>
        <v>SET ZA MONTAŽU OBLOGE TUŠ KADE - NOVI</v>
      </c>
      <c r="C649" s="9" t="str">
        <f aca="false">PODACI_ZALIHE!C646</f>
        <v>3451</v>
      </c>
      <c r="D649" s="8" t="str">
        <f aca="false">PODACI_ZALIHE!D646</f>
        <v>PLAMINGO D.O.O.</v>
      </c>
      <c r="E649" s="19" t="n">
        <f aca="false">IF(PODACI_ZALIHE!E646="","",PODACI_ZALIHE!E646)</f>
        <v>0</v>
      </c>
      <c r="F649" s="20" t="n">
        <f aca="false">PODACI_ZALIHE!F646</f>
        <v>0</v>
      </c>
      <c r="G649" s="19" t="n">
        <f aca="false">IF(E649="","",E649-F649)</f>
        <v>0</v>
      </c>
      <c r="H649" s="9" t="n">
        <f aca="false">PODACI_PRODAJA!N297</f>
        <v>0</v>
      </c>
      <c r="I649" s="21" t="n">
        <f aca="false">IF(H649&lt;=0,999,ROUND(F649/H649,1))</f>
        <v>999</v>
      </c>
      <c r="J649" s="9" t="n">
        <f aca="false">SUMIFS(ROBA_U_DOLASKU!$C$6:$C$95,ROBA_U_DOLASKU!$A$6:$A$95,A649,ROBA_U_DOLASKU!$H$6:$H$95,1)</f>
        <v>0</v>
      </c>
      <c r="K649" s="9" t="n">
        <f aca="false">SUMIFS(ROBA_U_DOLASKU!$B$6:$B$95,ROBA_U_DOLASKU!$A$6:$A$95,A649,ROBA_U_DOLASKU!$H$6:$H$95,1)</f>
        <v>0</v>
      </c>
      <c r="L649" s="9" t="n">
        <f aca="false">SUMIFS(ROBA_U_DOLASKU!$C$6:$C$95,ROBA_U_DOLASKU!$A$6:$A$95,A649,ROBA_U_DOLASKU!$H$6:$H$95,2)</f>
        <v>0</v>
      </c>
      <c r="M649" s="9" t="n">
        <f aca="false">SUMIFS(ROBA_U_DOLASKU!$B$6:$B$95,ROBA_U_DOLASKU!$A$6:$A$95,A649,ROBA_U_DOLASKU!$H$6:$H$95,2)</f>
        <v>0</v>
      </c>
      <c r="N649" s="9" t="n">
        <f aca="false">SUMIFS(ROBA_U_DOLASKU!$C$6:$C$95,ROBA_U_DOLASKU!$A$6:$A$95,A649,ROBA_U_DOLASKU!$H$6:$H$95,3)</f>
        <v>0</v>
      </c>
      <c r="O649" s="9" t="n">
        <f aca="false">SUMIFS(ROBA_U_DOLASKU!$B$6:$B$95,ROBA_U_DOLASKU!$A$6:$A$95,A649,ROBA_U_DOLASKU!$H$6:$H$95,3)</f>
        <v>0</v>
      </c>
      <c r="P649" s="9" t="n">
        <f aca="false">IF(H649&lt;=0,999,IF(O649&gt;0,ROUND((F649-H649*N649+K649+M649+O649)/H649,1),IF(M649&gt;0,ROUND((F649-H649*L649+K649+M649)/H649,1),IF(K649&gt;0,ROUND((F649-H649*J649+K649)/H649,1),I649))))</f>
        <v>999</v>
      </c>
      <c r="Q649" s="22" t="str">
        <f aca="false">IF(H649&lt;=0,"Nema prodaje",IF(AND(K649=0,M649=0,O649=0),IF(I649&lt;POSTAVKE!$B$6,"Naruči odmah","Sve u redu"),IF(F649-H649*J649&lt;0,"Rupa za ~"&amp;TEXT(I649,"0.0")&amp;" mj.",IF(AND(M649&gt;0,F649-H649*L649+K649&lt;0),"Rupa nakon 1. dolaska",IF(AND(O649&gt;0,F649-H649*N649+K649+M649&lt;0),"Rupa nakon 2. dolaska",IF(P649&lt;POSTAVKE!$B$6,"Količina nije dovoljna",IF(I649&gt;=POSTAVKE!$B$6,"Sve u redu","Stiže na vrijeme")))))))</f>
        <v>Nema prodaje</v>
      </c>
      <c r="S649" s="23" t="n">
        <f aca="false">IFERROR(INDEX(PODACI_PRODAJA!B:B,MATCH($A649,PODACI_PRODAJA!$A:$A,0)),0)</f>
        <v>0</v>
      </c>
      <c r="T649" s="23" t="n">
        <f aca="false">IFERROR(INDEX(PODACI_PRODAJA!C:C,MATCH($A649,PODACI_PRODAJA!$A:$A,0)),0)</f>
        <v>0</v>
      </c>
      <c r="U649" s="23" t="n">
        <f aca="false">IFERROR(INDEX(PODACI_PRODAJA!D:D,MATCH($A649,PODACI_PRODAJA!$A:$A,0)),0)</f>
        <v>0</v>
      </c>
      <c r="V649" s="23" t="n">
        <f aca="false">IFERROR(INDEX(PODACI_PRODAJA!E:E,MATCH($A649,PODACI_PRODAJA!$A:$A,0)),0)</f>
        <v>0</v>
      </c>
      <c r="W649" s="23" t="n">
        <f aca="false">IFERROR(INDEX(PODACI_PRODAJA!F:F,MATCH($A649,PODACI_PRODAJA!$A:$A,0)),0)</f>
        <v>0</v>
      </c>
      <c r="X649" s="23" t="n">
        <f aca="false">IFERROR(INDEX(PODACI_PRODAJA!G:G,MATCH($A649,PODACI_PRODAJA!$A:$A,0)),0)</f>
        <v>0</v>
      </c>
      <c r="Y649" s="23" t="n">
        <f aca="false">IFERROR(INDEX(PODACI_PRODAJA!H:H,MATCH($A649,PODACI_PRODAJA!$A:$A,0)),0)</f>
        <v>0</v>
      </c>
      <c r="Z649" s="23" t="n">
        <f aca="false">IFERROR(INDEX(PODACI_PRODAJA!I:I,MATCH($A649,PODACI_PRODAJA!$A:$A,0)),0)</f>
        <v>0</v>
      </c>
      <c r="AA649" s="23" t="n">
        <f aca="false">IFERROR(INDEX(PODACI_PRODAJA!J:J,MATCH($A649,PODACI_PRODAJA!$A:$A,0)),0)</f>
        <v>0</v>
      </c>
      <c r="AB649" s="23" t="n">
        <f aca="false">IFERROR(INDEX(PODACI_PRODAJA!K:K,MATCH($A649,PODACI_PRODAJA!$A:$A,0)),0)</f>
        <v>0</v>
      </c>
      <c r="AC649" s="23" t="n">
        <f aca="false">IFERROR(INDEX(PODACI_PRODAJA!L:L,MATCH($A649,PODACI_PRODAJA!$A:$A,0)),0)</f>
        <v>0</v>
      </c>
      <c r="AD649" s="23" t="n">
        <f aca="false">IFERROR(INDEX(PODACI_PRODAJA!M:M,MATCH($A649,PODACI_PRODAJA!$A:$A,0)),0)</f>
        <v>0</v>
      </c>
    </row>
    <row r="650" customFormat="false" ht="15" hidden="false" customHeight="false" outlineLevel="0" collapsed="false">
      <c r="A650" s="11" t="str">
        <f aca="false">PODACI_ZALIHE!A647</f>
        <v>PTK00435</v>
      </c>
      <c r="B650" s="8" t="str">
        <f aca="false">PODACI_ZALIHE!B647</f>
        <v>STAKLO ZA VETRO REBRASTO 90x200cm</v>
      </c>
      <c r="C650" s="9" t="str">
        <f aca="false">PODACI_ZALIHE!C647</f>
        <v>6762</v>
      </c>
      <c r="D650" s="8" t="str">
        <f aca="false">PODACI_ZALIHE!D647</f>
        <v>ZHEJIANG QUICKLINE SHOWERING CO., LTD.</v>
      </c>
      <c r="E650" s="19" t="n">
        <f aca="false">IF(PODACI_ZALIHE!E647="","",PODACI_ZALIHE!E647)</f>
        <v>0</v>
      </c>
      <c r="F650" s="20" t="n">
        <f aca="false">PODACI_ZALIHE!F647</f>
        <v>0</v>
      </c>
      <c r="G650" s="19" t="n">
        <f aca="false">IF(E650="","",E650-F650)</f>
        <v>0</v>
      </c>
      <c r="H650" s="9" t="n">
        <f aca="false">PODACI_PRODAJA!N304</f>
        <v>0</v>
      </c>
      <c r="I650" s="21" t="n">
        <f aca="false">IF(H650&lt;=0,999,ROUND(F650/H650,1))</f>
        <v>999</v>
      </c>
      <c r="J650" s="9" t="n">
        <f aca="false">SUMIFS(ROBA_U_DOLASKU!$C$6:$C$95,ROBA_U_DOLASKU!$A$6:$A$95,A650,ROBA_U_DOLASKU!$H$6:$H$95,1)</f>
        <v>0</v>
      </c>
      <c r="K650" s="9" t="n">
        <f aca="false">SUMIFS(ROBA_U_DOLASKU!$B$6:$B$95,ROBA_U_DOLASKU!$A$6:$A$95,A650,ROBA_U_DOLASKU!$H$6:$H$95,1)</f>
        <v>0</v>
      </c>
      <c r="L650" s="9" t="n">
        <f aca="false">SUMIFS(ROBA_U_DOLASKU!$C$6:$C$95,ROBA_U_DOLASKU!$A$6:$A$95,A650,ROBA_U_DOLASKU!$H$6:$H$95,2)</f>
        <v>0</v>
      </c>
      <c r="M650" s="9" t="n">
        <f aca="false">SUMIFS(ROBA_U_DOLASKU!$B$6:$B$95,ROBA_U_DOLASKU!$A$6:$A$95,A650,ROBA_U_DOLASKU!$H$6:$H$95,2)</f>
        <v>0</v>
      </c>
      <c r="N650" s="9" t="n">
        <f aca="false">SUMIFS(ROBA_U_DOLASKU!$C$6:$C$95,ROBA_U_DOLASKU!$A$6:$A$95,A650,ROBA_U_DOLASKU!$H$6:$H$95,3)</f>
        <v>0</v>
      </c>
      <c r="O650" s="9" t="n">
        <f aca="false">SUMIFS(ROBA_U_DOLASKU!$B$6:$B$95,ROBA_U_DOLASKU!$A$6:$A$95,A650,ROBA_U_DOLASKU!$H$6:$H$95,3)</f>
        <v>0</v>
      </c>
      <c r="P650" s="9" t="n">
        <f aca="false">IF(H650&lt;=0,999,IF(O650&gt;0,ROUND((F650-H650*N650+K650+M650+O650)/H650,1),IF(M650&gt;0,ROUND((F650-H650*L650+K650+M650)/H650,1),IF(K650&gt;0,ROUND((F650-H650*J650+K650)/H650,1),I650))))</f>
        <v>999</v>
      </c>
      <c r="Q650" s="22" t="str">
        <f aca="false">IF(H650&lt;=0,"Nema prodaje",IF(AND(K650=0,M650=0,O650=0),IF(I650&lt;POSTAVKE!$B$6,"Naruči odmah","Sve u redu"),IF(F650-H650*J650&lt;0,"Rupa za ~"&amp;TEXT(I650,"0.0")&amp;" mj.",IF(AND(M650&gt;0,F650-H650*L650+K650&lt;0),"Rupa nakon 1. dolaska",IF(AND(O650&gt;0,F650-H650*N650+K650+M650&lt;0),"Rupa nakon 2. dolaska",IF(P650&lt;POSTAVKE!$B$6,"Količina nije dovoljna",IF(I650&gt;=POSTAVKE!$B$6,"Sve u redu","Stiže na vrijeme")))))))</f>
        <v>Nema prodaje</v>
      </c>
      <c r="S650" s="23" t="n">
        <f aca="false">IFERROR(INDEX(PODACI_PRODAJA!B:B,MATCH($A650,PODACI_PRODAJA!$A:$A,0)),0)</f>
        <v>0</v>
      </c>
      <c r="T650" s="23" t="n">
        <f aca="false">IFERROR(INDEX(PODACI_PRODAJA!C:C,MATCH($A650,PODACI_PRODAJA!$A:$A,0)),0)</f>
        <v>0</v>
      </c>
      <c r="U650" s="23" t="n">
        <f aca="false">IFERROR(INDEX(PODACI_PRODAJA!D:D,MATCH($A650,PODACI_PRODAJA!$A:$A,0)),0)</f>
        <v>0</v>
      </c>
      <c r="V650" s="23" t="n">
        <f aca="false">IFERROR(INDEX(PODACI_PRODAJA!E:E,MATCH($A650,PODACI_PRODAJA!$A:$A,0)),0)</f>
        <v>0</v>
      </c>
      <c r="W650" s="23" t="n">
        <f aca="false">IFERROR(INDEX(PODACI_PRODAJA!F:F,MATCH($A650,PODACI_PRODAJA!$A:$A,0)),0)</f>
        <v>0</v>
      </c>
      <c r="X650" s="23" t="n">
        <f aca="false">IFERROR(INDEX(PODACI_PRODAJA!G:G,MATCH($A650,PODACI_PRODAJA!$A:$A,0)),0)</f>
        <v>0</v>
      </c>
      <c r="Y650" s="23" t="n">
        <f aca="false">IFERROR(INDEX(PODACI_PRODAJA!H:H,MATCH($A650,PODACI_PRODAJA!$A:$A,0)),0)</f>
        <v>0</v>
      </c>
      <c r="Z650" s="23" t="n">
        <f aca="false">IFERROR(INDEX(PODACI_PRODAJA!I:I,MATCH($A650,PODACI_PRODAJA!$A:$A,0)),0)</f>
        <v>0</v>
      </c>
      <c r="AA650" s="23" t="n">
        <f aca="false">IFERROR(INDEX(PODACI_PRODAJA!J:J,MATCH($A650,PODACI_PRODAJA!$A:$A,0)),0)</f>
        <v>0</v>
      </c>
      <c r="AB650" s="23" t="n">
        <f aca="false">IFERROR(INDEX(PODACI_PRODAJA!K:K,MATCH($A650,PODACI_PRODAJA!$A:$A,0)),0)</f>
        <v>0</v>
      </c>
      <c r="AC650" s="23" t="n">
        <f aca="false">IFERROR(INDEX(PODACI_PRODAJA!L:L,MATCH($A650,PODACI_PRODAJA!$A:$A,0)),0)</f>
        <v>0</v>
      </c>
      <c r="AD650" s="23" t="n">
        <f aca="false">IFERROR(INDEX(PODACI_PRODAJA!M:M,MATCH($A650,PODACI_PRODAJA!$A:$A,0)),0)</f>
        <v>0</v>
      </c>
    </row>
    <row r="651" customFormat="false" ht="15" hidden="false" customHeight="false" outlineLevel="0" collapsed="false">
      <c r="A651" s="11" t="str">
        <f aca="false">PODACI_ZALIHE!A648</f>
        <v>PTK00436</v>
      </c>
      <c r="B651" s="8" t="str">
        <f aca="false">PODACI_ZALIHE!B648</f>
        <v>STAKLO ZA VETRO REBRASTO 100x200cm</v>
      </c>
      <c r="C651" s="9" t="str">
        <f aca="false">PODACI_ZALIHE!C648</f>
        <v>6762</v>
      </c>
      <c r="D651" s="8" t="str">
        <f aca="false">PODACI_ZALIHE!D648</f>
        <v>ZHEJIANG QUICKLINE SHOWERING CO., LTD.</v>
      </c>
      <c r="E651" s="19" t="n">
        <f aca="false">IF(PODACI_ZALIHE!E648="","",PODACI_ZALIHE!E648)</f>
        <v>0</v>
      </c>
      <c r="F651" s="20" t="n">
        <f aca="false">PODACI_ZALIHE!F648</f>
        <v>0</v>
      </c>
      <c r="G651" s="19" t="n">
        <f aca="false">IF(E651="","",E651-F651)</f>
        <v>0</v>
      </c>
      <c r="H651" s="9" t="n">
        <f aca="false">PODACI_PRODAJA!N305</f>
        <v>0</v>
      </c>
      <c r="I651" s="21" t="n">
        <f aca="false">IF(H651&lt;=0,999,ROUND(F651/H651,1))</f>
        <v>999</v>
      </c>
      <c r="J651" s="9" t="n">
        <f aca="false">SUMIFS(ROBA_U_DOLASKU!$C$6:$C$95,ROBA_U_DOLASKU!$A$6:$A$95,A651,ROBA_U_DOLASKU!$H$6:$H$95,1)</f>
        <v>0</v>
      </c>
      <c r="K651" s="9" t="n">
        <f aca="false">SUMIFS(ROBA_U_DOLASKU!$B$6:$B$95,ROBA_U_DOLASKU!$A$6:$A$95,A651,ROBA_U_DOLASKU!$H$6:$H$95,1)</f>
        <v>0</v>
      </c>
      <c r="L651" s="9" t="n">
        <f aca="false">SUMIFS(ROBA_U_DOLASKU!$C$6:$C$95,ROBA_U_DOLASKU!$A$6:$A$95,A651,ROBA_U_DOLASKU!$H$6:$H$95,2)</f>
        <v>0</v>
      </c>
      <c r="M651" s="9" t="n">
        <f aca="false">SUMIFS(ROBA_U_DOLASKU!$B$6:$B$95,ROBA_U_DOLASKU!$A$6:$A$95,A651,ROBA_U_DOLASKU!$H$6:$H$95,2)</f>
        <v>0</v>
      </c>
      <c r="N651" s="9" t="n">
        <f aca="false">SUMIFS(ROBA_U_DOLASKU!$C$6:$C$95,ROBA_U_DOLASKU!$A$6:$A$95,A651,ROBA_U_DOLASKU!$H$6:$H$95,3)</f>
        <v>0</v>
      </c>
      <c r="O651" s="9" t="n">
        <f aca="false">SUMIFS(ROBA_U_DOLASKU!$B$6:$B$95,ROBA_U_DOLASKU!$A$6:$A$95,A651,ROBA_U_DOLASKU!$H$6:$H$95,3)</f>
        <v>0</v>
      </c>
      <c r="P651" s="9" t="n">
        <f aca="false">IF(H651&lt;=0,999,IF(O651&gt;0,ROUND((F651-H651*N651+K651+M651+O651)/H651,1),IF(M651&gt;0,ROUND((F651-H651*L651+K651+M651)/H651,1),IF(K651&gt;0,ROUND((F651-H651*J651+K651)/H651,1),I651))))</f>
        <v>999</v>
      </c>
      <c r="Q651" s="22" t="str">
        <f aca="false">IF(H651&lt;=0,"Nema prodaje",IF(AND(K651=0,M651=0,O651=0),IF(I651&lt;POSTAVKE!$B$6,"Naruči odmah","Sve u redu"),IF(F651-H651*J651&lt;0,"Rupa za ~"&amp;TEXT(I651,"0.0")&amp;" mj.",IF(AND(M651&gt;0,F651-H651*L651+K651&lt;0),"Rupa nakon 1. dolaska",IF(AND(O651&gt;0,F651-H651*N651+K651+M651&lt;0),"Rupa nakon 2. dolaska",IF(P651&lt;POSTAVKE!$B$6,"Količina nije dovoljna",IF(I651&gt;=POSTAVKE!$B$6,"Sve u redu","Stiže na vrijeme")))))))</f>
        <v>Nema prodaje</v>
      </c>
      <c r="S651" s="23" t="n">
        <f aca="false">IFERROR(INDEX(PODACI_PRODAJA!B:B,MATCH($A651,PODACI_PRODAJA!$A:$A,0)),0)</f>
        <v>0</v>
      </c>
      <c r="T651" s="23" t="n">
        <f aca="false">IFERROR(INDEX(PODACI_PRODAJA!C:C,MATCH($A651,PODACI_PRODAJA!$A:$A,0)),0)</f>
        <v>0</v>
      </c>
      <c r="U651" s="23" t="n">
        <f aca="false">IFERROR(INDEX(PODACI_PRODAJA!D:D,MATCH($A651,PODACI_PRODAJA!$A:$A,0)),0)</f>
        <v>0</v>
      </c>
      <c r="V651" s="23" t="n">
        <f aca="false">IFERROR(INDEX(PODACI_PRODAJA!E:E,MATCH($A651,PODACI_PRODAJA!$A:$A,0)),0)</f>
        <v>0</v>
      </c>
      <c r="W651" s="23" t="n">
        <f aca="false">IFERROR(INDEX(PODACI_PRODAJA!F:F,MATCH($A651,PODACI_PRODAJA!$A:$A,0)),0)</f>
        <v>0</v>
      </c>
      <c r="X651" s="23" t="n">
        <f aca="false">IFERROR(INDEX(PODACI_PRODAJA!G:G,MATCH($A651,PODACI_PRODAJA!$A:$A,0)),0)</f>
        <v>0</v>
      </c>
      <c r="Y651" s="23" t="n">
        <f aca="false">IFERROR(INDEX(PODACI_PRODAJA!H:H,MATCH($A651,PODACI_PRODAJA!$A:$A,0)),0)</f>
        <v>0</v>
      </c>
      <c r="Z651" s="23" t="n">
        <f aca="false">IFERROR(INDEX(PODACI_PRODAJA!I:I,MATCH($A651,PODACI_PRODAJA!$A:$A,0)),0)</f>
        <v>0</v>
      </c>
      <c r="AA651" s="23" t="n">
        <f aca="false">IFERROR(INDEX(PODACI_PRODAJA!J:J,MATCH($A651,PODACI_PRODAJA!$A:$A,0)),0)</f>
        <v>0</v>
      </c>
      <c r="AB651" s="23" t="n">
        <f aca="false">IFERROR(INDEX(PODACI_PRODAJA!K:K,MATCH($A651,PODACI_PRODAJA!$A:$A,0)),0)</f>
        <v>0</v>
      </c>
      <c r="AC651" s="23" t="n">
        <f aca="false">IFERROR(INDEX(PODACI_PRODAJA!L:L,MATCH($A651,PODACI_PRODAJA!$A:$A,0)),0)</f>
        <v>0</v>
      </c>
      <c r="AD651" s="23" t="n">
        <f aca="false">IFERROR(INDEX(PODACI_PRODAJA!M:M,MATCH($A651,PODACI_PRODAJA!$A:$A,0)),0)</f>
        <v>0</v>
      </c>
    </row>
    <row r="652" customFormat="false" ht="15" hidden="false" customHeight="false" outlineLevel="0" collapsed="false">
      <c r="A652" s="11" t="str">
        <f aca="false">PODACI_ZALIHE!A649</f>
        <v>P158173</v>
      </c>
      <c r="B652" s="8" t="str">
        <f aca="false">PODACI_ZALIHE!B649</f>
        <v>BOLD LUX 90120 MINERALSOLID TUŠ KADA BIJELA SJAJNA B</v>
      </c>
      <c r="C652" s="9" t="n">
        <f aca="false">PODACI_ZALIHE!C649</f>
        <v>0</v>
      </c>
      <c r="D652" s="8" t="n">
        <f aca="false">PODACI_ZALIHE!D649</f>
        <v>0</v>
      </c>
      <c r="E652" s="19" t="n">
        <f aca="false">IF(PODACI_ZALIHE!E649="","",PODACI_ZALIHE!E649)</f>
        <v>0</v>
      </c>
      <c r="F652" s="20" t="n">
        <f aca="false">PODACI_ZALIHE!F649</f>
        <v>0</v>
      </c>
      <c r="G652" s="19" t="n">
        <f aca="false">IF(E652="","",E652-F652)</f>
        <v>0</v>
      </c>
      <c r="H652" s="9" t="n">
        <f aca="false">PODACI_PRODAJA!N320</f>
        <v>0.25</v>
      </c>
      <c r="I652" s="21" t="n">
        <f aca="false">IF(H652&lt;=0,999,ROUND(F652/H652,1))</f>
        <v>0</v>
      </c>
      <c r="J652" s="9" t="n">
        <f aca="false">SUMIFS(ROBA_U_DOLASKU!$C$6:$C$95,ROBA_U_DOLASKU!$A$6:$A$95,A652,ROBA_U_DOLASKU!$H$6:$H$95,1)</f>
        <v>0</v>
      </c>
      <c r="K652" s="9" t="n">
        <f aca="false">SUMIFS(ROBA_U_DOLASKU!$B$6:$B$95,ROBA_U_DOLASKU!$A$6:$A$95,A652,ROBA_U_DOLASKU!$H$6:$H$95,1)</f>
        <v>0</v>
      </c>
      <c r="L652" s="9" t="n">
        <f aca="false">SUMIFS(ROBA_U_DOLASKU!$C$6:$C$95,ROBA_U_DOLASKU!$A$6:$A$95,A652,ROBA_U_DOLASKU!$H$6:$H$95,2)</f>
        <v>0</v>
      </c>
      <c r="M652" s="9" t="n">
        <f aca="false">SUMIFS(ROBA_U_DOLASKU!$B$6:$B$95,ROBA_U_DOLASKU!$A$6:$A$95,A652,ROBA_U_DOLASKU!$H$6:$H$95,2)</f>
        <v>0</v>
      </c>
      <c r="N652" s="9" t="n">
        <f aca="false">SUMIFS(ROBA_U_DOLASKU!$C$6:$C$95,ROBA_U_DOLASKU!$A$6:$A$95,A652,ROBA_U_DOLASKU!$H$6:$H$95,3)</f>
        <v>0</v>
      </c>
      <c r="O652" s="9" t="n">
        <f aca="false">SUMIFS(ROBA_U_DOLASKU!$B$6:$B$95,ROBA_U_DOLASKU!$A$6:$A$95,A652,ROBA_U_DOLASKU!$H$6:$H$95,3)</f>
        <v>0</v>
      </c>
      <c r="P652" s="9" t="n">
        <f aca="false">IF(H652&lt;=0,999,IF(O652&gt;0,ROUND((F652-H652*N652+K652+M652+O652)/H652,1),IF(M652&gt;0,ROUND((F652-H652*L652+K652+M652)/H652,1),IF(K652&gt;0,ROUND((F652-H652*J652+K652)/H652,1),I652))))</f>
        <v>0</v>
      </c>
      <c r="Q652" s="22" t="str">
        <f aca="false">IF(H652&lt;=0,"Nema prodaje",IF(AND(K652=0,M652=0,O652=0),IF(I652&lt;POSTAVKE!$B$6,"Naruči odmah","Sve u redu"),IF(F652-H652*J652&lt;0,"Rupa za ~"&amp;TEXT(I652,"0.0")&amp;" mj.",IF(AND(M652&gt;0,F652-H652*L652+K652&lt;0),"Rupa nakon 1. dolaska",IF(AND(O652&gt;0,F652-H652*N652+K652+M652&lt;0),"Rupa nakon 2. dolaska",IF(P652&lt;POSTAVKE!$B$6,"Količina nije dovoljna",IF(I652&gt;=POSTAVKE!$B$6,"Sve u redu","Stiže na vrijeme")))))))</f>
        <v>Naruči odmah</v>
      </c>
      <c r="S652" s="23" t="n">
        <f aca="false">IFERROR(INDEX(PODACI_PRODAJA!B:B,MATCH($A652,PODACI_PRODAJA!$A:$A,0)),0)</f>
        <v>0</v>
      </c>
      <c r="T652" s="23" t="n">
        <f aca="false">IFERROR(INDEX(PODACI_PRODAJA!C:C,MATCH($A652,PODACI_PRODAJA!$A:$A,0)),0)</f>
        <v>0</v>
      </c>
      <c r="U652" s="23" t="n">
        <f aca="false">IFERROR(INDEX(PODACI_PRODAJA!D:D,MATCH($A652,PODACI_PRODAJA!$A:$A,0)),0)</f>
        <v>1</v>
      </c>
      <c r="V652" s="23" t="n">
        <f aca="false">IFERROR(INDEX(PODACI_PRODAJA!E:E,MATCH($A652,PODACI_PRODAJA!$A:$A,0)),0)</f>
        <v>1</v>
      </c>
      <c r="W652" s="23" t="n">
        <f aca="false">IFERROR(INDEX(PODACI_PRODAJA!F:F,MATCH($A652,PODACI_PRODAJA!$A:$A,0)),0)</f>
        <v>0</v>
      </c>
      <c r="X652" s="23" t="n">
        <f aca="false">IFERROR(INDEX(PODACI_PRODAJA!G:G,MATCH($A652,PODACI_PRODAJA!$A:$A,0)),0)</f>
        <v>0</v>
      </c>
      <c r="Y652" s="23" t="n">
        <f aca="false">IFERROR(INDEX(PODACI_PRODAJA!H:H,MATCH($A652,PODACI_PRODAJA!$A:$A,0)),0)</f>
        <v>0</v>
      </c>
      <c r="Z652" s="23" t="n">
        <f aca="false">IFERROR(INDEX(PODACI_PRODAJA!I:I,MATCH($A652,PODACI_PRODAJA!$A:$A,0)),0)</f>
        <v>0</v>
      </c>
      <c r="AA652" s="23" t="n">
        <f aca="false">IFERROR(INDEX(PODACI_PRODAJA!J:J,MATCH($A652,PODACI_PRODAJA!$A:$A,0)),0)</f>
        <v>0</v>
      </c>
      <c r="AB652" s="23" t="n">
        <f aca="false">IFERROR(INDEX(PODACI_PRODAJA!K:K,MATCH($A652,PODACI_PRODAJA!$A:$A,0)),0)</f>
        <v>0</v>
      </c>
      <c r="AC652" s="23" t="n">
        <f aca="false">IFERROR(INDEX(PODACI_PRODAJA!L:L,MATCH($A652,PODACI_PRODAJA!$A:$A,0)),0)</f>
        <v>0</v>
      </c>
      <c r="AD652" s="23" t="n">
        <f aca="false">IFERROR(INDEX(PODACI_PRODAJA!M:M,MATCH($A652,PODACI_PRODAJA!$A:$A,0)),0)</f>
        <v>0</v>
      </c>
    </row>
    <row r="653" customFormat="false" ht="15" hidden="false" customHeight="false" outlineLevel="0" collapsed="false">
      <c r="A653" s="11" t="str">
        <f aca="false">PODACI_ZALIHE!A650</f>
        <v>P158203</v>
      </c>
      <c r="B653" s="8" t="str">
        <f aca="false">PODACI_ZALIHE!B650</f>
        <v>BOLD LUX 100 KV MINERALSOLID TUŠ KADA BIJELA SJAJNA B</v>
      </c>
      <c r="C653" s="9" t="n">
        <f aca="false">PODACI_ZALIHE!C650</f>
        <v>0</v>
      </c>
      <c r="D653" s="8" t="n">
        <f aca="false">PODACI_ZALIHE!D650</f>
        <v>0</v>
      </c>
      <c r="E653" s="19" t="n">
        <f aca="false">IF(PODACI_ZALIHE!E650="","",PODACI_ZALIHE!E650)</f>
        <v>0</v>
      </c>
      <c r="F653" s="20" t="n">
        <f aca="false">PODACI_ZALIHE!F650</f>
        <v>0</v>
      </c>
      <c r="G653" s="19" t="n">
        <f aca="false">IF(E653="","",E653-F653)</f>
        <v>0</v>
      </c>
      <c r="H653" s="9" t="n">
        <f aca="false">PODACI_PRODAJA!N323</f>
        <v>0.25</v>
      </c>
      <c r="I653" s="21" t="n">
        <f aca="false">IF(H653&lt;=0,999,ROUND(F653/H653,1))</f>
        <v>0</v>
      </c>
      <c r="J653" s="9" t="n">
        <f aca="false">SUMIFS(ROBA_U_DOLASKU!$C$6:$C$95,ROBA_U_DOLASKU!$A$6:$A$95,A653,ROBA_U_DOLASKU!$H$6:$H$95,1)</f>
        <v>0</v>
      </c>
      <c r="K653" s="9" t="n">
        <f aca="false">SUMIFS(ROBA_U_DOLASKU!$B$6:$B$95,ROBA_U_DOLASKU!$A$6:$A$95,A653,ROBA_U_DOLASKU!$H$6:$H$95,1)</f>
        <v>0</v>
      </c>
      <c r="L653" s="9" t="n">
        <f aca="false">SUMIFS(ROBA_U_DOLASKU!$C$6:$C$95,ROBA_U_DOLASKU!$A$6:$A$95,A653,ROBA_U_DOLASKU!$H$6:$H$95,2)</f>
        <v>0</v>
      </c>
      <c r="M653" s="9" t="n">
        <f aca="false">SUMIFS(ROBA_U_DOLASKU!$B$6:$B$95,ROBA_U_DOLASKU!$A$6:$A$95,A653,ROBA_U_DOLASKU!$H$6:$H$95,2)</f>
        <v>0</v>
      </c>
      <c r="N653" s="9" t="n">
        <f aca="false">SUMIFS(ROBA_U_DOLASKU!$C$6:$C$95,ROBA_U_DOLASKU!$A$6:$A$95,A653,ROBA_U_DOLASKU!$H$6:$H$95,3)</f>
        <v>0</v>
      </c>
      <c r="O653" s="9" t="n">
        <f aca="false">SUMIFS(ROBA_U_DOLASKU!$B$6:$B$95,ROBA_U_DOLASKU!$A$6:$A$95,A653,ROBA_U_DOLASKU!$H$6:$H$95,3)</f>
        <v>0</v>
      </c>
      <c r="P653" s="9" t="n">
        <f aca="false">IF(H653&lt;=0,999,IF(O653&gt;0,ROUND((F653-H653*N653+K653+M653+O653)/H653,1),IF(M653&gt;0,ROUND((F653-H653*L653+K653+M653)/H653,1),IF(K653&gt;0,ROUND((F653-H653*J653+K653)/H653,1),I653))))</f>
        <v>0</v>
      </c>
      <c r="Q653" s="22" t="str">
        <f aca="false">IF(H653&lt;=0,"Nema prodaje",IF(AND(K653=0,M653=0,O653=0),IF(I653&lt;POSTAVKE!$B$6,"Naruči odmah","Sve u redu"),IF(F653-H653*J653&lt;0,"Rupa za ~"&amp;TEXT(I653,"0.0")&amp;" mj.",IF(AND(M653&gt;0,F653-H653*L653+K653&lt;0),"Rupa nakon 1. dolaska",IF(AND(O653&gt;0,F653-H653*N653+K653+M653&lt;0),"Rupa nakon 2. dolaska",IF(P653&lt;POSTAVKE!$B$6,"Količina nije dovoljna",IF(I653&gt;=POSTAVKE!$B$6,"Sve u redu","Stiže na vrijeme")))))))</f>
        <v>Naruči odmah</v>
      </c>
      <c r="S653" s="23" t="n">
        <f aca="false">IFERROR(INDEX(PODACI_PRODAJA!B:B,MATCH($A653,PODACI_PRODAJA!$A:$A,0)),0)</f>
        <v>0</v>
      </c>
      <c r="T653" s="23" t="n">
        <f aca="false">IFERROR(INDEX(PODACI_PRODAJA!C:C,MATCH($A653,PODACI_PRODAJA!$A:$A,0)),0)</f>
        <v>0</v>
      </c>
      <c r="U653" s="23" t="n">
        <f aca="false">IFERROR(INDEX(PODACI_PRODAJA!D:D,MATCH($A653,PODACI_PRODAJA!$A:$A,0)),0)</f>
        <v>0</v>
      </c>
      <c r="V653" s="23" t="n">
        <f aca="false">IFERROR(INDEX(PODACI_PRODAJA!E:E,MATCH($A653,PODACI_PRODAJA!$A:$A,0)),0)</f>
        <v>1</v>
      </c>
      <c r="W653" s="23" t="n">
        <f aca="false">IFERROR(INDEX(PODACI_PRODAJA!F:F,MATCH($A653,PODACI_PRODAJA!$A:$A,0)),0)</f>
        <v>1</v>
      </c>
      <c r="X653" s="23" t="n">
        <f aca="false">IFERROR(INDEX(PODACI_PRODAJA!G:G,MATCH($A653,PODACI_PRODAJA!$A:$A,0)),0)</f>
        <v>0</v>
      </c>
      <c r="Y653" s="23" t="n">
        <f aca="false">IFERROR(INDEX(PODACI_PRODAJA!H:H,MATCH($A653,PODACI_PRODAJA!$A:$A,0)),0)</f>
        <v>0</v>
      </c>
      <c r="Z653" s="23" t="n">
        <f aca="false">IFERROR(INDEX(PODACI_PRODAJA!I:I,MATCH($A653,PODACI_PRODAJA!$A:$A,0)),0)</f>
        <v>0</v>
      </c>
      <c r="AA653" s="23" t="n">
        <f aca="false">IFERROR(INDEX(PODACI_PRODAJA!J:J,MATCH($A653,PODACI_PRODAJA!$A:$A,0)),0)</f>
        <v>0</v>
      </c>
      <c r="AB653" s="23" t="n">
        <f aca="false">IFERROR(INDEX(PODACI_PRODAJA!K:K,MATCH($A653,PODACI_PRODAJA!$A:$A,0)),0)</f>
        <v>0</v>
      </c>
      <c r="AC653" s="23" t="n">
        <f aca="false">IFERROR(INDEX(PODACI_PRODAJA!L:L,MATCH($A653,PODACI_PRODAJA!$A:$A,0)),0)</f>
        <v>0</v>
      </c>
      <c r="AD653" s="23" t="n">
        <f aca="false">IFERROR(INDEX(PODACI_PRODAJA!M:M,MATCH($A653,PODACI_PRODAJA!$A:$A,0)),0)</f>
        <v>0</v>
      </c>
    </row>
    <row r="654" customFormat="false" ht="15" hidden="false" customHeight="false" outlineLevel="0" collapsed="false">
      <c r="A654" s="11" t="str">
        <f aca="false">PODACI_ZALIHE!A651</f>
        <v>P158262</v>
      </c>
      <c r="B654" s="8" t="str">
        <f aca="false">PODACI_ZALIHE!B651</f>
        <v>BOLD LUX 80 PK MINERALSOLID TUŠ KADA BIJELA SJAJNA A</v>
      </c>
      <c r="C654" s="9" t="n">
        <f aca="false">PODACI_ZALIHE!C651</f>
        <v>0</v>
      </c>
      <c r="D654" s="8" t="n">
        <f aca="false">PODACI_ZALIHE!D651</f>
        <v>0</v>
      </c>
      <c r="E654" s="19" t="n">
        <f aca="false">IF(PODACI_ZALIHE!E651="","",PODACI_ZALIHE!E651)</f>
        <v>0</v>
      </c>
      <c r="F654" s="20" t="n">
        <f aca="false">PODACI_ZALIHE!F651</f>
        <v>0</v>
      </c>
      <c r="G654" s="19" t="n">
        <f aca="false">IF(E654="","",E654-F654)</f>
        <v>0</v>
      </c>
      <c r="H654" s="9" t="n">
        <f aca="false">PODACI_PRODAJA!N327</f>
        <v>0.25</v>
      </c>
      <c r="I654" s="21" t="n">
        <f aca="false">IF(H654&lt;=0,999,ROUND(F654/H654,1))</f>
        <v>0</v>
      </c>
      <c r="J654" s="9" t="n">
        <f aca="false">SUMIFS(ROBA_U_DOLASKU!$C$6:$C$95,ROBA_U_DOLASKU!$A$6:$A$95,A654,ROBA_U_DOLASKU!$H$6:$H$95,1)</f>
        <v>0</v>
      </c>
      <c r="K654" s="9" t="n">
        <f aca="false">SUMIFS(ROBA_U_DOLASKU!$B$6:$B$95,ROBA_U_DOLASKU!$A$6:$A$95,A654,ROBA_U_DOLASKU!$H$6:$H$95,1)</f>
        <v>0</v>
      </c>
      <c r="L654" s="9" t="n">
        <f aca="false">SUMIFS(ROBA_U_DOLASKU!$C$6:$C$95,ROBA_U_DOLASKU!$A$6:$A$95,A654,ROBA_U_DOLASKU!$H$6:$H$95,2)</f>
        <v>0</v>
      </c>
      <c r="M654" s="9" t="n">
        <f aca="false">SUMIFS(ROBA_U_DOLASKU!$B$6:$B$95,ROBA_U_DOLASKU!$A$6:$A$95,A654,ROBA_U_DOLASKU!$H$6:$H$95,2)</f>
        <v>0</v>
      </c>
      <c r="N654" s="9" t="n">
        <f aca="false">SUMIFS(ROBA_U_DOLASKU!$C$6:$C$95,ROBA_U_DOLASKU!$A$6:$A$95,A654,ROBA_U_DOLASKU!$H$6:$H$95,3)</f>
        <v>0</v>
      </c>
      <c r="O654" s="9" t="n">
        <f aca="false">SUMIFS(ROBA_U_DOLASKU!$B$6:$B$95,ROBA_U_DOLASKU!$A$6:$A$95,A654,ROBA_U_DOLASKU!$H$6:$H$95,3)</f>
        <v>0</v>
      </c>
      <c r="P654" s="9" t="n">
        <f aca="false">IF(H654&lt;=0,999,IF(O654&gt;0,ROUND((F654-H654*N654+K654+M654+O654)/H654,1),IF(M654&gt;0,ROUND((F654-H654*L654+K654+M654)/H654,1),IF(K654&gt;0,ROUND((F654-H654*J654+K654)/H654,1),I654))))</f>
        <v>0</v>
      </c>
      <c r="Q654" s="22" t="str">
        <f aca="false">IF(H654&lt;=0,"Nema prodaje",IF(AND(K654=0,M654=0,O654=0),IF(I654&lt;POSTAVKE!$B$6,"Naruči odmah","Sve u redu"),IF(F654-H654*J654&lt;0,"Rupa za ~"&amp;TEXT(I654,"0.0")&amp;" mj.",IF(AND(M654&gt;0,F654-H654*L654+K654&lt;0),"Rupa nakon 1. dolaska",IF(AND(O654&gt;0,F654-H654*N654+K654+M654&lt;0),"Rupa nakon 2. dolaska",IF(P654&lt;POSTAVKE!$B$6,"Količina nije dovoljna",IF(I654&gt;=POSTAVKE!$B$6,"Sve u redu","Stiže na vrijeme")))))))</f>
        <v>Naruči odmah</v>
      </c>
      <c r="S654" s="23" t="n">
        <f aca="false">IFERROR(INDEX(PODACI_PRODAJA!B:B,MATCH($A654,PODACI_PRODAJA!$A:$A,0)),0)</f>
        <v>0</v>
      </c>
      <c r="T654" s="23" t="n">
        <f aca="false">IFERROR(INDEX(PODACI_PRODAJA!C:C,MATCH($A654,PODACI_PRODAJA!$A:$A,0)),0)</f>
        <v>0</v>
      </c>
      <c r="U654" s="23" t="n">
        <f aca="false">IFERROR(INDEX(PODACI_PRODAJA!D:D,MATCH($A654,PODACI_PRODAJA!$A:$A,0)),0)</f>
        <v>1</v>
      </c>
      <c r="V654" s="23" t="n">
        <f aca="false">IFERROR(INDEX(PODACI_PRODAJA!E:E,MATCH($A654,PODACI_PRODAJA!$A:$A,0)),0)</f>
        <v>0</v>
      </c>
      <c r="W654" s="23" t="n">
        <f aca="false">IFERROR(INDEX(PODACI_PRODAJA!F:F,MATCH($A654,PODACI_PRODAJA!$A:$A,0)),0)</f>
        <v>1</v>
      </c>
      <c r="X654" s="23" t="n">
        <f aca="false">IFERROR(INDEX(PODACI_PRODAJA!G:G,MATCH($A654,PODACI_PRODAJA!$A:$A,0)),0)</f>
        <v>0</v>
      </c>
      <c r="Y654" s="23" t="n">
        <f aca="false">IFERROR(INDEX(PODACI_PRODAJA!H:H,MATCH($A654,PODACI_PRODAJA!$A:$A,0)),0)</f>
        <v>0</v>
      </c>
      <c r="Z654" s="23" t="n">
        <f aca="false">IFERROR(INDEX(PODACI_PRODAJA!I:I,MATCH($A654,PODACI_PRODAJA!$A:$A,0)),0)</f>
        <v>0</v>
      </c>
      <c r="AA654" s="23" t="n">
        <f aca="false">IFERROR(INDEX(PODACI_PRODAJA!J:J,MATCH($A654,PODACI_PRODAJA!$A:$A,0)),0)</f>
        <v>0</v>
      </c>
      <c r="AB654" s="23" t="n">
        <f aca="false">IFERROR(INDEX(PODACI_PRODAJA!K:K,MATCH($A654,PODACI_PRODAJA!$A:$A,0)),0)</f>
        <v>0</v>
      </c>
      <c r="AC654" s="23" t="n">
        <f aca="false">IFERROR(INDEX(PODACI_PRODAJA!L:L,MATCH($A654,PODACI_PRODAJA!$A:$A,0)),0)</f>
        <v>0</v>
      </c>
      <c r="AD654" s="23" t="n">
        <f aca="false">IFERROR(INDEX(PODACI_PRODAJA!M:M,MATCH($A654,PODACI_PRODAJA!$A:$A,0)),0)</f>
        <v>0</v>
      </c>
    </row>
    <row r="655" customFormat="false" ht="15" hidden="false" customHeight="false" outlineLevel="0" collapsed="false">
      <c r="A655" s="11" t="str">
        <f aca="false">PODACI_ZALIHE!A652</f>
        <v>RDE000804</v>
      </c>
      <c r="B655" s="8" t="str">
        <f aca="false">PODACI_ZALIHE!B652</f>
        <v>KOTAČIĆI GL-TK9078B/ TK-A-4S3C/ EVORA/LUGANO</v>
      </c>
      <c r="C655" s="9" t="n">
        <f aca="false">PODACI_ZALIHE!C652</f>
        <v>0</v>
      </c>
      <c r="D655" s="8" t="n">
        <f aca="false">PODACI_ZALIHE!D652</f>
        <v>0</v>
      </c>
      <c r="E655" s="19" t="n">
        <f aca="false">IF(PODACI_ZALIHE!E652="","",PODACI_ZALIHE!E652)</f>
        <v>0</v>
      </c>
      <c r="F655" s="20" t="n">
        <f aca="false">PODACI_ZALIHE!F652</f>
        <v>0</v>
      </c>
      <c r="G655" s="19" t="n">
        <f aca="false">IF(E655="","",E655-F655)</f>
        <v>0</v>
      </c>
      <c r="H655" s="9" t="n">
        <v>0</v>
      </c>
      <c r="I655" s="21" t="n">
        <f aca="false">IF(H655&lt;=0,999,ROUND(F655/H655,1))</f>
        <v>999</v>
      </c>
      <c r="J655" s="9" t="n">
        <f aca="false">SUMIFS(ROBA_U_DOLASKU!$C$6:$C$95,ROBA_U_DOLASKU!$A$6:$A$95,A655,ROBA_U_DOLASKU!$H$6:$H$95,1)</f>
        <v>0</v>
      </c>
      <c r="K655" s="9" t="n">
        <f aca="false">SUMIFS(ROBA_U_DOLASKU!$B$6:$B$95,ROBA_U_DOLASKU!$A$6:$A$95,A655,ROBA_U_DOLASKU!$H$6:$H$95,1)</f>
        <v>0</v>
      </c>
      <c r="L655" s="9" t="n">
        <f aca="false">SUMIFS(ROBA_U_DOLASKU!$C$6:$C$95,ROBA_U_DOLASKU!$A$6:$A$95,A655,ROBA_U_DOLASKU!$H$6:$H$95,2)</f>
        <v>0</v>
      </c>
      <c r="M655" s="9" t="n">
        <f aca="false">SUMIFS(ROBA_U_DOLASKU!$B$6:$B$95,ROBA_U_DOLASKU!$A$6:$A$95,A655,ROBA_U_DOLASKU!$H$6:$H$95,2)</f>
        <v>0</v>
      </c>
      <c r="N655" s="9" t="n">
        <f aca="false">SUMIFS(ROBA_U_DOLASKU!$C$6:$C$95,ROBA_U_DOLASKU!$A$6:$A$95,A655,ROBA_U_DOLASKU!$H$6:$H$95,3)</f>
        <v>0</v>
      </c>
      <c r="O655" s="9" t="n">
        <f aca="false">SUMIFS(ROBA_U_DOLASKU!$B$6:$B$95,ROBA_U_DOLASKU!$A$6:$A$95,A655,ROBA_U_DOLASKU!$H$6:$H$95,3)</f>
        <v>0</v>
      </c>
      <c r="P655" s="9" t="n">
        <f aca="false">IF(H655&lt;=0,999,IF(O655&gt;0,ROUND((F655-H655*N655+K655+M655+O655)/H655,1),IF(M655&gt;0,ROUND((F655-H655*L655+K655+M655)/H655,1),IF(K655&gt;0,ROUND((F655-H655*J655+K655)/H655,1),I655))))</f>
        <v>999</v>
      </c>
      <c r="Q655" s="22" t="str">
        <f aca="false">IF(H655&lt;=0,"Nema prodaje",IF(AND(K655=0,M655=0,O655=0),IF(I655&lt;POSTAVKE!$B$6,"Naruči odmah","Sve u redu"),IF(F655-H655*J655&lt;0,"Rupa za ~"&amp;TEXT(I655,"0.0")&amp;" mj.",IF(AND(M655&gt;0,F655-H655*L655+K655&lt;0),"Rupa nakon 1. dolaska",IF(AND(O655&gt;0,F655-H655*N655+K655+M655&lt;0),"Rupa nakon 2. dolaska",IF(P655&lt;POSTAVKE!$B$6,"Količina nije dovoljna",IF(I655&gt;=POSTAVKE!$B$6,"Sve u redu","Stiže na vrijeme")))))))</f>
        <v>Nema prodaje</v>
      </c>
      <c r="S655" s="23" t="n">
        <f aca="false">IFERROR(INDEX(PODACI_PRODAJA!B:B,MATCH($A655,PODACI_PRODAJA!$A:$A,0)),0)</f>
        <v>0</v>
      </c>
      <c r="T655" s="23" t="n">
        <f aca="false">IFERROR(INDEX(PODACI_PRODAJA!C:C,MATCH($A655,PODACI_PRODAJA!$A:$A,0)),0)</f>
        <v>0</v>
      </c>
      <c r="U655" s="23" t="n">
        <f aca="false">IFERROR(INDEX(PODACI_PRODAJA!D:D,MATCH($A655,PODACI_PRODAJA!$A:$A,0)),0)</f>
        <v>0</v>
      </c>
      <c r="V655" s="23" t="n">
        <f aca="false">IFERROR(INDEX(PODACI_PRODAJA!E:E,MATCH($A655,PODACI_PRODAJA!$A:$A,0)),0)</f>
        <v>0</v>
      </c>
      <c r="W655" s="23" t="n">
        <f aca="false">IFERROR(INDEX(PODACI_PRODAJA!F:F,MATCH($A655,PODACI_PRODAJA!$A:$A,0)),0)</f>
        <v>0</v>
      </c>
      <c r="X655" s="23" t="n">
        <f aca="false">IFERROR(INDEX(PODACI_PRODAJA!G:G,MATCH($A655,PODACI_PRODAJA!$A:$A,0)),0)</f>
        <v>0</v>
      </c>
      <c r="Y655" s="23" t="n">
        <f aca="false">IFERROR(INDEX(PODACI_PRODAJA!H:H,MATCH($A655,PODACI_PRODAJA!$A:$A,0)),0)</f>
        <v>0</v>
      </c>
      <c r="Z655" s="23" t="n">
        <f aca="false">IFERROR(INDEX(PODACI_PRODAJA!I:I,MATCH($A655,PODACI_PRODAJA!$A:$A,0)),0)</f>
        <v>0</v>
      </c>
      <c r="AA655" s="23" t="n">
        <f aca="false">IFERROR(INDEX(PODACI_PRODAJA!J:J,MATCH($A655,PODACI_PRODAJA!$A:$A,0)),0)</f>
        <v>0</v>
      </c>
      <c r="AB655" s="23" t="n">
        <f aca="false">IFERROR(INDEX(PODACI_PRODAJA!K:K,MATCH($A655,PODACI_PRODAJA!$A:$A,0)),0)</f>
        <v>0</v>
      </c>
      <c r="AC655" s="23" t="n">
        <f aca="false">IFERROR(INDEX(PODACI_PRODAJA!L:L,MATCH($A655,PODACI_PRODAJA!$A:$A,0)),0)</f>
        <v>0</v>
      </c>
      <c r="AD655" s="23" t="n">
        <f aca="false">IFERROR(INDEX(PODACI_PRODAJA!M:M,MATCH($A655,PODACI_PRODAJA!$A:$A,0)),0)</f>
        <v>0</v>
      </c>
    </row>
    <row r="656" customFormat="false" ht="15" hidden="false" customHeight="false" outlineLevel="0" collapsed="false">
      <c r="A656" s="11" t="str">
        <f aca="false">PODACI_ZALIHE!A653</f>
        <v>RDE310331</v>
      </c>
      <c r="B656" s="8" t="str">
        <f aca="false">PODACI_ZALIHE!B653</f>
        <v>MJEŠLICA ZA TK FIONA</v>
      </c>
      <c r="C656" s="9" t="n">
        <f aca="false">PODACI_ZALIHE!C653</f>
        <v>0</v>
      </c>
      <c r="D656" s="8" t="n">
        <f aca="false">PODACI_ZALIHE!D653</f>
        <v>0</v>
      </c>
      <c r="E656" s="19" t="str">
        <f aca="false">IF(PODACI_ZALIHE!E653="","",PODACI_ZALIHE!E653)</f>
        <v/>
      </c>
      <c r="F656" s="20" t="n">
        <f aca="false">PODACI_ZALIHE!F653</f>
        <v>0</v>
      </c>
      <c r="G656" s="19" t="str">
        <f aca="false">IF(E656="","",E656-F656)</f>
        <v/>
      </c>
      <c r="H656" s="9" t="n">
        <v>0</v>
      </c>
      <c r="I656" s="21" t="n">
        <f aca="false">IF(H656&lt;=0,999,ROUND(F656/H656,1))</f>
        <v>999</v>
      </c>
      <c r="J656" s="9" t="n">
        <f aca="false">SUMIFS(ROBA_U_DOLASKU!$C$6:$C$95,ROBA_U_DOLASKU!$A$6:$A$95,A656,ROBA_U_DOLASKU!$H$6:$H$95,1)</f>
        <v>0</v>
      </c>
      <c r="K656" s="9" t="n">
        <f aca="false">SUMIFS(ROBA_U_DOLASKU!$B$6:$B$95,ROBA_U_DOLASKU!$A$6:$A$95,A656,ROBA_U_DOLASKU!$H$6:$H$95,1)</f>
        <v>0</v>
      </c>
      <c r="L656" s="9" t="n">
        <f aca="false">SUMIFS(ROBA_U_DOLASKU!$C$6:$C$95,ROBA_U_DOLASKU!$A$6:$A$95,A656,ROBA_U_DOLASKU!$H$6:$H$95,2)</f>
        <v>0</v>
      </c>
      <c r="M656" s="9" t="n">
        <f aca="false">SUMIFS(ROBA_U_DOLASKU!$B$6:$B$95,ROBA_U_DOLASKU!$A$6:$A$95,A656,ROBA_U_DOLASKU!$H$6:$H$95,2)</f>
        <v>0</v>
      </c>
      <c r="N656" s="9" t="n">
        <f aca="false">SUMIFS(ROBA_U_DOLASKU!$C$6:$C$95,ROBA_U_DOLASKU!$A$6:$A$95,A656,ROBA_U_DOLASKU!$H$6:$H$95,3)</f>
        <v>0</v>
      </c>
      <c r="O656" s="9" t="n">
        <f aca="false">SUMIFS(ROBA_U_DOLASKU!$B$6:$B$95,ROBA_U_DOLASKU!$A$6:$A$95,A656,ROBA_U_DOLASKU!$H$6:$H$95,3)</f>
        <v>0</v>
      </c>
      <c r="P656" s="9" t="n">
        <f aca="false">IF(H656&lt;=0,999,IF(O656&gt;0,ROUND((F656-H656*N656+K656+M656+O656)/H656,1),IF(M656&gt;0,ROUND((F656-H656*L656+K656+M656)/H656,1),IF(K656&gt;0,ROUND((F656-H656*J656+K656)/H656,1),I656))))</f>
        <v>999</v>
      </c>
      <c r="Q656" s="22" t="str">
        <f aca="false">IF(H656&lt;=0,"Nema prodaje",IF(AND(K656=0,M656=0,O656=0),IF(I656&lt;POSTAVKE!$B$6,"Naruči odmah","Sve u redu"),IF(F656-H656*J656&lt;0,"Rupa za ~"&amp;TEXT(I656,"0.0")&amp;" mj.",IF(AND(M656&gt;0,F656-H656*L656+K656&lt;0),"Rupa nakon 1. dolaska",IF(AND(O656&gt;0,F656-H656*N656+K656+M656&lt;0),"Rupa nakon 2. dolaska",IF(P656&lt;POSTAVKE!$B$6,"Količina nije dovoljna",IF(I656&gt;=POSTAVKE!$B$6,"Sve u redu","Stiže na vrijeme")))))))</f>
        <v>Nema prodaje</v>
      </c>
      <c r="S656" s="23" t="n">
        <f aca="false">IFERROR(INDEX(PODACI_PRODAJA!B:B,MATCH($A656,PODACI_PRODAJA!$A:$A,0)),0)</f>
        <v>0</v>
      </c>
      <c r="T656" s="23" t="n">
        <f aca="false">IFERROR(INDEX(PODACI_PRODAJA!C:C,MATCH($A656,PODACI_PRODAJA!$A:$A,0)),0)</f>
        <v>0</v>
      </c>
      <c r="U656" s="23" t="n">
        <f aca="false">IFERROR(INDEX(PODACI_PRODAJA!D:D,MATCH($A656,PODACI_PRODAJA!$A:$A,0)),0)</f>
        <v>0</v>
      </c>
      <c r="V656" s="23" t="n">
        <f aca="false">IFERROR(INDEX(PODACI_PRODAJA!E:E,MATCH($A656,PODACI_PRODAJA!$A:$A,0)),0)</f>
        <v>0</v>
      </c>
      <c r="W656" s="23" t="n">
        <f aca="false">IFERROR(INDEX(PODACI_PRODAJA!F:F,MATCH($A656,PODACI_PRODAJA!$A:$A,0)),0)</f>
        <v>0</v>
      </c>
      <c r="X656" s="23" t="n">
        <f aca="false">IFERROR(INDEX(PODACI_PRODAJA!G:G,MATCH($A656,PODACI_PRODAJA!$A:$A,0)),0)</f>
        <v>0</v>
      </c>
      <c r="Y656" s="23" t="n">
        <f aca="false">IFERROR(INDEX(PODACI_PRODAJA!H:H,MATCH($A656,PODACI_PRODAJA!$A:$A,0)),0)</f>
        <v>0</v>
      </c>
      <c r="Z656" s="23" t="n">
        <f aca="false">IFERROR(INDEX(PODACI_PRODAJA!I:I,MATCH($A656,PODACI_PRODAJA!$A:$A,0)),0)</f>
        <v>0</v>
      </c>
      <c r="AA656" s="23" t="n">
        <f aca="false">IFERROR(INDEX(PODACI_PRODAJA!J:J,MATCH($A656,PODACI_PRODAJA!$A:$A,0)),0)</f>
        <v>0</v>
      </c>
      <c r="AB656" s="23" t="n">
        <f aca="false">IFERROR(INDEX(PODACI_PRODAJA!K:K,MATCH($A656,PODACI_PRODAJA!$A:$A,0)),0)</f>
        <v>0</v>
      </c>
      <c r="AC656" s="23" t="n">
        <f aca="false">IFERROR(INDEX(PODACI_PRODAJA!L:L,MATCH($A656,PODACI_PRODAJA!$A:$A,0)),0)</f>
        <v>0</v>
      </c>
      <c r="AD656" s="23" t="n">
        <f aca="false">IFERROR(INDEX(PODACI_PRODAJA!M:M,MATCH($A656,PODACI_PRODAJA!$A:$A,0)),0)</f>
        <v>0</v>
      </c>
    </row>
    <row r="657" customFormat="false" ht="15" hidden="false" customHeight="false" outlineLevel="0" collapsed="false">
      <c r="A657" s="11" t="str">
        <f aca="false">PODACI_ZALIHE!A654</f>
        <v>RDE31049</v>
      </c>
      <c r="B657" s="8" t="str">
        <f aca="false">PODACI_ZALIHE!B654</f>
        <v>SILVER LINE VODOOTPORNA BOČNA BRTVA 2M</v>
      </c>
      <c r="C657" s="9" t="n">
        <f aca="false">PODACI_ZALIHE!C654</f>
        <v>0</v>
      </c>
      <c r="D657" s="8" t="n">
        <f aca="false">PODACI_ZALIHE!D654</f>
        <v>0</v>
      </c>
      <c r="E657" s="19" t="str">
        <f aca="false">IF(PODACI_ZALIHE!E654="","",PODACI_ZALIHE!E654)</f>
        <v/>
      </c>
      <c r="F657" s="20" t="n">
        <f aca="false">PODACI_ZALIHE!F654</f>
        <v>0</v>
      </c>
      <c r="G657" s="19" t="str">
        <f aca="false">IF(E657="","",E657-F657)</f>
        <v/>
      </c>
      <c r="H657" s="9" t="n">
        <f aca="false">PODACI_PRODAJA!N339</f>
        <v>0</v>
      </c>
      <c r="I657" s="21" t="n">
        <f aca="false">IF(H657&lt;=0,999,ROUND(F657/H657,1))</f>
        <v>999</v>
      </c>
      <c r="J657" s="9" t="n">
        <f aca="false">SUMIFS(ROBA_U_DOLASKU!$C$6:$C$95,ROBA_U_DOLASKU!$A$6:$A$95,A657,ROBA_U_DOLASKU!$H$6:$H$95,1)</f>
        <v>0</v>
      </c>
      <c r="K657" s="9" t="n">
        <f aca="false">SUMIFS(ROBA_U_DOLASKU!$B$6:$B$95,ROBA_U_DOLASKU!$A$6:$A$95,A657,ROBA_U_DOLASKU!$H$6:$H$95,1)</f>
        <v>0</v>
      </c>
      <c r="L657" s="9" t="n">
        <f aca="false">SUMIFS(ROBA_U_DOLASKU!$C$6:$C$95,ROBA_U_DOLASKU!$A$6:$A$95,A657,ROBA_U_DOLASKU!$H$6:$H$95,2)</f>
        <v>0</v>
      </c>
      <c r="M657" s="9" t="n">
        <f aca="false">SUMIFS(ROBA_U_DOLASKU!$B$6:$B$95,ROBA_U_DOLASKU!$A$6:$A$95,A657,ROBA_U_DOLASKU!$H$6:$H$95,2)</f>
        <v>0</v>
      </c>
      <c r="N657" s="9" t="n">
        <f aca="false">SUMIFS(ROBA_U_DOLASKU!$C$6:$C$95,ROBA_U_DOLASKU!$A$6:$A$95,A657,ROBA_U_DOLASKU!$H$6:$H$95,3)</f>
        <v>0</v>
      </c>
      <c r="O657" s="9" t="n">
        <f aca="false">SUMIFS(ROBA_U_DOLASKU!$B$6:$B$95,ROBA_U_DOLASKU!$A$6:$A$95,A657,ROBA_U_DOLASKU!$H$6:$H$95,3)</f>
        <v>0</v>
      </c>
      <c r="P657" s="9" t="n">
        <f aca="false">IF(H657&lt;=0,999,IF(O657&gt;0,ROUND((F657-H657*N657+K657+M657+O657)/H657,1),IF(M657&gt;0,ROUND((F657-H657*L657+K657+M657)/H657,1),IF(K657&gt;0,ROUND((F657-H657*J657+K657)/H657,1),I657))))</f>
        <v>999</v>
      </c>
      <c r="Q657" s="22" t="str">
        <f aca="false">IF(H657&lt;=0,"Nema prodaje",IF(AND(K657=0,M657=0,O657=0),IF(I657&lt;POSTAVKE!$B$6,"Naruči odmah","Sve u redu"),IF(F657-H657*J657&lt;0,"Rupa za ~"&amp;TEXT(I657,"0.0")&amp;" mj.",IF(AND(M657&gt;0,F657-H657*L657+K657&lt;0),"Rupa nakon 1. dolaska",IF(AND(O657&gt;0,F657-H657*N657+K657+M657&lt;0),"Rupa nakon 2. dolaska",IF(P657&lt;POSTAVKE!$B$6,"Količina nije dovoljna",IF(I657&gt;=POSTAVKE!$B$6,"Sve u redu","Stiže na vrijeme")))))))</f>
        <v>Nema prodaje</v>
      </c>
      <c r="S657" s="23" t="n">
        <f aca="false">IFERROR(INDEX(PODACI_PRODAJA!B:B,MATCH($A657,PODACI_PRODAJA!$A:$A,0)),0)</f>
        <v>0</v>
      </c>
      <c r="T657" s="23" t="n">
        <f aca="false">IFERROR(INDEX(PODACI_PRODAJA!C:C,MATCH($A657,PODACI_PRODAJA!$A:$A,0)),0)</f>
        <v>0</v>
      </c>
      <c r="U657" s="23" t="n">
        <f aca="false">IFERROR(INDEX(PODACI_PRODAJA!D:D,MATCH($A657,PODACI_PRODAJA!$A:$A,0)),0)</f>
        <v>0</v>
      </c>
      <c r="V657" s="23" t="n">
        <f aca="false">IFERROR(INDEX(PODACI_PRODAJA!E:E,MATCH($A657,PODACI_PRODAJA!$A:$A,0)),0)</f>
        <v>0</v>
      </c>
      <c r="W657" s="23" t="n">
        <f aca="false">IFERROR(INDEX(PODACI_PRODAJA!F:F,MATCH($A657,PODACI_PRODAJA!$A:$A,0)),0)</f>
        <v>0</v>
      </c>
      <c r="X657" s="23" t="n">
        <f aca="false">IFERROR(INDEX(PODACI_PRODAJA!G:G,MATCH($A657,PODACI_PRODAJA!$A:$A,0)),0)</f>
        <v>0</v>
      </c>
      <c r="Y657" s="23" t="n">
        <f aca="false">IFERROR(INDEX(PODACI_PRODAJA!H:H,MATCH($A657,PODACI_PRODAJA!$A:$A,0)),0)</f>
        <v>0</v>
      </c>
      <c r="Z657" s="23" t="n">
        <f aca="false">IFERROR(INDEX(PODACI_PRODAJA!I:I,MATCH($A657,PODACI_PRODAJA!$A:$A,0)),0)</f>
        <v>0</v>
      </c>
      <c r="AA657" s="23" t="n">
        <f aca="false">IFERROR(INDEX(PODACI_PRODAJA!J:J,MATCH($A657,PODACI_PRODAJA!$A:$A,0)),0)</f>
        <v>0</v>
      </c>
      <c r="AB657" s="23" t="n">
        <f aca="false">IFERROR(INDEX(PODACI_PRODAJA!K:K,MATCH($A657,PODACI_PRODAJA!$A:$A,0)),0)</f>
        <v>0</v>
      </c>
      <c r="AC657" s="23" t="n">
        <f aca="false">IFERROR(INDEX(PODACI_PRODAJA!L:L,MATCH($A657,PODACI_PRODAJA!$A:$A,0)),0)</f>
        <v>0</v>
      </c>
      <c r="AD657" s="23" t="n">
        <f aca="false">IFERROR(INDEX(PODACI_PRODAJA!M:M,MATCH($A657,PODACI_PRODAJA!$A:$A,0)),0)</f>
        <v>0</v>
      </c>
    </row>
    <row r="658" customFormat="false" ht="15" hidden="false" customHeight="false" outlineLevel="0" collapsed="false">
      <c r="A658" s="11" t="str">
        <f aca="false">PODACI_ZALIHE!A655</f>
        <v>RDE320038</v>
      </c>
      <c r="B658" s="8" t="str">
        <f aca="false">PODACI_ZALIHE!B655</f>
        <v>VRATA NEVA 90 POLUKRUŽNA</v>
      </c>
      <c r="C658" s="9" t="str">
        <f aca="false">PODACI_ZALIHE!C655</f>
        <v>2515</v>
      </c>
      <c r="D658" s="8" t="str">
        <f aca="false">PODACI_ZALIHE!D655</f>
        <v>HANGZHOU ZHUGELAI JINGYI CO., LTD.</v>
      </c>
      <c r="E658" s="19" t="n">
        <f aca="false">IF(PODACI_ZALIHE!E655="","",PODACI_ZALIHE!E655)</f>
        <v>0</v>
      </c>
      <c r="F658" s="20" t="n">
        <f aca="false">PODACI_ZALIHE!F655</f>
        <v>0</v>
      </c>
      <c r="G658" s="19" t="n">
        <f aca="false">IF(E658="","",E658-F658)</f>
        <v>0</v>
      </c>
      <c r="H658" s="9" t="n">
        <v>0</v>
      </c>
      <c r="I658" s="21" t="n">
        <f aca="false">IF(H658&lt;=0,999,ROUND(F658/H658,1))</f>
        <v>999</v>
      </c>
      <c r="J658" s="9" t="n">
        <f aca="false">SUMIFS(ROBA_U_DOLASKU!$C$6:$C$95,ROBA_U_DOLASKU!$A$6:$A$95,A658,ROBA_U_DOLASKU!$H$6:$H$95,1)</f>
        <v>0</v>
      </c>
      <c r="K658" s="9" t="n">
        <f aca="false">SUMIFS(ROBA_U_DOLASKU!$B$6:$B$95,ROBA_U_DOLASKU!$A$6:$A$95,A658,ROBA_U_DOLASKU!$H$6:$H$95,1)</f>
        <v>0</v>
      </c>
      <c r="L658" s="9" t="n">
        <f aca="false">SUMIFS(ROBA_U_DOLASKU!$C$6:$C$95,ROBA_U_DOLASKU!$A$6:$A$95,A658,ROBA_U_DOLASKU!$H$6:$H$95,2)</f>
        <v>0</v>
      </c>
      <c r="M658" s="9" t="n">
        <f aca="false">SUMIFS(ROBA_U_DOLASKU!$B$6:$B$95,ROBA_U_DOLASKU!$A$6:$A$95,A658,ROBA_U_DOLASKU!$H$6:$H$95,2)</f>
        <v>0</v>
      </c>
      <c r="N658" s="9" t="n">
        <f aca="false">SUMIFS(ROBA_U_DOLASKU!$C$6:$C$95,ROBA_U_DOLASKU!$A$6:$A$95,A658,ROBA_U_DOLASKU!$H$6:$H$95,3)</f>
        <v>0</v>
      </c>
      <c r="O658" s="9" t="n">
        <f aca="false">SUMIFS(ROBA_U_DOLASKU!$B$6:$B$95,ROBA_U_DOLASKU!$A$6:$A$95,A658,ROBA_U_DOLASKU!$H$6:$H$95,3)</f>
        <v>0</v>
      </c>
      <c r="P658" s="9" t="n">
        <f aca="false">IF(H658&lt;=0,999,IF(O658&gt;0,ROUND((F658-H658*N658+K658+M658+O658)/H658,1),IF(M658&gt;0,ROUND((F658-H658*L658+K658+M658)/H658,1),IF(K658&gt;0,ROUND((F658-H658*J658+K658)/H658,1),I658))))</f>
        <v>999</v>
      </c>
      <c r="Q658" s="22" t="str">
        <f aca="false">IF(H658&lt;=0,"Nema prodaje",IF(AND(K658=0,M658=0,O658=0),IF(I658&lt;POSTAVKE!$B$6,"Naruči odmah","Sve u redu"),IF(F658-H658*J658&lt;0,"Rupa za ~"&amp;TEXT(I658,"0.0")&amp;" mj.",IF(AND(M658&gt;0,F658-H658*L658+K658&lt;0),"Rupa nakon 1. dolaska",IF(AND(O658&gt;0,F658-H658*N658+K658+M658&lt;0),"Rupa nakon 2. dolaska",IF(P658&lt;POSTAVKE!$B$6,"Količina nije dovoljna",IF(I658&gt;=POSTAVKE!$B$6,"Sve u redu","Stiže na vrijeme")))))))</f>
        <v>Nema prodaje</v>
      </c>
      <c r="S658" s="23" t="n">
        <f aca="false">IFERROR(INDEX(PODACI_PRODAJA!B:B,MATCH($A658,PODACI_PRODAJA!$A:$A,0)),0)</f>
        <v>0</v>
      </c>
      <c r="T658" s="23" t="n">
        <f aca="false">IFERROR(INDEX(PODACI_PRODAJA!C:C,MATCH($A658,PODACI_PRODAJA!$A:$A,0)),0)</f>
        <v>0</v>
      </c>
      <c r="U658" s="23" t="n">
        <f aca="false">IFERROR(INDEX(PODACI_PRODAJA!D:D,MATCH($A658,PODACI_PRODAJA!$A:$A,0)),0)</f>
        <v>0</v>
      </c>
      <c r="V658" s="23" t="n">
        <f aca="false">IFERROR(INDEX(PODACI_PRODAJA!E:E,MATCH($A658,PODACI_PRODAJA!$A:$A,0)),0)</f>
        <v>0</v>
      </c>
      <c r="W658" s="23" t="n">
        <f aca="false">IFERROR(INDEX(PODACI_PRODAJA!F:F,MATCH($A658,PODACI_PRODAJA!$A:$A,0)),0)</f>
        <v>0</v>
      </c>
      <c r="X658" s="23" t="n">
        <f aca="false">IFERROR(INDEX(PODACI_PRODAJA!G:G,MATCH($A658,PODACI_PRODAJA!$A:$A,0)),0)</f>
        <v>0</v>
      </c>
      <c r="Y658" s="23" t="n">
        <f aca="false">IFERROR(INDEX(PODACI_PRODAJA!H:H,MATCH($A658,PODACI_PRODAJA!$A:$A,0)),0)</f>
        <v>0</v>
      </c>
      <c r="Z658" s="23" t="n">
        <f aca="false">IFERROR(INDEX(PODACI_PRODAJA!I:I,MATCH($A658,PODACI_PRODAJA!$A:$A,0)),0)</f>
        <v>0</v>
      </c>
      <c r="AA658" s="23" t="n">
        <f aca="false">IFERROR(INDEX(PODACI_PRODAJA!J:J,MATCH($A658,PODACI_PRODAJA!$A:$A,0)),0)</f>
        <v>0</v>
      </c>
      <c r="AB658" s="23" t="n">
        <f aca="false">IFERROR(INDEX(PODACI_PRODAJA!K:K,MATCH($A658,PODACI_PRODAJA!$A:$A,0)),0)</f>
        <v>0</v>
      </c>
      <c r="AC658" s="23" t="n">
        <f aca="false">IFERROR(INDEX(PODACI_PRODAJA!L:L,MATCH($A658,PODACI_PRODAJA!$A:$A,0)),0)</f>
        <v>0</v>
      </c>
      <c r="AD658" s="23" t="n">
        <f aca="false">IFERROR(INDEX(PODACI_PRODAJA!M:M,MATCH($A658,PODACI_PRODAJA!$A:$A,0)),0)</f>
        <v>0</v>
      </c>
    </row>
    <row r="659" customFormat="false" ht="15" hidden="false" customHeight="false" outlineLevel="0" collapsed="false">
      <c r="A659" s="11" t="str">
        <f aca="false">PODACI_ZALIHE!A656</f>
        <v>RDE320192</v>
      </c>
      <c r="B659" s="8" t="str">
        <f aca="false">PODACI_ZALIHE!B656</f>
        <v>BOČNA BRTVA ZA LUGO</v>
      </c>
      <c r="C659" s="9" t="n">
        <f aca="false">PODACI_ZALIHE!C656</f>
        <v>0</v>
      </c>
      <c r="D659" s="8" t="n">
        <f aca="false">PODACI_ZALIHE!D656</f>
        <v>0</v>
      </c>
      <c r="E659" s="19" t="n">
        <f aca="false">IF(PODACI_ZALIHE!E656="","",PODACI_ZALIHE!E656)</f>
        <v>0</v>
      </c>
      <c r="F659" s="20" t="n">
        <f aca="false">PODACI_ZALIHE!F656</f>
        <v>0</v>
      </c>
      <c r="G659" s="19" t="n">
        <f aca="false">IF(E659="","",E659-F659)</f>
        <v>0</v>
      </c>
      <c r="H659" s="9" t="n">
        <v>0</v>
      </c>
      <c r="I659" s="21" t="n">
        <f aca="false">IF(H659&lt;=0,999,ROUND(F659/H659,1))</f>
        <v>999</v>
      </c>
      <c r="J659" s="9" t="n">
        <f aca="false">SUMIFS(ROBA_U_DOLASKU!$C$6:$C$95,ROBA_U_DOLASKU!$A$6:$A$95,A659,ROBA_U_DOLASKU!$H$6:$H$95,1)</f>
        <v>0</v>
      </c>
      <c r="K659" s="9" t="n">
        <f aca="false">SUMIFS(ROBA_U_DOLASKU!$B$6:$B$95,ROBA_U_DOLASKU!$A$6:$A$95,A659,ROBA_U_DOLASKU!$H$6:$H$95,1)</f>
        <v>0</v>
      </c>
      <c r="L659" s="9" t="n">
        <f aca="false">SUMIFS(ROBA_U_DOLASKU!$C$6:$C$95,ROBA_U_DOLASKU!$A$6:$A$95,A659,ROBA_U_DOLASKU!$H$6:$H$95,2)</f>
        <v>0</v>
      </c>
      <c r="M659" s="9" t="n">
        <f aca="false">SUMIFS(ROBA_U_DOLASKU!$B$6:$B$95,ROBA_U_DOLASKU!$A$6:$A$95,A659,ROBA_U_DOLASKU!$H$6:$H$95,2)</f>
        <v>0</v>
      </c>
      <c r="N659" s="9" t="n">
        <f aca="false">SUMIFS(ROBA_U_DOLASKU!$C$6:$C$95,ROBA_U_DOLASKU!$A$6:$A$95,A659,ROBA_U_DOLASKU!$H$6:$H$95,3)</f>
        <v>0</v>
      </c>
      <c r="O659" s="9" t="n">
        <f aca="false">SUMIFS(ROBA_U_DOLASKU!$B$6:$B$95,ROBA_U_DOLASKU!$A$6:$A$95,A659,ROBA_U_DOLASKU!$H$6:$H$95,3)</f>
        <v>0</v>
      </c>
      <c r="P659" s="9" t="n">
        <f aca="false">IF(H659&lt;=0,999,IF(O659&gt;0,ROUND((F659-H659*N659+K659+M659+O659)/H659,1),IF(M659&gt;0,ROUND((F659-H659*L659+K659+M659)/H659,1),IF(K659&gt;0,ROUND((F659-H659*J659+K659)/H659,1),I659))))</f>
        <v>999</v>
      </c>
      <c r="Q659" s="22" t="str">
        <f aca="false">IF(H659&lt;=0,"Nema prodaje",IF(AND(K659=0,M659=0,O659=0),IF(I659&lt;POSTAVKE!$B$6,"Naruči odmah","Sve u redu"),IF(F659-H659*J659&lt;0,"Rupa za ~"&amp;TEXT(I659,"0.0")&amp;" mj.",IF(AND(M659&gt;0,F659-H659*L659+K659&lt;0),"Rupa nakon 1. dolaska",IF(AND(O659&gt;0,F659-H659*N659+K659+M659&lt;0),"Rupa nakon 2. dolaska",IF(P659&lt;POSTAVKE!$B$6,"Količina nije dovoljna",IF(I659&gt;=POSTAVKE!$B$6,"Sve u redu","Stiže na vrijeme")))))))</f>
        <v>Nema prodaje</v>
      </c>
      <c r="S659" s="23" t="n">
        <f aca="false">IFERROR(INDEX(PODACI_PRODAJA!B:B,MATCH($A659,PODACI_PRODAJA!$A:$A,0)),0)</f>
        <v>0</v>
      </c>
      <c r="T659" s="23" t="n">
        <f aca="false">IFERROR(INDEX(PODACI_PRODAJA!C:C,MATCH($A659,PODACI_PRODAJA!$A:$A,0)),0)</f>
        <v>0</v>
      </c>
      <c r="U659" s="23" t="n">
        <f aca="false">IFERROR(INDEX(PODACI_PRODAJA!D:D,MATCH($A659,PODACI_PRODAJA!$A:$A,0)),0)</f>
        <v>0</v>
      </c>
      <c r="V659" s="23" t="n">
        <f aca="false">IFERROR(INDEX(PODACI_PRODAJA!E:E,MATCH($A659,PODACI_PRODAJA!$A:$A,0)),0)</f>
        <v>0</v>
      </c>
      <c r="W659" s="23" t="n">
        <f aca="false">IFERROR(INDEX(PODACI_PRODAJA!F:F,MATCH($A659,PODACI_PRODAJA!$A:$A,0)),0)</f>
        <v>0</v>
      </c>
      <c r="X659" s="23" t="n">
        <f aca="false">IFERROR(INDEX(PODACI_PRODAJA!G:G,MATCH($A659,PODACI_PRODAJA!$A:$A,0)),0)</f>
        <v>0</v>
      </c>
      <c r="Y659" s="23" t="n">
        <f aca="false">IFERROR(INDEX(PODACI_PRODAJA!H:H,MATCH($A659,PODACI_PRODAJA!$A:$A,0)),0)</f>
        <v>0</v>
      </c>
      <c r="Z659" s="23" t="n">
        <f aca="false">IFERROR(INDEX(PODACI_PRODAJA!I:I,MATCH($A659,PODACI_PRODAJA!$A:$A,0)),0)</f>
        <v>0</v>
      </c>
      <c r="AA659" s="23" t="n">
        <f aca="false">IFERROR(INDEX(PODACI_PRODAJA!J:J,MATCH($A659,PODACI_PRODAJA!$A:$A,0)),0)</f>
        <v>0</v>
      </c>
      <c r="AB659" s="23" t="n">
        <f aca="false">IFERROR(INDEX(PODACI_PRODAJA!K:K,MATCH($A659,PODACI_PRODAJA!$A:$A,0)),0)</f>
        <v>0</v>
      </c>
      <c r="AC659" s="23" t="n">
        <f aca="false">IFERROR(INDEX(PODACI_PRODAJA!L:L,MATCH($A659,PODACI_PRODAJA!$A:$A,0)),0)</f>
        <v>0</v>
      </c>
      <c r="AD659" s="23" t="n">
        <f aca="false">IFERROR(INDEX(PODACI_PRODAJA!M:M,MATCH($A659,PODACI_PRODAJA!$A:$A,0)),0)</f>
        <v>0</v>
      </c>
    </row>
    <row r="660" customFormat="false" ht="15" hidden="false" customHeight="false" outlineLevel="0" collapsed="false">
      <c r="A660" s="11" t="str">
        <f aca="false">PODACI_ZALIHE!A657</f>
        <v>RDE4232</v>
      </c>
      <c r="B660" s="8" t="str">
        <f aca="false">PODACI_ZALIHE!B657</f>
        <v>MEIRA MAGNETNA BRTVA</v>
      </c>
      <c r="C660" s="9" t="n">
        <f aca="false">PODACI_ZALIHE!C657</f>
        <v>0</v>
      </c>
      <c r="D660" s="8" t="n">
        <f aca="false">PODACI_ZALIHE!D657</f>
        <v>0</v>
      </c>
      <c r="E660" s="19" t="str">
        <f aca="false">IF(PODACI_ZALIHE!E657="","",PODACI_ZALIHE!E657)</f>
        <v/>
      </c>
      <c r="F660" s="20" t="n">
        <f aca="false">PODACI_ZALIHE!F657</f>
        <v>0</v>
      </c>
      <c r="G660" s="19" t="str">
        <f aca="false">IF(E660="","",E660-F660)</f>
        <v/>
      </c>
      <c r="H660" s="9" t="n">
        <v>0</v>
      </c>
      <c r="I660" s="21" t="n">
        <f aca="false">IF(H660&lt;=0,999,ROUND(F660/H660,1))</f>
        <v>999</v>
      </c>
      <c r="J660" s="9" t="n">
        <f aca="false">SUMIFS(ROBA_U_DOLASKU!$C$6:$C$95,ROBA_U_DOLASKU!$A$6:$A$95,A660,ROBA_U_DOLASKU!$H$6:$H$95,1)</f>
        <v>0</v>
      </c>
      <c r="K660" s="9" t="n">
        <f aca="false">SUMIFS(ROBA_U_DOLASKU!$B$6:$B$95,ROBA_U_DOLASKU!$A$6:$A$95,A660,ROBA_U_DOLASKU!$H$6:$H$95,1)</f>
        <v>0</v>
      </c>
      <c r="L660" s="9" t="n">
        <f aca="false">SUMIFS(ROBA_U_DOLASKU!$C$6:$C$95,ROBA_U_DOLASKU!$A$6:$A$95,A660,ROBA_U_DOLASKU!$H$6:$H$95,2)</f>
        <v>0</v>
      </c>
      <c r="M660" s="9" t="n">
        <f aca="false">SUMIFS(ROBA_U_DOLASKU!$B$6:$B$95,ROBA_U_DOLASKU!$A$6:$A$95,A660,ROBA_U_DOLASKU!$H$6:$H$95,2)</f>
        <v>0</v>
      </c>
      <c r="N660" s="9" t="n">
        <f aca="false">SUMIFS(ROBA_U_DOLASKU!$C$6:$C$95,ROBA_U_DOLASKU!$A$6:$A$95,A660,ROBA_U_DOLASKU!$H$6:$H$95,3)</f>
        <v>0</v>
      </c>
      <c r="O660" s="9" t="n">
        <f aca="false">SUMIFS(ROBA_U_DOLASKU!$B$6:$B$95,ROBA_U_DOLASKU!$A$6:$A$95,A660,ROBA_U_DOLASKU!$H$6:$H$95,3)</f>
        <v>0</v>
      </c>
      <c r="P660" s="9" t="n">
        <f aca="false">IF(H660&lt;=0,999,IF(O660&gt;0,ROUND((F660-H660*N660+K660+M660+O660)/H660,1),IF(M660&gt;0,ROUND((F660-H660*L660+K660+M660)/H660,1),IF(K660&gt;0,ROUND((F660-H660*J660+K660)/H660,1),I660))))</f>
        <v>999</v>
      </c>
      <c r="Q660" s="22" t="str">
        <f aca="false">IF(H660&lt;=0,"Nema prodaje",IF(AND(K660=0,M660=0,O660=0),IF(I660&lt;POSTAVKE!$B$6,"Naruči odmah","Sve u redu"),IF(F660-H660*J660&lt;0,"Rupa za ~"&amp;TEXT(I660,"0.0")&amp;" mj.",IF(AND(M660&gt;0,F660-H660*L660+K660&lt;0),"Rupa nakon 1. dolaska",IF(AND(O660&gt;0,F660-H660*N660+K660+M660&lt;0),"Rupa nakon 2. dolaska",IF(P660&lt;POSTAVKE!$B$6,"Količina nije dovoljna",IF(I660&gt;=POSTAVKE!$B$6,"Sve u redu","Stiže na vrijeme")))))))</f>
        <v>Nema prodaje</v>
      </c>
      <c r="S660" s="23" t="n">
        <f aca="false">IFERROR(INDEX(PODACI_PRODAJA!B:B,MATCH($A660,PODACI_PRODAJA!$A:$A,0)),0)</f>
        <v>0</v>
      </c>
      <c r="T660" s="23" t="n">
        <f aca="false">IFERROR(INDEX(PODACI_PRODAJA!C:C,MATCH($A660,PODACI_PRODAJA!$A:$A,0)),0)</f>
        <v>0</v>
      </c>
      <c r="U660" s="23" t="n">
        <f aca="false">IFERROR(INDEX(PODACI_PRODAJA!D:D,MATCH($A660,PODACI_PRODAJA!$A:$A,0)),0)</f>
        <v>0</v>
      </c>
      <c r="V660" s="23" t="n">
        <f aca="false">IFERROR(INDEX(PODACI_PRODAJA!E:E,MATCH($A660,PODACI_PRODAJA!$A:$A,0)),0)</f>
        <v>0</v>
      </c>
      <c r="W660" s="23" t="n">
        <f aca="false">IFERROR(INDEX(PODACI_PRODAJA!F:F,MATCH($A660,PODACI_PRODAJA!$A:$A,0)),0)</f>
        <v>0</v>
      </c>
      <c r="X660" s="23" t="n">
        <f aca="false">IFERROR(INDEX(PODACI_PRODAJA!G:G,MATCH($A660,PODACI_PRODAJA!$A:$A,0)),0)</f>
        <v>0</v>
      </c>
      <c r="Y660" s="23" t="n">
        <f aca="false">IFERROR(INDEX(PODACI_PRODAJA!H:H,MATCH($A660,PODACI_PRODAJA!$A:$A,0)),0)</f>
        <v>0</v>
      </c>
      <c r="Z660" s="23" t="n">
        <f aca="false">IFERROR(INDEX(PODACI_PRODAJA!I:I,MATCH($A660,PODACI_PRODAJA!$A:$A,0)),0)</f>
        <v>0</v>
      </c>
      <c r="AA660" s="23" t="n">
        <f aca="false">IFERROR(INDEX(PODACI_PRODAJA!J:J,MATCH($A660,PODACI_PRODAJA!$A:$A,0)),0)</f>
        <v>0</v>
      </c>
      <c r="AB660" s="23" t="n">
        <f aca="false">IFERROR(INDEX(PODACI_PRODAJA!K:K,MATCH($A660,PODACI_PRODAJA!$A:$A,0)),0)</f>
        <v>0</v>
      </c>
      <c r="AC660" s="23" t="n">
        <f aca="false">IFERROR(INDEX(PODACI_PRODAJA!L:L,MATCH($A660,PODACI_PRODAJA!$A:$A,0)),0)</f>
        <v>0</v>
      </c>
      <c r="AD660" s="23" t="n">
        <f aca="false">IFERROR(INDEX(PODACI_PRODAJA!M:M,MATCH($A660,PODACI_PRODAJA!$A:$A,0)),0)</f>
        <v>0</v>
      </c>
    </row>
    <row r="661" customFormat="false" ht="15" hidden="false" customHeight="false" outlineLevel="0" collapsed="false">
      <c r="A661" s="11" t="str">
        <f aca="false">PODACI_ZALIHE!A658</f>
        <v>00111926</v>
      </c>
      <c r="B661" s="8" t="str">
        <f aca="false">PODACI_ZALIHE!B658</f>
        <v>OGLEDALO ZA KAROLINU 70- DIM 707 X489</v>
      </c>
      <c r="C661" s="9" t="str">
        <f aca="false">PODACI_ZALIHE!C658</f>
        <v>6032</v>
      </c>
      <c r="D661" s="8" t="str">
        <f aca="false">PODACI_ZALIHE!D658</f>
        <v>HANGZHOU ZIHAN MIRROR INDUSTRY CO., LTD.</v>
      </c>
      <c r="E661" s="19" t="n">
        <f aca="false">IF(PODACI_ZALIHE!E658="","",PODACI_ZALIHE!E658)</f>
        <v>0</v>
      </c>
      <c r="F661" s="20" t="n">
        <f aca="false">PODACI_ZALIHE!F658</f>
        <v>0</v>
      </c>
      <c r="G661" s="19" t="n">
        <f aca="false">IF(E661="","",E661-F661)</f>
        <v>0</v>
      </c>
      <c r="H661" s="9" t="n">
        <v>0</v>
      </c>
      <c r="I661" s="21" t="n">
        <f aca="false">IF(H661&lt;=0,999,ROUND(F661/H661,1))</f>
        <v>999</v>
      </c>
      <c r="J661" s="9" t="n">
        <f aca="false">SUMIFS(ROBA_U_DOLASKU!$C$6:$C$95,ROBA_U_DOLASKU!$A$6:$A$95,A661,ROBA_U_DOLASKU!$H$6:$H$95,1)</f>
        <v>0</v>
      </c>
      <c r="K661" s="9" t="n">
        <f aca="false">SUMIFS(ROBA_U_DOLASKU!$B$6:$B$95,ROBA_U_DOLASKU!$A$6:$A$95,A661,ROBA_U_DOLASKU!$H$6:$H$95,1)</f>
        <v>0</v>
      </c>
      <c r="L661" s="9" t="n">
        <f aca="false">SUMIFS(ROBA_U_DOLASKU!$C$6:$C$95,ROBA_U_DOLASKU!$A$6:$A$95,A661,ROBA_U_DOLASKU!$H$6:$H$95,2)</f>
        <v>0</v>
      </c>
      <c r="M661" s="9" t="n">
        <f aca="false">SUMIFS(ROBA_U_DOLASKU!$B$6:$B$95,ROBA_U_DOLASKU!$A$6:$A$95,A661,ROBA_U_DOLASKU!$H$6:$H$95,2)</f>
        <v>0</v>
      </c>
      <c r="N661" s="9" t="n">
        <f aca="false">SUMIFS(ROBA_U_DOLASKU!$C$6:$C$95,ROBA_U_DOLASKU!$A$6:$A$95,A661,ROBA_U_DOLASKU!$H$6:$H$95,3)</f>
        <v>0</v>
      </c>
      <c r="O661" s="9" t="n">
        <f aca="false">SUMIFS(ROBA_U_DOLASKU!$B$6:$B$95,ROBA_U_DOLASKU!$A$6:$A$95,A661,ROBA_U_DOLASKU!$H$6:$H$95,3)</f>
        <v>0</v>
      </c>
      <c r="P661" s="9" t="n">
        <f aca="false">IF(H661&lt;=0,999,IF(O661&gt;0,ROUND((F661-H661*N661+K661+M661+O661)/H661,1),IF(M661&gt;0,ROUND((F661-H661*L661+K661+M661)/H661,1),IF(K661&gt;0,ROUND((F661-H661*J661+K661)/H661,1),I661))))</f>
        <v>999</v>
      </c>
      <c r="Q661" s="22" t="str">
        <f aca="false">IF(H661&lt;=0,"Nema prodaje",IF(AND(K661=0,M661=0,O661=0),IF(I661&lt;POSTAVKE!$B$6,"Naruči odmah","Sve u redu"),IF(F661-H661*J661&lt;0,"Rupa za ~"&amp;TEXT(I661,"0.0")&amp;" mj.",IF(AND(M661&gt;0,F661-H661*L661+K661&lt;0),"Rupa nakon 1. dolaska",IF(AND(O661&gt;0,F661-H661*N661+K661+M661&lt;0),"Rupa nakon 2. dolaska",IF(P661&lt;POSTAVKE!$B$6,"Količina nije dovoljna",IF(I661&gt;=POSTAVKE!$B$6,"Sve u redu","Stiže na vrijeme")))))))</f>
        <v>Nema prodaje</v>
      </c>
      <c r="S661" s="23" t="n">
        <f aca="false">IFERROR(INDEX(PODACI_PRODAJA!B:B,MATCH($A661,PODACI_PRODAJA!$A:$A,0)),0)</f>
        <v>0</v>
      </c>
      <c r="T661" s="23" t="n">
        <f aca="false">IFERROR(INDEX(PODACI_PRODAJA!C:C,MATCH($A661,PODACI_PRODAJA!$A:$A,0)),0)</f>
        <v>0</v>
      </c>
      <c r="U661" s="23" t="n">
        <f aca="false">IFERROR(INDEX(PODACI_PRODAJA!D:D,MATCH($A661,PODACI_PRODAJA!$A:$A,0)),0)</f>
        <v>0</v>
      </c>
      <c r="V661" s="23" t="n">
        <f aca="false">IFERROR(INDEX(PODACI_PRODAJA!E:E,MATCH($A661,PODACI_PRODAJA!$A:$A,0)),0)</f>
        <v>0</v>
      </c>
      <c r="W661" s="23" t="n">
        <f aca="false">IFERROR(INDEX(PODACI_PRODAJA!F:F,MATCH($A661,PODACI_PRODAJA!$A:$A,0)),0)</f>
        <v>0</v>
      </c>
      <c r="X661" s="23" t="n">
        <f aca="false">IFERROR(INDEX(PODACI_PRODAJA!G:G,MATCH($A661,PODACI_PRODAJA!$A:$A,0)),0)</f>
        <v>0</v>
      </c>
      <c r="Y661" s="23" t="n">
        <f aca="false">IFERROR(INDEX(PODACI_PRODAJA!H:H,MATCH($A661,PODACI_PRODAJA!$A:$A,0)),0)</f>
        <v>0</v>
      </c>
      <c r="Z661" s="23" t="n">
        <f aca="false">IFERROR(INDEX(PODACI_PRODAJA!I:I,MATCH($A661,PODACI_PRODAJA!$A:$A,0)),0)</f>
        <v>0</v>
      </c>
      <c r="AA661" s="23" t="n">
        <f aca="false">IFERROR(INDEX(PODACI_PRODAJA!J:J,MATCH($A661,PODACI_PRODAJA!$A:$A,0)),0)</f>
        <v>0</v>
      </c>
      <c r="AB661" s="23" t="n">
        <f aca="false">IFERROR(INDEX(PODACI_PRODAJA!K:K,MATCH($A661,PODACI_PRODAJA!$A:$A,0)),0)</f>
        <v>0</v>
      </c>
      <c r="AC661" s="23" t="n">
        <f aca="false">IFERROR(INDEX(PODACI_PRODAJA!L:L,MATCH($A661,PODACI_PRODAJA!$A:$A,0)),0)</f>
        <v>0</v>
      </c>
      <c r="AD661" s="23" t="n">
        <f aca="false">IFERROR(INDEX(PODACI_PRODAJA!M:M,MATCH($A661,PODACI_PRODAJA!$A:$A,0)),0)</f>
        <v>0</v>
      </c>
    </row>
    <row r="662" customFormat="false" ht="15" hidden="false" customHeight="false" outlineLevel="0" collapsed="false">
      <c r="A662" s="11" t="str">
        <f aca="false">PODACI_ZALIHE!A659</f>
        <v>00111930</v>
      </c>
      <c r="B662" s="8" t="str">
        <f aca="false">PODACI_ZALIHE!B659</f>
        <v>OGLEDALO 639X210 TOALETNI ORMARI</v>
      </c>
      <c r="C662" s="9" t="str">
        <f aca="false">PODACI_ZALIHE!C659</f>
        <v>6032</v>
      </c>
      <c r="D662" s="8" t="str">
        <f aca="false">PODACI_ZALIHE!D659</f>
        <v>HANGZHOU ZIHAN MIRROR INDUSTRY CO., LTD.</v>
      </c>
      <c r="E662" s="19" t="n">
        <f aca="false">IF(PODACI_ZALIHE!E659="","",PODACI_ZALIHE!E659)</f>
        <v>0</v>
      </c>
      <c r="F662" s="20" t="n">
        <f aca="false">PODACI_ZALIHE!F659</f>
        <v>0</v>
      </c>
      <c r="G662" s="19" t="n">
        <f aca="false">IF(E662="","",E662-F662)</f>
        <v>0</v>
      </c>
      <c r="H662" s="9" t="n">
        <v>0</v>
      </c>
      <c r="I662" s="21" t="n">
        <f aca="false">IF(H662&lt;=0,999,ROUND(F662/H662,1))</f>
        <v>999</v>
      </c>
      <c r="J662" s="9" t="n">
        <f aca="false">SUMIFS(ROBA_U_DOLASKU!$C$6:$C$95,ROBA_U_DOLASKU!$A$6:$A$95,A662,ROBA_U_DOLASKU!$H$6:$H$95,1)</f>
        <v>0</v>
      </c>
      <c r="K662" s="9" t="n">
        <f aca="false">SUMIFS(ROBA_U_DOLASKU!$B$6:$B$95,ROBA_U_DOLASKU!$A$6:$A$95,A662,ROBA_U_DOLASKU!$H$6:$H$95,1)</f>
        <v>0</v>
      </c>
      <c r="L662" s="9" t="n">
        <f aca="false">SUMIFS(ROBA_U_DOLASKU!$C$6:$C$95,ROBA_U_DOLASKU!$A$6:$A$95,A662,ROBA_U_DOLASKU!$H$6:$H$95,2)</f>
        <v>0</v>
      </c>
      <c r="M662" s="9" t="n">
        <f aca="false">SUMIFS(ROBA_U_DOLASKU!$B$6:$B$95,ROBA_U_DOLASKU!$A$6:$A$95,A662,ROBA_U_DOLASKU!$H$6:$H$95,2)</f>
        <v>0</v>
      </c>
      <c r="N662" s="9" t="n">
        <f aca="false">SUMIFS(ROBA_U_DOLASKU!$C$6:$C$95,ROBA_U_DOLASKU!$A$6:$A$95,A662,ROBA_U_DOLASKU!$H$6:$H$95,3)</f>
        <v>0</v>
      </c>
      <c r="O662" s="9" t="n">
        <f aca="false">SUMIFS(ROBA_U_DOLASKU!$B$6:$B$95,ROBA_U_DOLASKU!$A$6:$A$95,A662,ROBA_U_DOLASKU!$H$6:$H$95,3)</f>
        <v>0</v>
      </c>
      <c r="P662" s="9" t="n">
        <f aca="false">IF(H662&lt;=0,999,IF(O662&gt;0,ROUND((F662-H662*N662+K662+M662+O662)/H662,1),IF(M662&gt;0,ROUND((F662-H662*L662+K662+M662)/H662,1),IF(K662&gt;0,ROUND((F662-H662*J662+K662)/H662,1),I662))))</f>
        <v>999</v>
      </c>
      <c r="Q662" s="22" t="str">
        <f aca="false">IF(H662&lt;=0,"Nema prodaje",IF(AND(K662=0,M662=0,O662=0),IF(I662&lt;POSTAVKE!$B$6,"Naruči odmah","Sve u redu"),IF(F662-H662*J662&lt;0,"Rupa za ~"&amp;TEXT(I662,"0.0")&amp;" mj.",IF(AND(M662&gt;0,F662-H662*L662+K662&lt;0),"Rupa nakon 1. dolaska",IF(AND(O662&gt;0,F662-H662*N662+K662+M662&lt;0),"Rupa nakon 2. dolaska",IF(P662&lt;POSTAVKE!$B$6,"Količina nije dovoljna",IF(I662&gt;=POSTAVKE!$B$6,"Sve u redu","Stiže na vrijeme")))))))</f>
        <v>Nema prodaje</v>
      </c>
      <c r="S662" s="23" t="n">
        <f aca="false">IFERROR(INDEX(PODACI_PRODAJA!B:B,MATCH($A662,PODACI_PRODAJA!$A:$A,0)),0)</f>
        <v>0</v>
      </c>
      <c r="T662" s="23" t="n">
        <f aca="false">IFERROR(INDEX(PODACI_PRODAJA!C:C,MATCH($A662,PODACI_PRODAJA!$A:$A,0)),0)</f>
        <v>0</v>
      </c>
      <c r="U662" s="23" t="n">
        <f aca="false">IFERROR(INDEX(PODACI_PRODAJA!D:D,MATCH($A662,PODACI_PRODAJA!$A:$A,0)),0)</f>
        <v>0</v>
      </c>
      <c r="V662" s="23" t="n">
        <f aca="false">IFERROR(INDEX(PODACI_PRODAJA!E:E,MATCH($A662,PODACI_PRODAJA!$A:$A,0)),0)</f>
        <v>0</v>
      </c>
      <c r="W662" s="23" t="n">
        <f aca="false">IFERROR(INDEX(PODACI_PRODAJA!F:F,MATCH($A662,PODACI_PRODAJA!$A:$A,0)),0)</f>
        <v>0</v>
      </c>
      <c r="X662" s="23" t="n">
        <f aca="false">IFERROR(INDEX(PODACI_PRODAJA!G:G,MATCH($A662,PODACI_PRODAJA!$A:$A,0)),0)</f>
        <v>0</v>
      </c>
      <c r="Y662" s="23" t="n">
        <f aca="false">IFERROR(INDEX(PODACI_PRODAJA!H:H,MATCH($A662,PODACI_PRODAJA!$A:$A,0)),0)</f>
        <v>0</v>
      </c>
      <c r="Z662" s="23" t="n">
        <f aca="false">IFERROR(INDEX(PODACI_PRODAJA!I:I,MATCH($A662,PODACI_PRODAJA!$A:$A,0)),0)</f>
        <v>0</v>
      </c>
      <c r="AA662" s="23" t="n">
        <f aca="false">IFERROR(INDEX(PODACI_PRODAJA!J:J,MATCH($A662,PODACI_PRODAJA!$A:$A,0)),0)</f>
        <v>0</v>
      </c>
      <c r="AB662" s="23" t="n">
        <f aca="false">IFERROR(INDEX(PODACI_PRODAJA!K:K,MATCH($A662,PODACI_PRODAJA!$A:$A,0)),0)</f>
        <v>0</v>
      </c>
      <c r="AC662" s="23" t="n">
        <f aca="false">IFERROR(INDEX(PODACI_PRODAJA!L:L,MATCH($A662,PODACI_PRODAJA!$A:$A,0)),0)</f>
        <v>0</v>
      </c>
      <c r="AD662" s="23" t="n">
        <f aca="false">IFERROR(INDEX(PODACI_PRODAJA!M:M,MATCH($A662,PODACI_PRODAJA!$A:$A,0)),0)</f>
        <v>0</v>
      </c>
    </row>
    <row r="663" customFormat="false" ht="15" hidden="false" customHeight="false" outlineLevel="0" collapsed="false">
      <c r="A663" s="11" t="str">
        <f aca="false">PODACI_ZALIHE!A660</f>
        <v>00111932</v>
      </c>
      <c r="B663" s="8" t="str">
        <f aca="false">PODACI_ZALIHE!B660</f>
        <v>OGLEDALO JULIA 60- 639X368 VELIKO</v>
      </c>
      <c r="C663" s="9" t="str">
        <f aca="false">PODACI_ZALIHE!C660</f>
        <v>6032</v>
      </c>
      <c r="D663" s="8" t="str">
        <f aca="false">PODACI_ZALIHE!D660</f>
        <v>HANGZHOU ZIHAN MIRROR INDUSTRY CO., LTD.</v>
      </c>
      <c r="E663" s="19" t="n">
        <f aca="false">IF(PODACI_ZALIHE!E660="","",PODACI_ZALIHE!E660)</f>
        <v>0</v>
      </c>
      <c r="F663" s="20" t="n">
        <f aca="false">PODACI_ZALIHE!F660</f>
        <v>0</v>
      </c>
      <c r="G663" s="19" t="n">
        <f aca="false">IF(E663="","",E663-F663)</f>
        <v>0</v>
      </c>
      <c r="H663" s="9" t="n">
        <v>0</v>
      </c>
      <c r="I663" s="21" t="n">
        <f aca="false">IF(H663&lt;=0,999,ROUND(F663/H663,1))</f>
        <v>999</v>
      </c>
      <c r="J663" s="9" t="n">
        <f aca="false">SUMIFS(ROBA_U_DOLASKU!$C$6:$C$95,ROBA_U_DOLASKU!$A$6:$A$95,A663,ROBA_U_DOLASKU!$H$6:$H$95,1)</f>
        <v>0</v>
      </c>
      <c r="K663" s="9" t="n">
        <f aca="false">SUMIFS(ROBA_U_DOLASKU!$B$6:$B$95,ROBA_U_DOLASKU!$A$6:$A$95,A663,ROBA_U_DOLASKU!$H$6:$H$95,1)</f>
        <v>0</v>
      </c>
      <c r="L663" s="9" t="n">
        <f aca="false">SUMIFS(ROBA_U_DOLASKU!$C$6:$C$95,ROBA_U_DOLASKU!$A$6:$A$95,A663,ROBA_U_DOLASKU!$H$6:$H$95,2)</f>
        <v>0</v>
      </c>
      <c r="M663" s="9" t="n">
        <f aca="false">SUMIFS(ROBA_U_DOLASKU!$B$6:$B$95,ROBA_U_DOLASKU!$A$6:$A$95,A663,ROBA_U_DOLASKU!$H$6:$H$95,2)</f>
        <v>0</v>
      </c>
      <c r="N663" s="9" t="n">
        <f aca="false">SUMIFS(ROBA_U_DOLASKU!$C$6:$C$95,ROBA_U_DOLASKU!$A$6:$A$95,A663,ROBA_U_DOLASKU!$H$6:$H$95,3)</f>
        <v>0</v>
      </c>
      <c r="O663" s="9" t="n">
        <f aca="false">SUMIFS(ROBA_U_DOLASKU!$B$6:$B$95,ROBA_U_DOLASKU!$A$6:$A$95,A663,ROBA_U_DOLASKU!$H$6:$H$95,3)</f>
        <v>0</v>
      </c>
      <c r="P663" s="9" t="n">
        <f aca="false">IF(H663&lt;=0,999,IF(O663&gt;0,ROUND((F663-H663*N663+K663+M663+O663)/H663,1),IF(M663&gt;0,ROUND((F663-H663*L663+K663+M663)/H663,1),IF(K663&gt;0,ROUND((F663-H663*J663+K663)/H663,1),I663))))</f>
        <v>999</v>
      </c>
      <c r="Q663" s="22" t="str">
        <f aca="false">IF(H663&lt;=0,"Nema prodaje",IF(AND(K663=0,M663=0,O663=0),IF(I663&lt;POSTAVKE!$B$6,"Naruči odmah","Sve u redu"),IF(F663-H663*J663&lt;0,"Rupa za ~"&amp;TEXT(I663,"0.0")&amp;" mj.",IF(AND(M663&gt;0,F663-H663*L663+K663&lt;0),"Rupa nakon 1. dolaska",IF(AND(O663&gt;0,F663-H663*N663+K663+M663&lt;0),"Rupa nakon 2. dolaska",IF(P663&lt;POSTAVKE!$B$6,"Količina nije dovoljna",IF(I663&gt;=POSTAVKE!$B$6,"Sve u redu","Stiže na vrijeme")))))))</f>
        <v>Nema prodaje</v>
      </c>
      <c r="S663" s="23" t="n">
        <f aca="false">IFERROR(INDEX(PODACI_PRODAJA!B:B,MATCH($A663,PODACI_PRODAJA!$A:$A,0)),0)</f>
        <v>0</v>
      </c>
      <c r="T663" s="23" t="n">
        <f aca="false">IFERROR(INDEX(PODACI_PRODAJA!C:C,MATCH($A663,PODACI_PRODAJA!$A:$A,0)),0)</f>
        <v>0</v>
      </c>
      <c r="U663" s="23" t="n">
        <f aca="false">IFERROR(INDEX(PODACI_PRODAJA!D:D,MATCH($A663,PODACI_PRODAJA!$A:$A,0)),0)</f>
        <v>0</v>
      </c>
      <c r="V663" s="23" t="n">
        <f aca="false">IFERROR(INDEX(PODACI_PRODAJA!E:E,MATCH($A663,PODACI_PRODAJA!$A:$A,0)),0)</f>
        <v>0</v>
      </c>
      <c r="W663" s="23" t="n">
        <f aca="false">IFERROR(INDEX(PODACI_PRODAJA!F:F,MATCH($A663,PODACI_PRODAJA!$A:$A,0)),0)</f>
        <v>0</v>
      </c>
      <c r="X663" s="23" t="n">
        <f aca="false">IFERROR(INDEX(PODACI_PRODAJA!G:G,MATCH($A663,PODACI_PRODAJA!$A:$A,0)),0)</f>
        <v>0</v>
      </c>
      <c r="Y663" s="23" t="n">
        <f aca="false">IFERROR(INDEX(PODACI_PRODAJA!H:H,MATCH($A663,PODACI_PRODAJA!$A:$A,0)),0)</f>
        <v>0</v>
      </c>
      <c r="Z663" s="23" t="n">
        <f aca="false">IFERROR(INDEX(PODACI_PRODAJA!I:I,MATCH($A663,PODACI_PRODAJA!$A:$A,0)),0)</f>
        <v>0</v>
      </c>
      <c r="AA663" s="23" t="n">
        <f aca="false">IFERROR(INDEX(PODACI_PRODAJA!J:J,MATCH($A663,PODACI_PRODAJA!$A:$A,0)),0)</f>
        <v>0</v>
      </c>
      <c r="AB663" s="23" t="n">
        <f aca="false">IFERROR(INDEX(PODACI_PRODAJA!K:K,MATCH($A663,PODACI_PRODAJA!$A:$A,0)),0)</f>
        <v>0</v>
      </c>
      <c r="AC663" s="23" t="n">
        <f aca="false">IFERROR(INDEX(PODACI_PRODAJA!L:L,MATCH($A663,PODACI_PRODAJA!$A:$A,0)),0)</f>
        <v>0</v>
      </c>
      <c r="AD663" s="23" t="n">
        <f aca="false">IFERROR(INDEX(PODACI_PRODAJA!M:M,MATCH($A663,PODACI_PRODAJA!$A:$A,0)),0)</f>
        <v>0</v>
      </c>
    </row>
    <row r="664" customFormat="false" ht="15" hidden="false" customHeight="false" outlineLevel="0" collapsed="false">
      <c r="A664" s="11" t="str">
        <f aca="false">PODACI_ZALIHE!A661</f>
        <v>00111936</v>
      </c>
      <c r="B664" s="8" t="str">
        <f aca="false">PODACI_ZALIHE!B661</f>
        <v>OGLEDALO JULIA 100- 639 X 568 VELIKO</v>
      </c>
      <c r="C664" s="9" t="str">
        <f aca="false">PODACI_ZALIHE!C661</f>
        <v>6032</v>
      </c>
      <c r="D664" s="8" t="str">
        <f aca="false">PODACI_ZALIHE!D661</f>
        <v>HANGZHOU ZIHAN MIRROR INDUSTRY CO., LTD.</v>
      </c>
      <c r="E664" s="19" t="n">
        <f aca="false">IF(PODACI_ZALIHE!E661="","",PODACI_ZALIHE!E661)</f>
        <v>0</v>
      </c>
      <c r="F664" s="20" t="n">
        <f aca="false">PODACI_ZALIHE!F661</f>
        <v>0</v>
      </c>
      <c r="G664" s="19" t="n">
        <f aca="false">IF(E664="","",E664-F664)</f>
        <v>0</v>
      </c>
      <c r="H664" s="9" t="n">
        <v>0</v>
      </c>
      <c r="I664" s="21" t="n">
        <f aca="false">IF(H664&lt;=0,999,ROUND(F664/H664,1))</f>
        <v>999</v>
      </c>
      <c r="J664" s="9" t="n">
        <f aca="false">SUMIFS(ROBA_U_DOLASKU!$C$6:$C$95,ROBA_U_DOLASKU!$A$6:$A$95,A664,ROBA_U_DOLASKU!$H$6:$H$95,1)</f>
        <v>0</v>
      </c>
      <c r="K664" s="9" t="n">
        <f aca="false">SUMIFS(ROBA_U_DOLASKU!$B$6:$B$95,ROBA_U_DOLASKU!$A$6:$A$95,A664,ROBA_U_DOLASKU!$H$6:$H$95,1)</f>
        <v>0</v>
      </c>
      <c r="L664" s="9" t="n">
        <f aca="false">SUMIFS(ROBA_U_DOLASKU!$C$6:$C$95,ROBA_U_DOLASKU!$A$6:$A$95,A664,ROBA_U_DOLASKU!$H$6:$H$95,2)</f>
        <v>0</v>
      </c>
      <c r="M664" s="9" t="n">
        <f aca="false">SUMIFS(ROBA_U_DOLASKU!$B$6:$B$95,ROBA_U_DOLASKU!$A$6:$A$95,A664,ROBA_U_DOLASKU!$H$6:$H$95,2)</f>
        <v>0</v>
      </c>
      <c r="N664" s="9" t="n">
        <f aca="false">SUMIFS(ROBA_U_DOLASKU!$C$6:$C$95,ROBA_U_DOLASKU!$A$6:$A$95,A664,ROBA_U_DOLASKU!$H$6:$H$95,3)</f>
        <v>0</v>
      </c>
      <c r="O664" s="9" t="n">
        <f aca="false">SUMIFS(ROBA_U_DOLASKU!$B$6:$B$95,ROBA_U_DOLASKU!$A$6:$A$95,A664,ROBA_U_DOLASKU!$H$6:$H$95,3)</f>
        <v>0</v>
      </c>
      <c r="P664" s="9" t="n">
        <f aca="false">IF(H664&lt;=0,999,IF(O664&gt;0,ROUND((F664-H664*N664+K664+M664+O664)/H664,1),IF(M664&gt;0,ROUND((F664-H664*L664+K664+M664)/H664,1),IF(K664&gt;0,ROUND((F664-H664*J664+K664)/H664,1),I664))))</f>
        <v>999</v>
      </c>
      <c r="Q664" s="22" t="str">
        <f aca="false">IF(H664&lt;=0,"Nema prodaje",IF(AND(K664=0,M664=0,O664=0),IF(I664&lt;POSTAVKE!$B$6,"Naruči odmah","Sve u redu"),IF(F664-H664*J664&lt;0,"Rupa za ~"&amp;TEXT(I664,"0.0")&amp;" mj.",IF(AND(M664&gt;0,F664-H664*L664+K664&lt;0),"Rupa nakon 1. dolaska",IF(AND(O664&gt;0,F664-H664*N664+K664+M664&lt;0),"Rupa nakon 2. dolaska",IF(P664&lt;POSTAVKE!$B$6,"Količina nije dovoljna",IF(I664&gt;=POSTAVKE!$B$6,"Sve u redu","Stiže na vrijeme")))))))</f>
        <v>Nema prodaje</v>
      </c>
      <c r="S664" s="23" t="n">
        <f aca="false">IFERROR(INDEX(PODACI_PRODAJA!B:B,MATCH($A664,PODACI_PRODAJA!$A:$A,0)),0)</f>
        <v>0</v>
      </c>
      <c r="T664" s="23" t="n">
        <f aca="false">IFERROR(INDEX(PODACI_PRODAJA!C:C,MATCH($A664,PODACI_PRODAJA!$A:$A,0)),0)</f>
        <v>0</v>
      </c>
      <c r="U664" s="23" t="n">
        <f aca="false">IFERROR(INDEX(PODACI_PRODAJA!D:D,MATCH($A664,PODACI_PRODAJA!$A:$A,0)),0)</f>
        <v>0</v>
      </c>
      <c r="V664" s="23" t="n">
        <f aca="false">IFERROR(INDEX(PODACI_PRODAJA!E:E,MATCH($A664,PODACI_PRODAJA!$A:$A,0)),0)</f>
        <v>0</v>
      </c>
      <c r="W664" s="23" t="n">
        <f aca="false">IFERROR(INDEX(PODACI_PRODAJA!F:F,MATCH($A664,PODACI_PRODAJA!$A:$A,0)),0)</f>
        <v>0</v>
      </c>
      <c r="X664" s="23" t="n">
        <f aca="false">IFERROR(INDEX(PODACI_PRODAJA!G:G,MATCH($A664,PODACI_PRODAJA!$A:$A,0)),0)</f>
        <v>0</v>
      </c>
      <c r="Y664" s="23" t="n">
        <f aca="false">IFERROR(INDEX(PODACI_PRODAJA!H:H,MATCH($A664,PODACI_PRODAJA!$A:$A,0)),0)</f>
        <v>0</v>
      </c>
      <c r="Z664" s="23" t="n">
        <f aca="false">IFERROR(INDEX(PODACI_PRODAJA!I:I,MATCH($A664,PODACI_PRODAJA!$A:$A,0)),0)</f>
        <v>0</v>
      </c>
      <c r="AA664" s="23" t="n">
        <f aca="false">IFERROR(INDEX(PODACI_PRODAJA!J:J,MATCH($A664,PODACI_PRODAJA!$A:$A,0)),0)</f>
        <v>0</v>
      </c>
      <c r="AB664" s="23" t="n">
        <f aca="false">IFERROR(INDEX(PODACI_PRODAJA!K:K,MATCH($A664,PODACI_PRODAJA!$A:$A,0)),0)</f>
        <v>0</v>
      </c>
      <c r="AC664" s="23" t="n">
        <f aca="false">IFERROR(INDEX(PODACI_PRODAJA!L:L,MATCH($A664,PODACI_PRODAJA!$A:$A,0)),0)</f>
        <v>0</v>
      </c>
      <c r="AD664" s="23" t="n">
        <f aca="false">IFERROR(INDEX(PODACI_PRODAJA!M:M,MATCH($A664,PODACI_PRODAJA!$A:$A,0)),0)</f>
        <v>0</v>
      </c>
    </row>
    <row r="665" customFormat="false" ht="15" hidden="false" customHeight="false" outlineLevel="0" collapsed="false">
      <c r="A665" s="11" t="str">
        <f aca="false">PODACI_ZALIHE!A662</f>
        <v>00111942</v>
      </c>
      <c r="B665" s="8" t="str">
        <f aca="false">PODACI_ZALIHE!B662</f>
        <v>OGLEDALO  LEA 55  707*429*3 mm</v>
      </c>
      <c r="C665" s="9" t="str">
        <f aca="false">PODACI_ZALIHE!C662</f>
        <v>6032</v>
      </c>
      <c r="D665" s="8" t="str">
        <f aca="false">PODACI_ZALIHE!D662</f>
        <v>HANGZHOU ZIHAN MIRROR INDUSTRY CO., LTD.</v>
      </c>
      <c r="E665" s="19" t="n">
        <f aca="false">IF(PODACI_ZALIHE!E662="","",PODACI_ZALIHE!E662)</f>
        <v>0</v>
      </c>
      <c r="F665" s="20" t="n">
        <f aca="false">PODACI_ZALIHE!F662</f>
        <v>0</v>
      </c>
      <c r="G665" s="19" t="n">
        <f aca="false">IF(E665="","",E665-F665)</f>
        <v>0</v>
      </c>
      <c r="H665" s="9" t="n">
        <v>0</v>
      </c>
      <c r="I665" s="21" t="n">
        <f aca="false">IF(H665&lt;=0,999,ROUND(F665/H665,1))</f>
        <v>999</v>
      </c>
      <c r="J665" s="9" t="n">
        <f aca="false">SUMIFS(ROBA_U_DOLASKU!$C$6:$C$95,ROBA_U_DOLASKU!$A$6:$A$95,A665,ROBA_U_DOLASKU!$H$6:$H$95,1)</f>
        <v>0</v>
      </c>
      <c r="K665" s="9" t="n">
        <f aca="false">SUMIFS(ROBA_U_DOLASKU!$B$6:$B$95,ROBA_U_DOLASKU!$A$6:$A$95,A665,ROBA_U_DOLASKU!$H$6:$H$95,1)</f>
        <v>0</v>
      </c>
      <c r="L665" s="9" t="n">
        <f aca="false">SUMIFS(ROBA_U_DOLASKU!$C$6:$C$95,ROBA_U_DOLASKU!$A$6:$A$95,A665,ROBA_U_DOLASKU!$H$6:$H$95,2)</f>
        <v>0</v>
      </c>
      <c r="M665" s="9" t="n">
        <f aca="false">SUMIFS(ROBA_U_DOLASKU!$B$6:$B$95,ROBA_U_DOLASKU!$A$6:$A$95,A665,ROBA_U_DOLASKU!$H$6:$H$95,2)</f>
        <v>0</v>
      </c>
      <c r="N665" s="9" t="n">
        <f aca="false">SUMIFS(ROBA_U_DOLASKU!$C$6:$C$95,ROBA_U_DOLASKU!$A$6:$A$95,A665,ROBA_U_DOLASKU!$H$6:$H$95,3)</f>
        <v>0</v>
      </c>
      <c r="O665" s="9" t="n">
        <f aca="false">SUMIFS(ROBA_U_DOLASKU!$B$6:$B$95,ROBA_U_DOLASKU!$A$6:$A$95,A665,ROBA_U_DOLASKU!$H$6:$H$95,3)</f>
        <v>0</v>
      </c>
      <c r="P665" s="9" t="n">
        <f aca="false">IF(H665&lt;=0,999,IF(O665&gt;0,ROUND((F665-H665*N665+K665+M665+O665)/H665,1),IF(M665&gt;0,ROUND((F665-H665*L665+K665+M665)/H665,1),IF(K665&gt;0,ROUND((F665-H665*J665+K665)/H665,1),I665))))</f>
        <v>999</v>
      </c>
      <c r="Q665" s="22" t="str">
        <f aca="false">IF(H665&lt;=0,"Nema prodaje",IF(AND(K665=0,M665=0,O665=0),IF(I665&lt;POSTAVKE!$B$6,"Naruči odmah","Sve u redu"),IF(F665-H665*J665&lt;0,"Rupa za ~"&amp;TEXT(I665,"0.0")&amp;" mj.",IF(AND(M665&gt;0,F665-H665*L665+K665&lt;0),"Rupa nakon 1. dolaska",IF(AND(O665&gt;0,F665-H665*N665+K665+M665&lt;0),"Rupa nakon 2. dolaska",IF(P665&lt;POSTAVKE!$B$6,"Količina nije dovoljna",IF(I665&gt;=POSTAVKE!$B$6,"Sve u redu","Stiže na vrijeme")))))))</f>
        <v>Nema prodaje</v>
      </c>
      <c r="S665" s="23" t="n">
        <f aca="false">IFERROR(INDEX(PODACI_PRODAJA!B:B,MATCH($A665,PODACI_PRODAJA!$A:$A,0)),0)</f>
        <v>0</v>
      </c>
      <c r="T665" s="23" t="n">
        <f aca="false">IFERROR(INDEX(PODACI_PRODAJA!C:C,MATCH($A665,PODACI_PRODAJA!$A:$A,0)),0)</f>
        <v>0</v>
      </c>
      <c r="U665" s="23" t="n">
        <f aca="false">IFERROR(INDEX(PODACI_PRODAJA!D:D,MATCH($A665,PODACI_PRODAJA!$A:$A,0)),0)</f>
        <v>0</v>
      </c>
      <c r="V665" s="23" t="n">
        <f aca="false">IFERROR(INDEX(PODACI_PRODAJA!E:E,MATCH($A665,PODACI_PRODAJA!$A:$A,0)),0)</f>
        <v>0</v>
      </c>
      <c r="W665" s="23" t="n">
        <f aca="false">IFERROR(INDEX(PODACI_PRODAJA!F:F,MATCH($A665,PODACI_PRODAJA!$A:$A,0)),0)</f>
        <v>0</v>
      </c>
      <c r="X665" s="23" t="n">
        <f aca="false">IFERROR(INDEX(PODACI_PRODAJA!G:G,MATCH($A665,PODACI_PRODAJA!$A:$A,0)),0)</f>
        <v>0</v>
      </c>
      <c r="Y665" s="23" t="n">
        <f aca="false">IFERROR(INDEX(PODACI_PRODAJA!H:H,MATCH($A665,PODACI_PRODAJA!$A:$A,0)),0)</f>
        <v>0</v>
      </c>
      <c r="Z665" s="23" t="n">
        <f aca="false">IFERROR(INDEX(PODACI_PRODAJA!I:I,MATCH($A665,PODACI_PRODAJA!$A:$A,0)),0)</f>
        <v>0</v>
      </c>
      <c r="AA665" s="23" t="n">
        <f aca="false">IFERROR(INDEX(PODACI_PRODAJA!J:J,MATCH($A665,PODACI_PRODAJA!$A:$A,0)),0)</f>
        <v>0</v>
      </c>
      <c r="AB665" s="23" t="n">
        <f aca="false">IFERROR(INDEX(PODACI_PRODAJA!K:K,MATCH($A665,PODACI_PRODAJA!$A:$A,0)),0)</f>
        <v>0</v>
      </c>
      <c r="AC665" s="23" t="n">
        <f aca="false">IFERROR(INDEX(PODACI_PRODAJA!L:L,MATCH($A665,PODACI_PRODAJA!$A:$A,0)),0)</f>
        <v>0</v>
      </c>
      <c r="AD665" s="23" t="n">
        <f aca="false">IFERROR(INDEX(PODACI_PRODAJA!M:M,MATCH($A665,PODACI_PRODAJA!$A:$A,0)),0)</f>
        <v>0</v>
      </c>
    </row>
    <row r="666" customFormat="false" ht="15" hidden="false" customHeight="false" outlineLevel="0" collapsed="false">
      <c r="A666" s="11" t="str">
        <f aca="false">PODACI_ZALIHE!A663</f>
        <v>00111950C</v>
      </c>
      <c r="B666" s="8" t="str">
        <f aca="false">PODACI_ZALIHE!B663</f>
        <v>OGLEDALO ZA GLORY G.O. 639X228 MM - ZHISHANG</v>
      </c>
      <c r="C666" s="9" t="str">
        <f aca="false">PODACI_ZALIHE!C663</f>
        <v>5151</v>
      </c>
      <c r="D666" s="8" t="str">
        <f aca="false">PODACI_ZALIHE!D663</f>
        <v>SHOUGUANG ZHISHANG TRADING CO.,LTD</v>
      </c>
      <c r="E666" s="19" t="n">
        <f aca="false">IF(PODACI_ZALIHE!E663="","",PODACI_ZALIHE!E663)</f>
        <v>0</v>
      </c>
      <c r="F666" s="20" t="n">
        <f aca="false">PODACI_ZALIHE!F663</f>
        <v>0</v>
      </c>
      <c r="G666" s="19" t="n">
        <f aca="false">IF(E666="","",E666-F666)</f>
        <v>0</v>
      </c>
      <c r="H666" s="9" t="n">
        <v>0</v>
      </c>
      <c r="I666" s="21" t="n">
        <f aca="false">IF(H666&lt;=0,999,ROUND(F666/H666,1))</f>
        <v>999</v>
      </c>
      <c r="J666" s="9" t="n">
        <f aca="false">SUMIFS(ROBA_U_DOLASKU!$C$6:$C$95,ROBA_U_DOLASKU!$A$6:$A$95,A666,ROBA_U_DOLASKU!$H$6:$H$95,1)</f>
        <v>0</v>
      </c>
      <c r="K666" s="9" t="n">
        <f aca="false">SUMIFS(ROBA_U_DOLASKU!$B$6:$B$95,ROBA_U_DOLASKU!$A$6:$A$95,A666,ROBA_U_DOLASKU!$H$6:$H$95,1)</f>
        <v>0</v>
      </c>
      <c r="L666" s="9" t="n">
        <f aca="false">SUMIFS(ROBA_U_DOLASKU!$C$6:$C$95,ROBA_U_DOLASKU!$A$6:$A$95,A666,ROBA_U_DOLASKU!$H$6:$H$95,2)</f>
        <v>0</v>
      </c>
      <c r="M666" s="9" t="n">
        <f aca="false">SUMIFS(ROBA_U_DOLASKU!$B$6:$B$95,ROBA_U_DOLASKU!$A$6:$A$95,A666,ROBA_U_DOLASKU!$H$6:$H$95,2)</f>
        <v>0</v>
      </c>
      <c r="N666" s="9" t="n">
        <f aca="false">SUMIFS(ROBA_U_DOLASKU!$C$6:$C$95,ROBA_U_DOLASKU!$A$6:$A$95,A666,ROBA_U_DOLASKU!$H$6:$H$95,3)</f>
        <v>0</v>
      </c>
      <c r="O666" s="9" t="n">
        <f aca="false">SUMIFS(ROBA_U_DOLASKU!$B$6:$B$95,ROBA_U_DOLASKU!$A$6:$A$95,A666,ROBA_U_DOLASKU!$H$6:$H$95,3)</f>
        <v>0</v>
      </c>
      <c r="P666" s="9" t="n">
        <f aca="false">IF(H666&lt;=0,999,IF(O666&gt;0,ROUND((F666-H666*N666+K666+M666+O666)/H666,1),IF(M666&gt;0,ROUND((F666-H666*L666+K666+M666)/H666,1),IF(K666&gt;0,ROUND((F666-H666*J666+K666)/H666,1),I666))))</f>
        <v>999</v>
      </c>
      <c r="Q666" s="22" t="str">
        <f aca="false">IF(H666&lt;=0,"Nema prodaje",IF(AND(K666=0,M666=0,O666=0),IF(I666&lt;POSTAVKE!$B$6,"Naruči odmah","Sve u redu"),IF(F666-H666*J666&lt;0,"Rupa za ~"&amp;TEXT(I666,"0.0")&amp;" mj.",IF(AND(M666&gt;0,F666-H666*L666+K666&lt;0),"Rupa nakon 1. dolaska",IF(AND(O666&gt;0,F666-H666*N666+K666+M666&lt;0),"Rupa nakon 2. dolaska",IF(P666&lt;POSTAVKE!$B$6,"Količina nije dovoljna",IF(I666&gt;=POSTAVKE!$B$6,"Sve u redu","Stiže na vrijeme")))))))</f>
        <v>Nema prodaje</v>
      </c>
      <c r="S666" s="23" t="n">
        <f aca="false">IFERROR(INDEX(PODACI_PRODAJA!B:B,MATCH($A666,PODACI_PRODAJA!$A:$A,0)),0)</f>
        <v>0</v>
      </c>
      <c r="T666" s="23" t="n">
        <f aca="false">IFERROR(INDEX(PODACI_PRODAJA!C:C,MATCH($A666,PODACI_PRODAJA!$A:$A,0)),0)</f>
        <v>0</v>
      </c>
      <c r="U666" s="23" t="n">
        <f aca="false">IFERROR(INDEX(PODACI_PRODAJA!D:D,MATCH($A666,PODACI_PRODAJA!$A:$A,0)),0)</f>
        <v>0</v>
      </c>
      <c r="V666" s="23" t="n">
        <f aca="false">IFERROR(INDEX(PODACI_PRODAJA!E:E,MATCH($A666,PODACI_PRODAJA!$A:$A,0)),0)</f>
        <v>0</v>
      </c>
      <c r="W666" s="23" t="n">
        <f aca="false">IFERROR(INDEX(PODACI_PRODAJA!F:F,MATCH($A666,PODACI_PRODAJA!$A:$A,0)),0)</f>
        <v>0</v>
      </c>
      <c r="X666" s="23" t="n">
        <f aca="false">IFERROR(INDEX(PODACI_PRODAJA!G:G,MATCH($A666,PODACI_PRODAJA!$A:$A,0)),0)</f>
        <v>0</v>
      </c>
      <c r="Y666" s="23" t="n">
        <f aca="false">IFERROR(INDEX(PODACI_PRODAJA!H:H,MATCH($A666,PODACI_PRODAJA!$A:$A,0)),0)</f>
        <v>0</v>
      </c>
      <c r="Z666" s="23" t="n">
        <f aca="false">IFERROR(INDEX(PODACI_PRODAJA!I:I,MATCH($A666,PODACI_PRODAJA!$A:$A,0)),0)</f>
        <v>0</v>
      </c>
      <c r="AA666" s="23" t="n">
        <f aca="false">IFERROR(INDEX(PODACI_PRODAJA!J:J,MATCH($A666,PODACI_PRODAJA!$A:$A,0)),0)</f>
        <v>0</v>
      </c>
      <c r="AB666" s="23" t="n">
        <f aca="false">IFERROR(INDEX(PODACI_PRODAJA!K:K,MATCH($A666,PODACI_PRODAJA!$A:$A,0)),0)</f>
        <v>0</v>
      </c>
      <c r="AC666" s="23" t="n">
        <f aca="false">IFERROR(INDEX(PODACI_PRODAJA!L:L,MATCH($A666,PODACI_PRODAJA!$A:$A,0)),0)</f>
        <v>0</v>
      </c>
      <c r="AD666" s="23" t="n">
        <f aca="false">IFERROR(INDEX(PODACI_PRODAJA!M:M,MATCH($A666,PODACI_PRODAJA!$A:$A,0)),0)</f>
        <v>0</v>
      </c>
    </row>
    <row r="667" customFormat="false" ht="15" hidden="false" customHeight="false" outlineLevel="0" collapsed="false">
      <c r="A667" s="11" t="str">
        <f aca="false">PODACI_ZALIHE!A664</f>
        <v>002567</v>
      </c>
      <c r="B667" s="8" t="str">
        <f aca="false">PODACI_ZALIHE!B664</f>
        <v>UGRADBENI UMIVAONIK LAS VEGAS 1055x506 mm</v>
      </c>
      <c r="C667" s="9" t="str">
        <f aca="false">PODACI_ZALIHE!C664</f>
        <v>5517</v>
      </c>
      <c r="D667" s="8" t="str">
        <f aca="false">PODACI_ZALIHE!D664</f>
        <v>NICOS INTERNATIONAL S.P.A.</v>
      </c>
      <c r="E667" s="19" t="n">
        <f aca="false">IF(PODACI_ZALIHE!E664="","",PODACI_ZALIHE!E664)</f>
        <v>0</v>
      </c>
      <c r="F667" s="20" t="n">
        <f aca="false">PODACI_ZALIHE!F664</f>
        <v>0</v>
      </c>
      <c r="G667" s="19" t="n">
        <f aca="false">IF(E667="","",E667-F667)</f>
        <v>0</v>
      </c>
      <c r="H667" s="9" t="n">
        <f aca="false">PODACI_PRODAJA!N363</f>
        <v>0</v>
      </c>
      <c r="I667" s="21" t="n">
        <f aca="false">IF(H667&lt;=0,999,ROUND(F667/H667,1))</f>
        <v>999</v>
      </c>
      <c r="J667" s="9" t="n">
        <f aca="false">SUMIFS(ROBA_U_DOLASKU!$C$6:$C$95,ROBA_U_DOLASKU!$A$6:$A$95,A667,ROBA_U_DOLASKU!$H$6:$H$95,1)</f>
        <v>0</v>
      </c>
      <c r="K667" s="9" t="n">
        <f aca="false">SUMIFS(ROBA_U_DOLASKU!$B$6:$B$95,ROBA_U_DOLASKU!$A$6:$A$95,A667,ROBA_U_DOLASKU!$H$6:$H$95,1)</f>
        <v>0</v>
      </c>
      <c r="L667" s="9" t="n">
        <f aca="false">SUMIFS(ROBA_U_DOLASKU!$C$6:$C$95,ROBA_U_DOLASKU!$A$6:$A$95,A667,ROBA_U_DOLASKU!$H$6:$H$95,2)</f>
        <v>0</v>
      </c>
      <c r="M667" s="9" t="n">
        <f aca="false">SUMIFS(ROBA_U_DOLASKU!$B$6:$B$95,ROBA_U_DOLASKU!$A$6:$A$95,A667,ROBA_U_DOLASKU!$H$6:$H$95,2)</f>
        <v>0</v>
      </c>
      <c r="N667" s="9" t="n">
        <f aca="false">SUMIFS(ROBA_U_DOLASKU!$C$6:$C$95,ROBA_U_DOLASKU!$A$6:$A$95,A667,ROBA_U_DOLASKU!$H$6:$H$95,3)</f>
        <v>0</v>
      </c>
      <c r="O667" s="9" t="n">
        <f aca="false">SUMIFS(ROBA_U_DOLASKU!$B$6:$B$95,ROBA_U_DOLASKU!$A$6:$A$95,A667,ROBA_U_DOLASKU!$H$6:$H$95,3)</f>
        <v>0</v>
      </c>
      <c r="P667" s="9" t="n">
        <f aca="false">IF(H667&lt;=0,999,IF(O667&gt;0,ROUND((F667-H667*N667+K667+M667+O667)/H667,1),IF(M667&gt;0,ROUND((F667-H667*L667+K667+M667)/H667,1),IF(K667&gt;0,ROUND((F667-H667*J667+K667)/H667,1),I667))))</f>
        <v>999</v>
      </c>
      <c r="Q667" s="22" t="str">
        <f aca="false">IF(H667&lt;=0,"Nema prodaje",IF(AND(K667=0,M667=0,O667=0),IF(I667&lt;POSTAVKE!$B$6,"Naruči odmah","Sve u redu"),IF(F667-H667*J667&lt;0,"Rupa za ~"&amp;TEXT(I667,"0.0")&amp;" mj.",IF(AND(M667&gt;0,F667-H667*L667+K667&lt;0),"Rupa nakon 1. dolaska",IF(AND(O667&gt;0,F667-H667*N667+K667+M667&lt;0),"Rupa nakon 2. dolaska",IF(P667&lt;POSTAVKE!$B$6,"Količina nije dovoljna",IF(I667&gt;=POSTAVKE!$B$6,"Sve u redu","Stiže na vrijeme")))))))</f>
        <v>Nema prodaje</v>
      </c>
      <c r="S667" s="23" t="n">
        <f aca="false">IFERROR(INDEX(PODACI_PRODAJA!B:B,MATCH($A667,PODACI_PRODAJA!$A:$A,0)),0)</f>
        <v>0</v>
      </c>
      <c r="T667" s="23" t="n">
        <f aca="false">IFERROR(INDEX(PODACI_PRODAJA!C:C,MATCH($A667,PODACI_PRODAJA!$A:$A,0)),0)</f>
        <v>0</v>
      </c>
      <c r="U667" s="23" t="n">
        <f aca="false">IFERROR(INDEX(PODACI_PRODAJA!D:D,MATCH($A667,PODACI_PRODAJA!$A:$A,0)),0)</f>
        <v>-1</v>
      </c>
      <c r="V667" s="23" t="n">
        <f aca="false">IFERROR(INDEX(PODACI_PRODAJA!E:E,MATCH($A667,PODACI_PRODAJA!$A:$A,0)),0)</f>
        <v>0</v>
      </c>
      <c r="W667" s="23" t="n">
        <f aca="false">IFERROR(INDEX(PODACI_PRODAJA!F:F,MATCH($A667,PODACI_PRODAJA!$A:$A,0)),0)</f>
        <v>1</v>
      </c>
      <c r="X667" s="23" t="n">
        <f aca="false">IFERROR(INDEX(PODACI_PRODAJA!G:G,MATCH($A667,PODACI_PRODAJA!$A:$A,0)),0)</f>
        <v>0</v>
      </c>
      <c r="Y667" s="23" t="n">
        <f aca="false">IFERROR(INDEX(PODACI_PRODAJA!H:H,MATCH($A667,PODACI_PRODAJA!$A:$A,0)),0)</f>
        <v>0</v>
      </c>
      <c r="Z667" s="23" t="n">
        <f aca="false">IFERROR(INDEX(PODACI_PRODAJA!I:I,MATCH($A667,PODACI_PRODAJA!$A:$A,0)),0)</f>
        <v>0</v>
      </c>
      <c r="AA667" s="23" t="n">
        <f aca="false">IFERROR(INDEX(PODACI_PRODAJA!J:J,MATCH($A667,PODACI_PRODAJA!$A:$A,0)),0)</f>
        <v>0</v>
      </c>
      <c r="AB667" s="23" t="n">
        <f aca="false">IFERROR(INDEX(PODACI_PRODAJA!K:K,MATCH($A667,PODACI_PRODAJA!$A:$A,0)),0)</f>
        <v>0</v>
      </c>
      <c r="AC667" s="23" t="n">
        <f aca="false">IFERROR(INDEX(PODACI_PRODAJA!L:L,MATCH($A667,PODACI_PRODAJA!$A:$A,0)),0)</f>
        <v>0</v>
      </c>
      <c r="AD667" s="23" t="n">
        <f aca="false">IFERROR(INDEX(PODACI_PRODAJA!M:M,MATCH($A667,PODACI_PRODAJA!$A:$A,0)),0)</f>
        <v>0</v>
      </c>
    </row>
    <row r="668" customFormat="false" ht="15" hidden="false" customHeight="false" outlineLevel="0" collapsed="false">
      <c r="A668" s="11" t="str">
        <f aca="false">PODACI_ZALIHE!A665</f>
        <v>002568</v>
      </c>
      <c r="B668" s="8" t="str">
        <f aca="false">PODACI_ZALIHE!B665</f>
        <v>UGRADBENI UMIVAONIK LAS VEGAS LIJEVI 1205x506 mm</v>
      </c>
      <c r="C668" s="9" t="str">
        <f aca="false">PODACI_ZALIHE!C665</f>
        <v>5517</v>
      </c>
      <c r="D668" s="8" t="str">
        <f aca="false">PODACI_ZALIHE!D665</f>
        <v>NICOS INTERNATIONAL S.P.A.</v>
      </c>
      <c r="E668" s="19" t="str">
        <f aca="false">IF(PODACI_ZALIHE!E665="","",PODACI_ZALIHE!E665)</f>
        <v/>
      </c>
      <c r="F668" s="20" t="n">
        <f aca="false">PODACI_ZALIHE!F665</f>
        <v>0</v>
      </c>
      <c r="G668" s="19" t="str">
        <f aca="false">IF(E668="","",E668-F668)</f>
        <v/>
      </c>
      <c r="H668" s="9" t="n">
        <f aca="false">PODACI_PRODAJA!N364</f>
        <v>0</v>
      </c>
      <c r="I668" s="21" t="n">
        <f aca="false">IF(H668&lt;=0,999,ROUND(F668/H668,1))</f>
        <v>999</v>
      </c>
      <c r="J668" s="9" t="n">
        <f aca="false">SUMIFS(ROBA_U_DOLASKU!$C$6:$C$95,ROBA_U_DOLASKU!$A$6:$A$95,A668,ROBA_U_DOLASKU!$H$6:$H$95,1)</f>
        <v>0</v>
      </c>
      <c r="K668" s="9" t="n">
        <f aca="false">SUMIFS(ROBA_U_DOLASKU!$B$6:$B$95,ROBA_U_DOLASKU!$A$6:$A$95,A668,ROBA_U_DOLASKU!$H$6:$H$95,1)</f>
        <v>0</v>
      </c>
      <c r="L668" s="9" t="n">
        <f aca="false">SUMIFS(ROBA_U_DOLASKU!$C$6:$C$95,ROBA_U_DOLASKU!$A$6:$A$95,A668,ROBA_U_DOLASKU!$H$6:$H$95,2)</f>
        <v>0</v>
      </c>
      <c r="M668" s="9" t="n">
        <f aca="false">SUMIFS(ROBA_U_DOLASKU!$B$6:$B$95,ROBA_U_DOLASKU!$A$6:$A$95,A668,ROBA_U_DOLASKU!$H$6:$H$95,2)</f>
        <v>0</v>
      </c>
      <c r="N668" s="9" t="n">
        <f aca="false">SUMIFS(ROBA_U_DOLASKU!$C$6:$C$95,ROBA_U_DOLASKU!$A$6:$A$95,A668,ROBA_U_DOLASKU!$H$6:$H$95,3)</f>
        <v>0</v>
      </c>
      <c r="O668" s="9" t="n">
        <f aca="false">SUMIFS(ROBA_U_DOLASKU!$B$6:$B$95,ROBA_U_DOLASKU!$A$6:$A$95,A668,ROBA_U_DOLASKU!$H$6:$H$95,3)</f>
        <v>0</v>
      </c>
      <c r="P668" s="9" t="n">
        <f aca="false">IF(H668&lt;=0,999,IF(O668&gt;0,ROUND((F668-H668*N668+K668+M668+O668)/H668,1),IF(M668&gt;0,ROUND((F668-H668*L668+K668+M668)/H668,1),IF(K668&gt;0,ROUND((F668-H668*J668+K668)/H668,1),I668))))</f>
        <v>999</v>
      </c>
      <c r="Q668" s="22" t="str">
        <f aca="false">IF(H668&lt;=0,"Nema prodaje",IF(AND(K668=0,M668=0,O668=0),IF(I668&lt;POSTAVKE!$B$6,"Naruči odmah","Sve u redu"),IF(F668-H668*J668&lt;0,"Rupa za ~"&amp;TEXT(I668,"0.0")&amp;" mj.",IF(AND(M668&gt;0,F668-H668*L668+K668&lt;0),"Rupa nakon 1. dolaska",IF(AND(O668&gt;0,F668-H668*N668+K668+M668&lt;0),"Rupa nakon 2. dolaska",IF(P668&lt;POSTAVKE!$B$6,"Količina nije dovoljna",IF(I668&gt;=POSTAVKE!$B$6,"Sve u redu","Stiže na vrijeme")))))))</f>
        <v>Nema prodaje</v>
      </c>
      <c r="S668" s="23" t="n">
        <f aca="false">IFERROR(INDEX(PODACI_PRODAJA!B:B,MATCH($A668,PODACI_PRODAJA!$A:$A,0)),0)</f>
        <v>0</v>
      </c>
      <c r="T668" s="23" t="n">
        <f aca="false">IFERROR(INDEX(PODACI_PRODAJA!C:C,MATCH($A668,PODACI_PRODAJA!$A:$A,0)),0)</f>
        <v>0</v>
      </c>
      <c r="U668" s="23" t="n">
        <f aca="false">IFERROR(INDEX(PODACI_PRODAJA!D:D,MATCH($A668,PODACI_PRODAJA!$A:$A,0)),0)</f>
        <v>0</v>
      </c>
      <c r="V668" s="23" t="n">
        <f aca="false">IFERROR(INDEX(PODACI_PRODAJA!E:E,MATCH($A668,PODACI_PRODAJA!$A:$A,0)),0)</f>
        <v>0</v>
      </c>
      <c r="W668" s="23" t="n">
        <f aca="false">IFERROR(INDEX(PODACI_PRODAJA!F:F,MATCH($A668,PODACI_PRODAJA!$A:$A,0)),0)</f>
        <v>0</v>
      </c>
      <c r="X668" s="23" t="n">
        <f aca="false">IFERROR(INDEX(PODACI_PRODAJA!G:G,MATCH($A668,PODACI_PRODAJA!$A:$A,0)),0)</f>
        <v>0</v>
      </c>
      <c r="Y668" s="23" t="n">
        <f aca="false">IFERROR(INDEX(PODACI_PRODAJA!H:H,MATCH($A668,PODACI_PRODAJA!$A:$A,0)),0)</f>
        <v>0</v>
      </c>
      <c r="Z668" s="23" t="n">
        <f aca="false">IFERROR(INDEX(PODACI_PRODAJA!I:I,MATCH($A668,PODACI_PRODAJA!$A:$A,0)),0)</f>
        <v>0</v>
      </c>
      <c r="AA668" s="23" t="n">
        <f aca="false">IFERROR(INDEX(PODACI_PRODAJA!J:J,MATCH($A668,PODACI_PRODAJA!$A:$A,0)),0)</f>
        <v>0</v>
      </c>
      <c r="AB668" s="23" t="n">
        <f aca="false">IFERROR(INDEX(PODACI_PRODAJA!K:K,MATCH($A668,PODACI_PRODAJA!$A:$A,0)),0)</f>
        <v>0</v>
      </c>
      <c r="AC668" s="23" t="n">
        <f aca="false">IFERROR(INDEX(PODACI_PRODAJA!L:L,MATCH($A668,PODACI_PRODAJA!$A:$A,0)),0)</f>
        <v>0</v>
      </c>
      <c r="AD668" s="23" t="n">
        <f aca="false">IFERROR(INDEX(PODACI_PRODAJA!M:M,MATCH($A668,PODACI_PRODAJA!$A:$A,0)),0)</f>
        <v>0</v>
      </c>
    </row>
    <row r="669" customFormat="false" ht="15" hidden="false" customHeight="false" outlineLevel="0" collapsed="false">
      <c r="A669" s="11" t="str">
        <f aca="false">PODACI_ZALIHE!A666</f>
        <v>002569</v>
      </c>
      <c r="B669" s="8" t="str">
        <f aca="false">PODACI_ZALIHE!B666</f>
        <v>UGRADBENI UMIVAONIK LAS VEGAS 705x506 mm</v>
      </c>
      <c r="C669" s="9" t="str">
        <f aca="false">PODACI_ZALIHE!C666</f>
        <v>5517</v>
      </c>
      <c r="D669" s="8" t="str">
        <f aca="false">PODACI_ZALIHE!D666</f>
        <v>NICOS INTERNATIONAL S.P.A.</v>
      </c>
      <c r="E669" s="19" t="n">
        <f aca="false">IF(PODACI_ZALIHE!E666="","",PODACI_ZALIHE!E666)</f>
        <v>0</v>
      </c>
      <c r="F669" s="20" t="n">
        <f aca="false">PODACI_ZALIHE!F666</f>
        <v>0</v>
      </c>
      <c r="G669" s="19" t="n">
        <f aca="false">IF(E669="","",E669-F669)</f>
        <v>0</v>
      </c>
      <c r="H669" s="9" t="n">
        <f aca="false">PODACI_PRODAJA!N365</f>
        <v>0</v>
      </c>
      <c r="I669" s="21" t="n">
        <f aca="false">IF(H669&lt;=0,999,ROUND(F669/H669,1))</f>
        <v>999</v>
      </c>
      <c r="J669" s="9" t="n">
        <f aca="false">SUMIFS(ROBA_U_DOLASKU!$C$6:$C$95,ROBA_U_DOLASKU!$A$6:$A$95,A669,ROBA_U_DOLASKU!$H$6:$H$95,1)</f>
        <v>0</v>
      </c>
      <c r="K669" s="9" t="n">
        <f aca="false">SUMIFS(ROBA_U_DOLASKU!$B$6:$B$95,ROBA_U_DOLASKU!$A$6:$A$95,A669,ROBA_U_DOLASKU!$H$6:$H$95,1)</f>
        <v>0</v>
      </c>
      <c r="L669" s="9" t="n">
        <f aca="false">SUMIFS(ROBA_U_DOLASKU!$C$6:$C$95,ROBA_U_DOLASKU!$A$6:$A$95,A669,ROBA_U_DOLASKU!$H$6:$H$95,2)</f>
        <v>0</v>
      </c>
      <c r="M669" s="9" t="n">
        <f aca="false">SUMIFS(ROBA_U_DOLASKU!$B$6:$B$95,ROBA_U_DOLASKU!$A$6:$A$95,A669,ROBA_U_DOLASKU!$H$6:$H$95,2)</f>
        <v>0</v>
      </c>
      <c r="N669" s="9" t="n">
        <f aca="false">SUMIFS(ROBA_U_DOLASKU!$C$6:$C$95,ROBA_U_DOLASKU!$A$6:$A$95,A669,ROBA_U_DOLASKU!$H$6:$H$95,3)</f>
        <v>0</v>
      </c>
      <c r="O669" s="9" t="n">
        <f aca="false">SUMIFS(ROBA_U_DOLASKU!$B$6:$B$95,ROBA_U_DOLASKU!$A$6:$A$95,A669,ROBA_U_DOLASKU!$H$6:$H$95,3)</f>
        <v>0</v>
      </c>
      <c r="P669" s="9" t="n">
        <f aca="false">IF(H669&lt;=0,999,IF(O669&gt;0,ROUND((F669-H669*N669+K669+M669+O669)/H669,1),IF(M669&gt;0,ROUND((F669-H669*L669+K669+M669)/H669,1),IF(K669&gt;0,ROUND((F669-H669*J669+K669)/H669,1),I669))))</f>
        <v>999</v>
      </c>
      <c r="Q669" s="22" t="str">
        <f aca="false">IF(H669&lt;=0,"Nema prodaje",IF(AND(K669=0,M669=0,O669=0),IF(I669&lt;POSTAVKE!$B$6,"Naruči odmah","Sve u redu"),IF(F669-H669*J669&lt;0,"Rupa za ~"&amp;TEXT(I669,"0.0")&amp;" mj.",IF(AND(M669&gt;0,F669-H669*L669+K669&lt;0),"Rupa nakon 1. dolaska",IF(AND(O669&gt;0,F669-H669*N669+K669+M669&lt;0),"Rupa nakon 2. dolaska",IF(P669&lt;POSTAVKE!$B$6,"Količina nije dovoljna",IF(I669&gt;=POSTAVKE!$B$6,"Sve u redu","Stiže na vrijeme")))))))</f>
        <v>Nema prodaje</v>
      </c>
      <c r="S669" s="23" t="n">
        <f aca="false">IFERROR(INDEX(PODACI_PRODAJA!B:B,MATCH($A669,PODACI_PRODAJA!$A:$A,0)),0)</f>
        <v>0</v>
      </c>
      <c r="T669" s="23" t="n">
        <f aca="false">IFERROR(INDEX(PODACI_PRODAJA!C:C,MATCH($A669,PODACI_PRODAJA!$A:$A,0)),0)</f>
        <v>0</v>
      </c>
      <c r="U669" s="23" t="n">
        <f aca="false">IFERROR(INDEX(PODACI_PRODAJA!D:D,MATCH($A669,PODACI_PRODAJA!$A:$A,0)),0)</f>
        <v>0</v>
      </c>
      <c r="V669" s="23" t="n">
        <f aca="false">IFERROR(INDEX(PODACI_PRODAJA!E:E,MATCH($A669,PODACI_PRODAJA!$A:$A,0)),0)</f>
        <v>0</v>
      </c>
      <c r="W669" s="23" t="n">
        <f aca="false">IFERROR(INDEX(PODACI_PRODAJA!F:F,MATCH($A669,PODACI_PRODAJA!$A:$A,0)),0)</f>
        <v>0</v>
      </c>
      <c r="X669" s="23" t="n">
        <f aca="false">IFERROR(INDEX(PODACI_PRODAJA!G:G,MATCH($A669,PODACI_PRODAJA!$A:$A,0)),0)</f>
        <v>0</v>
      </c>
      <c r="Y669" s="23" t="n">
        <f aca="false">IFERROR(INDEX(PODACI_PRODAJA!H:H,MATCH($A669,PODACI_PRODAJA!$A:$A,0)),0)</f>
        <v>0</v>
      </c>
      <c r="Z669" s="23" t="n">
        <f aca="false">IFERROR(INDEX(PODACI_PRODAJA!I:I,MATCH($A669,PODACI_PRODAJA!$A:$A,0)),0)</f>
        <v>0</v>
      </c>
      <c r="AA669" s="23" t="n">
        <f aca="false">IFERROR(INDEX(PODACI_PRODAJA!J:J,MATCH($A669,PODACI_PRODAJA!$A:$A,0)),0)</f>
        <v>0</v>
      </c>
      <c r="AB669" s="23" t="n">
        <f aca="false">IFERROR(INDEX(PODACI_PRODAJA!K:K,MATCH($A669,PODACI_PRODAJA!$A:$A,0)),0)</f>
        <v>0</v>
      </c>
      <c r="AC669" s="23" t="n">
        <f aca="false">IFERROR(INDEX(PODACI_PRODAJA!L:L,MATCH($A669,PODACI_PRODAJA!$A:$A,0)),0)</f>
        <v>0</v>
      </c>
      <c r="AD669" s="23" t="n">
        <f aca="false">IFERROR(INDEX(PODACI_PRODAJA!M:M,MATCH($A669,PODACI_PRODAJA!$A:$A,0)),0)</f>
        <v>0</v>
      </c>
    </row>
    <row r="670" customFormat="false" ht="15" hidden="false" customHeight="false" outlineLevel="0" collapsed="false">
      <c r="A670" s="11" t="str">
        <f aca="false">PODACI_ZALIHE!A667</f>
        <v>002576</v>
      </c>
      <c r="B670" s="8" t="str">
        <f aca="false">PODACI_ZALIHE!B667</f>
        <v>UGRADBENI UMIVAONIK LAS VEGAS 805x506 mm</v>
      </c>
      <c r="C670" s="9" t="str">
        <f aca="false">PODACI_ZALIHE!C667</f>
        <v>5517</v>
      </c>
      <c r="D670" s="8" t="str">
        <f aca="false">PODACI_ZALIHE!D667</f>
        <v>NICOS INTERNATIONAL S.P.A.</v>
      </c>
      <c r="E670" s="19" t="n">
        <f aca="false">IF(PODACI_ZALIHE!E667="","",PODACI_ZALIHE!E667)</f>
        <v>0</v>
      </c>
      <c r="F670" s="20" t="n">
        <f aca="false">PODACI_ZALIHE!F667</f>
        <v>0</v>
      </c>
      <c r="G670" s="19" t="n">
        <f aca="false">IF(E670="","",E670-F670)</f>
        <v>0</v>
      </c>
      <c r="H670" s="9" t="n">
        <f aca="false">PODACI_PRODAJA!N366</f>
        <v>0</v>
      </c>
      <c r="I670" s="21" t="n">
        <f aca="false">IF(H670&lt;=0,999,ROUND(F670/H670,1))</f>
        <v>999</v>
      </c>
      <c r="J670" s="9" t="n">
        <f aca="false">SUMIFS(ROBA_U_DOLASKU!$C$6:$C$95,ROBA_U_DOLASKU!$A$6:$A$95,A670,ROBA_U_DOLASKU!$H$6:$H$95,1)</f>
        <v>0</v>
      </c>
      <c r="K670" s="9" t="n">
        <f aca="false">SUMIFS(ROBA_U_DOLASKU!$B$6:$B$95,ROBA_U_DOLASKU!$A$6:$A$95,A670,ROBA_U_DOLASKU!$H$6:$H$95,1)</f>
        <v>0</v>
      </c>
      <c r="L670" s="9" t="n">
        <f aca="false">SUMIFS(ROBA_U_DOLASKU!$C$6:$C$95,ROBA_U_DOLASKU!$A$6:$A$95,A670,ROBA_U_DOLASKU!$H$6:$H$95,2)</f>
        <v>0</v>
      </c>
      <c r="M670" s="9" t="n">
        <f aca="false">SUMIFS(ROBA_U_DOLASKU!$B$6:$B$95,ROBA_U_DOLASKU!$A$6:$A$95,A670,ROBA_U_DOLASKU!$H$6:$H$95,2)</f>
        <v>0</v>
      </c>
      <c r="N670" s="9" t="n">
        <f aca="false">SUMIFS(ROBA_U_DOLASKU!$C$6:$C$95,ROBA_U_DOLASKU!$A$6:$A$95,A670,ROBA_U_DOLASKU!$H$6:$H$95,3)</f>
        <v>0</v>
      </c>
      <c r="O670" s="9" t="n">
        <f aca="false">SUMIFS(ROBA_U_DOLASKU!$B$6:$B$95,ROBA_U_DOLASKU!$A$6:$A$95,A670,ROBA_U_DOLASKU!$H$6:$H$95,3)</f>
        <v>0</v>
      </c>
      <c r="P670" s="9" t="n">
        <f aca="false">IF(H670&lt;=0,999,IF(O670&gt;0,ROUND((F670-H670*N670+K670+M670+O670)/H670,1),IF(M670&gt;0,ROUND((F670-H670*L670+K670+M670)/H670,1),IF(K670&gt;0,ROUND((F670-H670*J670+K670)/H670,1),I670))))</f>
        <v>999</v>
      </c>
      <c r="Q670" s="22" t="str">
        <f aca="false">IF(H670&lt;=0,"Nema prodaje",IF(AND(K670=0,M670=0,O670=0),IF(I670&lt;POSTAVKE!$B$6,"Naruči odmah","Sve u redu"),IF(F670-H670*J670&lt;0,"Rupa za ~"&amp;TEXT(I670,"0.0")&amp;" mj.",IF(AND(M670&gt;0,F670-H670*L670+K670&lt;0),"Rupa nakon 1. dolaska",IF(AND(O670&gt;0,F670-H670*N670+K670+M670&lt;0),"Rupa nakon 2. dolaska",IF(P670&lt;POSTAVKE!$B$6,"Količina nije dovoljna",IF(I670&gt;=POSTAVKE!$B$6,"Sve u redu","Stiže na vrijeme")))))))</f>
        <v>Nema prodaje</v>
      </c>
      <c r="S670" s="23" t="n">
        <f aca="false">IFERROR(INDEX(PODACI_PRODAJA!B:B,MATCH($A670,PODACI_PRODAJA!$A:$A,0)),0)</f>
        <v>0</v>
      </c>
      <c r="T670" s="23" t="n">
        <f aca="false">IFERROR(INDEX(PODACI_PRODAJA!C:C,MATCH($A670,PODACI_PRODAJA!$A:$A,0)),0)</f>
        <v>0</v>
      </c>
      <c r="U670" s="23" t="n">
        <f aca="false">IFERROR(INDEX(PODACI_PRODAJA!D:D,MATCH($A670,PODACI_PRODAJA!$A:$A,0)),0)</f>
        <v>0</v>
      </c>
      <c r="V670" s="23" t="n">
        <f aca="false">IFERROR(INDEX(PODACI_PRODAJA!E:E,MATCH($A670,PODACI_PRODAJA!$A:$A,0)),0)</f>
        <v>0</v>
      </c>
      <c r="W670" s="23" t="n">
        <f aca="false">IFERROR(INDEX(PODACI_PRODAJA!F:F,MATCH($A670,PODACI_PRODAJA!$A:$A,0)),0)</f>
        <v>0</v>
      </c>
      <c r="X670" s="23" t="n">
        <f aca="false">IFERROR(INDEX(PODACI_PRODAJA!G:G,MATCH($A670,PODACI_PRODAJA!$A:$A,0)),0)</f>
        <v>0</v>
      </c>
      <c r="Y670" s="23" t="n">
        <f aca="false">IFERROR(INDEX(PODACI_PRODAJA!H:H,MATCH($A670,PODACI_PRODAJA!$A:$A,0)),0)</f>
        <v>0</v>
      </c>
      <c r="Z670" s="23" t="n">
        <f aca="false">IFERROR(INDEX(PODACI_PRODAJA!I:I,MATCH($A670,PODACI_PRODAJA!$A:$A,0)),0)</f>
        <v>0</v>
      </c>
      <c r="AA670" s="23" t="n">
        <f aca="false">IFERROR(INDEX(PODACI_PRODAJA!J:J,MATCH($A670,PODACI_PRODAJA!$A:$A,0)),0)</f>
        <v>0</v>
      </c>
      <c r="AB670" s="23" t="n">
        <f aca="false">IFERROR(INDEX(PODACI_PRODAJA!K:K,MATCH($A670,PODACI_PRODAJA!$A:$A,0)),0)</f>
        <v>0</v>
      </c>
      <c r="AC670" s="23" t="n">
        <f aca="false">IFERROR(INDEX(PODACI_PRODAJA!L:L,MATCH($A670,PODACI_PRODAJA!$A:$A,0)),0)</f>
        <v>0</v>
      </c>
      <c r="AD670" s="23" t="n">
        <f aca="false">IFERROR(INDEX(PODACI_PRODAJA!M:M,MATCH($A670,PODACI_PRODAJA!$A:$A,0)),0)</f>
        <v>0</v>
      </c>
    </row>
    <row r="671" customFormat="false" ht="15" hidden="false" customHeight="false" outlineLevel="0" collapsed="false">
      <c r="A671" s="11" t="str">
        <f aca="false">PODACI_ZALIHE!A668</f>
        <v>002689</v>
      </c>
      <c r="B671" s="8" t="str">
        <f aca="false">PODACI_ZALIHE!B668</f>
        <v>PARMA TUŠ SET S MIJEŠALICOM</v>
      </c>
      <c r="C671" s="9" t="str">
        <f aca="false">PODACI_ZALIHE!C668</f>
        <v>4053</v>
      </c>
      <c r="D671" s="8" t="str">
        <f aca="false">PODACI_ZALIHE!D668</f>
        <v>TAIZHOU ZHENGSHING VALVE CO .,LTD</v>
      </c>
      <c r="E671" s="19" t="n">
        <f aca="false">IF(PODACI_ZALIHE!E668="","",PODACI_ZALIHE!E668)</f>
        <v>0</v>
      </c>
      <c r="F671" s="20" t="n">
        <f aca="false">PODACI_ZALIHE!F668</f>
        <v>0</v>
      </c>
      <c r="G671" s="19" t="n">
        <f aca="false">IF(E671="","",E671-F671)</f>
        <v>0</v>
      </c>
      <c r="H671" s="9" t="n">
        <f aca="false">PODACI_PRODAJA!N169</f>
        <v>2.63</v>
      </c>
      <c r="I671" s="21" t="n">
        <f aca="false">IF(H671&lt;=0,999,ROUND(F671/H671,1))</f>
        <v>0</v>
      </c>
      <c r="J671" s="9" t="n">
        <f aca="false">SUMIFS(ROBA_U_DOLASKU!$C$6:$C$95,ROBA_U_DOLASKU!$A$6:$A$95,A671,ROBA_U_DOLASKU!$H$6:$H$95,1)</f>
        <v>0</v>
      </c>
      <c r="K671" s="9" t="n">
        <f aca="false">SUMIFS(ROBA_U_DOLASKU!$B$6:$B$95,ROBA_U_DOLASKU!$A$6:$A$95,A671,ROBA_U_DOLASKU!$H$6:$H$95,1)</f>
        <v>0</v>
      </c>
      <c r="L671" s="9" t="n">
        <f aca="false">SUMIFS(ROBA_U_DOLASKU!$C$6:$C$95,ROBA_U_DOLASKU!$A$6:$A$95,A671,ROBA_U_DOLASKU!$H$6:$H$95,2)</f>
        <v>0</v>
      </c>
      <c r="M671" s="9" t="n">
        <f aca="false">SUMIFS(ROBA_U_DOLASKU!$B$6:$B$95,ROBA_U_DOLASKU!$A$6:$A$95,A671,ROBA_U_DOLASKU!$H$6:$H$95,2)</f>
        <v>0</v>
      </c>
      <c r="N671" s="9" t="n">
        <f aca="false">SUMIFS(ROBA_U_DOLASKU!$C$6:$C$95,ROBA_U_DOLASKU!$A$6:$A$95,A671,ROBA_U_DOLASKU!$H$6:$H$95,3)</f>
        <v>0</v>
      </c>
      <c r="O671" s="9" t="n">
        <f aca="false">SUMIFS(ROBA_U_DOLASKU!$B$6:$B$95,ROBA_U_DOLASKU!$A$6:$A$95,A671,ROBA_U_DOLASKU!$H$6:$H$95,3)</f>
        <v>0</v>
      </c>
      <c r="P671" s="9" t="n">
        <f aca="false">IF(H671&lt;=0,999,IF(O671&gt;0,ROUND((F671-H671*N671+K671+M671+O671)/H671,1),IF(M671&gt;0,ROUND((F671-H671*L671+K671+M671)/H671,1),IF(K671&gt;0,ROUND((F671-H671*J671+K671)/H671,1),I671))))</f>
        <v>0</v>
      </c>
      <c r="Q671" s="22" t="str">
        <f aca="false">IF(H671&lt;=0,"Nema prodaje",IF(AND(K671=0,M671=0,O671=0),IF(I671&lt;POSTAVKE!$B$6,"Naruči odmah","Sve u redu"),IF(F671-H671*J671&lt;0,"Rupa za ~"&amp;TEXT(I671,"0.0")&amp;" mj.",IF(AND(M671&gt;0,F671-H671*L671+K671&lt;0),"Rupa nakon 1. dolaska",IF(AND(O671&gt;0,F671-H671*N671+K671+M671&lt;0),"Rupa nakon 2. dolaska",IF(P671&lt;POSTAVKE!$B$6,"Količina nije dovoljna",IF(I671&gt;=POSTAVKE!$B$6,"Sve u redu","Stiže na vrijeme")))))))</f>
        <v>Naruči odmah</v>
      </c>
      <c r="S671" s="23" t="n">
        <f aca="false">IFERROR(INDEX(PODACI_PRODAJA!B:B,MATCH($A671,PODACI_PRODAJA!$A:$A,0)),0)</f>
        <v>2</v>
      </c>
      <c r="T671" s="23" t="n">
        <f aca="false">IFERROR(INDEX(PODACI_PRODAJA!C:C,MATCH($A671,PODACI_PRODAJA!$A:$A,0)),0)</f>
        <v>3</v>
      </c>
      <c r="U671" s="23" t="n">
        <f aca="false">IFERROR(INDEX(PODACI_PRODAJA!D:D,MATCH($A671,PODACI_PRODAJA!$A:$A,0)),0)</f>
        <v>14</v>
      </c>
      <c r="V671" s="23" t="n">
        <f aca="false">IFERROR(INDEX(PODACI_PRODAJA!E:E,MATCH($A671,PODACI_PRODAJA!$A:$A,0)),0)</f>
        <v>0</v>
      </c>
      <c r="W671" s="23" t="n">
        <f aca="false">IFERROR(INDEX(PODACI_PRODAJA!F:F,MATCH($A671,PODACI_PRODAJA!$A:$A,0)),0)</f>
        <v>2</v>
      </c>
      <c r="X671" s="23" t="n">
        <f aca="false">IFERROR(INDEX(PODACI_PRODAJA!G:G,MATCH($A671,PODACI_PRODAJA!$A:$A,0)),0)</f>
        <v>0</v>
      </c>
      <c r="Y671" s="23" t="n">
        <f aca="false">IFERROR(INDEX(PODACI_PRODAJA!H:H,MATCH($A671,PODACI_PRODAJA!$A:$A,0)),0)</f>
        <v>0</v>
      </c>
      <c r="Z671" s="23" t="n">
        <f aca="false">IFERROR(INDEX(PODACI_PRODAJA!I:I,MATCH($A671,PODACI_PRODAJA!$A:$A,0)),0)</f>
        <v>0</v>
      </c>
      <c r="AA671" s="23" t="n">
        <f aca="false">IFERROR(INDEX(PODACI_PRODAJA!J:J,MATCH($A671,PODACI_PRODAJA!$A:$A,0)),0)</f>
        <v>0</v>
      </c>
      <c r="AB671" s="23" t="n">
        <f aca="false">IFERROR(INDEX(PODACI_PRODAJA!K:K,MATCH($A671,PODACI_PRODAJA!$A:$A,0)),0)</f>
        <v>0</v>
      </c>
      <c r="AC671" s="23" t="n">
        <f aca="false">IFERROR(INDEX(PODACI_PRODAJA!L:L,MATCH($A671,PODACI_PRODAJA!$A:$A,0)),0)</f>
        <v>0</v>
      </c>
      <c r="AD671" s="23" t="n">
        <f aca="false">IFERROR(INDEX(PODACI_PRODAJA!M:M,MATCH($A671,PODACI_PRODAJA!$A:$A,0)),0)</f>
        <v>0</v>
      </c>
    </row>
    <row r="672" customFormat="false" ht="15" hidden="false" customHeight="false" outlineLevel="0" collapsed="false">
      <c r="A672" s="11" t="str">
        <f aca="false">PODACI_ZALIHE!A669</f>
        <v>002945</v>
      </c>
      <c r="B672" s="8" t="str">
        <f aca="false">PODACI_ZALIHE!B669</f>
        <v>BASIC 90 POLUKRUŽNA TUŠ KABINA 90X90X198</v>
      </c>
      <c r="C672" s="9" t="str">
        <f aca="false">PODACI_ZALIHE!C669</f>
        <v>4838</v>
      </c>
      <c r="D672" s="8" t="str">
        <f aca="false">PODACI_ZALIHE!D669</f>
        <v>JIAXING DANNI SANITARY AND KITCHEN EQUIPMENT CO.LTD</v>
      </c>
      <c r="E672" s="19" t="n">
        <f aca="false">IF(PODACI_ZALIHE!E669="","",PODACI_ZALIHE!E669)</f>
        <v>0</v>
      </c>
      <c r="F672" s="20" t="n">
        <f aca="false">PODACI_ZALIHE!F669</f>
        <v>0</v>
      </c>
      <c r="G672" s="19" t="n">
        <f aca="false">IF(E672="","",E672-F672)</f>
        <v>0</v>
      </c>
      <c r="H672" s="9" t="n">
        <f aca="false">PODACI_PRODAJA!N27</f>
        <v>20.5</v>
      </c>
      <c r="I672" s="21" t="n">
        <f aca="false">IF(H672&lt;=0,999,ROUND(F672/H672,1))</f>
        <v>0</v>
      </c>
      <c r="J672" s="9" t="n">
        <f aca="false">SUMIFS(ROBA_U_DOLASKU!$C$6:$C$95,ROBA_U_DOLASKU!$A$6:$A$95,A672,ROBA_U_DOLASKU!$H$6:$H$95,1)</f>
        <v>0</v>
      </c>
      <c r="K672" s="9" t="n">
        <f aca="false">SUMIFS(ROBA_U_DOLASKU!$B$6:$B$95,ROBA_U_DOLASKU!$A$6:$A$95,A672,ROBA_U_DOLASKU!$H$6:$H$95,1)</f>
        <v>0</v>
      </c>
      <c r="L672" s="9" t="n">
        <f aca="false">SUMIFS(ROBA_U_DOLASKU!$C$6:$C$95,ROBA_U_DOLASKU!$A$6:$A$95,A672,ROBA_U_DOLASKU!$H$6:$H$95,2)</f>
        <v>0</v>
      </c>
      <c r="M672" s="9" t="n">
        <f aca="false">SUMIFS(ROBA_U_DOLASKU!$B$6:$B$95,ROBA_U_DOLASKU!$A$6:$A$95,A672,ROBA_U_DOLASKU!$H$6:$H$95,2)</f>
        <v>0</v>
      </c>
      <c r="N672" s="9" t="n">
        <f aca="false">SUMIFS(ROBA_U_DOLASKU!$C$6:$C$95,ROBA_U_DOLASKU!$A$6:$A$95,A672,ROBA_U_DOLASKU!$H$6:$H$95,3)</f>
        <v>0</v>
      </c>
      <c r="O672" s="9" t="n">
        <f aca="false">SUMIFS(ROBA_U_DOLASKU!$B$6:$B$95,ROBA_U_DOLASKU!$A$6:$A$95,A672,ROBA_U_DOLASKU!$H$6:$H$95,3)</f>
        <v>0</v>
      </c>
      <c r="P672" s="9" t="n">
        <f aca="false">IF(H672&lt;=0,999,IF(O672&gt;0,ROUND((F672-H672*N672+K672+M672+O672)/H672,1),IF(M672&gt;0,ROUND((F672-H672*L672+K672+M672)/H672,1),IF(K672&gt;0,ROUND((F672-H672*J672+K672)/H672,1),I672))))</f>
        <v>0</v>
      </c>
      <c r="Q672" s="22" t="str">
        <f aca="false">IF(H672&lt;=0,"Nema prodaje",IF(AND(K672=0,M672=0,O672=0),IF(I672&lt;POSTAVKE!$B$6,"Naruči odmah","Sve u redu"),IF(F672-H672*J672&lt;0,"Rupa za ~"&amp;TEXT(I672,"0.0")&amp;" mj.",IF(AND(M672&gt;0,F672-H672*L672+K672&lt;0),"Rupa nakon 1. dolaska",IF(AND(O672&gt;0,F672-H672*N672+K672+M672&lt;0),"Rupa nakon 2. dolaska",IF(P672&lt;POSTAVKE!$B$6,"Količina nije dovoljna",IF(I672&gt;=POSTAVKE!$B$6,"Sve u redu","Stiže na vrijeme")))))))</f>
        <v>Naruči odmah</v>
      </c>
      <c r="S672" s="23" t="n">
        <f aca="false">IFERROR(INDEX(PODACI_PRODAJA!B:B,MATCH($A672,PODACI_PRODAJA!$A:$A,0)),0)</f>
        <v>30</v>
      </c>
      <c r="T672" s="23" t="n">
        <f aca="false">IFERROR(INDEX(PODACI_PRODAJA!C:C,MATCH($A672,PODACI_PRODAJA!$A:$A,0)),0)</f>
        <v>15</v>
      </c>
      <c r="U672" s="23" t="n">
        <f aca="false">IFERROR(INDEX(PODACI_PRODAJA!D:D,MATCH($A672,PODACI_PRODAJA!$A:$A,0)),0)</f>
        <v>22</v>
      </c>
      <c r="V672" s="23" t="n">
        <f aca="false">IFERROR(INDEX(PODACI_PRODAJA!E:E,MATCH($A672,PODACI_PRODAJA!$A:$A,0)),0)</f>
        <v>23</v>
      </c>
      <c r="W672" s="23" t="n">
        <f aca="false">IFERROR(INDEX(PODACI_PRODAJA!F:F,MATCH($A672,PODACI_PRODAJA!$A:$A,0)),0)</f>
        <v>20</v>
      </c>
      <c r="X672" s="23" t="n">
        <f aca="false">IFERROR(INDEX(PODACI_PRODAJA!G:G,MATCH($A672,PODACI_PRODAJA!$A:$A,0)),0)</f>
        <v>16</v>
      </c>
      <c r="Y672" s="23" t="n">
        <f aca="false">IFERROR(INDEX(PODACI_PRODAJA!H:H,MATCH($A672,PODACI_PRODAJA!$A:$A,0)),0)</f>
        <v>27</v>
      </c>
      <c r="Z672" s="23" t="n">
        <f aca="false">IFERROR(INDEX(PODACI_PRODAJA!I:I,MATCH($A672,PODACI_PRODAJA!$A:$A,0)),0)</f>
        <v>11</v>
      </c>
      <c r="AA672" s="23" t="n">
        <f aca="false">IFERROR(INDEX(PODACI_PRODAJA!J:J,MATCH($A672,PODACI_PRODAJA!$A:$A,0)),0)</f>
        <v>0</v>
      </c>
      <c r="AB672" s="23" t="n">
        <f aca="false">IFERROR(INDEX(PODACI_PRODAJA!K:K,MATCH($A672,PODACI_PRODAJA!$A:$A,0)),0)</f>
        <v>0</v>
      </c>
      <c r="AC672" s="23" t="n">
        <f aca="false">IFERROR(INDEX(PODACI_PRODAJA!L:L,MATCH($A672,PODACI_PRODAJA!$A:$A,0)),0)</f>
        <v>0</v>
      </c>
      <c r="AD672" s="23" t="n">
        <f aca="false">IFERROR(INDEX(PODACI_PRODAJA!M:M,MATCH($A672,PODACI_PRODAJA!$A:$A,0)),0)</f>
        <v>0</v>
      </c>
    </row>
    <row r="673" customFormat="false" ht="15" hidden="false" customHeight="false" outlineLevel="0" collapsed="false">
      <c r="A673" s="11" t="str">
        <f aca="false">PODACI_ZALIHE!A670</f>
        <v>0032090</v>
      </c>
      <c r="B673" s="8" t="str">
        <f aca="false">PODACI_ZALIHE!B670</f>
        <v>VETRO LINEA 90 - TUŠ STAKLO 90X200CM</v>
      </c>
      <c r="C673" s="9" t="str">
        <f aca="false">PODACI_ZALIHE!C670</f>
        <v>6762</v>
      </c>
      <c r="D673" s="8" t="str">
        <f aca="false">PODACI_ZALIHE!D670</f>
        <v>ZHEJIANG QUICKLINE SHOWERING CO., LTD.</v>
      </c>
      <c r="E673" s="19" t="n">
        <f aca="false">IF(PODACI_ZALIHE!E670="","",PODACI_ZALIHE!E670)</f>
        <v>0</v>
      </c>
      <c r="F673" s="20" t="n">
        <f aca="false">PODACI_ZALIHE!F670</f>
        <v>0</v>
      </c>
      <c r="G673" s="19" t="n">
        <f aca="false">IF(E673="","",E673-F673)</f>
        <v>0</v>
      </c>
      <c r="H673" s="9" t="n">
        <v>0</v>
      </c>
      <c r="I673" s="21" t="n">
        <f aca="false">IF(H673&lt;=0,999,ROUND(F673/H673,1))</f>
        <v>999</v>
      </c>
      <c r="J673" s="9" t="n">
        <f aca="false">SUMIFS(ROBA_U_DOLASKU!$C$6:$C$95,ROBA_U_DOLASKU!$A$6:$A$95,A673,ROBA_U_DOLASKU!$H$6:$H$95,1)</f>
        <v>0</v>
      </c>
      <c r="K673" s="9" t="n">
        <f aca="false">SUMIFS(ROBA_U_DOLASKU!$B$6:$B$95,ROBA_U_DOLASKU!$A$6:$A$95,A673,ROBA_U_DOLASKU!$H$6:$H$95,1)</f>
        <v>0</v>
      </c>
      <c r="L673" s="9" t="n">
        <f aca="false">SUMIFS(ROBA_U_DOLASKU!$C$6:$C$95,ROBA_U_DOLASKU!$A$6:$A$95,A673,ROBA_U_DOLASKU!$H$6:$H$95,2)</f>
        <v>0</v>
      </c>
      <c r="M673" s="9" t="n">
        <f aca="false">SUMIFS(ROBA_U_DOLASKU!$B$6:$B$95,ROBA_U_DOLASKU!$A$6:$A$95,A673,ROBA_U_DOLASKU!$H$6:$H$95,2)</f>
        <v>0</v>
      </c>
      <c r="N673" s="9" t="n">
        <f aca="false">SUMIFS(ROBA_U_DOLASKU!$C$6:$C$95,ROBA_U_DOLASKU!$A$6:$A$95,A673,ROBA_U_DOLASKU!$H$6:$H$95,3)</f>
        <v>0</v>
      </c>
      <c r="O673" s="9" t="n">
        <f aca="false">SUMIFS(ROBA_U_DOLASKU!$B$6:$B$95,ROBA_U_DOLASKU!$A$6:$A$95,A673,ROBA_U_DOLASKU!$H$6:$H$95,3)</f>
        <v>0</v>
      </c>
      <c r="P673" s="9" t="n">
        <f aca="false">IF(H673&lt;=0,999,IF(O673&gt;0,ROUND((F673-H673*N673+K673+M673+O673)/H673,1),IF(M673&gt;0,ROUND((F673-H673*L673+K673+M673)/H673,1),IF(K673&gt;0,ROUND((F673-H673*J673+K673)/H673,1),I673))))</f>
        <v>999</v>
      </c>
      <c r="Q673" s="22" t="str">
        <f aca="false">IF(H673&lt;=0,"Nema prodaje",IF(AND(K673=0,M673=0,O673=0),IF(I673&lt;POSTAVKE!$B$6,"Naruči odmah","Sve u redu"),IF(F673-H673*J673&lt;0,"Rupa za ~"&amp;TEXT(I673,"0.0")&amp;" mj.",IF(AND(M673&gt;0,F673-H673*L673+K673&lt;0),"Rupa nakon 1. dolaska",IF(AND(O673&gt;0,F673-H673*N673+K673+M673&lt;0),"Rupa nakon 2. dolaska",IF(P673&lt;POSTAVKE!$B$6,"Količina nije dovoljna",IF(I673&gt;=POSTAVKE!$B$6,"Sve u redu","Stiže na vrijeme")))))))</f>
        <v>Nema prodaje</v>
      </c>
      <c r="S673" s="23" t="n">
        <f aca="false">IFERROR(INDEX(PODACI_PRODAJA!B:B,MATCH($A673,PODACI_PRODAJA!$A:$A,0)),0)</f>
        <v>0</v>
      </c>
      <c r="T673" s="23" t="n">
        <f aca="false">IFERROR(INDEX(PODACI_PRODAJA!C:C,MATCH($A673,PODACI_PRODAJA!$A:$A,0)),0)</f>
        <v>0</v>
      </c>
      <c r="U673" s="23" t="n">
        <f aca="false">IFERROR(INDEX(PODACI_PRODAJA!D:D,MATCH($A673,PODACI_PRODAJA!$A:$A,0)),0)</f>
        <v>0</v>
      </c>
      <c r="V673" s="23" t="n">
        <f aca="false">IFERROR(INDEX(PODACI_PRODAJA!E:E,MATCH($A673,PODACI_PRODAJA!$A:$A,0)),0)</f>
        <v>0</v>
      </c>
      <c r="W673" s="23" t="n">
        <f aca="false">IFERROR(INDEX(PODACI_PRODAJA!F:F,MATCH($A673,PODACI_PRODAJA!$A:$A,0)),0)</f>
        <v>0</v>
      </c>
      <c r="X673" s="23" t="n">
        <f aca="false">IFERROR(INDEX(PODACI_PRODAJA!G:G,MATCH($A673,PODACI_PRODAJA!$A:$A,0)),0)</f>
        <v>0</v>
      </c>
      <c r="Y673" s="23" t="n">
        <f aca="false">IFERROR(INDEX(PODACI_PRODAJA!H:H,MATCH($A673,PODACI_PRODAJA!$A:$A,0)),0)</f>
        <v>0</v>
      </c>
      <c r="Z673" s="23" t="n">
        <f aca="false">IFERROR(INDEX(PODACI_PRODAJA!I:I,MATCH($A673,PODACI_PRODAJA!$A:$A,0)),0)</f>
        <v>0</v>
      </c>
      <c r="AA673" s="23" t="n">
        <f aca="false">IFERROR(INDEX(PODACI_PRODAJA!J:J,MATCH($A673,PODACI_PRODAJA!$A:$A,0)),0)</f>
        <v>0</v>
      </c>
      <c r="AB673" s="23" t="n">
        <f aca="false">IFERROR(INDEX(PODACI_PRODAJA!K:K,MATCH($A673,PODACI_PRODAJA!$A:$A,0)),0)</f>
        <v>0</v>
      </c>
      <c r="AC673" s="23" t="n">
        <f aca="false">IFERROR(INDEX(PODACI_PRODAJA!L:L,MATCH($A673,PODACI_PRODAJA!$A:$A,0)),0)</f>
        <v>0</v>
      </c>
      <c r="AD673" s="23" t="n">
        <f aca="false">IFERROR(INDEX(PODACI_PRODAJA!M:M,MATCH($A673,PODACI_PRODAJA!$A:$A,0)),0)</f>
        <v>0</v>
      </c>
    </row>
    <row r="674" customFormat="false" ht="15" hidden="false" customHeight="false" outlineLevel="0" collapsed="false">
      <c r="A674" s="11" t="str">
        <f aca="false">PODACI_ZALIHE!A671</f>
        <v>003221</v>
      </c>
      <c r="B674" s="8" t="str">
        <f aca="false">PODACI_ZALIHE!B671</f>
        <v>AFRICA Q TUŠ SET</v>
      </c>
      <c r="C674" s="9" t="str">
        <f aca="false">PODACI_ZALIHE!C671</f>
        <v>4539</v>
      </c>
      <c r="D674" s="8" t="str">
        <f aca="false">PODACI_ZALIHE!D671</f>
        <v>YUYAO ECHO SANITARY WARE CO.,LTD.</v>
      </c>
      <c r="E674" s="19" t="n">
        <f aca="false">IF(PODACI_ZALIHE!E671="","",PODACI_ZALIHE!E671)</f>
        <v>0</v>
      </c>
      <c r="F674" s="20" t="n">
        <f aca="false">PODACI_ZALIHE!F671</f>
        <v>0</v>
      </c>
      <c r="G674" s="19" t="n">
        <f aca="false">IF(E674="","",E674-F674)</f>
        <v>0</v>
      </c>
      <c r="H674" s="9" t="n">
        <f aca="false">PODACI_PRODAJA!N370</f>
        <v>-0.38</v>
      </c>
      <c r="I674" s="21" t="n">
        <f aca="false">IF(H674&lt;=0,999,ROUND(F674/H674,1))</f>
        <v>999</v>
      </c>
      <c r="J674" s="9" t="n">
        <f aca="false">SUMIFS(ROBA_U_DOLASKU!$C$6:$C$95,ROBA_U_DOLASKU!$A$6:$A$95,A674,ROBA_U_DOLASKU!$H$6:$H$95,1)</f>
        <v>0</v>
      </c>
      <c r="K674" s="9" t="n">
        <f aca="false">SUMIFS(ROBA_U_DOLASKU!$B$6:$B$95,ROBA_U_DOLASKU!$A$6:$A$95,A674,ROBA_U_DOLASKU!$H$6:$H$95,1)</f>
        <v>0</v>
      </c>
      <c r="L674" s="9" t="n">
        <f aca="false">SUMIFS(ROBA_U_DOLASKU!$C$6:$C$95,ROBA_U_DOLASKU!$A$6:$A$95,A674,ROBA_U_DOLASKU!$H$6:$H$95,2)</f>
        <v>0</v>
      </c>
      <c r="M674" s="9" t="n">
        <f aca="false">SUMIFS(ROBA_U_DOLASKU!$B$6:$B$95,ROBA_U_DOLASKU!$A$6:$A$95,A674,ROBA_U_DOLASKU!$H$6:$H$95,2)</f>
        <v>0</v>
      </c>
      <c r="N674" s="9" t="n">
        <f aca="false">SUMIFS(ROBA_U_DOLASKU!$C$6:$C$95,ROBA_U_DOLASKU!$A$6:$A$95,A674,ROBA_U_DOLASKU!$H$6:$H$95,3)</f>
        <v>0</v>
      </c>
      <c r="O674" s="9" t="n">
        <f aca="false">SUMIFS(ROBA_U_DOLASKU!$B$6:$B$95,ROBA_U_DOLASKU!$A$6:$A$95,A674,ROBA_U_DOLASKU!$H$6:$H$95,3)</f>
        <v>0</v>
      </c>
      <c r="P674" s="9" t="n">
        <f aca="false">IF(H674&lt;=0,999,IF(O674&gt;0,ROUND((F674-H674*N674+K674+M674+O674)/H674,1),IF(M674&gt;0,ROUND((F674-H674*L674+K674+M674)/H674,1),IF(K674&gt;0,ROUND((F674-H674*J674+K674)/H674,1),I674))))</f>
        <v>999</v>
      </c>
      <c r="Q674" s="22" t="str">
        <f aca="false">IF(H674&lt;=0,"Nema prodaje",IF(AND(K674=0,M674=0,O674=0),IF(I674&lt;POSTAVKE!$B$6,"Naruči odmah","Sve u redu"),IF(F674-H674*J674&lt;0,"Rupa za ~"&amp;TEXT(I674,"0.0")&amp;" mj.",IF(AND(M674&gt;0,F674-H674*L674+K674&lt;0),"Rupa nakon 1. dolaska",IF(AND(O674&gt;0,F674-H674*N674+K674+M674&lt;0),"Rupa nakon 2. dolaska",IF(P674&lt;POSTAVKE!$B$6,"Količina nije dovoljna",IF(I674&gt;=POSTAVKE!$B$6,"Sve u redu","Stiže na vrijeme")))))))</f>
        <v>Nema prodaje</v>
      </c>
      <c r="S674" s="23" t="n">
        <f aca="false">IFERROR(INDEX(PODACI_PRODAJA!B:B,MATCH($A674,PODACI_PRODAJA!$A:$A,0)),0)</f>
        <v>0</v>
      </c>
      <c r="T674" s="23" t="n">
        <f aca="false">IFERROR(INDEX(PODACI_PRODAJA!C:C,MATCH($A674,PODACI_PRODAJA!$A:$A,0)),0)</f>
        <v>0</v>
      </c>
      <c r="U674" s="23" t="n">
        <f aca="false">IFERROR(INDEX(PODACI_PRODAJA!D:D,MATCH($A674,PODACI_PRODAJA!$A:$A,0)),0)</f>
        <v>0</v>
      </c>
      <c r="V674" s="23" t="n">
        <f aca="false">IFERROR(INDEX(PODACI_PRODAJA!E:E,MATCH($A674,PODACI_PRODAJA!$A:$A,0)),0)</f>
        <v>-2</v>
      </c>
      <c r="W674" s="23" t="n">
        <f aca="false">IFERROR(INDEX(PODACI_PRODAJA!F:F,MATCH($A674,PODACI_PRODAJA!$A:$A,0)),0)</f>
        <v>0</v>
      </c>
      <c r="X674" s="23" t="n">
        <f aca="false">IFERROR(INDEX(PODACI_PRODAJA!G:G,MATCH($A674,PODACI_PRODAJA!$A:$A,0)),0)</f>
        <v>0</v>
      </c>
      <c r="Y674" s="23" t="n">
        <f aca="false">IFERROR(INDEX(PODACI_PRODAJA!H:H,MATCH($A674,PODACI_PRODAJA!$A:$A,0)),0)</f>
        <v>-1</v>
      </c>
      <c r="Z674" s="23" t="n">
        <f aca="false">IFERROR(INDEX(PODACI_PRODAJA!I:I,MATCH($A674,PODACI_PRODAJA!$A:$A,0)),0)</f>
        <v>0</v>
      </c>
      <c r="AA674" s="23" t="n">
        <f aca="false">IFERROR(INDEX(PODACI_PRODAJA!J:J,MATCH($A674,PODACI_PRODAJA!$A:$A,0)),0)</f>
        <v>0</v>
      </c>
      <c r="AB674" s="23" t="n">
        <f aca="false">IFERROR(INDEX(PODACI_PRODAJA!K:K,MATCH($A674,PODACI_PRODAJA!$A:$A,0)),0)</f>
        <v>0</v>
      </c>
      <c r="AC674" s="23" t="n">
        <f aca="false">IFERROR(INDEX(PODACI_PRODAJA!L:L,MATCH($A674,PODACI_PRODAJA!$A:$A,0)),0)</f>
        <v>0</v>
      </c>
      <c r="AD674" s="23" t="n">
        <f aca="false">IFERROR(INDEX(PODACI_PRODAJA!M:M,MATCH($A674,PODACI_PRODAJA!$A:$A,0)),0)</f>
        <v>0</v>
      </c>
    </row>
    <row r="675" customFormat="false" ht="15" hidden="false" customHeight="false" outlineLevel="0" collapsed="false">
      <c r="A675" s="11" t="str">
        <f aca="false">PODACI_ZALIHE!A672</f>
        <v>003893</v>
      </c>
      <c r="B675" s="8" t="str">
        <f aca="false">PODACI_ZALIHE!B672</f>
        <v>ARUBA TUŠ SET</v>
      </c>
      <c r="C675" s="9" t="str">
        <f aca="false">PODACI_ZALIHE!C672</f>
        <v>4539</v>
      </c>
      <c r="D675" s="8" t="str">
        <f aca="false">PODACI_ZALIHE!D672</f>
        <v>YUYAO ECHO SANITARY WARE CO.,LTD.</v>
      </c>
      <c r="E675" s="19" t="n">
        <f aca="false">IF(PODACI_ZALIHE!E672="","",PODACI_ZALIHE!E672)</f>
        <v>0</v>
      </c>
      <c r="F675" s="20" t="n">
        <f aca="false">PODACI_ZALIHE!F672</f>
        <v>0</v>
      </c>
      <c r="G675" s="19" t="n">
        <f aca="false">IF(E675="","",E675-F675)</f>
        <v>0</v>
      </c>
      <c r="H675" s="9" t="n">
        <f aca="false">PODACI_PRODAJA!N373</f>
        <v>0.13</v>
      </c>
      <c r="I675" s="21" t="n">
        <f aca="false">IF(H675&lt;=0,999,ROUND(F675/H675,1))</f>
        <v>0</v>
      </c>
      <c r="J675" s="9" t="n">
        <f aca="false">SUMIFS(ROBA_U_DOLASKU!$C$6:$C$95,ROBA_U_DOLASKU!$A$6:$A$95,A675,ROBA_U_DOLASKU!$H$6:$H$95,1)</f>
        <v>0</v>
      </c>
      <c r="K675" s="9" t="n">
        <f aca="false">SUMIFS(ROBA_U_DOLASKU!$B$6:$B$95,ROBA_U_DOLASKU!$A$6:$A$95,A675,ROBA_U_DOLASKU!$H$6:$H$95,1)</f>
        <v>0</v>
      </c>
      <c r="L675" s="9" t="n">
        <f aca="false">SUMIFS(ROBA_U_DOLASKU!$C$6:$C$95,ROBA_U_DOLASKU!$A$6:$A$95,A675,ROBA_U_DOLASKU!$H$6:$H$95,2)</f>
        <v>0</v>
      </c>
      <c r="M675" s="9" t="n">
        <f aca="false">SUMIFS(ROBA_U_DOLASKU!$B$6:$B$95,ROBA_U_DOLASKU!$A$6:$A$95,A675,ROBA_U_DOLASKU!$H$6:$H$95,2)</f>
        <v>0</v>
      </c>
      <c r="N675" s="9" t="n">
        <f aca="false">SUMIFS(ROBA_U_DOLASKU!$C$6:$C$95,ROBA_U_DOLASKU!$A$6:$A$95,A675,ROBA_U_DOLASKU!$H$6:$H$95,3)</f>
        <v>0</v>
      </c>
      <c r="O675" s="9" t="n">
        <f aca="false">SUMIFS(ROBA_U_DOLASKU!$B$6:$B$95,ROBA_U_DOLASKU!$A$6:$A$95,A675,ROBA_U_DOLASKU!$H$6:$H$95,3)</f>
        <v>0</v>
      </c>
      <c r="P675" s="9" t="n">
        <f aca="false">IF(H675&lt;=0,999,IF(O675&gt;0,ROUND((F675-H675*N675+K675+M675+O675)/H675,1),IF(M675&gt;0,ROUND((F675-H675*L675+K675+M675)/H675,1),IF(K675&gt;0,ROUND((F675-H675*J675+K675)/H675,1),I675))))</f>
        <v>0</v>
      </c>
      <c r="Q675" s="22" t="str">
        <f aca="false">IF(H675&lt;=0,"Nema prodaje",IF(AND(K675=0,M675=0,O675=0),IF(I675&lt;POSTAVKE!$B$6,"Naruči odmah","Sve u redu"),IF(F675-H675*J675&lt;0,"Rupa za ~"&amp;TEXT(I675,"0.0")&amp;" mj.",IF(AND(M675&gt;0,F675-H675*L675+K675&lt;0),"Rupa nakon 1. dolaska",IF(AND(O675&gt;0,F675-H675*N675+K675+M675&lt;0),"Rupa nakon 2. dolaska",IF(P675&lt;POSTAVKE!$B$6,"Količina nije dovoljna",IF(I675&gt;=POSTAVKE!$B$6,"Sve u redu","Stiže na vrijeme")))))))</f>
        <v>Naruči odmah</v>
      </c>
      <c r="S675" s="23" t="n">
        <f aca="false">IFERROR(INDEX(PODACI_PRODAJA!B:B,MATCH($A675,PODACI_PRODAJA!$A:$A,0)),0)</f>
        <v>0</v>
      </c>
      <c r="T675" s="23" t="n">
        <f aca="false">IFERROR(INDEX(PODACI_PRODAJA!C:C,MATCH($A675,PODACI_PRODAJA!$A:$A,0)),0)</f>
        <v>1</v>
      </c>
      <c r="U675" s="23" t="n">
        <f aca="false">IFERROR(INDEX(PODACI_PRODAJA!D:D,MATCH($A675,PODACI_PRODAJA!$A:$A,0)),0)</f>
        <v>0</v>
      </c>
      <c r="V675" s="23" t="n">
        <f aca="false">IFERROR(INDEX(PODACI_PRODAJA!E:E,MATCH($A675,PODACI_PRODAJA!$A:$A,0)),0)</f>
        <v>0</v>
      </c>
      <c r="W675" s="23" t="n">
        <f aca="false">IFERROR(INDEX(PODACI_PRODAJA!F:F,MATCH($A675,PODACI_PRODAJA!$A:$A,0)),0)</f>
        <v>0</v>
      </c>
      <c r="X675" s="23" t="n">
        <f aca="false">IFERROR(INDEX(PODACI_PRODAJA!G:G,MATCH($A675,PODACI_PRODAJA!$A:$A,0)),0)</f>
        <v>0</v>
      </c>
      <c r="Y675" s="23" t="n">
        <f aca="false">IFERROR(INDEX(PODACI_PRODAJA!H:H,MATCH($A675,PODACI_PRODAJA!$A:$A,0)),0)</f>
        <v>0</v>
      </c>
      <c r="Z675" s="23" t="n">
        <f aca="false">IFERROR(INDEX(PODACI_PRODAJA!I:I,MATCH($A675,PODACI_PRODAJA!$A:$A,0)),0)</f>
        <v>0</v>
      </c>
      <c r="AA675" s="23" t="n">
        <f aca="false">IFERROR(INDEX(PODACI_PRODAJA!J:J,MATCH($A675,PODACI_PRODAJA!$A:$A,0)),0)</f>
        <v>0</v>
      </c>
      <c r="AB675" s="23" t="n">
        <f aca="false">IFERROR(INDEX(PODACI_PRODAJA!K:K,MATCH($A675,PODACI_PRODAJA!$A:$A,0)),0)</f>
        <v>0</v>
      </c>
      <c r="AC675" s="23" t="n">
        <f aca="false">IFERROR(INDEX(PODACI_PRODAJA!L:L,MATCH($A675,PODACI_PRODAJA!$A:$A,0)),0)</f>
        <v>0</v>
      </c>
      <c r="AD675" s="23" t="n">
        <f aca="false">IFERROR(INDEX(PODACI_PRODAJA!M:M,MATCH($A675,PODACI_PRODAJA!$A:$A,0)),0)</f>
        <v>0</v>
      </c>
    </row>
    <row r="676" customFormat="false" ht="15" hidden="false" customHeight="false" outlineLevel="0" collapsed="false">
      <c r="A676" s="11" t="str">
        <f aca="false">PODACI_ZALIHE!A673</f>
        <v>0043550</v>
      </c>
      <c r="B676" s="8" t="str">
        <f aca="false">PODACI_ZALIHE!B673</f>
        <v>PREKIDAČ I UTIČNICA ZA KUP.ORMARIĆE IP44 220V</v>
      </c>
      <c r="C676" s="9" t="str">
        <f aca="false">PODACI_ZALIHE!C673</f>
        <v>6725</v>
      </c>
      <c r="D676" s="8" t="str">
        <f aca="false">PODACI_ZALIHE!D673</f>
        <v>NINGBO JUYI ELECTRIC APPLIANCE CO., LTD</v>
      </c>
      <c r="E676" s="19" t="n">
        <f aca="false">IF(PODACI_ZALIHE!E673="","",PODACI_ZALIHE!E673)</f>
        <v>0</v>
      </c>
      <c r="F676" s="20" t="n">
        <f aca="false">PODACI_ZALIHE!F673</f>
        <v>0</v>
      </c>
      <c r="G676" s="19" t="n">
        <f aca="false">IF(E676="","",E676-F676)</f>
        <v>0</v>
      </c>
      <c r="H676" s="9" t="n">
        <v>0</v>
      </c>
      <c r="I676" s="21" t="n">
        <f aca="false">IF(H676&lt;=0,999,ROUND(F676/H676,1))</f>
        <v>999</v>
      </c>
      <c r="J676" s="9" t="n">
        <f aca="false">SUMIFS(ROBA_U_DOLASKU!$C$6:$C$95,ROBA_U_DOLASKU!$A$6:$A$95,A676,ROBA_U_DOLASKU!$H$6:$H$95,1)</f>
        <v>0</v>
      </c>
      <c r="K676" s="9" t="n">
        <f aca="false">SUMIFS(ROBA_U_DOLASKU!$B$6:$B$95,ROBA_U_DOLASKU!$A$6:$A$95,A676,ROBA_U_DOLASKU!$H$6:$H$95,1)</f>
        <v>0</v>
      </c>
      <c r="L676" s="9" t="n">
        <f aca="false">SUMIFS(ROBA_U_DOLASKU!$C$6:$C$95,ROBA_U_DOLASKU!$A$6:$A$95,A676,ROBA_U_DOLASKU!$H$6:$H$95,2)</f>
        <v>0</v>
      </c>
      <c r="M676" s="9" t="n">
        <f aca="false">SUMIFS(ROBA_U_DOLASKU!$B$6:$B$95,ROBA_U_DOLASKU!$A$6:$A$95,A676,ROBA_U_DOLASKU!$H$6:$H$95,2)</f>
        <v>0</v>
      </c>
      <c r="N676" s="9" t="n">
        <f aca="false">SUMIFS(ROBA_U_DOLASKU!$C$6:$C$95,ROBA_U_DOLASKU!$A$6:$A$95,A676,ROBA_U_DOLASKU!$H$6:$H$95,3)</f>
        <v>0</v>
      </c>
      <c r="O676" s="9" t="n">
        <f aca="false">SUMIFS(ROBA_U_DOLASKU!$B$6:$B$95,ROBA_U_DOLASKU!$A$6:$A$95,A676,ROBA_U_DOLASKU!$H$6:$H$95,3)</f>
        <v>0</v>
      </c>
      <c r="P676" s="9" t="n">
        <f aca="false">IF(H676&lt;=0,999,IF(O676&gt;0,ROUND((F676-H676*N676+K676+M676+O676)/H676,1),IF(M676&gt;0,ROUND((F676-H676*L676+K676+M676)/H676,1),IF(K676&gt;0,ROUND((F676-H676*J676+K676)/H676,1),I676))))</f>
        <v>999</v>
      </c>
      <c r="Q676" s="22" t="str">
        <f aca="false">IF(H676&lt;=0,"Nema prodaje",IF(AND(K676=0,M676=0,O676=0),IF(I676&lt;POSTAVKE!$B$6,"Naruči odmah","Sve u redu"),IF(F676-H676*J676&lt;0,"Rupa za ~"&amp;TEXT(I676,"0.0")&amp;" mj.",IF(AND(M676&gt;0,F676-H676*L676+K676&lt;0),"Rupa nakon 1. dolaska",IF(AND(O676&gt;0,F676-H676*N676+K676+M676&lt;0),"Rupa nakon 2. dolaska",IF(P676&lt;POSTAVKE!$B$6,"Količina nije dovoljna",IF(I676&gt;=POSTAVKE!$B$6,"Sve u redu","Stiže na vrijeme")))))))</f>
        <v>Nema prodaje</v>
      </c>
      <c r="S676" s="23" t="n">
        <f aca="false">IFERROR(INDEX(PODACI_PRODAJA!B:B,MATCH($A676,PODACI_PRODAJA!$A:$A,0)),0)</f>
        <v>0</v>
      </c>
      <c r="T676" s="23" t="n">
        <f aca="false">IFERROR(INDEX(PODACI_PRODAJA!C:C,MATCH($A676,PODACI_PRODAJA!$A:$A,0)),0)</f>
        <v>0</v>
      </c>
      <c r="U676" s="23" t="n">
        <f aca="false">IFERROR(INDEX(PODACI_PRODAJA!D:D,MATCH($A676,PODACI_PRODAJA!$A:$A,0)),0)</f>
        <v>0</v>
      </c>
      <c r="V676" s="23" t="n">
        <f aca="false">IFERROR(INDEX(PODACI_PRODAJA!E:E,MATCH($A676,PODACI_PRODAJA!$A:$A,0)),0)</f>
        <v>0</v>
      </c>
      <c r="W676" s="23" t="n">
        <f aca="false">IFERROR(INDEX(PODACI_PRODAJA!F:F,MATCH($A676,PODACI_PRODAJA!$A:$A,0)),0)</f>
        <v>0</v>
      </c>
      <c r="X676" s="23" t="n">
        <f aca="false">IFERROR(INDEX(PODACI_PRODAJA!G:G,MATCH($A676,PODACI_PRODAJA!$A:$A,0)),0)</f>
        <v>0</v>
      </c>
      <c r="Y676" s="23" t="n">
        <f aca="false">IFERROR(INDEX(PODACI_PRODAJA!H:H,MATCH($A676,PODACI_PRODAJA!$A:$A,0)),0)</f>
        <v>0</v>
      </c>
      <c r="Z676" s="23" t="n">
        <f aca="false">IFERROR(INDEX(PODACI_PRODAJA!I:I,MATCH($A676,PODACI_PRODAJA!$A:$A,0)),0)</f>
        <v>0</v>
      </c>
      <c r="AA676" s="23" t="n">
        <f aca="false">IFERROR(INDEX(PODACI_PRODAJA!J:J,MATCH($A676,PODACI_PRODAJA!$A:$A,0)),0)</f>
        <v>0</v>
      </c>
      <c r="AB676" s="23" t="n">
        <f aca="false">IFERROR(INDEX(PODACI_PRODAJA!K:K,MATCH($A676,PODACI_PRODAJA!$A:$A,0)),0)</f>
        <v>0</v>
      </c>
      <c r="AC676" s="23" t="n">
        <f aca="false">IFERROR(INDEX(PODACI_PRODAJA!L:L,MATCH($A676,PODACI_PRODAJA!$A:$A,0)),0)</f>
        <v>0</v>
      </c>
      <c r="AD676" s="23" t="n">
        <f aca="false">IFERROR(INDEX(PODACI_PRODAJA!M:M,MATCH($A676,PODACI_PRODAJA!$A:$A,0)),0)</f>
        <v>0</v>
      </c>
    </row>
    <row r="677" customFormat="false" ht="15" hidden="false" customHeight="false" outlineLevel="0" collapsed="false">
      <c r="A677" s="11" t="str">
        <f aca="false">PODACI_ZALIHE!A674</f>
        <v>00515</v>
      </c>
      <c r="B677" s="8" t="str">
        <f aca="false">PODACI_ZALIHE!B674</f>
        <v>OGLEDALO GLA082 60x80 cm</v>
      </c>
      <c r="C677" s="9" t="str">
        <f aca="false">PODACI_ZALIHE!C674</f>
        <v>2515</v>
      </c>
      <c r="D677" s="8" t="str">
        <f aca="false">PODACI_ZALIHE!D674</f>
        <v>HANGZHOU ZHUGELAI JINGYI CO., LTD.</v>
      </c>
      <c r="E677" s="19" t="n">
        <f aca="false">IF(PODACI_ZALIHE!E674="","",PODACI_ZALIHE!E674)</f>
        <v>0</v>
      </c>
      <c r="F677" s="20" t="n">
        <f aca="false">PODACI_ZALIHE!F674</f>
        <v>0</v>
      </c>
      <c r="G677" s="19" t="n">
        <f aca="false">IF(E677="","",E677-F677)</f>
        <v>0</v>
      </c>
      <c r="H677" s="9" t="n">
        <f aca="false">PODACI_PRODAJA!N19</f>
        <v>23.63</v>
      </c>
      <c r="I677" s="21" t="n">
        <f aca="false">IF(H677&lt;=0,999,ROUND(F677/H677,1))</f>
        <v>0</v>
      </c>
      <c r="J677" s="9" t="n">
        <f aca="false">SUMIFS(ROBA_U_DOLASKU!$C$6:$C$95,ROBA_U_DOLASKU!$A$6:$A$95,A677,ROBA_U_DOLASKU!$H$6:$H$95,1)</f>
        <v>0</v>
      </c>
      <c r="K677" s="9" t="n">
        <f aca="false">SUMIFS(ROBA_U_DOLASKU!$B$6:$B$95,ROBA_U_DOLASKU!$A$6:$A$95,A677,ROBA_U_DOLASKU!$H$6:$H$95,1)</f>
        <v>0</v>
      </c>
      <c r="L677" s="9" t="n">
        <f aca="false">SUMIFS(ROBA_U_DOLASKU!$C$6:$C$95,ROBA_U_DOLASKU!$A$6:$A$95,A677,ROBA_U_DOLASKU!$H$6:$H$95,2)</f>
        <v>0</v>
      </c>
      <c r="M677" s="9" t="n">
        <f aca="false">SUMIFS(ROBA_U_DOLASKU!$B$6:$B$95,ROBA_U_DOLASKU!$A$6:$A$95,A677,ROBA_U_DOLASKU!$H$6:$H$95,2)</f>
        <v>0</v>
      </c>
      <c r="N677" s="9" t="n">
        <f aca="false">SUMIFS(ROBA_U_DOLASKU!$C$6:$C$95,ROBA_U_DOLASKU!$A$6:$A$95,A677,ROBA_U_DOLASKU!$H$6:$H$95,3)</f>
        <v>0</v>
      </c>
      <c r="O677" s="9" t="n">
        <f aca="false">SUMIFS(ROBA_U_DOLASKU!$B$6:$B$95,ROBA_U_DOLASKU!$A$6:$A$95,A677,ROBA_U_DOLASKU!$H$6:$H$95,3)</f>
        <v>0</v>
      </c>
      <c r="P677" s="9" t="n">
        <f aca="false">IF(H677&lt;=0,999,IF(O677&gt;0,ROUND((F677-H677*N677+K677+M677+O677)/H677,1),IF(M677&gt;0,ROUND((F677-H677*L677+K677+M677)/H677,1),IF(K677&gt;0,ROUND((F677-H677*J677+K677)/H677,1),I677))))</f>
        <v>0</v>
      </c>
      <c r="Q677" s="22" t="str">
        <f aca="false">IF(H677&lt;=0,"Nema prodaje",IF(AND(K677=0,M677=0,O677=0),IF(I677&lt;POSTAVKE!$B$6,"Naruči odmah","Sve u redu"),IF(F677-H677*J677&lt;0,"Rupa za ~"&amp;TEXT(I677,"0.0")&amp;" mj.",IF(AND(M677&gt;0,F677-H677*L677+K677&lt;0),"Rupa nakon 1. dolaska",IF(AND(O677&gt;0,F677-H677*N677+K677+M677&lt;0),"Rupa nakon 2. dolaska",IF(P677&lt;POSTAVKE!$B$6,"Količina nije dovoljna",IF(I677&gt;=POSTAVKE!$B$6,"Sve u redu","Stiže na vrijeme")))))))</f>
        <v>Naruči odmah</v>
      </c>
      <c r="S677" s="23" t="n">
        <f aca="false">IFERROR(INDEX(PODACI_PRODAJA!B:B,MATCH($A677,PODACI_PRODAJA!$A:$A,0)),0)</f>
        <v>44</v>
      </c>
      <c r="T677" s="23" t="n">
        <f aca="false">IFERROR(INDEX(PODACI_PRODAJA!C:C,MATCH($A677,PODACI_PRODAJA!$A:$A,0)),0)</f>
        <v>1</v>
      </c>
      <c r="U677" s="23" t="n">
        <f aca="false">IFERROR(INDEX(PODACI_PRODAJA!D:D,MATCH($A677,PODACI_PRODAJA!$A:$A,0)),0)</f>
        <v>49</v>
      </c>
      <c r="V677" s="23" t="n">
        <f aca="false">IFERROR(INDEX(PODACI_PRODAJA!E:E,MATCH($A677,PODACI_PRODAJA!$A:$A,0)),0)</f>
        <v>10</v>
      </c>
      <c r="W677" s="23" t="n">
        <f aca="false">IFERROR(INDEX(PODACI_PRODAJA!F:F,MATCH($A677,PODACI_PRODAJA!$A:$A,0)),0)</f>
        <v>20</v>
      </c>
      <c r="X677" s="23" t="n">
        <f aca="false">IFERROR(INDEX(PODACI_PRODAJA!G:G,MATCH($A677,PODACI_PRODAJA!$A:$A,0)),0)</f>
        <v>53</v>
      </c>
      <c r="Y677" s="23" t="n">
        <f aca="false">IFERROR(INDEX(PODACI_PRODAJA!H:H,MATCH($A677,PODACI_PRODAJA!$A:$A,0)),0)</f>
        <v>12</v>
      </c>
      <c r="Z677" s="23" t="n">
        <f aca="false">IFERROR(INDEX(PODACI_PRODAJA!I:I,MATCH($A677,PODACI_PRODAJA!$A:$A,0)),0)</f>
        <v>0</v>
      </c>
      <c r="AA677" s="23" t="n">
        <f aca="false">IFERROR(INDEX(PODACI_PRODAJA!J:J,MATCH($A677,PODACI_PRODAJA!$A:$A,0)),0)</f>
        <v>0</v>
      </c>
      <c r="AB677" s="23" t="n">
        <f aca="false">IFERROR(INDEX(PODACI_PRODAJA!K:K,MATCH($A677,PODACI_PRODAJA!$A:$A,0)),0)</f>
        <v>0</v>
      </c>
      <c r="AC677" s="23" t="n">
        <f aca="false">IFERROR(INDEX(PODACI_PRODAJA!L:L,MATCH($A677,PODACI_PRODAJA!$A:$A,0)),0)</f>
        <v>0</v>
      </c>
      <c r="AD677" s="23" t="n">
        <f aca="false">IFERROR(INDEX(PODACI_PRODAJA!M:M,MATCH($A677,PODACI_PRODAJA!$A:$A,0)),0)</f>
        <v>0</v>
      </c>
    </row>
    <row r="678" customFormat="false" ht="15" hidden="false" customHeight="false" outlineLevel="0" collapsed="false">
      <c r="A678" s="11" t="str">
        <f aca="false">PODACI_ZALIHE!A675</f>
        <v>00600</v>
      </c>
      <c r="B678" s="8" t="str">
        <f aca="false">PODACI_ZALIHE!B675</f>
        <v>HERA STOJEĆA MIJEŠALICA ZA UMIVAONIK</v>
      </c>
      <c r="C678" s="9" t="str">
        <f aca="false">PODACI_ZALIHE!C675</f>
        <v>2974</v>
      </c>
      <c r="D678" s="8" t="str">
        <f aca="false">PODACI_ZALIHE!D675</f>
        <v>TAIZHOU MINUOTE SANITARY WARES CO.,LTD.</v>
      </c>
      <c r="E678" s="19" t="n">
        <f aca="false">IF(PODACI_ZALIHE!E675="","",PODACI_ZALIHE!E675)</f>
        <v>0</v>
      </c>
      <c r="F678" s="20" t="n">
        <f aca="false">PODACI_ZALIHE!F675</f>
        <v>0</v>
      </c>
      <c r="G678" s="19" t="n">
        <f aca="false">IF(E678="","",E678-F678)</f>
        <v>0</v>
      </c>
      <c r="H678" s="9" t="n">
        <f aca="false">PODACI_PRODAJA!N88</f>
        <v>1</v>
      </c>
      <c r="I678" s="21" t="n">
        <f aca="false">IF(H678&lt;=0,999,ROUND(F678/H678,1))</f>
        <v>0</v>
      </c>
      <c r="J678" s="9" t="n">
        <f aca="false">SUMIFS(ROBA_U_DOLASKU!$C$6:$C$95,ROBA_U_DOLASKU!$A$6:$A$95,A678,ROBA_U_DOLASKU!$H$6:$H$95,1)</f>
        <v>0</v>
      </c>
      <c r="K678" s="9" t="n">
        <f aca="false">SUMIFS(ROBA_U_DOLASKU!$B$6:$B$95,ROBA_U_DOLASKU!$A$6:$A$95,A678,ROBA_U_DOLASKU!$H$6:$H$95,1)</f>
        <v>0</v>
      </c>
      <c r="L678" s="9" t="n">
        <f aca="false">SUMIFS(ROBA_U_DOLASKU!$C$6:$C$95,ROBA_U_DOLASKU!$A$6:$A$95,A678,ROBA_U_DOLASKU!$H$6:$H$95,2)</f>
        <v>0</v>
      </c>
      <c r="M678" s="9" t="n">
        <f aca="false">SUMIFS(ROBA_U_DOLASKU!$B$6:$B$95,ROBA_U_DOLASKU!$A$6:$A$95,A678,ROBA_U_DOLASKU!$H$6:$H$95,2)</f>
        <v>0</v>
      </c>
      <c r="N678" s="9" t="n">
        <f aca="false">SUMIFS(ROBA_U_DOLASKU!$C$6:$C$95,ROBA_U_DOLASKU!$A$6:$A$95,A678,ROBA_U_DOLASKU!$H$6:$H$95,3)</f>
        <v>0</v>
      </c>
      <c r="O678" s="9" t="n">
        <f aca="false">SUMIFS(ROBA_U_DOLASKU!$B$6:$B$95,ROBA_U_DOLASKU!$A$6:$A$95,A678,ROBA_U_DOLASKU!$H$6:$H$95,3)</f>
        <v>0</v>
      </c>
      <c r="P678" s="9" t="n">
        <f aca="false">IF(H678&lt;=0,999,IF(O678&gt;0,ROUND((F678-H678*N678+K678+M678+O678)/H678,1),IF(M678&gt;0,ROUND((F678-H678*L678+K678+M678)/H678,1),IF(K678&gt;0,ROUND((F678-H678*J678+K678)/H678,1),I678))))</f>
        <v>0</v>
      </c>
      <c r="Q678" s="22" t="str">
        <f aca="false">IF(H678&lt;=0,"Nema prodaje",IF(AND(K678=0,M678=0,O678=0),IF(I678&lt;POSTAVKE!$B$6,"Naruči odmah","Sve u redu"),IF(F678-H678*J678&lt;0,"Rupa za ~"&amp;TEXT(I678,"0.0")&amp;" mj.",IF(AND(M678&gt;0,F678-H678*L678+K678&lt;0),"Rupa nakon 1. dolaska",IF(AND(O678&gt;0,F678-H678*N678+K678+M678&lt;0),"Rupa nakon 2. dolaska",IF(P678&lt;POSTAVKE!$B$6,"Količina nije dovoljna",IF(I678&gt;=POSTAVKE!$B$6,"Sve u redu","Stiže na vrijeme")))))))</f>
        <v>Naruči odmah</v>
      </c>
      <c r="S678" s="23" t="n">
        <f aca="false">IFERROR(INDEX(PODACI_PRODAJA!B:B,MATCH($A678,PODACI_PRODAJA!$A:$A,0)),0)</f>
        <v>7</v>
      </c>
      <c r="T678" s="23" t="n">
        <f aca="false">IFERROR(INDEX(PODACI_PRODAJA!C:C,MATCH($A678,PODACI_PRODAJA!$A:$A,0)),0)</f>
        <v>1</v>
      </c>
      <c r="U678" s="23" t="n">
        <f aca="false">IFERROR(INDEX(PODACI_PRODAJA!D:D,MATCH($A678,PODACI_PRODAJA!$A:$A,0)),0)</f>
        <v>0</v>
      </c>
      <c r="V678" s="23" t="n">
        <f aca="false">IFERROR(INDEX(PODACI_PRODAJA!E:E,MATCH($A678,PODACI_PRODAJA!$A:$A,0)),0)</f>
        <v>0</v>
      </c>
      <c r="W678" s="23" t="n">
        <f aca="false">IFERROR(INDEX(PODACI_PRODAJA!F:F,MATCH($A678,PODACI_PRODAJA!$A:$A,0)),0)</f>
        <v>0</v>
      </c>
      <c r="X678" s="23" t="n">
        <f aca="false">IFERROR(INDEX(PODACI_PRODAJA!G:G,MATCH($A678,PODACI_PRODAJA!$A:$A,0)),0)</f>
        <v>0</v>
      </c>
      <c r="Y678" s="23" t="n">
        <f aca="false">IFERROR(INDEX(PODACI_PRODAJA!H:H,MATCH($A678,PODACI_PRODAJA!$A:$A,0)),0)</f>
        <v>0</v>
      </c>
      <c r="Z678" s="23" t="n">
        <f aca="false">IFERROR(INDEX(PODACI_PRODAJA!I:I,MATCH($A678,PODACI_PRODAJA!$A:$A,0)),0)</f>
        <v>0</v>
      </c>
      <c r="AA678" s="23" t="n">
        <f aca="false">IFERROR(INDEX(PODACI_PRODAJA!J:J,MATCH($A678,PODACI_PRODAJA!$A:$A,0)),0)</f>
        <v>0</v>
      </c>
      <c r="AB678" s="23" t="n">
        <f aca="false">IFERROR(INDEX(PODACI_PRODAJA!K:K,MATCH($A678,PODACI_PRODAJA!$A:$A,0)),0)</f>
        <v>0</v>
      </c>
      <c r="AC678" s="23" t="n">
        <f aca="false">IFERROR(INDEX(PODACI_PRODAJA!L:L,MATCH($A678,PODACI_PRODAJA!$A:$A,0)),0)</f>
        <v>0</v>
      </c>
      <c r="AD678" s="23" t="n">
        <f aca="false">IFERROR(INDEX(PODACI_PRODAJA!M:M,MATCH($A678,PODACI_PRODAJA!$A:$A,0)),0)</f>
        <v>0</v>
      </c>
    </row>
    <row r="679" customFormat="false" ht="15" hidden="false" customHeight="false" outlineLevel="0" collapsed="false">
      <c r="A679" s="11" t="str">
        <f aca="false">PODACI_ZALIHE!A676</f>
        <v>006003</v>
      </c>
      <c r="B679" s="8" t="str">
        <f aca="false">PODACI_ZALIHE!B676</f>
        <v>NAOMI NADGRADNI UMIVAONIK 465x465x140 mm</v>
      </c>
      <c r="C679" s="9" t="str">
        <f aca="false">PODACI_ZALIHE!C676</f>
        <v>6413</v>
      </c>
      <c r="D679" s="8" t="str">
        <f aca="false">PODACI_ZALIHE!D676</f>
        <v>ZHONGTONG TRADE (HK) LIMITED</v>
      </c>
      <c r="E679" s="19" t="n">
        <f aca="false">IF(PODACI_ZALIHE!E676="","",PODACI_ZALIHE!E676)</f>
        <v>0</v>
      </c>
      <c r="F679" s="20" t="n">
        <f aca="false">PODACI_ZALIHE!F676</f>
        <v>0</v>
      </c>
      <c r="G679" s="19" t="n">
        <f aca="false">IF(E679="","",E679-F679)</f>
        <v>0</v>
      </c>
      <c r="H679" s="9" t="n">
        <f aca="false">PODACI_PRODAJA!N382</f>
        <v>-0.25</v>
      </c>
      <c r="I679" s="21" t="n">
        <f aca="false">IF(H679&lt;=0,999,ROUND(F679/H679,1))</f>
        <v>999</v>
      </c>
      <c r="J679" s="9" t="n">
        <f aca="false">SUMIFS(ROBA_U_DOLASKU!$C$6:$C$95,ROBA_U_DOLASKU!$A$6:$A$95,A679,ROBA_U_DOLASKU!$H$6:$H$95,1)</f>
        <v>0</v>
      </c>
      <c r="K679" s="9" t="n">
        <f aca="false">SUMIFS(ROBA_U_DOLASKU!$B$6:$B$95,ROBA_U_DOLASKU!$A$6:$A$95,A679,ROBA_U_DOLASKU!$H$6:$H$95,1)</f>
        <v>0</v>
      </c>
      <c r="L679" s="9" t="n">
        <f aca="false">SUMIFS(ROBA_U_DOLASKU!$C$6:$C$95,ROBA_U_DOLASKU!$A$6:$A$95,A679,ROBA_U_DOLASKU!$H$6:$H$95,2)</f>
        <v>0</v>
      </c>
      <c r="M679" s="9" t="n">
        <f aca="false">SUMIFS(ROBA_U_DOLASKU!$B$6:$B$95,ROBA_U_DOLASKU!$A$6:$A$95,A679,ROBA_U_DOLASKU!$H$6:$H$95,2)</f>
        <v>0</v>
      </c>
      <c r="N679" s="9" t="n">
        <f aca="false">SUMIFS(ROBA_U_DOLASKU!$C$6:$C$95,ROBA_U_DOLASKU!$A$6:$A$95,A679,ROBA_U_DOLASKU!$H$6:$H$95,3)</f>
        <v>0</v>
      </c>
      <c r="O679" s="9" t="n">
        <f aca="false">SUMIFS(ROBA_U_DOLASKU!$B$6:$B$95,ROBA_U_DOLASKU!$A$6:$A$95,A679,ROBA_U_DOLASKU!$H$6:$H$95,3)</f>
        <v>0</v>
      </c>
      <c r="P679" s="9" t="n">
        <f aca="false">IF(H679&lt;=0,999,IF(O679&gt;0,ROUND((F679-H679*N679+K679+M679+O679)/H679,1),IF(M679&gt;0,ROUND((F679-H679*L679+K679+M679)/H679,1),IF(K679&gt;0,ROUND((F679-H679*J679+K679)/H679,1),I679))))</f>
        <v>999</v>
      </c>
      <c r="Q679" s="22" t="str">
        <f aca="false">IF(H679&lt;=0,"Nema prodaje",IF(AND(K679=0,M679=0,O679=0),IF(I679&lt;POSTAVKE!$B$6,"Naruči odmah","Sve u redu"),IF(F679-H679*J679&lt;0,"Rupa za ~"&amp;TEXT(I679,"0.0")&amp;" mj.",IF(AND(M679&gt;0,F679-H679*L679+K679&lt;0),"Rupa nakon 1. dolaska",IF(AND(O679&gt;0,F679-H679*N679+K679+M679&lt;0),"Rupa nakon 2. dolaska",IF(P679&lt;POSTAVKE!$B$6,"Količina nije dovoljna",IF(I679&gt;=POSTAVKE!$B$6,"Sve u redu","Stiže na vrijeme")))))))</f>
        <v>Nema prodaje</v>
      </c>
      <c r="S679" s="23" t="n">
        <f aca="false">IFERROR(INDEX(PODACI_PRODAJA!B:B,MATCH($A679,PODACI_PRODAJA!$A:$A,0)),0)</f>
        <v>0</v>
      </c>
      <c r="T679" s="23" t="n">
        <f aca="false">IFERROR(INDEX(PODACI_PRODAJA!C:C,MATCH($A679,PODACI_PRODAJA!$A:$A,0)),0)</f>
        <v>0</v>
      </c>
      <c r="U679" s="23" t="n">
        <f aca="false">IFERROR(INDEX(PODACI_PRODAJA!D:D,MATCH($A679,PODACI_PRODAJA!$A:$A,0)),0)</f>
        <v>0</v>
      </c>
      <c r="V679" s="23" t="n">
        <f aca="false">IFERROR(INDEX(PODACI_PRODAJA!E:E,MATCH($A679,PODACI_PRODAJA!$A:$A,0)),0)</f>
        <v>0</v>
      </c>
      <c r="W679" s="23" t="n">
        <f aca="false">IFERROR(INDEX(PODACI_PRODAJA!F:F,MATCH($A679,PODACI_PRODAJA!$A:$A,0)),0)</f>
        <v>0</v>
      </c>
      <c r="X679" s="23" t="n">
        <f aca="false">IFERROR(INDEX(PODACI_PRODAJA!G:G,MATCH($A679,PODACI_PRODAJA!$A:$A,0)),0)</f>
        <v>-1</v>
      </c>
      <c r="Y679" s="23" t="n">
        <f aca="false">IFERROR(INDEX(PODACI_PRODAJA!H:H,MATCH($A679,PODACI_PRODAJA!$A:$A,0)),0)</f>
        <v>-1</v>
      </c>
      <c r="Z679" s="23" t="n">
        <f aca="false">IFERROR(INDEX(PODACI_PRODAJA!I:I,MATCH($A679,PODACI_PRODAJA!$A:$A,0)),0)</f>
        <v>0</v>
      </c>
      <c r="AA679" s="23" t="n">
        <f aca="false">IFERROR(INDEX(PODACI_PRODAJA!J:J,MATCH($A679,PODACI_PRODAJA!$A:$A,0)),0)</f>
        <v>0</v>
      </c>
      <c r="AB679" s="23" t="n">
        <f aca="false">IFERROR(INDEX(PODACI_PRODAJA!K:K,MATCH($A679,PODACI_PRODAJA!$A:$A,0)),0)</f>
        <v>0</v>
      </c>
      <c r="AC679" s="23" t="n">
        <f aca="false">IFERROR(INDEX(PODACI_PRODAJA!L:L,MATCH($A679,PODACI_PRODAJA!$A:$A,0)),0)</f>
        <v>0</v>
      </c>
      <c r="AD679" s="23" t="n">
        <f aca="false">IFERROR(INDEX(PODACI_PRODAJA!M:M,MATCH($A679,PODACI_PRODAJA!$A:$A,0)),0)</f>
        <v>0</v>
      </c>
    </row>
    <row r="680" customFormat="false" ht="15" hidden="false" customHeight="false" outlineLevel="0" collapsed="false">
      <c r="A680" s="11" t="str">
        <f aca="false">PODACI_ZALIHE!A677</f>
        <v>006010</v>
      </c>
      <c r="B680" s="8" t="str">
        <f aca="false">PODACI_ZALIHE!B677</f>
        <v>LILIAN NADGRADNI UMIVAONIK 590x400x150 mm</v>
      </c>
      <c r="C680" s="9" t="str">
        <f aca="false">PODACI_ZALIHE!C677</f>
        <v>6413</v>
      </c>
      <c r="D680" s="8" t="str">
        <f aca="false">PODACI_ZALIHE!D677</f>
        <v>ZHONGTONG TRADE (HK) LIMITED</v>
      </c>
      <c r="E680" s="19" t="n">
        <f aca="false">IF(PODACI_ZALIHE!E677="","",PODACI_ZALIHE!E677)</f>
        <v>0</v>
      </c>
      <c r="F680" s="20" t="n">
        <f aca="false">PODACI_ZALIHE!F677</f>
        <v>0</v>
      </c>
      <c r="G680" s="19" t="n">
        <f aca="false">IF(E680="","",E680-F680)</f>
        <v>0</v>
      </c>
      <c r="H680" s="9" t="n">
        <f aca="false">PODACI_PRODAJA!N383</f>
        <v>-0.13</v>
      </c>
      <c r="I680" s="21" t="n">
        <f aca="false">IF(H680&lt;=0,999,ROUND(F680/H680,1))</f>
        <v>999</v>
      </c>
      <c r="J680" s="9" t="n">
        <f aca="false">SUMIFS(ROBA_U_DOLASKU!$C$6:$C$95,ROBA_U_DOLASKU!$A$6:$A$95,A680,ROBA_U_DOLASKU!$H$6:$H$95,1)</f>
        <v>0</v>
      </c>
      <c r="K680" s="9" t="n">
        <f aca="false">SUMIFS(ROBA_U_DOLASKU!$B$6:$B$95,ROBA_U_DOLASKU!$A$6:$A$95,A680,ROBA_U_DOLASKU!$H$6:$H$95,1)</f>
        <v>0</v>
      </c>
      <c r="L680" s="9" t="n">
        <f aca="false">SUMIFS(ROBA_U_DOLASKU!$C$6:$C$95,ROBA_U_DOLASKU!$A$6:$A$95,A680,ROBA_U_DOLASKU!$H$6:$H$95,2)</f>
        <v>0</v>
      </c>
      <c r="M680" s="9" t="n">
        <f aca="false">SUMIFS(ROBA_U_DOLASKU!$B$6:$B$95,ROBA_U_DOLASKU!$A$6:$A$95,A680,ROBA_U_DOLASKU!$H$6:$H$95,2)</f>
        <v>0</v>
      </c>
      <c r="N680" s="9" t="n">
        <f aca="false">SUMIFS(ROBA_U_DOLASKU!$C$6:$C$95,ROBA_U_DOLASKU!$A$6:$A$95,A680,ROBA_U_DOLASKU!$H$6:$H$95,3)</f>
        <v>0</v>
      </c>
      <c r="O680" s="9" t="n">
        <f aca="false">SUMIFS(ROBA_U_DOLASKU!$B$6:$B$95,ROBA_U_DOLASKU!$A$6:$A$95,A680,ROBA_U_DOLASKU!$H$6:$H$95,3)</f>
        <v>0</v>
      </c>
      <c r="P680" s="9" t="n">
        <f aca="false">IF(H680&lt;=0,999,IF(O680&gt;0,ROUND((F680-H680*N680+K680+M680+O680)/H680,1),IF(M680&gt;0,ROUND((F680-H680*L680+K680+M680)/H680,1),IF(K680&gt;0,ROUND((F680-H680*J680+K680)/H680,1),I680))))</f>
        <v>999</v>
      </c>
      <c r="Q680" s="22" t="str">
        <f aca="false">IF(H680&lt;=0,"Nema prodaje",IF(AND(K680=0,M680=0,O680=0),IF(I680&lt;POSTAVKE!$B$6,"Naruči odmah","Sve u redu"),IF(F680-H680*J680&lt;0,"Rupa za ~"&amp;TEXT(I680,"0.0")&amp;" mj.",IF(AND(M680&gt;0,F680-H680*L680+K680&lt;0),"Rupa nakon 1. dolaska",IF(AND(O680&gt;0,F680-H680*N680+K680+M680&lt;0),"Rupa nakon 2. dolaska",IF(P680&lt;POSTAVKE!$B$6,"Količina nije dovoljna",IF(I680&gt;=POSTAVKE!$B$6,"Sve u redu","Stiže na vrijeme")))))))</f>
        <v>Nema prodaje</v>
      </c>
      <c r="S680" s="23" t="n">
        <f aca="false">IFERROR(INDEX(PODACI_PRODAJA!B:B,MATCH($A680,PODACI_PRODAJA!$A:$A,0)),0)</f>
        <v>0</v>
      </c>
      <c r="T680" s="23" t="n">
        <f aca="false">IFERROR(INDEX(PODACI_PRODAJA!C:C,MATCH($A680,PODACI_PRODAJA!$A:$A,0)),0)</f>
        <v>0</v>
      </c>
      <c r="U680" s="23" t="n">
        <f aca="false">IFERROR(INDEX(PODACI_PRODAJA!D:D,MATCH($A680,PODACI_PRODAJA!$A:$A,0)),0)</f>
        <v>0</v>
      </c>
      <c r="V680" s="23" t="n">
        <f aca="false">IFERROR(INDEX(PODACI_PRODAJA!E:E,MATCH($A680,PODACI_PRODAJA!$A:$A,0)),0)</f>
        <v>0</v>
      </c>
      <c r="W680" s="23" t="n">
        <f aca="false">IFERROR(INDEX(PODACI_PRODAJA!F:F,MATCH($A680,PODACI_PRODAJA!$A:$A,0)),0)</f>
        <v>0</v>
      </c>
      <c r="X680" s="23" t="n">
        <f aca="false">IFERROR(INDEX(PODACI_PRODAJA!G:G,MATCH($A680,PODACI_PRODAJA!$A:$A,0)),0)</f>
        <v>0</v>
      </c>
      <c r="Y680" s="23" t="n">
        <f aca="false">IFERROR(INDEX(PODACI_PRODAJA!H:H,MATCH($A680,PODACI_PRODAJA!$A:$A,0)),0)</f>
        <v>-1</v>
      </c>
      <c r="Z680" s="23" t="n">
        <f aca="false">IFERROR(INDEX(PODACI_PRODAJA!I:I,MATCH($A680,PODACI_PRODAJA!$A:$A,0)),0)</f>
        <v>0</v>
      </c>
      <c r="AA680" s="23" t="n">
        <f aca="false">IFERROR(INDEX(PODACI_PRODAJA!J:J,MATCH($A680,PODACI_PRODAJA!$A:$A,0)),0)</f>
        <v>0</v>
      </c>
      <c r="AB680" s="23" t="n">
        <f aca="false">IFERROR(INDEX(PODACI_PRODAJA!K:K,MATCH($A680,PODACI_PRODAJA!$A:$A,0)),0)</f>
        <v>0</v>
      </c>
      <c r="AC680" s="23" t="n">
        <f aca="false">IFERROR(INDEX(PODACI_PRODAJA!L:L,MATCH($A680,PODACI_PRODAJA!$A:$A,0)),0)</f>
        <v>0</v>
      </c>
      <c r="AD680" s="23" t="n">
        <f aca="false">IFERROR(INDEX(PODACI_PRODAJA!M:M,MATCH($A680,PODACI_PRODAJA!$A:$A,0)),0)</f>
        <v>0</v>
      </c>
    </row>
    <row r="681" customFormat="false" ht="15" hidden="false" customHeight="false" outlineLevel="0" collapsed="false">
      <c r="A681" s="11" t="str">
        <f aca="false">PODACI_ZALIHE!A678</f>
        <v>006013</v>
      </c>
      <c r="B681" s="8" t="str">
        <f aca="false">PODACI_ZALIHE!B678</f>
        <v>EMILIA NADGRADNI UMIVAONIK 510x420x150 mm</v>
      </c>
      <c r="C681" s="9" t="str">
        <f aca="false">PODACI_ZALIHE!C678</f>
        <v>6413</v>
      </c>
      <c r="D681" s="8" t="str">
        <f aca="false">PODACI_ZALIHE!D678</f>
        <v>ZHONGTONG TRADE (HK) LIMITED</v>
      </c>
      <c r="E681" s="19" t="n">
        <f aca="false">IF(PODACI_ZALIHE!E678="","",PODACI_ZALIHE!E678)</f>
        <v>0</v>
      </c>
      <c r="F681" s="20" t="n">
        <f aca="false">PODACI_ZALIHE!F678</f>
        <v>0</v>
      </c>
      <c r="G681" s="19" t="n">
        <f aca="false">IF(E681="","",E681-F681)</f>
        <v>0</v>
      </c>
      <c r="H681" s="9" t="n">
        <v>0</v>
      </c>
      <c r="I681" s="21" t="n">
        <f aca="false">IF(H681&lt;=0,999,ROUND(F681/H681,1))</f>
        <v>999</v>
      </c>
      <c r="J681" s="9" t="n">
        <f aca="false">SUMIFS(ROBA_U_DOLASKU!$C$6:$C$95,ROBA_U_DOLASKU!$A$6:$A$95,A681,ROBA_U_DOLASKU!$H$6:$H$95,1)</f>
        <v>0</v>
      </c>
      <c r="K681" s="9" t="n">
        <f aca="false">SUMIFS(ROBA_U_DOLASKU!$B$6:$B$95,ROBA_U_DOLASKU!$A$6:$A$95,A681,ROBA_U_DOLASKU!$H$6:$H$95,1)</f>
        <v>0</v>
      </c>
      <c r="L681" s="9" t="n">
        <f aca="false">SUMIFS(ROBA_U_DOLASKU!$C$6:$C$95,ROBA_U_DOLASKU!$A$6:$A$95,A681,ROBA_U_DOLASKU!$H$6:$H$95,2)</f>
        <v>0</v>
      </c>
      <c r="M681" s="9" t="n">
        <f aca="false">SUMIFS(ROBA_U_DOLASKU!$B$6:$B$95,ROBA_U_DOLASKU!$A$6:$A$95,A681,ROBA_U_DOLASKU!$H$6:$H$95,2)</f>
        <v>0</v>
      </c>
      <c r="N681" s="9" t="n">
        <f aca="false">SUMIFS(ROBA_U_DOLASKU!$C$6:$C$95,ROBA_U_DOLASKU!$A$6:$A$95,A681,ROBA_U_DOLASKU!$H$6:$H$95,3)</f>
        <v>0</v>
      </c>
      <c r="O681" s="9" t="n">
        <f aca="false">SUMIFS(ROBA_U_DOLASKU!$B$6:$B$95,ROBA_U_DOLASKU!$A$6:$A$95,A681,ROBA_U_DOLASKU!$H$6:$H$95,3)</f>
        <v>0</v>
      </c>
      <c r="P681" s="9" t="n">
        <f aca="false">IF(H681&lt;=0,999,IF(O681&gt;0,ROUND((F681-H681*N681+K681+M681+O681)/H681,1),IF(M681&gt;0,ROUND((F681-H681*L681+K681+M681)/H681,1),IF(K681&gt;0,ROUND((F681-H681*J681+K681)/H681,1),I681))))</f>
        <v>999</v>
      </c>
      <c r="Q681" s="22" t="str">
        <f aca="false">IF(H681&lt;=0,"Nema prodaje",IF(AND(K681=0,M681=0,O681=0),IF(I681&lt;POSTAVKE!$B$6,"Naruči odmah","Sve u redu"),IF(F681-H681*J681&lt;0,"Rupa za ~"&amp;TEXT(I681,"0.0")&amp;" mj.",IF(AND(M681&gt;0,F681-H681*L681+K681&lt;0),"Rupa nakon 1. dolaska",IF(AND(O681&gt;0,F681-H681*N681+K681+M681&lt;0),"Rupa nakon 2. dolaska",IF(P681&lt;POSTAVKE!$B$6,"Količina nije dovoljna",IF(I681&gt;=POSTAVKE!$B$6,"Sve u redu","Stiže na vrijeme")))))))</f>
        <v>Nema prodaje</v>
      </c>
      <c r="S681" s="23" t="n">
        <f aca="false">IFERROR(INDEX(PODACI_PRODAJA!B:B,MATCH($A681,PODACI_PRODAJA!$A:$A,0)),0)</f>
        <v>0</v>
      </c>
      <c r="T681" s="23" t="n">
        <f aca="false">IFERROR(INDEX(PODACI_PRODAJA!C:C,MATCH($A681,PODACI_PRODAJA!$A:$A,0)),0)</f>
        <v>0</v>
      </c>
      <c r="U681" s="23" t="n">
        <f aca="false">IFERROR(INDEX(PODACI_PRODAJA!D:D,MATCH($A681,PODACI_PRODAJA!$A:$A,0)),0)</f>
        <v>0</v>
      </c>
      <c r="V681" s="23" t="n">
        <f aca="false">IFERROR(INDEX(PODACI_PRODAJA!E:E,MATCH($A681,PODACI_PRODAJA!$A:$A,0)),0)</f>
        <v>0</v>
      </c>
      <c r="W681" s="23" t="n">
        <f aca="false">IFERROR(INDEX(PODACI_PRODAJA!F:F,MATCH($A681,PODACI_PRODAJA!$A:$A,0)),0)</f>
        <v>0</v>
      </c>
      <c r="X681" s="23" t="n">
        <f aca="false">IFERROR(INDEX(PODACI_PRODAJA!G:G,MATCH($A681,PODACI_PRODAJA!$A:$A,0)),0)</f>
        <v>0</v>
      </c>
      <c r="Y681" s="23" t="n">
        <f aca="false">IFERROR(INDEX(PODACI_PRODAJA!H:H,MATCH($A681,PODACI_PRODAJA!$A:$A,0)),0)</f>
        <v>0</v>
      </c>
      <c r="Z681" s="23" t="n">
        <f aca="false">IFERROR(INDEX(PODACI_PRODAJA!I:I,MATCH($A681,PODACI_PRODAJA!$A:$A,0)),0)</f>
        <v>0</v>
      </c>
      <c r="AA681" s="23" t="n">
        <f aca="false">IFERROR(INDEX(PODACI_PRODAJA!J:J,MATCH($A681,PODACI_PRODAJA!$A:$A,0)),0)</f>
        <v>0</v>
      </c>
      <c r="AB681" s="23" t="n">
        <f aca="false">IFERROR(INDEX(PODACI_PRODAJA!K:K,MATCH($A681,PODACI_PRODAJA!$A:$A,0)),0)</f>
        <v>0</v>
      </c>
      <c r="AC681" s="23" t="n">
        <f aca="false">IFERROR(INDEX(PODACI_PRODAJA!L:L,MATCH($A681,PODACI_PRODAJA!$A:$A,0)),0)</f>
        <v>0</v>
      </c>
      <c r="AD681" s="23" t="n">
        <f aca="false">IFERROR(INDEX(PODACI_PRODAJA!M:M,MATCH($A681,PODACI_PRODAJA!$A:$A,0)),0)</f>
        <v>0</v>
      </c>
    </row>
    <row r="682" customFormat="false" ht="15" hidden="false" customHeight="false" outlineLevel="0" collapsed="false">
      <c r="A682" s="11" t="str">
        <f aca="false">PODACI_ZALIHE!A679</f>
        <v>006015</v>
      </c>
      <c r="B682" s="8" t="str">
        <f aca="false">PODACI_ZALIHE!B679</f>
        <v>RACHEL NADGRADNI UMIVAONIK 410x410x125 mm</v>
      </c>
      <c r="C682" s="9" t="str">
        <f aca="false">PODACI_ZALIHE!C679</f>
        <v>6413</v>
      </c>
      <c r="D682" s="8" t="str">
        <f aca="false">PODACI_ZALIHE!D679</f>
        <v>ZHONGTONG TRADE (HK) LIMITED</v>
      </c>
      <c r="E682" s="19" t="n">
        <f aca="false">IF(PODACI_ZALIHE!E679="","",PODACI_ZALIHE!E679)</f>
        <v>0</v>
      </c>
      <c r="F682" s="20" t="n">
        <f aca="false">PODACI_ZALIHE!F679</f>
        <v>0</v>
      </c>
      <c r="G682" s="19" t="n">
        <f aca="false">IF(E682="","",E682-F682)</f>
        <v>0</v>
      </c>
      <c r="H682" s="9" t="n">
        <v>0</v>
      </c>
      <c r="I682" s="21" t="n">
        <f aca="false">IF(H682&lt;=0,999,ROUND(F682/H682,1))</f>
        <v>999</v>
      </c>
      <c r="J682" s="9" t="n">
        <f aca="false">SUMIFS(ROBA_U_DOLASKU!$C$6:$C$95,ROBA_U_DOLASKU!$A$6:$A$95,A682,ROBA_U_DOLASKU!$H$6:$H$95,1)</f>
        <v>0</v>
      </c>
      <c r="K682" s="9" t="n">
        <f aca="false">SUMIFS(ROBA_U_DOLASKU!$B$6:$B$95,ROBA_U_DOLASKU!$A$6:$A$95,A682,ROBA_U_DOLASKU!$H$6:$H$95,1)</f>
        <v>0</v>
      </c>
      <c r="L682" s="9" t="n">
        <f aca="false">SUMIFS(ROBA_U_DOLASKU!$C$6:$C$95,ROBA_U_DOLASKU!$A$6:$A$95,A682,ROBA_U_DOLASKU!$H$6:$H$95,2)</f>
        <v>0</v>
      </c>
      <c r="M682" s="9" t="n">
        <f aca="false">SUMIFS(ROBA_U_DOLASKU!$B$6:$B$95,ROBA_U_DOLASKU!$A$6:$A$95,A682,ROBA_U_DOLASKU!$H$6:$H$95,2)</f>
        <v>0</v>
      </c>
      <c r="N682" s="9" t="n">
        <f aca="false">SUMIFS(ROBA_U_DOLASKU!$C$6:$C$95,ROBA_U_DOLASKU!$A$6:$A$95,A682,ROBA_U_DOLASKU!$H$6:$H$95,3)</f>
        <v>0</v>
      </c>
      <c r="O682" s="9" t="n">
        <f aca="false">SUMIFS(ROBA_U_DOLASKU!$B$6:$B$95,ROBA_U_DOLASKU!$A$6:$A$95,A682,ROBA_U_DOLASKU!$H$6:$H$95,3)</f>
        <v>0</v>
      </c>
      <c r="P682" s="9" t="n">
        <f aca="false">IF(H682&lt;=0,999,IF(O682&gt;0,ROUND((F682-H682*N682+K682+M682+O682)/H682,1),IF(M682&gt;0,ROUND((F682-H682*L682+K682+M682)/H682,1),IF(K682&gt;0,ROUND((F682-H682*J682+K682)/H682,1),I682))))</f>
        <v>999</v>
      </c>
      <c r="Q682" s="22" t="str">
        <f aca="false">IF(H682&lt;=0,"Nema prodaje",IF(AND(K682=0,M682=0,O682=0),IF(I682&lt;POSTAVKE!$B$6,"Naruči odmah","Sve u redu"),IF(F682-H682*J682&lt;0,"Rupa za ~"&amp;TEXT(I682,"0.0")&amp;" mj.",IF(AND(M682&gt;0,F682-H682*L682+K682&lt;0),"Rupa nakon 1. dolaska",IF(AND(O682&gt;0,F682-H682*N682+K682+M682&lt;0),"Rupa nakon 2. dolaska",IF(P682&lt;POSTAVKE!$B$6,"Količina nije dovoljna",IF(I682&gt;=POSTAVKE!$B$6,"Sve u redu","Stiže na vrijeme")))))))</f>
        <v>Nema prodaje</v>
      </c>
      <c r="S682" s="23" t="n">
        <f aca="false">IFERROR(INDEX(PODACI_PRODAJA!B:B,MATCH($A682,PODACI_PRODAJA!$A:$A,0)),0)</f>
        <v>0</v>
      </c>
      <c r="T682" s="23" t="n">
        <f aca="false">IFERROR(INDEX(PODACI_PRODAJA!C:C,MATCH($A682,PODACI_PRODAJA!$A:$A,0)),0)</f>
        <v>0</v>
      </c>
      <c r="U682" s="23" t="n">
        <f aca="false">IFERROR(INDEX(PODACI_PRODAJA!D:D,MATCH($A682,PODACI_PRODAJA!$A:$A,0)),0)</f>
        <v>0</v>
      </c>
      <c r="V682" s="23" t="n">
        <f aca="false">IFERROR(INDEX(PODACI_PRODAJA!E:E,MATCH($A682,PODACI_PRODAJA!$A:$A,0)),0)</f>
        <v>0</v>
      </c>
      <c r="W682" s="23" t="n">
        <f aca="false">IFERROR(INDEX(PODACI_PRODAJA!F:F,MATCH($A682,PODACI_PRODAJA!$A:$A,0)),0)</f>
        <v>0</v>
      </c>
      <c r="X682" s="23" t="n">
        <f aca="false">IFERROR(INDEX(PODACI_PRODAJA!G:G,MATCH($A682,PODACI_PRODAJA!$A:$A,0)),0)</f>
        <v>0</v>
      </c>
      <c r="Y682" s="23" t="n">
        <f aca="false">IFERROR(INDEX(PODACI_PRODAJA!H:H,MATCH($A682,PODACI_PRODAJA!$A:$A,0)),0)</f>
        <v>0</v>
      </c>
      <c r="Z682" s="23" t="n">
        <f aca="false">IFERROR(INDEX(PODACI_PRODAJA!I:I,MATCH($A682,PODACI_PRODAJA!$A:$A,0)),0)</f>
        <v>0</v>
      </c>
      <c r="AA682" s="23" t="n">
        <f aca="false">IFERROR(INDEX(PODACI_PRODAJA!J:J,MATCH($A682,PODACI_PRODAJA!$A:$A,0)),0)</f>
        <v>0</v>
      </c>
      <c r="AB682" s="23" t="n">
        <f aca="false">IFERROR(INDEX(PODACI_PRODAJA!K:K,MATCH($A682,PODACI_PRODAJA!$A:$A,0)),0)</f>
        <v>0</v>
      </c>
      <c r="AC682" s="23" t="n">
        <f aca="false">IFERROR(INDEX(PODACI_PRODAJA!L:L,MATCH($A682,PODACI_PRODAJA!$A:$A,0)),0)</f>
        <v>0</v>
      </c>
      <c r="AD682" s="23" t="n">
        <f aca="false">IFERROR(INDEX(PODACI_PRODAJA!M:M,MATCH($A682,PODACI_PRODAJA!$A:$A,0)),0)</f>
        <v>0</v>
      </c>
    </row>
    <row r="683" customFormat="false" ht="15" hidden="false" customHeight="false" outlineLevel="0" collapsed="false">
      <c r="A683" s="11" t="str">
        <f aca="false">PODACI_ZALIHE!A680</f>
        <v>006016</v>
      </c>
      <c r="B683" s="8" t="str">
        <f aca="false">PODACI_ZALIHE!B680</f>
        <v>ELENA NADGRADNI UMIVAONIK 410x410x125 mm</v>
      </c>
      <c r="C683" s="9" t="str">
        <f aca="false">PODACI_ZALIHE!C680</f>
        <v>6413</v>
      </c>
      <c r="D683" s="8" t="str">
        <f aca="false">PODACI_ZALIHE!D680</f>
        <v>ZHONGTONG TRADE (HK) LIMITED</v>
      </c>
      <c r="E683" s="19" t="n">
        <f aca="false">IF(PODACI_ZALIHE!E680="","",PODACI_ZALIHE!E680)</f>
        <v>0</v>
      </c>
      <c r="F683" s="20" t="n">
        <f aca="false">PODACI_ZALIHE!F680</f>
        <v>0</v>
      </c>
      <c r="G683" s="19" t="n">
        <f aca="false">IF(E683="","",E683-F683)</f>
        <v>0</v>
      </c>
      <c r="H683" s="9" t="n">
        <v>0</v>
      </c>
      <c r="I683" s="21" t="n">
        <f aca="false">IF(H683&lt;=0,999,ROUND(F683/H683,1))</f>
        <v>999</v>
      </c>
      <c r="J683" s="9" t="n">
        <f aca="false">SUMIFS(ROBA_U_DOLASKU!$C$6:$C$95,ROBA_U_DOLASKU!$A$6:$A$95,A683,ROBA_U_DOLASKU!$H$6:$H$95,1)</f>
        <v>0</v>
      </c>
      <c r="K683" s="9" t="n">
        <f aca="false">SUMIFS(ROBA_U_DOLASKU!$B$6:$B$95,ROBA_U_DOLASKU!$A$6:$A$95,A683,ROBA_U_DOLASKU!$H$6:$H$95,1)</f>
        <v>0</v>
      </c>
      <c r="L683" s="9" t="n">
        <f aca="false">SUMIFS(ROBA_U_DOLASKU!$C$6:$C$95,ROBA_U_DOLASKU!$A$6:$A$95,A683,ROBA_U_DOLASKU!$H$6:$H$95,2)</f>
        <v>0</v>
      </c>
      <c r="M683" s="9" t="n">
        <f aca="false">SUMIFS(ROBA_U_DOLASKU!$B$6:$B$95,ROBA_U_DOLASKU!$A$6:$A$95,A683,ROBA_U_DOLASKU!$H$6:$H$95,2)</f>
        <v>0</v>
      </c>
      <c r="N683" s="9" t="n">
        <f aca="false">SUMIFS(ROBA_U_DOLASKU!$C$6:$C$95,ROBA_U_DOLASKU!$A$6:$A$95,A683,ROBA_U_DOLASKU!$H$6:$H$95,3)</f>
        <v>0</v>
      </c>
      <c r="O683" s="9" t="n">
        <f aca="false">SUMIFS(ROBA_U_DOLASKU!$B$6:$B$95,ROBA_U_DOLASKU!$A$6:$A$95,A683,ROBA_U_DOLASKU!$H$6:$H$95,3)</f>
        <v>0</v>
      </c>
      <c r="P683" s="9" t="n">
        <f aca="false">IF(H683&lt;=0,999,IF(O683&gt;0,ROUND((F683-H683*N683+K683+M683+O683)/H683,1),IF(M683&gt;0,ROUND((F683-H683*L683+K683+M683)/H683,1),IF(K683&gt;0,ROUND((F683-H683*J683+K683)/H683,1),I683))))</f>
        <v>999</v>
      </c>
      <c r="Q683" s="22" t="str">
        <f aca="false">IF(H683&lt;=0,"Nema prodaje",IF(AND(K683=0,M683=0,O683=0),IF(I683&lt;POSTAVKE!$B$6,"Naruči odmah","Sve u redu"),IF(F683-H683*J683&lt;0,"Rupa za ~"&amp;TEXT(I683,"0.0")&amp;" mj.",IF(AND(M683&gt;0,F683-H683*L683+K683&lt;0),"Rupa nakon 1. dolaska",IF(AND(O683&gt;0,F683-H683*N683+K683+M683&lt;0),"Rupa nakon 2. dolaska",IF(P683&lt;POSTAVKE!$B$6,"Količina nije dovoljna",IF(I683&gt;=POSTAVKE!$B$6,"Sve u redu","Stiže na vrijeme")))))))</f>
        <v>Nema prodaje</v>
      </c>
      <c r="S683" s="23" t="n">
        <f aca="false">IFERROR(INDEX(PODACI_PRODAJA!B:B,MATCH($A683,PODACI_PRODAJA!$A:$A,0)),0)</f>
        <v>0</v>
      </c>
      <c r="T683" s="23" t="n">
        <f aca="false">IFERROR(INDEX(PODACI_PRODAJA!C:C,MATCH($A683,PODACI_PRODAJA!$A:$A,0)),0)</f>
        <v>0</v>
      </c>
      <c r="U683" s="23" t="n">
        <f aca="false">IFERROR(INDEX(PODACI_PRODAJA!D:D,MATCH($A683,PODACI_PRODAJA!$A:$A,0)),0)</f>
        <v>0</v>
      </c>
      <c r="V683" s="23" t="n">
        <f aca="false">IFERROR(INDEX(PODACI_PRODAJA!E:E,MATCH($A683,PODACI_PRODAJA!$A:$A,0)),0)</f>
        <v>0</v>
      </c>
      <c r="W683" s="23" t="n">
        <f aca="false">IFERROR(INDEX(PODACI_PRODAJA!F:F,MATCH($A683,PODACI_PRODAJA!$A:$A,0)),0)</f>
        <v>0</v>
      </c>
      <c r="X683" s="23" t="n">
        <f aca="false">IFERROR(INDEX(PODACI_PRODAJA!G:G,MATCH($A683,PODACI_PRODAJA!$A:$A,0)),0)</f>
        <v>0</v>
      </c>
      <c r="Y683" s="23" t="n">
        <f aca="false">IFERROR(INDEX(PODACI_PRODAJA!H:H,MATCH($A683,PODACI_PRODAJA!$A:$A,0)),0)</f>
        <v>0</v>
      </c>
      <c r="Z683" s="23" t="n">
        <f aca="false">IFERROR(INDEX(PODACI_PRODAJA!I:I,MATCH($A683,PODACI_PRODAJA!$A:$A,0)),0)</f>
        <v>0</v>
      </c>
      <c r="AA683" s="23" t="n">
        <f aca="false">IFERROR(INDEX(PODACI_PRODAJA!J:J,MATCH($A683,PODACI_PRODAJA!$A:$A,0)),0)</f>
        <v>0</v>
      </c>
      <c r="AB683" s="23" t="n">
        <f aca="false">IFERROR(INDEX(PODACI_PRODAJA!K:K,MATCH($A683,PODACI_PRODAJA!$A:$A,0)),0)</f>
        <v>0</v>
      </c>
      <c r="AC683" s="23" t="n">
        <f aca="false">IFERROR(INDEX(PODACI_PRODAJA!L:L,MATCH($A683,PODACI_PRODAJA!$A:$A,0)),0)</f>
        <v>0</v>
      </c>
      <c r="AD683" s="23" t="n">
        <f aca="false">IFERROR(INDEX(PODACI_PRODAJA!M:M,MATCH($A683,PODACI_PRODAJA!$A:$A,0)),0)</f>
        <v>0</v>
      </c>
    </row>
    <row r="684" customFormat="false" ht="15" hidden="false" customHeight="false" outlineLevel="0" collapsed="false">
      <c r="A684" s="11" t="str">
        <f aca="false">PODACI_ZALIHE!A681</f>
        <v>006017</v>
      </c>
      <c r="B684" s="8" t="str">
        <f aca="false">PODACI_ZALIHE!B681</f>
        <v>MONICA NADGRADNI UMIVAONIK 500x400x135 mm</v>
      </c>
      <c r="C684" s="9" t="str">
        <f aca="false">PODACI_ZALIHE!C681</f>
        <v>6413</v>
      </c>
      <c r="D684" s="8" t="str">
        <f aca="false">PODACI_ZALIHE!D681</f>
        <v>ZHONGTONG TRADE (HK) LIMITED</v>
      </c>
      <c r="E684" s="19" t="n">
        <f aca="false">IF(PODACI_ZALIHE!E681="","",PODACI_ZALIHE!E681)</f>
        <v>0</v>
      </c>
      <c r="F684" s="20" t="n">
        <f aca="false">PODACI_ZALIHE!F681</f>
        <v>0</v>
      </c>
      <c r="G684" s="19" t="n">
        <f aca="false">IF(E684="","",E684-F684)</f>
        <v>0</v>
      </c>
      <c r="H684" s="9" t="n">
        <v>0</v>
      </c>
      <c r="I684" s="21" t="n">
        <f aca="false">IF(H684&lt;=0,999,ROUND(F684/H684,1))</f>
        <v>999</v>
      </c>
      <c r="J684" s="9" t="n">
        <f aca="false">SUMIFS(ROBA_U_DOLASKU!$C$6:$C$95,ROBA_U_DOLASKU!$A$6:$A$95,A684,ROBA_U_DOLASKU!$H$6:$H$95,1)</f>
        <v>0</v>
      </c>
      <c r="K684" s="9" t="n">
        <f aca="false">SUMIFS(ROBA_U_DOLASKU!$B$6:$B$95,ROBA_U_DOLASKU!$A$6:$A$95,A684,ROBA_U_DOLASKU!$H$6:$H$95,1)</f>
        <v>0</v>
      </c>
      <c r="L684" s="9" t="n">
        <f aca="false">SUMIFS(ROBA_U_DOLASKU!$C$6:$C$95,ROBA_U_DOLASKU!$A$6:$A$95,A684,ROBA_U_DOLASKU!$H$6:$H$95,2)</f>
        <v>0</v>
      </c>
      <c r="M684" s="9" t="n">
        <f aca="false">SUMIFS(ROBA_U_DOLASKU!$B$6:$B$95,ROBA_U_DOLASKU!$A$6:$A$95,A684,ROBA_U_DOLASKU!$H$6:$H$95,2)</f>
        <v>0</v>
      </c>
      <c r="N684" s="9" t="n">
        <f aca="false">SUMIFS(ROBA_U_DOLASKU!$C$6:$C$95,ROBA_U_DOLASKU!$A$6:$A$95,A684,ROBA_U_DOLASKU!$H$6:$H$95,3)</f>
        <v>0</v>
      </c>
      <c r="O684" s="9" t="n">
        <f aca="false">SUMIFS(ROBA_U_DOLASKU!$B$6:$B$95,ROBA_U_DOLASKU!$A$6:$A$95,A684,ROBA_U_DOLASKU!$H$6:$H$95,3)</f>
        <v>0</v>
      </c>
      <c r="P684" s="9" t="n">
        <f aca="false">IF(H684&lt;=0,999,IF(O684&gt;0,ROUND((F684-H684*N684+K684+M684+O684)/H684,1),IF(M684&gt;0,ROUND((F684-H684*L684+K684+M684)/H684,1),IF(K684&gt;0,ROUND((F684-H684*J684+K684)/H684,1),I684))))</f>
        <v>999</v>
      </c>
      <c r="Q684" s="22" t="str">
        <f aca="false">IF(H684&lt;=0,"Nema prodaje",IF(AND(K684=0,M684=0,O684=0),IF(I684&lt;POSTAVKE!$B$6,"Naruči odmah","Sve u redu"),IF(F684-H684*J684&lt;0,"Rupa za ~"&amp;TEXT(I684,"0.0")&amp;" mj.",IF(AND(M684&gt;0,F684-H684*L684+K684&lt;0),"Rupa nakon 1. dolaska",IF(AND(O684&gt;0,F684-H684*N684+K684+M684&lt;0),"Rupa nakon 2. dolaska",IF(P684&lt;POSTAVKE!$B$6,"Količina nije dovoljna",IF(I684&gt;=POSTAVKE!$B$6,"Sve u redu","Stiže na vrijeme")))))))</f>
        <v>Nema prodaje</v>
      </c>
      <c r="S684" s="23" t="n">
        <f aca="false">IFERROR(INDEX(PODACI_PRODAJA!B:B,MATCH($A684,PODACI_PRODAJA!$A:$A,0)),0)</f>
        <v>0</v>
      </c>
      <c r="T684" s="23" t="n">
        <f aca="false">IFERROR(INDEX(PODACI_PRODAJA!C:C,MATCH($A684,PODACI_PRODAJA!$A:$A,0)),0)</f>
        <v>0</v>
      </c>
      <c r="U684" s="23" t="n">
        <f aca="false">IFERROR(INDEX(PODACI_PRODAJA!D:D,MATCH($A684,PODACI_PRODAJA!$A:$A,0)),0)</f>
        <v>0</v>
      </c>
      <c r="V684" s="23" t="n">
        <f aca="false">IFERROR(INDEX(PODACI_PRODAJA!E:E,MATCH($A684,PODACI_PRODAJA!$A:$A,0)),0)</f>
        <v>0</v>
      </c>
      <c r="W684" s="23" t="n">
        <f aca="false">IFERROR(INDEX(PODACI_PRODAJA!F:F,MATCH($A684,PODACI_PRODAJA!$A:$A,0)),0)</f>
        <v>0</v>
      </c>
      <c r="X684" s="23" t="n">
        <f aca="false">IFERROR(INDEX(PODACI_PRODAJA!G:G,MATCH($A684,PODACI_PRODAJA!$A:$A,0)),0)</f>
        <v>0</v>
      </c>
      <c r="Y684" s="23" t="n">
        <f aca="false">IFERROR(INDEX(PODACI_PRODAJA!H:H,MATCH($A684,PODACI_PRODAJA!$A:$A,0)),0)</f>
        <v>0</v>
      </c>
      <c r="Z684" s="23" t="n">
        <f aca="false">IFERROR(INDEX(PODACI_PRODAJA!I:I,MATCH($A684,PODACI_PRODAJA!$A:$A,0)),0)</f>
        <v>0</v>
      </c>
      <c r="AA684" s="23" t="n">
        <f aca="false">IFERROR(INDEX(PODACI_PRODAJA!J:J,MATCH($A684,PODACI_PRODAJA!$A:$A,0)),0)</f>
        <v>0</v>
      </c>
      <c r="AB684" s="23" t="n">
        <f aca="false">IFERROR(INDEX(PODACI_PRODAJA!K:K,MATCH($A684,PODACI_PRODAJA!$A:$A,0)),0)</f>
        <v>0</v>
      </c>
      <c r="AC684" s="23" t="n">
        <f aca="false">IFERROR(INDEX(PODACI_PRODAJA!L:L,MATCH($A684,PODACI_PRODAJA!$A:$A,0)),0)</f>
        <v>0</v>
      </c>
      <c r="AD684" s="23" t="n">
        <f aca="false">IFERROR(INDEX(PODACI_PRODAJA!M:M,MATCH($A684,PODACI_PRODAJA!$A:$A,0)),0)</f>
        <v>0</v>
      </c>
    </row>
    <row r="685" customFormat="false" ht="15" hidden="false" customHeight="false" outlineLevel="0" collapsed="false">
      <c r="A685" s="11" t="str">
        <f aca="false">PODACI_ZALIHE!A682</f>
        <v>006018</v>
      </c>
      <c r="B685" s="8" t="str">
        <f aca="false">PODACI_ZALIHE!B682</f>
        <v>MADDY NADGRADNI UMIVAONIK 500x400x135 mm</v>
      </c>
      <c r="C685" s="9" t="str">
        <f aca="false">PODACI_ZALIHE!C682</f>
        <v>6413</v>
      </c>
      <c r="D685" s="8" t="str">
        <f aca="false">PODACI_ZALIHE!D682</f>
        <v>ZHONGTONG TRADE (HK) LIMITED</v>
      </c>
      <c r="E685" s="19" t="n">
        <f aca="false">IF(PODACI_ZALIHE!E682="","",PODACI_ZALIHE!E682)</f>
        <v>0</v>
      </c>
      <c r="F685" s="20" t="n">
        <f aca="false">PODACI_ZALIHE!F682</f>
        <v>0</v>
      </c>
      <c r="G685" s="19" t="n">
        <f aca="false">IF(E685="","",E685-F685)</f>
        <v>0</v>
      </c>
      <c r="H685" s="9" t="n">
        <f aca="false">PODACI_PRODAJA!N384</f>
        <v>0</v>
      </c>
      <c r="I685" s="21" t="n">
        <f aca="false">IF(H685&lt;=0,999,ROUND(F685/H685,1))</f>
        <v>999</v>
      </c>
      <c r="J685" s="9" t="n">
        <f aca="false">SUMIFS(ROBA_U_DOLASKU!$C$6:$C$95,ROBA_U_DOLASKU!$A$6:$A$95,A685,ROBA_U_DOLASKU!$H$6:$H$95,1)</f>
        <v>0</v>
      </c>
      <c r="K685" s="9" t="n">
        <f aca="false">SUMIFS(ROBA_U_DOLASKU!$B$6:$B$95,ROBA_U_DOLASKU!$A$6:$A$95,A685,ROBA_U_DOLASKU!$H$6:$H$95,1)</f>
        <v>0</v>
      </c>
      <c r="L685" s="9" t="n">
        <f aca="false">SUMIFS(ROBA_U_DOLASKU!$C$6:$C$95,ROBA_U_DOLASKU!$A$6:$A$95,A685,ROBA_U_DOLASKU!$H$6:$H$95,2)</f>
        <v>0</v>
      </c>
      <c r="M685" s="9" t="n">
        <f aca="false">SUMIFS(ROBA_U_DOLASKU!$B$6:$B$95,ROBA_U_DOLASKU!$A$6:$A$95,A685,ROBA_U_DOLASKU!$H$6:$H$95,2)</f>
        <v>0</v>
      </c>
      <c r="N685" s="9" t="n">
        <f aca="false">SUMIFS(ROBA_U_DOLASKU!$C$6:$C$95,ROBA_U_DOLASKU!$A$6:$A$95,A685,ROBA_U_DOLASKU!$H$6:$H$95,3)</f>
        <v>0</v>
      </c>
      <c r="O685" s="9" t="n">
        <f aca="false">SUMIFS(ROBA_U_DOLASKU!$B$6:$B$95,ROBA_U_DOLASKU!$A$6:$A$95,A685,ROBA_U_DOLASKU!$H$6:$H$95,3)</f>
        <v>0</v>
      </c>
      <c r="P685" s="9" t="n">
        <f aca="false">IF(H685&lt;=0,999,IF(O685&gt;0,ROUND((F685-H685*N685+K685+M685+O685)/H685,1),IF(M685&gt;0,ROUND((F685-H685*L685+K685+M685)/H685,1),IF(K685&gt;0,ROUND((F685-H685*J685+K685)/H685,1),I685))))</f>
        <v>999</v>
      </c>
      <c r="Q685" s="22" t="str">
        <f aca="false">IF(H685&lt;=0,"Nema prodaje",IF(AND(K685=0,M685=0,O685=0),IF(I685&lt;POSTAVKE!$B$6,"Naruči odmah","Sve u redu"),IF(F685-H685*J685&lt;0,"Rupa za ~"&amp;TEXT(I685,"0.0")&amp;" mj.",IF(AND(M685&gt;0,F685-H685*L685+K685&lt;0),"Rupa nakon 1. dolaska",IF(AND(O685&gt;0,F685-H685*N685+K685+M685&lt;0),"Rupa nakon 2. dolaska",IF(P685&lt;POSTAVKE!$B$6,"Količina nije dovoljna",IF(I685&gt;=POSTAVKE!$B$6,"Sve u redu","Stiže na vrijeme")))))))</f>
        <v>Nema prodaje</v>
      </c>
      <c r="S685" s="23" t="n">
        <f aca="false">IFERROR(INDEX(PODACI_PRODAJA!B:B,MATCH($A685,PODACI_PRODAJA!$A:$A,0)),0)</f>
        <v>0</v>
      </c>
      <c r="T685" s="23" t="n">
        <f aca="false">IFERROR(INDEX(PODACI_PRODAJA!C:C,MATCH($A685,PODACI_PRODAJA!$A:$A,0)),0)</f>
        <v>0</v>
      </c>
      <c r="U685" s="23" t="n">
        <f aca="false">IFERROR(INDEX(PODACI_PRODAJA!D:D,MATCH($A685,PODACI_PRODAJA!$A:$A,0)),0)</f>
        <v>0</v>
      </c>
      <c r="V685" s="23" t="n">
        <f aca="false">IFERROR(INDEX(PODACI_PRODAJA!E:E,MATCH($A685,PODACI_PRODAJA!$A:$A,0)),0)</f>
        <v>0</v>
      </c>
      <c r="W685" s="23" t="n">
        <f aca="false">IFERROR(INDEX(PODACI_PRODAJA!F:F,MATCH($A685,PODACI_PRODAJA!$A:$A,0)),0)</f>
        <v>0</v>
      </c>
      <c r="X685" s="23" t="n">
        <f aca="false">IFERROR(INDEX(PODACI_PRODAJA!G:G,MATCH($A685,PODACI_PRODAJA!$A:$A,0)),0)</f>
        <v>0</v>
      </c>
      <c r="Y685" s="23" t="n">
        <f aca="false">IFERROR(INDEX(PODACI_PRODAJA!H:H,MATCH($A685,PODACI_PRODAJA!$A:$A,0)),0)</f>
        <v>0</v>
      </c>
      <c r="Z685" s="23" t="n">
        <f aca="false">IFERROR(INDEX(PODACI_PRODAJA!I:I,MATCH($A685,PODACI_PRODAJA!$A:$A,0)),0)</f>
        <v>0</v>
      </c>
      <c r="AA685" s="23" t="n">
        <f aca="false">IFERROR(INDEX(PODACI_PRODAJA!J:J,MATCH($A685,PODACI_PRODAJA!$A:$A,0)),0)</f>
        <v>0</v>
      </c>
      <c r="AB685" s="23" t="n">
        <f aca="false">IFERROR(INDEX(PODACI_PRODAJA!K:K,MATCH($A685,PODACI_PRODAJA!$A:$A,0)),0)</f>
        <v>0</v>
      </c>
      <c r="AC685" s="23" t="n">
        <f aca="false">IFERROR(INDEX(PODACI_PRODAJA!L:L,MATCH($A685,PODACI_PRODAJA!$A:$A,0)),0)</f>
        <v>0</v>
      </c>
      <c r="AD685" s="23" t="n">
        <f aca="false">IFERROR(INDEX(PODACI_PRODAJA!M:M,MATCH($A685,PODACI_PRODAJA!$A:$A,0)),0)</f>
        <v>0</v>
      </c>
    </row>
    <row r="686" customFormat="false" ht="15" hidden="false" customHeight="false" outlineLevel="0" collapsed="false">
      <c r="A686" s="11" t="str">
        <f aca="false">PODACI_ZALIHE!A683</f>
        <v>00602</v>
      </c>
      <c r="B686" s="8" t="str">
        <f aca="false">PODACI_ZALIHE!B683</f>
        <v>HERA ZIDNA MIJEŠALICA ZA KADU S TUŠEM I DRŽAČEM</v>
      </c>
      <c r="C686" s="9" t="str">
        <f aca="false">PODACI_ZALIHE!C683</f>
        <v>2974</v>
      </c>
      <c r="D686" s="8" t="str">
        <f aca="false">PODACI_ZALIHE!D683</f>
        <v>TAIZHOU MINUOTE SANITARY WARES CO.,LTD.</v>
      </c>
      <c r="E686" s="19" t="n">
        <f aca="false">IF(PODACI_ZALIHE!E683="","",PODACI_ZALIHE!E683)</f>
        <v>0</v>
      </c>
      <c r="F686" s="20" t="n">
        <f aca="false">PODACI_ZALIHE!F683</f>
        <v>0</v>
      </c>
      <c r="G686" s="19" t="n">
        <f aca="false">IF(E686="","",E686-F686)</f>
        <v>0</v>
      </c>
      <c r="H686" s="9" t="n">
        <f aca="false">PODACI_PRODAJA!N80</f>
        <v>1.25</v>
      </c>
      <c r="I686" s="21" t="n">
        <f aca="false">IF(H686&lt;=0,999,ROUND(F686/H686,1))</f>
        <v>0</v>
      </c>
      <c r="J686" s="9" t="n">
        <f aca="false">SUMIFS(ROBA_U_DOLASKU!$C$6:$C$95,ROBA_U_DOLASKU!$A$6:$A$95,A686,ROBA_U_DOLASKU!$H$6:$H$95,1)</f>
        <v>0</v>
      </c>
      <c r="K686" s="9" t="n">
        <f aca="false">SUMIFS(ROBA_U_DOLASKU!$B$6:$B$95,ROBA_U_DOLASKU!$A$6:$A$95,A686,ROBA_U_DOLASKU!$H$6:$H$95,1)</f>
        <v>0</v>
      </c>
      <c r="L686" s="9" t="n">
        <f aca="false">SUMIFS(ROBA_U_DOLASKU!$C$6:$C$95,ROBA_U_DOLASKU!$A$6:$A$95,A686,ROBA_U_DOLASKU!$H$6:$H$95,2)</f>
        <v>0</v>
      </c>
      <c r="M686" s="9" t="n">
        <f aca="false">SUMIFS(ROBA_U_DOLASKU!$B$6:$B$95,ROBA_U_DOLASKU!$A$6:$A$95,A686,ROBA_U_DOLASKU!$H$6:$H$95,2)</f>
        <v>0</v>
      </c>
      <c r="N686" s="9" t="n">
        <f aca="false">SUMIFS(ROBA_U_DOLASKU!$C$6:$C$95,ROBA_U_DOLASKU!$A$6:$A$95,A686,ROBA_U_DOLASKU!$H$6:$H$95,3)</f>
        <v>0</v>
      </c>
      <c r="O686" s="9" t="n">
        <f aca="false">SUMIFS(ROBA_U_DOLASKU!$B$6:$B$95,ROBA_U_DOLASKU!$A$6:$A$95,A686,ROBA_U_DOLASKU!$H$6:$H$95,3)</f>
        <v>0</v>
      </c>
      <c r="P686" s="9" t="n">
        <f aca="false">IF(H686&lt;=0,999,IF(O686&gt;0,ROUND((F686-H686*N686+K686+M686+O686)/H686,1),IF(M686&gt;0,ROUND((F686-H686*L686+K686+M686)/H686,1),IF(K686&gt;0,ROUND((F686-H686*J686+K686)/H686,1),I686))))</f>
        <v>0</v>
      </c>
      <c r="Q686" s="22" t="str">
        <f aca="false">IF(H686&lt;=0,"Nema prodaje",IF(AND(K686=0,M686=0,O686=0),IF(I686&lt;POSTAVKE!$B$6,"Naruči odmah","Sve u redu"),IF(F686-H686*J686&lt;0,"Rupa za ~"&amp;TEXT(I686,"0.0")&amp;" mj.",IF(AND(M686&gt;0,F686-H686*L686+K686&lt;0),"Rupa nakon 1. dolaska",IF(AND(O686&gt;0,F686-H686*N686+K686+M686&lt;0),"Rupa nakon 2. dolaska",IF(P686&lt;POSTAVKE!$B$6,"Količina nije dovoljna",IF(I686&gt;=POSTAVKE!$B$6,"Sve u redu","Stiže na vrijeme")))))))</f>
        <v>Naruči odmah</v>
      </c>
      <c r="S686" s="23" t="n">
        <f aca="false">IFERROR(INDEX(PODACI_PRODAJA!B:B,MATCH($A686,PODACI_PRODAJA!$A:$A,0)),0)</f>
        <v>8</v>
      </c>
      <c r="T686" s="23" t="n">
        <f aca="false">IFERROR(INDEX(PODACI_PRODAJA!C:C,MATCH($A686,PODACI_PRODAJA!$A:$A,0)),0)</f>
        <v>2</v>
      </c>
      <c r="U686" s="23" t="n">
        <f aca="false">IFERROR(INDEX(PODACI_PRODAJA!D:D,MATCH($A686,PODACI_PRODAJA!$A:$A,0)),0)</f>
        <v>0</v>
      </c>
      <c r="V686" s="23" t="n">
        <f aca="false">IFERROR(INDEX(PODACI_PRODAJA!E:E,MATCH($A686,PODACI_PRODAJA!$A:$A,0)),0)</f>
        <v>0</v>
      </c>
      <c r="W686" s="23" t="n">
        <f aca="false">IFERROR(INDEX(PODACI_PRODAJA!F:F,MATCH($A686,PODACI_PRODAJA!$A:$A,0)),0)</f>
        <v>0</v>
      </c>
      <c r="X686" s="23" t="n">
        <f aca="false">IFERROR(INDEX(PODACI_PRODAJA!G:G,MATCH($A686,PODACI_PRODAJA!$A:$A,0)),0)</f>
        <v>0</v>
      </c>
      <c r="Y686" s="23" t="n">
        <f aca="false">IFERROR(INDEX(PODACI_PRODAJA!H:H,MATCH($A686,PODACI_PRODAJA!$A:$A,0)),0)</f>
        <v>0</v>
      </c>
      <c r="Z686" s="23" t="n">
        <f aca="false">IFERROR(INDEX(PODACI_PRODAJA!I:I,MATCH($A686,PODACI_PRODAJA!$A:$A,0)),0)</f>
        <v>0</v>
      </c>
      <c r="AA686" s="23" t="n">
        <f aca="false">IFERROR(INDEX(PODACI_PRODAJA!J:J,MATCH($A686,PODACI_PRODAJA!$A:$A,0)),0)</f>
        <v>0</v>
      </c>
      <c r="AB686" s="23" t="n">
        <f aca="false">IFERROR(INDEX(PODACI_PRODAJA!K:K,MATCH($A686,PODACI_PRODAJA!$A:$A,0)),0)</f>
        <v>0</v>
      </c>
      <c r="AC686" s="23" t="n">
        <f aca="false">IFERROR(INDEX(PODACI_PRODAJA!L:L,MATCH($A686,PODACI_PRODAJA!$A:$A,0)),0)</f>
        <v>0</v>
      </c>
      <c r="AD686" s="23" t="n">
        <f aca="false">IFERROR(INDEX(PODACI_PRODAJA!M:M,MATCH($A686,PODACI_PRODAJA!$A:$A,0)),0)</f>
        <v>0</v>
      </c>
    </row>
    <row r="687" customFormat="false" ht="15" hidden="false" customHeight="false" outlineLevel="0" collapsed="false">
      <c r="A687" s="11" t="str">
        <f aca="false">PODACI_ZALIHE!A684</f>
        <v>00603</v>
      </c>
      <c r="B687" s="8" t="str">
        <f aca="false">PODACI_ZALIHE!B684</f>
        <v>HERA STOJEĆA MIJEŠALICA ZA SUDOPER</v>
      </c>
      <c r="C687" s="9" t="str">
        <f aca="false">PODACI_ZALIHE!C684</f>
        <v>2974</v>
      </c>
      <c r="D687" s="8" t="str">
        <f aca="false">PODACI_ZALIHE!D684</f>
        <v>TAIZHOU MINUOTE SANITARY WARES CO.,LTD.</v>
      </c>
      <c r="E687" s="19" t="n">
        <f aca="false">IF(PODACI_ZALIHE!E684="","",PODACI_ZALIHE!E684)</f>
        <v>0</v>
      </c>
      <c r="F687" s="20" t="n">
        <f aca="false">PODACI_ZALIHE!F684</f>
        <v>0</v>
      </c>
      <c r="G687" s="19" t="n">
        <f aca="false">IF(E687="","",E687-F687)</f>
        <v>0</v>
      </c>
      <c r="H687" s="9" t="n">
        <f aca="false">PODACI_PRODAJA!N171</f>
        <v>0.25</v>
      </c>
      <c r="I687" s="21" t="n">
        <f aca="false">IF(H687&lt;=0,999,ROUND(F687/H687,1))</f>
        <v>0</v>
      </c>
      <c r="J687" s="9" t="n">
        <f aca="false">SUMIFS(ROBA_U_DOLASKU!$C$6:$C$95,ROBA_U_DOLASKU!$A$6:$A$95,A687,ROBA_U_DOLASKU!$H$6:$H$95,1)</f>
        <v>0</v>
      </c>
      <c r="K687" s="9" t="n">
        <f aca="false">SUMIFS(ROBA_U_DOLASKU!$B$6:$B$95,ROBA_U_DOLASKU!$A$6:$A$95,A687,ROBA_U_DOLASKU!$H$6:$H$95,1)</f>
        <v>0</v>
      </c>
      <c r="L687" s="9" t="n">
        <f aca="false">SUMIFS(ROBA_U_DOLASKU!$C$6:$C$95,ROBA_U_DOLASKU!$A$6:$A$95,A687,ROBA_U_DOLASKU!$H$6:$H$95,2)</f>
        <v>0</v>
      </c>
      <c r="M687" s="9" t="n">
        <f aca="false">SUMIFS(ROBA_U_DOLASKU!$B$6:$B$95,ROBA_U_DOLASKU!$A$6:$A$95,A687,ROBA_U_DOLASKU!$H$6:$H$95,2)</f>
        <v>0</v>
      </c>
      <c r="N687" s="9" t="n">
        <f aca="false">SUMIFS(ROBA_U_DOLASKU!$C$6:$C$95,ROBA_U_DOLASKU!$A$6:$A$95,A687,ROBA_U_DOLASKU!$H$6:$H$95,3)</f>
        <v>0</v>
      </c>
      <c r="O687" s="9" t="n">
        <f aca="false">SUMIFS(ROBA_U_DOLASKU!$B$6:$B$95,ROBA_U_DOLASKU!$A$6:$A$95,A687,ROBA_U_DOLASKU!$H$6:$H$95,3)</f>
        <v>0</v>
      </c>
      <c r="P687" s="9" t="n">
        <f aca="false">IF(H687&lt;=0,999,IF(O687&gt;0,ROUND((F687-H687*N687+K687+M687+O687)/H687,1),IF(M687&gt;0,ROUND((F687-H687*L687+K687+M687)/H687,1),IF(K687&gt;0,ROUND((F687-H687*J687+K687)/H687,1),I687))))</f>
        <v>0</v>
      </c>
      <c r="Q687" s="22" t="str">
        <f aca="false">IF(H687&lt;=0,"Nema prodaje",IF(AND(K687=0,M687=0,O687=0),IF(I687&lt;POSTAVKE!$B$6,"Naruči odmah","Sve u redu"),IF(F687-H687*J687&lt;0,"Rupa za ~"&amp;TEXT(I687,"0.0")&amp;" mj.",IF(AND(M687&gt;0,F687-H687*L687+K687&lt;0),"Rupa nakon 1. dolaska",IF(AND(O687&gt;0,F687-H687*N687+K687+M687&lt;0),"Rupa nakon 2. dolaska",IF(P687&lt;POSTAVKE!$B$6,"Količina nije dovoljna",IF(I687&gt;=POSTAVKE!$B$6,"Sve u redu","Stiže na vrijeme")))))))</f>
        <v>Naruči odmah</v>
      </c>
      <c r="S687" s="23" t="n">
        <f aca="false">IFERROR(INDEX(PODACI_PRODAJA!B:B,MATCH($A687,PODACI_PRODAJA!$A:$A,0)),0)</f>
        <v>2</v>
      </c>
      <c r="T687" s="23" t="n">
        <f aca="false">IFERROR(INDEX(PODACI_PRODAJA!C:C,MATCH($A687,PODACI_PRODAJA!$A:$A,0)),0)</f>
        <v>0</v>
      </c>
      <c r="U687" s="23" t="n">
        <f aca="false">IFERROR(INDEX(PODACI_PRODAJA!D:D,MATCH($A687,PODACI_PRODAJA!$A:$A,0)),0)</f>
        <v>0</v>
      </c>
      <c r="V687" s="23" t="n">
        <f aca="false">IFERROR(INDEX(PODACI_PRODAJA!E:E,MATCH($A687,PODACI_PRODAJA!$A:$A,0)),0)</f>
        <v>0</v>
      </c>
      <c r="W687" s="23" t="n">
        <f aca="false">IFERROR(INDEX(PODACI_PRODAJA!F:F,MATCH($A687,PODACI_PRODAJA!$A:$A,0)),0)</f>
        <v>1</v>
      </c>
      <c r="X687" s="23" t="n">
        <f aca="false">IFERROR(INDEX(PODACI_PRODAJA!G:G,MATCH($A687,PODACI_PRODAJA!$A:$A,0)),0)</f>
        <v>-1</v>
      </c>
      <c r="Y687" s="23" t="n">
        <f aca="false">IFERROR(INDEX(PODACI_PRODAJA!H:H,MATCH($A687,PODACI_PRODAJA!$A:$A,0)),0)</f>
        <v>0</v>
      </c>
      <c r="Z687" s="23" t="n">
        <f aca="false">IFERROR(INDEX(PODACI_PRODAJA!I:I,MATCH($A687,PODACI_PRODAJA!$A:$A,0)),0)</f>
        <v>0</v>
      </c>
      <c r="AA687" s="23" t="n">
        <f aca="false">IFERROR(INDEX(PODACI_PRODAJA!J:J,MATCH($A687,PODACI_PRODAJA!$A:$A,0)),0)</f>
        <v>0</v>
      </c>
      <c r="AB687" s="23" t="n">
        <f aca="false">IFERROR(INDEX(PODACI_PRODAJA!K:K,MATCH($A687,PODACI_PRODAJA!$A:$A,0)),0)</f>
        <v>0</v>
      </c>
      <c r="AC687" s="23" t="n">
        <f aca="false">IFERROR(INDEX(PODACI_PRODAJA!L:L,MATCH($A687,PODACI_PRODAJA!$A:$A,0)),0)</f>
        <v>0</v>
      </c>
      <c r="AD687" s="23" t="n">
        <f aca="false">IFERROR(INDEX(PODACI_PRODAJA!M:M,MATCH($A687,PODACI_PRODAJA!$A:$A,0)),0)</f>
        <v>0</v>
      </c>
    </row>
    <row r="688" customFormat="false" ht="15" hidden="false" customHeight="false" outlineLevel="0" collapsed="false">
      <c r="A688" s="11" t="str">
        <f aca="false">PODACI_ZALIHE!A685</f>
        <v>00896</v>
      </c>
      <c r="B688" s="8" t="str">
        <f aca="false">PODACI_ZALIHE!B685</f>
        <v>GL526 LED RASVJETA ZA KUPAONSKE ORMARIĆE</v>
      </c>
      <c r="C688" s="9" t="str">
        <f aca="false">PODACI_ZALIHE!C685</f>
        <v>4954</v>
      </c>
      <c r="D688" s="8" t="str">
        <f aca="false">PODACI_ZALIHE!D685</f>
        <v>JAYLED LIGHTING LTD</v>
      </c>
      <c r="E688" s="19" t="n">
        <f aca="false">IF(PODACI_ZALIHE!E685="","",PODACI_ZALIHE!E685)</f>
        <v>0</v>
      </c>
      <c r="F688" s="20" t="n">
        <f aca="false">PODACI_ZALIHE!F685</f>
        <v>0</v>
      </c>
      <c r="G688" s="19" t="n">
        <f aca="false">IF(E688="","",E688-F688)</f>
        <v>0</v>
      </c>
      <c r="H688" s="9" t="n">
        <f aca="false">PODACI_PRODAJA!N398</f>
        <v>-0.13</v>
      </c>
      <c r="I688" s="21" t="n">
        <f aca="false">IF(H688&lt;=0,999,ROUND(F688/H688,1))</f>
        <v>999</v>
      </c>
      <c r="J688" s="9" t="n">
        <f aca="false">SUMIFS(ROBA_U_DOLASKU!$C$6:$C$95,ROBA_U_DOLASKU!$A$6:$A$95,A688,ROBA_U_DOLASKU!$H$6:$H$95,1)</f>
        <v>0</v>
      </c>
      <c r="K688" s="9" t="n">
        <f aca="false">SUMIFS(ROBA_U_DOLASKU!$B$6:$B$95,ROBA_U_DOLASKU!$A$6:$A$95,A688,ROBA_U_DOLASKU!$H$6:$H$95,1)</f>
        <v>0</v>
      </c>
      <c r="L688" s="9" t="n">
        <f aca="false">SUMIFS(ROBA_U_DOLASKU!$C$6:$C$95,ROBA_U_DOLASKU!$A$6:$A$95,A688,ROBA_U_DOLASKU!$H$6:$H$95,2)</f>
        <v>0</v>
      </c>
      <c r="M688" s="9" t="n">
        <f aca="false">SUMIFS(ROBA_U_DOLASKU!$B$6:$B$95,ROBA_U_DOLASKU!$A$6:$A$95,A688,ROBA_U_DOLASKU!$H$6:$H$95,2)</f>
        <v>0</v>
      </c>
      <c r="N688" s="9" t="n">
        <f aca="false">SUMIFS(ROBA_U_DOLASKU!$C$6:$C$95,ROBA_U_DOLASKU!$A$6:$A$95,A688,ROBA_U_DOLASKU!$H$6:$H$95,3)</f>
        <v>0</v>
      </c>
      <c r="O688" s="9" t="n">
        <f aca="false">SUMIFS(ROBA_U_DOLASKU!$B$6:$B$95,ROBA_U_DOLASKU!$A$6:$A$95,A688,ROBA_U_DOLASKU!$H$6:$H$95,3)</f>
        <v>0</v>
      </c>
      <c r="P688" s="9" t="n">
        <f aca="false">IF(H688&lt;=0,999,IF(O688&gt;0,ROUND((F688-H688*N688+K688+M688+O688)/H688,1),IF(M688&gt;0,ROUND((F688-H688*L688+K688+M688)/H688,1),IF(K688&gt;0,ROUND((F688-H688*J688+K688)/H688,1),I688))))</f>
        <v>999</v>
      </c>
      <c r="Q688" s="22" t="str">
        <f aca="false">IF(H688&lt;=0,"Nema prodaje",IF(AND(K688=0,M688=0,O688=0),IF(I688&lt;POSTAVKE!$B$6,"Naruči odmah","Sve u redu"),IF(F688-H688*J688&lt;0,"Rupa za ~"&amp;TEXT(I688,"0.0")&amp;" mj.",IF(AND(M688&gt;0,F688-H688*L688+K688&lt;0),"Rupa nakon 1. dolaska",IF(AND(O688&gt;0,F688-H688*N688+K688+M688&lt;0),"Rupa nakon 2. dolaska",IF(P688&lt;POSTAVKE!$B$6,"Količina nije dovoljna",IF(I688&gt;=POSTAVKE!$B$6,"Sve u redu","Stiže na vrijeme")))))))</f>
        <v>Nema prodaje</v>
      </c>
      <c r="S688" s="23" t="n">
        <f aca="false">IFERROR(INDEX(PODACI_PRODAJA!B:B,MATCH($A688,PODACI_PRODAJA!$A:$A,0)),0)</f>
        <v>0</v>
      </c>
      <c r="T688" s="23" t="n">
        <f aca="false">IFERROR(INDEX(PODACI_PRODAJA!C:C,MATCH($A688,PODACI_PRODAJA!$A:$A,0)),0)</f>
        <v>0</v>
      </c>
      <c r="U688" s="23" t="n">
        <f aca="false">IFERROR(INDEX(PODACI_PRODAJA!D:D,MATCH($A688,PODACI_PRODAJA!$A:$A,0)),0)</f>
        <v>-1</v>
      </c>
      <c r="V688" s="23" t="n">
        <f aca="false">IFERROR(INDEX(PODACI_PRODAJA!E:E,MATCH($A688,PODACI_PRODAJA!$A:$A,0)),0)</f>
        <v>0</v>
      </c>
      <c r="W688" s="23" t="n">
        <f aca="false">IFERROR(INDEX(PODACI_PRODAJA!F:F,MATCH($A688,PODACI_PRODAJA!$A:$A,0)),0)</f>
        <v>0</v>
      </c>
      <c r="X688" s="23" t="n">
        <f aca="false">IFERROR(INDEX(PODACI_PRODAJA!G:G,MATCH($A688,PODACI_PRODAJA!$A:$A,0)),0)</f>
        <v>0</v>
      </c>
      <c r="Y688" s="23" t="n">
        <f aca="false">IFERROR(INDEX(PODACI_PRODAJA!H:H,MATCH($A688,PODACI_PRODAJA!$A:$A,0)),0)</f>
        <v>0</v>
      </c>
      <c r="Z688" s="23" t="n">
        <f aca="false">IFERROR(INDEX(PODACI_PRODAJA!I:I,MATCH($A688,PODACI_PRODAJA!$A:$A,0)),0)</f>
        <v>0</v>
      </c>
      <c r="AA688" s="23" t="n">
        <f aca="false">IFERROR(INDEX(PODACI_PRODAJA!J:J,MATCH($A688,PODACI_PRODAJA!$A:$A,0)),0)</f>
        <v>0</v>
      </c>
      <c r="AB688" s="23" t="n">
        <f aca="false">IFERROR(INDEX(PODACI_PRODAJA!K:K,MATCH($A688,PODACI_PRODAJA!$A:$A,0)),0)</f>
        <v>0</v>
      </c>
      <c r="AC688" s="23" t="n">
        <f aca="false">IFERROR(INDEX(PODACI_PRODAJA!L:L,MATCH($A688,PODACI_PRODAJA!$A:$A,0)),0)</f>
        <v>0</v>
      </c>
      <c r="AD688" s="23" t="n">
        <f aca="false">IFERROR(INDEX(PODACI_PRODAJA!M:M,MATCH($A688,PODACI_PRODAJA!$A:$A,0)),0)</f>
        <v>0</v>
      </c>
    </row>
    <row r="689" customFormat="false" ht="15" hidden="false" customHeight="false" outlineLevel="0" collapsed="false">
      <c r="A689" s="11" t="str">
        <f aca="false">PODACI_ZALIHE!A686</f>
        <v>009913</v>
      </c>
      <c r="B689" s="8" t="str">
        <f aca="false">PODACI_ZALIHE!B686</f>
        <v>OGLEDALO ZA SARU - SHARP 70 - 639X468X3 MM</v>
      </c>
      <c r="C689" s="9" t="str">
        <f aca="false">PODACI_ZALIHE!C686</f>
        <v>6032</v>
      </c>
      <c r="D689" s="8" t="str">
        <f aca="false">PODACI_ZALIHE!D686</f>
        <v>HANGZHOU ZIHAN MIRROR INDUSTRY CO., LTD.</v>
      </c>
      <c r="E689" s="19" t="n">
        <f aca="false">IF(PODACI_ZALIHE!E686="","",PODACI_ZALIHE!E686)</f>
        <v>0</v>
      </c>
      <c r="F689" s="20" t="n">
        <f aca="false">PODACI_ZALIHE!F686</f>
        <v>0</v>
      </c>
      <c r="G689" s="19" t="n">
        <f aca="false">IF(E689="","",E689-F689)</f>
        <v>0</v>
      </c>
      <c r="H689" s="9" t="n">
        <v>0</v>
      </c>
      <c r="I689" s="21" t="n">
        <f aca="false">IF(H689&lt;=0,999,ROUND(F689/H689,1))</f>
        <v>999</v>
      </c>
      <c r="J689" s="9" t="n">
        <f aca="false">SUMIFS(ROBA_U_DOLASKU!$C$6:$C$95,ROBA_U_DOLASKU!$A$6:$A$95,A689,ROBA_U_DOLASKU!$H$6:$H$95,1)</f>
        <v>0</v>
      </c>
      <c r="K689" s="9" t="n">
        <f aca="false">SUMIFS(ROBA_U_DOLASKU!$B$6:$B$95,ROBA_U_DOLASKU!$A$6:$A$95,A689,ROBA_U_DOLASKU!$H$6:$H$95,1)</f>
        <v>0</v>
      </c>
      <c r="L689" s="9" t="n">
        <f aca="false">SUMIFS(ROBA_U_DOLASKU!$C$6:$C$95,ROBA_U_DOLASKU!$A$6:$A$95,A689,ROBA_U_DOLASKU!$H$6:$H$95,2)</f>
        <v>0</v>
      </c>
      <c r="M689" s="9" t="n">
        <f aca="false">SUMIFS(ROBA_U_DOLASKU!$B$6:$B$95,ROBA_U_DOLASKU!$A$6:$A$95,A689,ROBA_U_DOLASKU!$H$6:$H$95,2)</f>
        <v>0</v>
      </c>
      <c r="N689" s="9" t="n">
        <f aca="false">SUMIFS(ROBA_U_DOLASKU!$C$6:$C$95,ROBA_U_DOLASKU!$A$6:$A$95,A689,ROBA_U_DOLASKU!$H$6:$H$95,3)</f>
        <v>0</v>
      </c>
      <c r="O689" s="9" t="n">
        <f aca="false">SUMIFS(ROBA_U_DOLASKU!$B$6:$B$95,ROBA_U_DOLASKU!$A$6:$A$95,A689,ROBA_U_DOLASKU!$H$6:$H$95,3)</f>
        <v>0</v>
      </c>
      <c r="P689" s="9" t="n">
        <f aca="false">IF(H689&lt;=0,999,IF(O689&gt;0,ROUND((F689-H689*N689+K689+M689+O689)/H689,1),IF(M689&gt;0,ROUND((F689-H689*L689+K689+M689)/H689,1),IF(K689&gt;0,ROUND((F689-H689*J689+K689)/H689,1),I689))))</f>
        <v>999</v>
      </c>
      <c r="Q689" s="22" t="str">
        <f aca="false">IF(H689&lt;=0,"Nema prodaje",IF(AND(K689=0,M689=0,O689=0),IF(I689&lt;POSTAVKE!$B$6,"Naruči odmah","Sve u redu"),IF(F689-H689*J689&lt;0,"Rupa za ~"&amp;TEXT(I689,"0.0")&amp;" mj.",IF(AND(M689&gt;0,F689-H689*L689+K689&lt;0),"Rupa nakon 1. dolaska",IF(AND(O689&gt;0,F689-H689*N689+K689+M689&lt;0),"Rupa nakon 2. dolaska",IF(P689&lt;POSTAVKE!$B$6,"Količina nije dovoljna",IF(I689&gt;=POSTAVKE!$B$6,"Sve u redu","Stiže na vrijeme")))))))</f>
        <v>Nema prodaje</v>
      </c>
      <c r="S689" s="23" t="n">
        <f aca="false">IFERROR(INDEX(PODACI_PRODAJA!B:B,MATCH($A689,PODACI_PRODAJA!$A:$A,0)),0)</f>
        <v>0</v>
      </c>
      <c r="T689" s="23" t="n">
        <f aca="false">IFERROR(INDEX(PODACI_PRODAJA!C:C,MATCH($A689,PODACI_PRODAJA!$A:$A,0)),0)</f>
        <v>0</v>
      </c>
      <c r="U689" s="23" t="n">
        <f aca="false">IFERROR(INDEX(PODACI_PRODAJA!D:D,MATCH($A689,PODACI_PRODAJA!$A:$A,0)),0)</f>
        <v>0</v>
      </c>
      <c r="V689" s="23" t="n">
        <f aca="false">IFERROR(INDEX(PODACI_PRODAJA!E:E,MATCH($A689,PODACI_PRODAJA!$A:$A,0)),0)</f>
        <v>0</v>
      </c>
      <c r="W689" s="23" t="n">
        <f aca="false">IFERROR(INDEX(PODACI_PRODAJA!F:F,MATCH($A689,PODACI_PRODAJA!$A:$A,0)),0)</f>
        <v>0</v>
      </c>
      <c r="X689" s="23" t="n">
        <f aca="false">IFERROR(INDEX(PODACI_PRODAJA!G:G,MATCH($A689,PODACI_PRODAJA!$A:$A,0)),0)</f>
        <v>0</v>
      </c>
      <c r="Y689" s="23" t="n">
        <f aca="false">IFERROR(INDEX(PODACI_PRODAJA!H:H,MATCH($A689,PODACI_PRODAJA!$A:$A,0)),0)</f>
        <v>0</v>
      </c>
      <c r="Z689" s="23" t="n">
        <f aca="false">IFERROR(INDEX(PODACI_PRODAJA!I:I,MATCH($A689,PODACI_PRODAJA!$A:$A,0)),0)</f>
        <v>0</v>
      </c>
      <c r="AA689" s="23" t="n">
        <f aca="false">IFERROR(INDEX(PODACI_PRODAJA!J:J,MATCH($A689,PODACI_PRODAJA!$A:$A,0)),0)</f>
        <v>0</v>
      </c>
      <c r="AB689" s="23" t="n">
        <f aca="false">IFERROR(INDEX(PODACI_PRODAJA!K:K,MATCH($A689,PODACI_PRODAJA!$A:$A,0)),0)</f>
        <v>0</v>
      </c>
      <c r="AC689" s="23" t="n">
        <f aca="false">IFERROR(INDEX(PODACI_PRODAJA!L:L,MATCH($A689,PODACI_PRODAJA!$A:$A,0)),0)</f>
        <v>0</v>
      </c>
      <c r="AD689" s="23" t="n">
        <f aca="false">IFERROR(INDEX(PODACI_PRODAJA!M:M,MATCH($A689,PODACI_PRODAJA!$A:$A,0)),0)</f>
        <v>0</v>
      </c>
    </row>
    <row r="690" customFormat="false" ht="15" hidden="false" customHeight="false" outlineLevel="0" collapsed="false">
      <c r="A690" s="11" t="str">
        <f aca="false">PODACI_ZALIHE!A687</f>
        <v>025010</v>
      </c>
      <c r="B690" s="8" t="str">
        <f aca="false">PODACI_ZALIHE!B687</f>
        <v>HAILEY NADGRADNI UMIVAONIK 410x330x140 mm</v>
      </c>
      <c r="C690" s="9" t="str">
        <f aca="false">PODACI_ZALIHE!C687</f>
        <v>6413</v>
      </c>
      <c r="D690" s="8" t="str">
        <f aca="false">PODACI_ZALIHE!D687</f>
        <v>ZHONGTONG TRADE (HK) LIMITED</v>
      </c>
      <c r="E690" s="19" t="n">
        <f aca="false">IF(PODACI_ZALIHE!E687="","",PODACI_ZALIHE!E687)</f>
        <v>0</v>
      </c>
      <c r="F690" s="20" t="n">
        <f aca="false">PODACI_ZALIHE!F687</f>
        <v>0</v>
      </c>
      <c r="G690" s="19" t="n">
        <f aca="false">IF(E690="","",E690-F690)</f>
        <v>0</v>
      </c>
      <c r="H690" s="9" t="n">
        <f aca="false">PODACI_PRODAJA!N400</f>
        <v>-0.13</v>
      </c>
      <c r="I690" s="21" t="n">
        <f aca="false">IF(H690&lt;=0,999,ROUND(F690/H690,1))</f>
        <v>999</v>
      </c>
      <c r="J690" s="9" t="n">
        <f aca="false">SUMIFS(ROBA_U_DOLASKU!$C$6:$C$95,ROBA_U_DOLASKU!$A$6:$A$95,A690,ROBA_U_DOLASKU!$H$6:$H$95,1)</f>
        <v>0</v>
      </c>
      <c r="K690" s="9" t="n">
        <f aca="false">SUMIFS(ROBA_U_DOLASKU!$B$6:$B$95,ROBA_U_DOLASKU!$A$6:$A$95,A690,ROBA_U_DOLASKU!$H$6:$H$95,1)</f>
        <v>0</v>
      </c>
      <c r="L690" s="9" t="n">
        <f aca="false">SUMIFS(ROBA_U_DOLASKU!$C$6:$C$95,ROBA_U_DOLASKU!$A$6:$A$95,A690,ROBA_U_DOLASKU!$H$6:$H$95,2)</f>
        <v>0</v>
      </c>
      <c r="M690" s="9" t="n">
        <f aca="false">SUMIFS(ROBA_U_DOLASKU!$B$6:$B$95,ROBA_U_DOLASKU!$A$6:$A$95,A690,ROBA_U_DOLASKU!$H$6:$H$95,2)</f>
        <v>0</v>
      </c>
      <c r="N690" s="9" t="n">
        <f aca="false">SUMIFS(ROBA_U_DOLASKU!$C$6:$C$95,ROBA_U_DOLASKU!$A$6:$A$95,A690,ROBA_U_DOLASKU!$H$6:$H$95,3)</f>
        <v>0</v>
      </c>
      <c r="O690" s="9" t="n">
        <f aca="false">SUMIFS(ROBA_U_DOLASKU!$B$6:$B$95,ROBA_U_DOLASKU!$A$6:$A$95,A690,ROBA_U_DOLASKU!$H$6:$H$95,3)</f>
        <v>0</v>
      </c>
      <c r="P690" s="9" t="n">
        <f aca="false">IF(H690&lt;=0,999,IF(O690&gt;0,ROUND((F690-H690*N690+K690+M690+O690)/H690,1),IF(M690&gt;0,ROUND((F690-H690*L690+K690+M690)/H690,1),IF(K690&gt;0,ROUND((F690-H690*J690+K690)/H690,1),I690))))</f>
        <v>999</v>
      </c>
      <c r="Q690" s="22" t="str">
        <f aca="false">IF(H690&lt;=0,"Nema prodaje",IF(AND(K690=0,M690=0,O690=0),IF(I690&lt;POSTAVKE!$B$6,"Naruči odmah","Sve u redu"),IF(F690-H690*J690&lt;0,"Rupa za ~"&amp;TEXT(I690,"0.0")&amp;" mj.",IF(AND(M690&gt;0,F690-H690*L690+K690&lt;0),"Rupa nakon 1. dolaska",IF(AND(O690&gt;0,F690-H690*N690+K690+M690&lt;0),"Rupa nakon 2. dolaska",IF(P690&lt;POSTAVKE!$B$6,"Količina nije dovoljna",IF(I690&gt;=POSTAVKE!$B$6,"Sve u redu","Stiže na vrijeme")))))))</f>
        <v>Nema prodaje</v>
      </c>
      <c r="S690" s="23" t="n">
        <f aca="false">IFERROR(INDEX(PODACI_PRODAJA!B:B,MATCH($A690,PODACI_PRODAJA!$A:$A,0)),0)</f>
        <v>0</v>
      </c>
      <c r="T690" s="23" t="n">
        <f aca="false">IFERROR(INDEX(PODACI_PRODAJA!C:C,MATCH($A690,PODACI_PRODAJA!$A:$A,0)),0)</f>
        <v>0</v>
      </c>
      <c r="U690" s="23" t="n">
        <f aca="false">IFERROR(INDEX(PODACI_PRODAJA!D:D,MATCH($A690,PODACI_PRODAJA!$A:$A,0)),0)</f>
        <v>-1</v>
      </c>
      <c r="V690" s="23" t="n">
        <f aca="false">IFERROR(INDEX(PODACI_PRODAJA!E:E,MATCH($A690,PODACI_PRODAJA!$A:$A,0)),0)</f>
        <v>0</v>
      </c>
      <c r="W690" s="23" t="n">
        <f aca="false">IFERROR(INDEX(PODACI_PRODAJA!F:F,MATCH($A690,PODACI_PRODAJA!$A:$A,0)),0)</f>
        <v>0</v>
      </c>
      <c r="X690" s="23" t="n">
        <f aca="false">IFERROR(INDEX(PODACI_PRODAJA!G:G,MATCH($A690,PODACI_PRODAJA!$A:$A,0)),0)</f>
        <v>0</v>
      </c>
      <c r="Y690" s="23" t="n">
        <f aca="false">IFERROR(INDEX(PODACI_PRODAJA!H:H,MATCH($A690,PODACI_PRODAJA!$A:$A,0)),0)</f>
        <v>0</v>
      </c>
      <c r="Z690" s="23" t="n">
        <f aca="false">IFERROR(INDEX(PODACI_PRODAJA!I:I,MATCH($A690,PODACI_PRODAJA!$A:$A,0)),0)</f>
        <v>0</v>
      </c>
      <c r="AA690" s="23" t="n">
        <f aca="false">IFERROR(INDEX(PODACI_PRODAJA!J:J,MATCH($A690,PODACI_PRODAJA!$A:$A,0)),0)</f>
        <v>0</v>
      </c>
      <c r="AB690" s="23" t="n">
        <f aca="false">IFERROR(INDEX(PODACI_PRODAJA!K:K,MATCH($A690,PODACI_PRODAJA!$A:$A,0)),0)</f>
        <v>0</v>
      </c>
      <c r="AC690" s="23" t="n">
        <f aca="false">IFERROR(INDEX(PODACI_PRODAJA!L:L,MATCH($A690,PODACI_PRODAJA!$A:$A,0)),0)</f>
        <v>0</v>
      </c>
      <c r="AD690" s="23" t="n">
        <f aca="false">IFERROR(INDEX(PODACI_PRODAJA!M:M,MATCH($A690,PODACI_PRODAJA!$A:$A,0)),0)</f>
        <v>0</v>
      </c>
    </row>
    <row r="691" customFormat="false" ht="15" hidden="false" customHeight="false" outlineLevel="0" collapsed="false">
      <c r="A691" s="11" t="str">
        <f aca="false">PODACI_ZALIHE!A688</f>
        <v>025050</v>
      </c>
      <c r="B691" s="8" t="str">
        <f aca="false">PODACI_ZALIHE!B688</f>
        <v>BONNIE NADGRADNI UMIVAONIK 590x410x160 mm</v>
      </c>
      <c r="C691" s="9" t="str">
        <f aca="false">PODACI_ZALIHE!C688</f>
        <v>6413</v>
      </c>
      <c r="D691" s="8" t="str">
        <f aca="false">PODACI_ZALIHE!D688</f>
        <v>ZHONGTONG TRADE (HK) LIMITED</v>
      </c>
      <c r="E691" s="19" t="n">
        <f aca="false">IF(PODACI_ZALIHE!E688="","",PODACI_ZALIHE!E688)</f>
        <v>0</v>
      </c>
      <c r="F691" s="20" t="n">
        <f aca="false">PODACI_ZALIHE!F688</f>
        <v>0</v>
      </c>
      <c r="G691" s="19" t="n">
        <f aca="false">IF(E691="","",E691-F691)</f>
        <v>0</v>
      </c>
      <c r="H691" s="9" t="n">
        <f aca="false">PODACI_PRODAJA!N402</f>
        <v>-0.25</v>
      </c>
      <c r="I691" s="21" t="n">
        <f aca="false">IF(H691&lt;=0,999,ROUND(F691/H691,1))</f>
        <v>999</v>
      </c>
      <c r="J691" s="9" t="n">
        <f aca="false">SUMIFS(ROBA_U_DOLASKU!$C$6:$C$95,ROBA_U_DOLASKU!$A$6:$A$95,A691,ROBA_U_DOLASKU!$H$6:$H$95,1)</f>
        <v>0</v>
      </c>
      <c r="K691" s="9" t="n">
        <f aca="false">SUMIFS(ROBA_U_DOLASKU!$B$6:$B$95,ROBA_U_DOLASKU!$A$6:$A$95,A691,ROBA_U_DOLASKU!$H$6:$H$95,1)</f>
        <v>0</v>
      </c>
      <c r="L691" s="9" t="n">
        <f aca="false">SUMIFS(ROBA_U_DOLASKU!$C$6:$C$95,ROBA_U_DOLASKU!$A$6:$A$95,A691,ROBA_U_DOLASKU!$H$6:$H$95,2)</f>
        <v>0</v>
      </c>
      <c r="M691" s="9" t="n">
        <f aca="false">SUMIFS(ROBA_U_DOLASKU!$B$6:$B$95,ROBA_U_DOLASKU!$A$6:$A$95,A691,ROBA_U_DOLASKU!$H$6:$H$95,2)</f>
        <v>0</v>
      </c>
      <c r="N691" s="9" t="n">
        <f aca="false">SUMIFS(ROBA_U_DOLASKU!$C$6:$C$95,ROBA_U_DOLASKU!$A$6:$A$95,A691,ROBA_U_DOLASKU!$H$6:$H$95,3)</f>
        <v>0</v>
      </c>
      <c r="O691" s="9" t="n">
        <f aca="false">SUMIFS(ROBA_U_DOLASKU!$B$6:$B$95,ROBA_U_DOLASKU!$A$6:$A$95,A691,ROBA_U_DOLASKU!$H$6:$H$95,3)</f>
        <v>0</v>
      </c>
      <c r="P691" s="9" t="n">
        <f aca="false">IF(H691&lt;=0,999,IF(O691&gt;0,ROUND((F691-H691*N691+K691+M691+O691)/H691,1),IF(M691&gt;0,ROUND((F691-H691*L691+K691+M691)/H691,1),IF(K691&gt;0,ROUND((F691-H691*J691+K691)/H691,1),I691))))</f>
        <v>999</v>
      </c>
      <c r="Q691" s="22" t="str">
        <f aca="false">IF(H691&lt;=0,"Nema prodaje",IF(AND(K691=0,M691=0,O691=0),IF(I691&lt;POSTAVKE!$B$6,"Naruči odmah","Sve u redu"),IF(F691-H691*J691&lt;0,"Rupa za ~"&amp;TEXT(I691,"0.0")&amp;" mj.",IF(AND(M691&gt;0,F691-H691*L691+K691&lt;0),"Rupa nakon 1. dolaska",IF(AND(O691&gt;0,F691-H691*N691+K691+M691&lt;0),"Rupa nakon 2. dolaska",IF(P691&lt;POSTAVKE!$B$6,"Količina nije dovoljna",IF(I691&gt;=POSTAVKE!$B$6,"Sve u redu","Stiže na vrijeme")))))))</f>
        <v>Nema prodaje</v>
      </c>
      <c r="S691" s="23" t="n">
        <f aca="false">IFERROR(INDEX(PODACI_PRODAJA!B:B,MATCH($A691,PODACI_PRODAJA!$A:$A,0)),0)</f>
        <v>0</v>
      </c>
      <c r="T691" s="23" t="n">
        <f aca="false">IFERROR(INDEX(PODACI_PRODAJA!C:C,MATCH($A691,PODACI_PRODAJA!$A:$A,0)),0)</f>
        <v>0</v>
      </c>
      <c r="U691" s="23" t="n">
        <f aca="false">IFERROR(INDEX(PODACI_PRODAJA!D:D,MATCH($A691,PODACI_PRODAJA!$A:$A,0)),0)</f>
        <v>0</v>
      </c>
      <c r="V691" s="23" t="n">
        <f aca="false">IFERROR(INDEX(PODACI_PRODAJA!E:E,MATCH($A691,PODACI_PRODAJA!$A:$A,0)),0)</f>
        <v>0</v>
      </c>
      <c r="W691" s="23" t="n">
        <f aca="false">IFERROR(INDEX(PODACI_PRODAJA!F:F,MATCH($A691,PODACI_PRODAJA!$A:$A,0)),0)</f>
        <v>0</v>
      </c>
      <c r="X691" s="23" t="n">
        <f aca="false">IFERROR(INDEX(PODACI_PRODAJA!G:G,MATCH($A691,PODACI_PRODAJA!$A:$A,0)),0)</f>
        <v>-2</v>
      </c>
      <c r="Y691" s="23" t="n">
        <f aca="false">IFERROR(INDEX(PODACI_PRODAJA!H:H,MATCH($A691,PODACI_PRODAJA!$A:$A,0)),0)</f>
        <v>0</v>
      </c>
      <c r="Z691" s="23" t="n">
        <f aca="false">IFERROR(INDEX(PODACI_PRODAJA!I:I,MATCH($A691,PODACI_PRODAJA!$A:$A,0)),0)</f>
        <v>0</v>
      </c>
      <c r="AA691" s="23" t="n">
        <f aca="false">IFERROR(INDEX(PODACI_PRODAJA!J:J,MATCH($A691,PODACI_PRODAJA!$A:$A,0)),0)</f>
        <v>0</v>
      </c>
      <c r="AB691" s="23" t="n">
        <f aca="false">IFERROR(INDEX(PODACI_PRODAJA!K:K,MATCH($A691,PODACI_PRODAJA!$A:$A,0)),0)</f>
        <v>0</v>
      </c>
      <c r="AC691" s="23" t="n">
        <f aca="false">IFERROR(INDEX(PODACI_PRODAJA!L:L,MATCH($A691,PODACI_PRODAJA!$A:$A,0)),0)</f>
        <v>0</v>
      </c>
      <c r="AD691" s="23" t="n">
        <f aca="false">IFERROR(INDEX(PODACI_PRODAJA!M:M,MATCH($A691,PODACI_PRODAJA!$A:$A,0)),0)</f>
        <v>0</v>
      </c>
    </row>
    <row r="692" customFormat="false" ht="15" hidden="false" customHeight="false" outlineLevel="0" collapsed="false">
      <c r="A692" s="11" t="str">
        <f aca="false">PODACI_ZALIHE!A689</f>
        <v>037060</v>
      </c>
      <c r="B692" s="8" t="str">
        <f aca="false">PODACI_ZALIHE!B689</f>
        <v>VETRO BLACK 80 TUŠ STIJENA 80x200 cm</v>
      </c>
      <c r="C692" s="9" t="str">
        <f aca="false">PODACI_ZALIHE!C689</f>
        <v>6762</v>
      </c>
      <c r="D692" s="8" t="str">
        <f aca="false">PODACI_ZALIHE!D689</f>
        <v>ZHEJIANG QUICKLINE SHOWERING CO., LTD.</v>
      </c>
      <c r="E692" s="19" t="n">
        <f aca="false">IF(PODACI_ZALIHE!E689="","",PODACI_ZALIHE!E689)</f>
        <v>0</v>
      </c>
      <c r="F692" s="20" t="n">
        <f aca="false">PODACI_ZALIHE!F689</f>
        <v>0</v>
      </c>
      <c r="G692" s="19" t="n">
        <f aca="false">IF(E692="","",E692-F692)</f>
        <v>0</v>
      </c>
      <c r="H692" s="9" t="n">
        <f aca="false">PODACI_PRODAJA!N407</f>
        <v>5.75</v>
      </c>
      <c r="I692" s="21" t="n">
        <f aca="false">IF(H692&lt;=0,999,ROUND(F692/H692,1))</f>
        <v>0</v>
      </c>
      <c r="J692" s="9" t="n">
        <f aca="false">SUMIFS(ROBA_U_DOLASKU!$C$6:$C$95,ROBA_U_DOLASKU!$A$6:$A$95,A692,ROBA_U_DOLASKU!$H$6:$H$95,1)</f>
        <v>1</v>
      </c>
      <c r="K692" s="9" t="n">
        <f aca="false">SUMIFS(ROBA_U_DOLASKU!$B$6:$B$95,ROBA_U_DOLASKU!$A$6:$A$95,A692,ROBA_U_DOLASKU!$H$6:$H$95,1)</f>
        <v>20</v>
      </c>
      <c r="L692" s="9" t="n">
        <f aca="false">SUMIFS(ROBA_U_DOLASKU!$C$6:$C$95,ROBA_U_DOLASKU!$A$6:$A$95,A692,ROBA_U_DOLASKU!$H$6:$H$95,2)</f>
        <v>0</v>
      </c>
      <c r="M692" s="9" t="n">
        <f aca="false">SUMIFS(ROBA_U_DOLASKU!$B$6:$B$95,ROBA_U_DOLASKU!$A$6:$A$95,A692,ROBA_U_DOLASKU!$H$6:$H$95,2)</f>
        <v>0</v>
      </c>
      <c r="N692" s="9" t="n">
        <f aca="false">SUMIFS(ROBA_U_DOLASKU!$C$6:$C$95,ROBA_U_DOLASKU!$A$6:$A$95,A692,ROBA_U_DOLASKU!$H$6:$H$95,3)</f>
        <v>0</v>
      </c>
      <c r="O692" s="9" t="n">
        <f aca="false">SUMIFS(ROBA_U_DOLASKU!$B$6:$B$95,ROBA_U_DOLASKU!$A$6:$A$95,A692,ROBA_U_DOLASKU!$H$6:$H$95,3)</f>
        <v>0</v>
      </c>
      <c r="P692" s="9" t="n">
        <f aca="false">IF(H692&lt;=0,999,IF(O692&gt;0,ROUND((F692-H692*N692+K692+M692+O692)/H692,1),IF(M692&gt;0,ROUND((F692-H692*L692+K692+M692)/H692,1),IF(K692&gt;0,ROUND((F692-H692*J692+K692)/H692,1),I692))))</f>
        <v>2.5</v>
      </c>
      <c r="Q692" s="22" t="str">
        <f aca="false">IF(H692&lt;=0,"Nema prodaje",IF(AND(K692=0,M692=0,O692=0),IF(I692&lt;POSTAVKE!$B$6,"Naruči odmah","Sve u redu"),IF(F692-H692*J692&lt;0,"Rupa za ~"&amp;TEXT(I692,"0.0")&amp;" mj.",IF(AND(M692&gt;0,F692-H692*L692+K692&lt;0),"Rupa nakon 1. dolaska",IF(AND(O692&gt;0,F692-H692*N692+K692+M692&lt;0),"Rupa nakon 2. dolaska",IF(P692&lt;POSTAVKE!$B$6,"Količina nije dovoljna",IF(I692&gt;=POSTAVKE!$B$6,"Sve u redu","Stiže na vrijeme")))))))</f>
        <v>Rupa za ~0.0 mj.</v>
      </c>
      <c r="S692" s="23" t="n">
        <f aca="false">IFERROR(INDEX(PODACI_PRODAJA!B:B,MATCH($A692,PODACI_PRODAJA!$A:$A,0)),0)</f>
        <v>0</v>
      </c>
      <c r="T692" s="23" t="n">
        <f aca="false">IFERROR(INDEX(PODACI_PRODAJA!C:C,MATCH($A692,PODACI_PRODAJA!$A:$A,0)),0)</f>
        <v>2</v>
      </c>
      <c r="U692" s="23" t="n">
        <f aca="false">IFERROR(INDEX(PODACI_PRODAJA!D:D,MATCH($A692,PODACI_PRODAJA!$A:$A,0)),0)</f>
        <v>9</v>
      </c>
      <c r="V692" s="23" t="n">
        <f aca="false">IFERROR(INDEX(PODACI_PRODAJA!E:E,MATCH($A692,PODACI_PRODAJA!$A:$A,0)),0)</f>
        <v>10</v>
      </c>
      <c r="W692" s="23" t="n">
        <f aca="false">IFERROR(INDEX(PODACI_PRODAJA!F:F,MATCH($A692,PODACI_PRODAJA!$A:$A,0)),0)</f>
        <v>25</v>
      </c>
      <c r="X692" s="23" t="n">
        <f aca="false">IFERROR(INDEX(PODACI_PRODAJA!G:G,MATCH($A692,PODACI_PRODAJA!$A:$A,0)),0)</f>
        <v>0</v>
      </c>
      <c r="Y692" s="23" t="n">
        <f aca="false">IFERROR(INDEX(PODACI_PRODAJA!H:H,MATCH($A692,PODACI_PRODAJA!$A:$A,0)),0)</f>
        <v>0</v>
      </c>
      <c r="Z692" s="23" t="n">
        <f aca="false">IFERROR(INDEX(PODACI_PRODAJA!I:I,MATCH($A692,PODACI_PRODAJA!$A:$A,0)),0)</f>
        <v>0</v>
      </c>
      <c r="AA692" s="23" t="n">
        <f aca="false">IFERROR(INDEX(PODACI_PRODAJA!J:J,MATCH($A692,PODACI_PRODAJA!$A:$A,0)),0)</f>
        <v>0</v>
      </c>
      <c r="AB692" s="23" t="n">
        <f aca="false">IFERROR(INDEX(PODACI_PRODAJA!K:K,MATCH($A692,PODACI_PRODAJA!$A:$A,0)),0)</f>
        <v>0</v>
      </c>
      <c r="AC692" s="23" t="n">
        <f aca="false">IFERROR(INDEX(PODACI_PRODAJA!L:L,MATCH($A692,PODACI_PRODAJA!$A:$A,0)),0)</f>
        <v>0</v>
      </c>
      <c r="AD692" s="23" t="n">
        <f aca="false">IFERROR(INDEX(PODACI_PRODAJA!M:M,MATCH($A692,PODACI_PRODAJA!$A:$A,0)),0)</f>
        <v>0</v>
      </c>
    </row>
    <row r="693" customFormat="false" ht="15" hidden="false" customHeight="false" outlineLevel="0" collapsed="false">
      <c r="A693" s="11" t="str">
        <f aca="false">PODACI_ZALIHE!A690</f>
        <v>037800</v>
      </c>
      <c r="B693" s="8" t="str">
        <f aca="false">PODACI_ZALIHE!B690</f>
        <v>VETRO BLACK 100 TUŠ STIJENA 100x200 cm</v>
      </c>
      <c r="C693" s="9" t="str">
        <f aca="false">PODACI_ZALIHE!C690</f>
        <v>6762</v>
      </c>
      <c r="D693" s="8" t="str">
        <f aca="false">PODACI_ZALIHE!D690</f>
        <v>ZHEJIANG QUICKLINE SHOWERING CO., LTD.</v>
      </c>
      <c r="E693" s="19" t="n">
        <f aca="false">IF(PODACI_ZALIHE!E690="","",PODACI_ZALIHE!E690)</f>
        <v>0</v>
      </c>
      <c r="F693" s="20" t="n">
        <f aca="false">PODACI_ZALIHE!F690</f>
        <v>0</v>
      </c>
      <c r="G693" s="19" t="n">
        <f aca="false">IF(E693="","",E693-F693)</f>
        <v>0</v>
      </c>
      <c r="H693" s="9" t="n">
        <f aca="false">PODACI_PRODAJA!N409</f>
        <v>8</v>
      </c>
      <c r="I693" s="21" t="n">
        <f aca="false">IF(H693&lt;=0,999,ROUND(F693/H693,1))</f>
        <v>0</v>
      </c>
      <c r="J693" s="9" t="n">
        <f aca="false">SUMIFS(ROBA_U_DOLASKU!$C$6:$C$95,ROBA_U_DOLASKU!$A$6:$A$95,A693,ROBA_U_DOLASKU!$H$6:$H$95,1)</f>
        <v>0</v>
      </c>
      <c r="K693" s="9" t="n">
        <f aca="false">SUMIFS(ROBA_U_DOLASKU!$B$6:$B$95,ROBA_U_DOLASKU!$A$6:$A$95,A693,ROBA_U_DOLASKU!$H$6:$H$95,1)</f>
        <v>0</v>
      </c>
      <c r="L693" s="9" t="n">
        <f aca="false">SUMIFS(ROBA_U_DOLASKU!$C$6:$C$95,ROBA_U_DOLASKU!$A$6:$A$95,A693,ROBA_U_DOLASKU!$H$6:$H$95,2)</f>
        <v>0</v>
      </c>
      <c r="M693" s="9" t="n">
        <f aca="false">SUMIFS(ROBA_U_DOLASKU!$B$6:$B$95,ROBA_U_DOLASKU!$A$6:$A$95,A693,ROBA_U_DOLASKU!$H$6:$H$95,2)</f>
        <v>0</v>
      </c>
      <c r="N693" s="9" t="n">
        <f aca="false">SUMIFS(ROBA_U_DOLASKU!$C$6:$C$95,ROBA_U_DOLASKU!$A$6:$A$95,A693,ROBA_U_DOLASKU!$H$6:$H$95,3)</f>
        <v>0</v>
      </c>
      <c r="O693" s="9" t="n">
        <f aca="false">SUMIFS(ROBA_U_DOLASKU!$B$6:$B$95,ROBA_U_DOLASKU!$A$6:$A$95,A693,ROBA_U_DOLASKU!$H$6:$H$95,3)</f>
        <v>0</v>
      </c>
      <c r="P693" s="9" t="n">
        <f aca="false">IF(H693&lt;=0,999,IF(O693&gt;0,ROUND((F693-H693*N693+K693+M693+O693)/H693,1),IF(M693&gt;0,ROUND((F693-H693*L693+K693+M693)/H693,1),IF(K693&gt;0,ROUND((F693-H693*J693+K693)/H693,1),I693))))</f>
        <v>0</v>
      </c>
      <c r="Q693" s="22" t="str">
        <f aca="false">IF(H693&lt;=0,"Nema prodaje",IF(AND(K693=0,M693=0,O693=0),IF(I693&lt;POSTAVKE!$B$6,"Naruči odmah","Sve u redu"),IF(F693-H693*J693&lt;0,"Rupa za ~"&amp;TEXT(I693,"0.0")&amp;" mj.",IF(AND(M693&gt;0,F693-H693*L693+K693&lt;0),"Rupa nakon 1. dolaska",IF(AND(O693&gt;0,F693-H693*N693+K693+M693&lt;0),"Rupa nakon 2. dolaska",IF(P693&lt;POSTAVKE!$B$6,"Količina nije dovoljna",IF(I693&gt;=POSTAVKE!$B$6,"Sve u redu","Stiže na vrijeme")))))))</f>
        <v>Naruči odmah</v>
      </c>
      <c r="S693" s="23" t="n">
        <f aca="false">IFERROR(INDEX(PODACI_PRODAJA!B:B,MATCH($A693,PODACI_PRODAJA!$A:$A,0)),0)</f>
        <v>0</v>
      </c>
      <c r="T693" s="23" t="n">
        <f aca="false">IFERROR(INDEX(PODACI_PRODAJA!C:C,MATCH($A693,PODACI_PRODAJA!$A:$A,0)),0)</f>
        <v>6</v>
      </c>
      <c r="U693" s="23" t="n">
        <f aca="false">IFERROR(INDEX(PODACI_PRODAJA!D:D,MATCH($A693,PODACI_PRODAJA!$A:$A,0)),0)</f>
        <v>12</v>
      </c>
      <c r="V693" s="23" t="n">
        <f aca="false">IFERROR(INDEX(PODACI_PRODAJA!E:E,MATCH($A693,PODACI_PRODAJA!$A:$A,0)),0)</f>
        <v>4</v>
      </c>
      <c r="W693" s="23" t="n">
        <f aca="false">IFERROR(INDEX(PODACI_PRODAJA!F:F,MATCH($A693,PODACI_PRODAJA!$A:$A,0)),0)</f>
        <v>4</v>
      </c>
      <c r="X693" s="23" t="n">
        <f aca="false">IFERROR(INDEX(PODACI_PRODAJA!G:G,MATCH($A693,PODACI_PRODAJA!$A:$A,0)),0)</f>
        <v>15</v>
      </c>
      <c r="Y693" s="23" t="n">
        <f aca="false">IFERROR(INDEX(PODACI_PRODAJA!H:H,MATCH($A693,PODACI_PRODAJA!$A:$A,0)),0)</f>
        <v>8</v>
      </c>
      <c r="Z693" s="23" t="n">
        <f aca="false">IFERROR(INDEX(PODACI_PRODAJA!I:I,MATCH($A693,PODACI_PRODAJA!$A:$A,0)),0)</f>
        <v>15</v>
      </c>
      <c r="AA693" s="23" t="n">
        <f aca="false">IFERROR(INDEX(PODACI_PRODAJA!J:J,MATCH($A693,PODACI_PRODAJA!$A:$A,0)),0)</f>
        <v>0</v>
      </c>
      <c r="AB693" s="23" t="n">
        <f aca="false">IFERROR(INDEX(PODACI_PRODAJA!K:K,MATCH($A693,PODACI_PRODAJA!$A:$A,0)),0)</f>
        <v>0</v>
      </c>
      <c r="AC693" s="23" t="n">
        <f aca="false">IFERROR(INDEX(PODACI_PRODAJA!L:L,MATCH($A693,PODACI_PRODAJA!$A:$A,0)),0)</f>
        <v>0</v>
      </c>
      <c r="AD693" s="23" t="n">
        <f aca="false">IFERROR(INDEX(PODACI_PRODAJA!M:M,MATCH($A693,PODACI_PRODAJA!$A:$A,0)),0)</f>
        <v>0</v>
      </c>
    </row>
    <row r="694" customFormat="false" ht="15" hidden="false" customHeight="false" outlineLevel="0" collapsed="false">
      <c r="A694" s="11" t="str">
        <f aca="false">PODACI_ZALIHE!A691</f>
        <v>040250</v>
      </c>
      <c r="B694" s="8" t="str">
        <f aca="false">PODACI_ZALIHE!B691</f>
        <v>VETRO BLACK 120 TUŠ STIJENA 120x200 cm</v>
      </c>
      <c r="C694" s="9" t="str">
        <f aca="false">PODACI_ZALIHE!C691</f>
        <v>6762</v>
      </c>
      <c r="D694" s="8" t="str">
        <f aca="false">PODACI_ZALIHE!D691</f>
        <v>ZHEJIANG QUICKLINE SHOWERING CO., LTD.</v>
      </c>
      <c r="E694" s="19" t="n">
        <f aca="false">IF(PODACI_ZALIHE!E691="","",PODACI_ZALIHE!E691)</f>
        <v>0</v>
      </c>
      <c r="F694" s="20" t="n">
        <f aca="false">PODACI_ZALIHE!F691</f>
        <v>0</v>
      </c>
      <c r="G694" s="19" t="n">
        <f aca="false">IF(E694="","",E694-F694)</f>
        <v>0</v>
      </c>
      <c r="H694" s="9" t="n">
        <f aca="false">PODACI_PRODAJA!N411</f>
        <v>6.75</v>
      </c>
      <c r="I694" s="21" t="n">
        <f aca="false">IF(H694&lt;=0,999,ROUND(F694/H694,1))</f>
        <v>0</v>
      </c>
      <c r="J694" s="9" t="n">
        <f aca="false">SUMIFS(ROBA_U_DOLASKU!$C$6:$C$95,ROBA_U_DOLASKU!$A$6:$A$95,A694,ROBA_U_DOLASKU!$H$6:$H$95,1)</f>
        <v>1</v>
      </c>
      <c r="K694" s="9" t="n">
        <f aca="false">SUMIFS(ROBA_U_DOLASKU!$B$6:$B$95,ROBA_U_DOLASKU!$A$6:$A$95,A694,ROBA_U_DOLASKU!$H$6:$H$95,1)</f>
        <v>20</v>
      </c>
      <c r="L694" s="9" t="n">
        <f aca="false">SUMIFS(ROBA_U_DOLASKU!$C$6:$C$95,ROBA_U_DOLASKU!$A$6:$A$95,A694,ROBA_U_DOLASKU!$H$6:$H$95,2)</f>
        <v>0</v>
      </c>
      <c r="M694" s="9" t="n">
        <f aca="false">SUMIFS(ROBA_U_DOLASKU!$B$6:$B$95,ROBA_U_DOLASKU!$A$6:$A$95,A694,ROBA_U_DOLASKU!$H$6:$H$95,2)</f>
        <v>0</v>
      </c>
      <c r="N694" s="9" t="n">
        <f aca="false">SUMIFS(ROBA_U_DOLASKU!$C$6:$C$95,ROBA_U_DOLASKU!$A$6:$A$95,A694,ROBA_U_DOLASKU!$H$6:$H$95,3)</f>
        <v>0</v>
      </c>
      <c r="O694" s="9" t="n">
        <f aca="false">SUMIFS(ROBA_U_DOLASKU!$B$6:$B$95,ROBA_U_DOLASKU!$A$6:$A$95,A694,ROBA_U_DOLASKU!$H$6:$H$95,3)</f>
        <v>0</v>
      </c>
      <c r="P694" s="9" t="n">
        <f aca="false">IF(H694&lt;=0,999,IF(O694&gt;0,ROUND((F694-H694*N694+K694+M694+O694)/H694,1),IF(M694&gt;0,ROUND((F694-H694*L694+K694+M694)/H694,1),IF(K694&gt;0,ROUND((F694-H694*J694+K694)/H694,1),I694))))</f>
        <v>2</v>
      </c>
      <c r="Q694" s="22" t="str">
        <f aca="false">IF(H694&lt;=0,"Nema prodaje",IF(AND(K694=0,M694=0,O694=0),IF(I694&lt;POSTAVKE!$B$6,"Naruči odmah","Sve u redu"),IF(F694-H694*J694&lt;0,"Rupa za ~"&amp;TEXT(I694,"0.0")&amp;" mj.",IF(AND(M694&gt;0,F694-H694*L694+K694&lt;0),"Rupa nakon 1. dolaska",IF(AND(O694&gt;0,F694-H694*N694+K694+M694&lt;0),"Rupa nakon 2. dolaska",IF(P694&lt;POSTAVKE!$B$6,"Količina nije dovoljna",IF(I694&gt;=POSTAVKE!$B$6,"Sve u redu","Stiže na vrijeme")))))))</f>
        <v>Rupa za ~0.0 mj.</v>
      </c>
      <c r="S694" s="23" t="n">
        <f aca="false">IFERROR(INDEX(PODACI_PRODAJA!B:B,MATCH($A694,PODACI_PRODAJA!$A:$A,0)),0)</f>
        <v>0</v>
      </c>
      <c r="T694" s="23" t="n">
        <f aca="false">IFERROR(INDEX(PODACI_PRODAJA!C:C,MATCH($A694,PODACI_PRODAJA!$A:$A,0)),0)</f>
        <v>0</v>
      </c>
      <c r="U694" s="23" t="n">
        <f aca="false">IFERROR(INDEX(PODACI_PRODAJA!D:D,MATCH($A694,PODACI_PRODAJA!$A:$A,0)),0)</f>
        <v>5</v>
      </c>
      <c r="V694" s="23" t="n">
        <f aca="false">IFERROR(INDEX(PODACI_PRODAJA!E:E,MATCH($A694,PODACI_PRODAJA!$A:$A,0)),0)</f>
        <v>19</v>
      </c>
      <c r="W694" s="23" t="n">
        <f aca="false">IFERROR(INDEX(PODACI_PRODAJA!F:F,MATCH($A694,PODACI_PRODAJA!$A:$A,0)),0)</f>
        <v>7</v>
      </c>
      <c r="X694" s="23" t="n">
        <f aca="false">IFERROR(INDEX(PODACI_PRODAJA!G:G,MATCH($A694,PODACI_PRODAJA!$A:$A,0)),0)</f>
        <v>9</v>
      </c>
      <c r="Y694" s="23" t="n">
        <f aca="false">IFERROR(INDEX(PODACI_PRODAJA!H:H,MATCH($A694,PODACI_PRODAJA!$A:$A,0)),0)</f>
        <v>9</v>
      </c>
      <c r="Z694" s="23" t="n">
        <f aca="false">IFERROR(INDEX(PODACI_PRODAJA!I:I,MATCH($A694,PODACI_PRODAJA!$A:$A,0)),0)</f>
        <v>5</v>
      </c>
      <c r="AA694" s="23" t="n">
        <f aca="false">IFERROR(INDEX(PODACI_PRODAJA!J:J,MATCH($A694,PODACI_PRODAJA!$A:$A,0)),0)</f>
        <v>0</v>
      </c>
      <c r="AB694" s="23" t="n">
        <f aca="false">IFERROR(INDEX(PODACI_PRODAJA!K:K,MATCH($A694,PODACI_PRODAJA!$A:$A,0)),0)</f>
        <v>0</v>
      </c>
      <c r="AC694" s="23" t="n">
        <f aca="false">IFERROR(INDEX(PODACI_PRODAJA!L:L,MATCH($A694,PODACI_PRODAJA!$A:$A,0)),0)</f>
        <v>0</v>
      </c>
      <c r="AD694" s="23" t="n">
        <f aca="false">IFERROR(INDEX(PODACI_PRODAJA!M:M,MATCH($A694,PODACI_PRODAJA!$A:$A,0)),0)</f>
        <v>0</v>
      </c>
    </row>
    <row r="695" customFormat="false" ht="15" hidden="false" customHeight="false" outlineLevel="0" collapsed="false">
      <c r="A695" s="11" t="str">
        <f aca="false">PODACI_ZALIHE!A692</f>
        <v>040630</v>
      </c>
      <c r="B695" s="8" t="str">
        <f aca="false">PODACI_ZALIHE!B692</f>
        <v>DELILAH NADGRADNI UMIVAONIK 505x405x140 mm</v>
      </c>
      <c r="C695" s="9" t="str">
        <f aca="false">PODACI_ZALIHE!C692</f>
        <v>6413</v>
      </c>
      <c r="D695" s="8" t="str">
        <f aca="false">PODACI_ZALIHE!D692</f>
        <v>ZHONGTONG TRADE (HK) LIMITED</v>
      </c>
      <c r="E695" s="19" t="n">
        <f aca="false">IF(PODACI_ZALIHE!E692="","",PODACI_ZALIHE!E692)</f>
        <v>0</v>
      </c>
      <c r="F695" s="20" t="n">
        <f aca="false">PODACI_ZALIHE!F692</f>
        <v>0</v>
      </c>
      <c r="G695" s="19" t="n">
        <f aca="false">IF(E695="","",E695-F695)</f>
        <v>0</v>
      </c>
      <c r="H695" s="9" t="n">
        <f aca="false">PODACI_PRODAJA!N413</f>
        <v>-0.25</v>
      </c>
      <c r="I695" s="21" t="n">
        <f aca="false">IF(H695&lt;=0,999,ROUND(F695/H695,1))</f>
        <v>999</v>
      </c>
      <c r="J695" s="9" t="n">
        <f aca="false">SUMIFS(ROBA_U_DOLASKU!$C$6:$C$95,ROBA_U_DOLASKU!$A$6:$A$95,A695,ROBA_U_DOLASKU!$H$6:$H$95,1)</f>
        <v>0</v>
      </c>
      <c r="K695" s="9" t="n">
        <f aca="false">SUMIFS(ROBA_U_DOLASKU!$B$6:$B$95,ROBA_U_DOLASKU!$A$6:$A$95,A695,ROBA_U_DOLASKU!$H$6:$H$95,1)</f>
        <v>0</v>
      </c>
      <c r="L695" s="9" t="n">
        <f aca="false">SUMIFS(ROBA_U_DOLASKU!$C$6:$C$95,ROBA_U_DOLASKU!$A$6:$A$95,A695,ROBA_U_DOLASKU!$H$6:$H$95,2)</f>
        <v>0</v>
      </c>
      <c r="M695" s="9" t="n">
        <f aca="false">SUMIFS(ROBA_U_DOLASKU!$B$6:$B$95,ROBA_U_DOLASKU!$A$6:$A$95,A695,ROBA_U_DOLASKU!$H$6:$H$95,2)</f>
        <v>0</v>
      </c>
      <c r="N695" s="9" t="n">
        <f aca="false">SUMIFS(ROBA_U_DOLASKU!$C$6:$C$95,ROBA_U_DOLASKU!$A$6:$A$95,A695,ROBA_U_DOLASKU!$H$6:$H$95,3)</f>
        <v>0</v>
      </c>
      <c r="O695" s="9" t="n">
        <f aca="false">SUMIFS(ROBA_U_DOLASKU!$B$6:$B$95,ROBA_U_DOLASKU!$A$6:$A$95,A695,ROBA_U_DOLASKU!$H$6:$H$95,3)</f>
        <v>0</v>
      </c>
      <c r="P695" s="9" t="n">
        <f aca="false">IF(H695&lt;=0,999,IF(O695&gt;0,ROUND((F695-H695*N695+K695+M695+O695)/H695,1),IF(M695&gt;0,ROUND((F695-H695*L695+K695+M695)/H695,1),IF(K695&gt;0,ROUND((F695-H695*J695+K695)/H695,1),I695))))</f>
        <v>999</v>
      </c>
      <c r="Q695" s="22" t="str">
        <f aca="false">IF(H695&lt;=0,"Nema prodaje",IF(AND(K695=0,M695=0,O695=0),IF(I695&lt;POSTAVKE!$B$6,"Naruči odmah","Sve u redu"),IF(F695-H695*J695&lt;0,"Rupa za ~"&amp;TEXT(I695,"0.0")&amp;" mj.",IF(AND(M695&gt;0,F695-H695*L695+K695&lt;0),"Rupa nakon 1. dolaska",IF(AND(O695&gt;0,F695-H695*N695+K695+M695&lt;0),"Rupa nakon 2. dolaska",IF(P695&lt;POSTAVKE!$B$6,"Količina nije dovoljna",IF(I695&gt;=POSTAVKE!$B$6,"Sve u redu","Stiže na vrijeme")))))))</f>
        <v>Nema prodaje</v>
      </c>
      <c r="S695" s="23" t="n">
        <f aca="false">IFERROR(INDEX(PODACI_PRODAJA!B:B,MATCH($A695,PODACI_PRODAJA!$A:$A,0)),0)</f>
        <v>0</v>
      </c>
      <c r="T695" s="23" t="n">
        <f aca="false">IFERROR(INDEX(PODACI_PRODAJA!C:C,MATCH($A695,PODACI_PRODAJA!$A:$A,0)),0)</f>
        <v>0</v>
      </c>
      <c r="U695" s="23" t="n">
        <f aca="false">IFERROR(INDEX(PODACI_PRODAJA!D:D,MATCH($A695,PODACI_PRODAJA!$A:$A,0)),0)</f>
        <v>0</v>
      </c>
      <c r="V695" s="23" t="n">
        <f aca="false">IFERROR(INDEX(PODACI_PRODAJA!E:E,MATCH($A695,PODACI_PRODAJA!$A:$A,0)),0)</f>
        <v>0</v>
      </c>
      <c r="W695" s="23" t="n">
        <f aca="false">IFERROR(INDEX(PODACI_PRODAJA!F:F,MATCH($A695,PODACI_PRODAJA!$A:$A,0)),0)</f>
        <v>0</v>
      </c>
      <c r="X695" s="23" t="n">
        <f aca="false">IFERROR(INDEX(PODACI_PRODAJA!G:G,MATCH($A695,PODACI_PRODAJA!$A:$A,0)),0)</f>
        <v>-1</v>
      </c>
      <c r="Y695" s="23" t="n">
        <f aca="false">IFERROR(INDEX(PODACI_PRODAJA!H:H,MATCH($A695,PODACI_PRODAJA!$A:$A,0)),0)</f>
        <v>-1</v>
      </c>
      <c r="Z695" s="23" t="n">
        <f aca="false">IFERROR(INDEX(PODACI_PRODAJA!I:I,MATCH($A695,PODACI_PRODAJA!$A:$A,0)),0)</f>
        <v>0</v>
      </c>
      <c r="AA695" s="23" t="n">
        <f aca="false">IFERROR(INDEX(PODACI_PRODAJA!J:J,MATCH($A695,PODACI_PRODAJA!$A:$A,0)),0)</f>
        <v>0</v>
      </c>
      <c r="AB695" s="23" t="n">
        <f aca="false">IFERROR(INDEX(PODACI_PRODAJA!K:K,MATCH($A695,PODACI_PRODAJA!$A:$A,0)),0)</f>
        <v>0</v>
      </c>
      <c r="AC695" s="23" t="n">
        <f aca="false">IFERROR(INDEX(PODACI_PRODAJA!L:L,MATCH($A695,PODACI_PRODAJA!$A:$A,0)),0)</f>
        <v>0</v>
      </c>
      <c r="AD695" s="23" t="n">
        <f aca="false">IFERROR(INDEX(PODACI_PRODAJA!M:M,MATCH($A695,PODACI_PRODAJA!$A:$A,0)),0)</f>
        <v>0</v>
      </c>
    </row>
    <row r="696" customFormat="false" ht="15" hidden="false" customHeight="false" outlineLevel="0" collapsed="false">
      <c r="A696" s="11" t="str">
        <f aca="false">PODACI_ZALIHE!A693</f>
        <v>040640</v>
      </c>
      <c r="B696" s="8" t="str">
        <f aca="false">PODACI_ZALIHE!B693</f>
        <v>VIVIAN NADGRADNI UMIVAONIK 500x380x120 mm</v>
      </c>
      <c r="C696" s="9" t="str">
        <f aca="false">PODACI_ZALIHE!C693</f>
        <v>6413</v>
      </c>
      <c r="D696" s="8" t="str">
        <f aca="false">PODACI_ZALIHE!D693</f>
        <v>ZHONGTONG TRADE (HK) LIMITED</v>
      </c>
      <c r="E696" s="19" t="n">
        <f aca="false">IF(PODACI_ZALIHE!E693="","",PODACI_ZALIHE!E693)</f>
        <v>0</v>
      </c>
      <c r="F696" s="20" t="n">
        <f aca="false">PODACI_ZALIHE!F693</f>
        <v>0</v>
      </c>
      <c r="G696" s="19" t="n">
        <f aca="false">IF(E696="","",E696-F696)</f>
        <v>0</v>
      </c>
      <c r="H696" s="9" t="n">
        <f aca="false">PODACI_PRODAJA!N414</f>
        <v>-0.13</v>
      </c>
      <c r="I696" s="21" t="n">
        <f aca="false">IF(H696&lt;=0,999,ROUND(F696/H696,1))</f>
        <v>999</v>
      </c>
      <c r="J696" s="9" t="n">
        <f aca="false">SUMIFS(ROBA_U_DOLASKU!$C$6:$C$95,ROBA_U_DOLASKU!$A$6:$A$95,A696,ROBA_U_DOLASKU!$H$6:$H$95,1)</f>
        <v>0</v>
      </c>
      <c r="K696" s="9" t="n">
        <f aca="false">SUMIFS(ROBA_U_DOLASKU!$B$6:$B$95,ROBA_U_DOLASKU!$A$6:$A$95,A696,ROBA_U_DOLASKU!$H$6:$H$95,1)</f>
        <v>0</v>
      </c>
      <c r="L696" s="9" t="n">
        <f aca="false">SUMIFS(ROBA_U_DOLASKU!$C$6:$C$95,ROBA_U_DOLASKU!$A$6:$A$95,A696,ROBA_U_DOLASKU!$H$6:$H$95,2)</f>
        <v>0</v>
      </c>
      <c r="M696" s="9" t="n">
        <f aca="false">SUMIFS(ROBA_U_DOLASKU!$B$6:$B$95,ROBA_U_DOLASKU!$A$6:$A$95,A696,ROBA_U_DOLASKU!$H$6:$H$95,2)</f>
        <v>0</v>
      </c>
      <c r="N696" s="9" t="n">
        <f aca="false">SUMIFS(ROBA_U_DOLASKU!$C$6:$C$95,ROBA_U_DOLASKU!$A$6:$A$95,A696,ROBA_U_DOLASKU!$H$6:$H$95,3)</f>
        <v>0</v>
      </c>
      <c r="O696" s="9" t="n">
        <f aca="false">SUMIFS(ROBA_U_DOLASKU!$B$6:$B$95,ROBA_U_DOLASKU!$A$6:$A$95,A696,ROBA_U_DOLASKU!$H$6:$H$95,3)</f>
        <v>0</v>
      </c>
      <c r="P696" s="9" t="n">
        <f aca="false">IF(H696&lt;=0,999,IF(O696&gt;0,ROUND((F696-H696*N696+K696+M696+O696)/H696,1),IF(M696&gt;0,ROUND((F696-H696*L696+K696+M696)/H696,1),IF(K696&gt;0,ROUND((F696-H696*J696+K696)/H696,1),I696))))</f>
        <v>999</v>
      </c>
      <c r="Q696" s="22" t="str">
        <f aca="false">IF(H696&lt;=0,"Nema prodaje",IF(AND(K696=0,M696=0,O696=0),IF(I696&lt;POSTAVKE!$B$6,"Naruči odmah","Sve u redu"),IF(F696-H696*J696&lt;0,"Rupa za ~"&amp;TEXT(I696,"0.0")&amp;" mj.",IF(AND(M696&gt;0,F696-H696*L696+K696&lt;0),"Rupa nakon 1. dolaska",IF(AND(O696&gt;0,F696-H696*N696+K696+M696&lt;0),"Rupa nakon 2. dolaska",IF(P696&lt;POSTAVKE!$B$6,"Količina nije dovoljna",IF(I696&gt;=POSTAVKE!$B$6,"Sve u redu","Stiže na vrijeme")))))))</f>
        <v>Nema prodaje</v>
      </c>
      <c r="S696" s="23" t="n">
        <f aca="false">IFERROR(INDEX(PODACI_PRODAJA!B:B,MATCH($A696,PODACI_PRODAJA!$A:$A,0)),0)</f>
        <v>0</v>
      </c>
      <c r="T696" s="23" t="n">
        <f aca="false">IFERROR(INDEX(PODACI_PRODAJA!C:C,MATCH($A696,PODACI_PRODAJA!$A:$A,0)),0)</f>
        <v>0</v>
      </c>
      <c r="U696" s="23" t="n">
        <f aca="false">IFERROR(INDEX(PODACI_PRODAJA!D:D,MATCH($A696,PODACI_PRODAJA!$A:$A,0)),0)</f>
        <v>0</v>
      </c>
      <c r="V696" s="23" t="n">
        <f aca="false">IFERROR(INDEX(PODACI_PRODAJA!E:E,MATCH($A696,PODACI_PRODAJA!$A:$A,0)),0)</f>
        <v>0</v>
      </c>
      <c r="W696" s="23" t="n">
        <f aca="false">IFERROR(INDEX(PODACI_PRODAJA!F:F,MATCH($A696,PODACI_PRODAJA!$A:$A,0)),0)</f>
        <v>0</v>
      </c>
      <c r="X696" s="23" t="n">
        <f aca="false">IFERROR(INDEX(PODACI_PRODAJA!G:G,MATCH($A696,PODACI_PRODAJA!$A:$A,0)),0)</f>
        <v>0</v>
      </c>
      <c r="Y696" s="23" t="n">
        <f aca="false">IFERROR(INDEX(PODACI_PRODAJA!H:H,MATCH($A696,PODACI_PRODAJA!$A:$A,0)),0)</f>
        <v>-1</v>
      </c>
      <c r="Z696" s="23" t="n">
        <f aca="false">IFERROR(INDEX(PODACI_PRODAJA!I:I,MATCH($A696,PODACI_PRODAJA!$A:$A,0)),0)</f>
        <v>0</v>
      </c>
      <c r="AA696" s="23" t="n">
        <f aca="false">IFERROR(INDEX(PODACI_PRODAJA!J:J,MATCH($A696,PODACI_PRODAJA!$A:$A,0)),0)</f>
        <v>0</v>
      </c>
      <c r="AB696" s="23" t="n">
        <f aca="false">IFERROR(INDEX(PODACI_PRODAJA!K:K,MATCH($A696,PODACI_PRODAJA!$A:$A,0)),0)</f>
        <v>0</v>
      </c>
      <c r="AC696" s="23" t="n">
        <f aca="false">IFERROR(INDEX(PODACI_PRODAJA!L:L,MATCH($A696,PODACI_PRODAJA!$A:$A,0)),0)</f>
        <v>0</v>
      </c>
      <c r="AD696" s="23" t="n">
        <f aca="false">IFERROR(INDEX(PODACI_PRODAJA!M:M,MATCH($A696,PODACI_PRODAJA!$A:$A,0)),0)</f>
        <v>0</v>
      </c>
    </row>
    <row r="697" customFormat="false" ht="15" hidden="false" customHeight="false" outlineLevel="0" collapsed="false">
      <c r="A697" s="11" t="str">
        <f aca="false">PODACI_ZALIHE!A694</f>
        <v>040650</v>
      </c>
      <c r="B697" s="8" t="str">
        <f aca="false">PODACI_ZALIHE!B694</f>
        <v>MARTINE NADGRADNI UMIVAONIK 480x370x130 mm</v>
      </c>
      <c r="C697" s="9" t="str">
        <f aca="false">PODACI_ZALIHE!C694</f>
        <v>6413</v>
      </c>
      <c r="D697" s="8" t="str">
        <f aca="false">PODACI_ZALIHE!D694</f>
        <v>ZHONGTONG TRADE (HK) LIMITED</v>
      </c>
      <c r="E697" s="19" t="n">
        <f aca="false">IF(PODACI_ZALIHE!E694="","",PODACI_ZALIHE!E694)</f>
        <v>0</v>
      </c>
      <c r="F697" s="20" t="n">
        <f aca="false">PODACI_ZALIHE!F694</f>
        <v>0</v>
      </c>
      <c r="G697" s="19" t="n">
        <f aca="false">IF(E697="","",E697-F697)</f>
        <v>0</v>
      </c>
      <c r="H697" s="9" t="n">
        <v>0</v>
      </c>
      <c r="I697" s="21" t="n">
        <f aca="false">IF(H697&lt;=0,999,ROUND(F697/H697,1))</f>
        <v>999</v>
      </c>
      <c r="J697" s="9" t="n">
        <f aca="false">SUMIFS(ROBA_U_DOLASKU!$C$6:$C$95,ROBA_U_DOLASKU!$A$6:$A$95,A697,ROBA_U_DOLASKU!$H$6:$H$95,1)</f>
        <v>0</v>
      </c>
      <c r="K697" s="9" t="n">
        <f aca="false">SUMIFS(ROBA_U_DOLASKU!$B$6:$B$95,ROBA_U_DOLASKU!$A$6:$A$95,A697,ROBA_U_DOLASKU!$H$6:$H$95,1)</f>
        <v>0</v>
      </c>
      <c r="L697" s="9" t="n">
        <f aca="false">SUMIFS(ROBA_U_DOLASKU!$C$6:$C$95,ROBA_U_DOLASKU!$A$6:$A$95,A697,ROBA_U_DOLASKU!$H$6:$H$95,2)</f>
        <v>0</v>
      </c>
      <c r="M697" s="9" t="n">
        <f aca="false">SUMIFS(ROBA_U_DOLASKU!$B$6:$B$95,ROBA_U_DOLASKU!$A$6:$A$95,A697,ROBA_U_DOLASKU!$H$6:$H$95,2)</f>
        <v>0</v>
      </c>
      <c r="N697" s="9" t="n">
        <f aca="false">SUMIFS(ROBA_U_DOLASKU!$C$6:$C$95,ROBA_U_DOLASKU!$A$6:$A$95,A697,ROBA_U_DOLASKU!$H$6:$H$95,3)</f>
        <v>0</v>
      </c>
      <c r="O697" s="9" t="n">
        <f aca="false">SUMIFS(ROBA_U_DOLASKU!$B$6:$B$95,ROBA_U_DOLASKU!$A$6:$A$95,A697,ROBA_U_DOLASKU!$H$6:$H$95,3)</f>
        <v>0</v>
      </c>
      <c r="P697" s="9" t="n">
        <f aca="false">IF(H697&lt;=0,999,IF(O697&gt;0,ROUND((F697-H697*N697+K697+M697+O697)/H697,1),IF(M697&gt;0,ROUND((F697-H697*L697+K697+M697)/H697,1),IF(K697&gt;0,ROUND((F697-H697*J697+K697)/H697,1),I697))))</f>
        <v>999</v>
      </c>
      <c r="Q697" s="22" t="str">
        <f aca="false">IF(H697&lt;=0,"Nema prodaje",IF(AND(K697=0,M697=0,O697=0),IF(I697&lt;POSTAVKE!$B$6,"Naruči odmah","Sve u redu"),IF(F697-H697*J697&lt;0,"Rupa za ~"&amp;TEXT(I697,"0.0")&amp;" mj.",IF(AND(M697&gt;0,F697-H697*L697+K697&lt;0),"Rupa nakon 1. dolaska",IF(AND(O697&gt;0,F697-H697*N697+K697+M697&lt;0),"Rupa nakon 2. dolaska",IF(P697&lt;POSTAVKE!$B$6,"Količina nije dovoljna",IF(I697&gt;=POSTAVKE!$B$6,"Sve u redu","Stiže na vrijeme")))))))</f>
        <v>Nema prodaje</v>
      </c>
      <c r="S697" s="23" t="n">
        <f aca="false">IFERROR(INDEX(PODACI_PRODAJA!B:B,MATCH($A697,PODACI_PRODAJA!$A:$A,0)),0)</f>
        <v>0</v>
      </c>
      <c r="T697" s="23" t="n">
        <f aca="false">IFERROR(INDEX(PODACI_PRODAJA!C:C,MATCH($A697,PODACI_PRODAJA!$A:$A,0)),0)</f>
        <v>0</v>
      </c>
      <c r="U697" s="23" t="n">
        <f aca="false">IFERROR(INDEX(PODACI_PRODAJA!D:D,MATCH($A697,PODACI_PRODAJA!$A:$A,0)),0)</f>
        <v>0</v>
      </c>
      <c r="V697" s="23" t="n">
        <f aca="false">IFERROR(INDEX(PODACI_PRODAJA!E:E,MATCH($A697,PODACI_PRODAJA!$A:$A,0)),0)</f>
        <v>0</v>
      </c>
      <c r="W697" s="23" t="n">
        <f aca="false">IFERROR(INDEX(PODACI_PRODAJA!F:F,MATCH($A697,PODACI_PRODAJA!$A:$A,0)),0)</f>
        <v>0</v>
      </c>
      <c r="X697" s="23" t="n">
        <f aca="false">IFERROR(INDEX(PODACI_PRODAJA!G:G,MATCH($A697,PODACI_PRODAJA!$A:$A,0)),0)</f>
        <v>0</v>
      </c>
      <c r="Y697" s="23" t="n">
        <f aca="false">IFERROR(INDEX(PODACI_PRODAJA!H:H,MATCH($A697,PODACI_PRODAJA!$A:$A,0)),0)</f>
        <v>0</v>
      </c>
      <c r="Z697" s="23" t="n">
        <f aca="false">IFERROR(INDEX(PODACI_PRODAJA!I:I,MATCH($A697,PODACI_PRODAJA!$A:$A,0)),0)</f>
        <v>0</v>
      </c>
      <c r="AA697" s="23" t="n">
        <f aca="false">IFERROR(INDEX(PODACI_PRODAJA!J:J,MATCH($A697,PODACI_PRODAJA!$A:$A,0)),0)</f>
        <v>0</v>
      </c>
      <c r="AB697" s="23" t="n">
        <f aca="false">IFERROR(INDEX(PODACI_PRODAJA!K:K,MATCH($A697,PODACI_PRODAJA!$A:$A,0)),0)</f>
        <v>0</v>
      </c>
      <c r="AC697" s="23" t="n">
        <f aca="false">IFERROR(INDEX(PODACI_PRODAJA!L:L,MATCH($A697,PODACI_PRODAJA!$A:$A,0)),0)</f>
        <v>0</v>
      </c>
      <c r="AD697" s="23" t="n">
        <f aca="false">IFERROR(INDEX(PODACI_PRODAJA!M:M,MATCH($A697,PODACI_PRODAJA!$A:$A,0)),0)</f>
        <v>0</v>
      </c>
    </row>
    <row r="698" customFormat="false" ht="15" hidden="false" customHeight="false" outlineLevel="0" collapsed="false">
      <c r="A698" s="11" t="str">
        <f aca="false">PODACI_ZALIHE!A695</f>
        <v>040660</v>
      </c>
      <c r="B698" s="8" t="str">
        <f aca="false">PODACI_ZALIHE!B695</f>
        <v>MILA NADGRADNI UMIVAONIK 540x420x145 mm</v>
      </c>
      <c r="C698" s="9" t="str">
        <f aca="false">PODACI_ZALIHE!C695</f>
        <v>6413</v>
      </c>
      <c r="D698" s="8" t="str">
        <f aca="false">PODACI_ZALIHE!D695</f>
        <v>ZHONGTONG TRADE (HK) LIMITED</v>
      </c>
      <c r="E698" s="19" t="n">
        <f aca="false">IF(PODACI_ZALIHE!E695="","",PODACI_ZALIHE!E695)</f>
        <v>0</v>
      </c>
      <c r="F698" s="20" t="n">
        <f aca="false">PODACI_ZALIHE!F695</f>
        <v>0</v>
      </c>
      <c r="G698" s="19" t="n">
        <f aca="false">IF(E698="","",E698-F698)</f>
        <v>0</v>
      </c>
      <c r="H698" s="9" t="n">
        <f aca="false">PODACI_PRODAJA!N415</f>
        <v>0.38</v>
      </c>
      <c r="I698" s="21" t="n">
        <f aca="false">IF(H698&lt;=0,999,ROUND(F698/H698,1))</f>
        <v>0</v>
      </c>
      <c r="J698" s="9" t="n">
        <f aca="false">SUMIFS(ROBA_U_DOLASKU!$C$6:$C$95,ROBA_U_DOLASKU!$A$6:$A$95,A698,ROBA_U_DOLASKU!$H$6:$H$95,1)</f>
        <v>0</v>
      </c>
      <c r="K698" s="9" t="n">
        <f aca="false">SUMIFS(ROBA_U_DOLASKU!$B$6:$B$95,ROBA_U_DOLASKU!$A$6:$A$95,A698,ROBA_U_DOLASKU!$H$6:$H$95,1)</f>
        <v>0</v>
      </c>
      <c r="L698" s="9" t="n">
        <f aca="false">SUMIFS(ROBA_U_DOLASKU!$C$6:$C$95,ROBA_U_DOLASKU!$A$6:$A$95,A698,ROBA_U_DOLASKU!$H$6:$H$95,2)</f>
        <v>0</v>
      </c>
      <c r="M698" s="9" t="n">
        <f aca="false">SUMIFS(ROBA_U_DOLASKU!$B$6:$B$95,ROBA_U_DOLASKU!$A$6:$A$95,A698,ROBA_U_DOLASKU!$H$6:$H$95,2)</f>
        <v>0</v>
      </c>
      <c r="N698" s="9" t="n">
        <f aca="false">SUMIFS(ROBA_U_DOLASKU!$C$6:$C$95,ROBA_U_DOLASKU!$A$6:$A$95,A698,ROBA_U_DOLASKU!$H$6:$H$95,3)</f>
        <v>0</v>
      </c>
      <c r="O698" s="9" t="n">
        <f aca="false">SUMIFS(ROBA_U_DOLASKU!$B$6:$B$95,ROBA_U_DOLASKU!$A$6:$A$95,A698,ROBA_U_DOLASKU!$H$6:$H$95,3)</f>
        <v>0</v>
      </c>
      <c r="P698" s="9" t="n">
        <f aca="false">IF(H698&lt;=0,999,IF(O698&gt;0,ROUND((F698-H698*N698+K698+M698+O698)/H698,1),IF(M698&gt;0,ROUND((F698-H698*L698+K698+M698)/H698,1),IF(K698&gt;0,ROUND((F698-H698*J698+K698)/H698,1),I698))))</f>
        <v>0</v>
      </c>
      <c r="Q698" s="22" t="str">
        <f aca="false">IF(H698&lt;=0,"Nema prodaje",IF(AND(K698=0,M698=0,O698=0),IF(I698&lt;POSTAVKE!$B$6,"Naruči odmah","Sve u redu"),IF(F698-H698*J698&lt;0,"Rupa za ~"&amp;TEXT(I698,"0.0")&amp;" mj.",IF(AND(M698&gt;0,F698-H698*L698+K698&lt;0),"Rupa nakon 1. dolaska",IF(AND(O698&gt;0,F698-H698*N698+K698+M698&lt;0),"Rupa nakon 2. dolaska",IF(P698&lt;POSTAVKE!$B$6,"Količina nije dovoljna",IF(I698&gt;=POSTAVKE!$B$6,"Sve u redu","Stiže na vrijeme")))))))</f>
        <v>Naruči odmah</v>
      </c>
      <c r="S698" s="23" t="n">
        <f aca="false">IFERROR(INDEX(PODACI_PRODAJA!B:B,MATCH($A698,PODACI_PRODAJA!$A:$A,0)),0)</f>
        <v>0</v>
      </c>
      <c r="T698" s="23" t="n">
        <f aca="false">IFERROR(INDEX(PODACI_PRODAJA!C:C,MATCH($A698,PODACI_PRODAJA!$A:$A,0)),0)</f>
        <v>0</v>
      </c>
      <c r="U698" s="23" t="n">
        <f aca="false">IFERROR(INDEX(PODACI_PRODAJA!D:D,MATCH($A698,PODACI_PRODAJA!$A:$A,0)),0)</f>
        <v>0</v>
      </c>
      <c r="V698" s="23" t="n">
        <f aca="false">IFERROR(INDEX(PODACI_PRODAJA!E:E,MATCH($A698,PODACI_PRODAJA!$A:$A,0)),0)</f>
        <v>0</v>
      </c>
      <c r="W698" s="23" t="n">
        <f aca="false">IFERROR(INDEX(PODACI_PRODAJA!F:F,MATCH($A698,PODACI_PRODAJA!$A:$A,0)),0)</f>
        <v>0</v>
      </c>
      <c r="X698" s="23" t="n">
        <f aca="false">IFERROR(INDEX(PODACI_PRODAJA!G:G,MATCH($A698,PODACI_PRODAJA!$A:$A,0)),0)</f>
        <v>2</v>
      </c>
      <c r="Y698" s="23" t="n">
        <f aca="false">IFERROR(INDEX(PODACI_PRODAJA!H:H,MATCH($A698,PODACI_PRODAJA!$A:$A,0)),0)</f>
        <v>1</v>
      </c>
      <c r="Z698" s="23" t="n">
        <f aca="false">IFERROR(INDEX(PODACI_PRODAJA!I:I,MATCH($A698,PODACI_PRODAJA!$A:$A,0)),0)</f>
        <v>0</v>
      </c>
      <c r="AA698" s="23" t="n">
        <f aca="false">IFERROR(INDEX(PODACI_PRODAJA!J:J,MATCH($A698,PODACI_PRODAJA!$A:$A,0)),0)</f>
        <v>0</v>
      </c>
      <c r="AB698" s="23" t="n">
        <f aca="false">IFERROR(INDEX(PODACI_PRODAJA!K:K,MATCH($A698,PODACI_PRODAJA!$A:$A,0)),0)</f>
        <v>0</v>
      </c>
      <c r="AC698" s="23" t="n">
        <f aca="false">IFERROR(INDEX(PODACI_PRODAJA!L:L,MATCH($A698,PODACI_PRODAJA!$A:$A,0)),0)</f>
        <v>0</v>
      </c>
      <c r="AD698" s="23" t="n">
        <f aca="false">IFERROR(INDEX(PODACI_PRODAJA!M:M,MATCH($A698,PODACI_PRODAJA!$A:$A,0)),0)</f>
        <v>0</v>
      </c>
    </row>
    <row r="699" customFormat="false" ht="15" hidden="false" customHeight="false" outlineLevel="0" collapsed="false">
      <c r="A699" s="11" t="str">
        <f aca="false">PODACI_ZALIHE!A696</f>
        <v>042071</v>
      </c>
      <c r="B699" s="8" t="str">
        <f aca="false">PODACI_ZALIHE!B696</f>
        <v>DRŽAČ STAKLA TELESKOPSKI KROM 70-120 cm</v>
      </c>
      <c r="C699" s="9" t="str">
        <f aca="false">PODACI_ZALIHE!C696</f>
        <v>5992</v>
      </c>
      <c r="D699" s="8" t="str">
        <f aca="false">PODACI_ZALIHE!D696</f>
        <v>HANGZHOU WOPOO IMPORT AND EXPORT CO.,LTD</v>
      </c>
      <c r="E699" s="19" t="n">
        <f aca="false">IF(PODACI_ZALIHE!E696="","",PODACI_ZALIHE!E696)</f>
        <v>0</v>
      </c>
      <c r="F699" s="20" t="n">
        <f aca="false">PODACI_ZALIHE!F696</f>
        <v>0</v>
      </c>
      <c r="G699" s="19" t="n">
        <f aca="false">IF(E699="","",E699-F699)</f>
        <v>0</v>
      </c>
      <c r="H699" s="9" t="n">
        <f aca="false">PODACI_PRODAJA!N423</f>
        <v>5</v>
      </c>
      <c r="I699" s="21" t="n">
        <f aca="false">IF(H699&lt;=0,999,ROUND(F699/H699,1))</f>
        <v>0</v>
      </c>
      <c r="J699" s="9" t="n">
        <f aca="false">SUMIFS(ROBA_U_DOLASKU!$C$6:$C$95,ROBA_U_DOLASKU!$A$6:$A$95,A699,ROBA_U_DOLASKU!$H$6:$H$95,1)</f>
        <v>0</v>
      </c>
      <c r="K699" s="9" t="n">
        <f aca="false">SUMIFS(ROBA_U_DOLASKU!$B$6:$B$95,ROBA_U_DOLASKU!$A$6:$A$95,A699,ROBA_U_DOLASKU!$H$6:$H$95,1)</f>
        <v>0</v>
      </c>
      <c r="L699" s="9" t="n">
        <f aca="false">SUMIFS(ROBA_U_DOLASKU!$C$6:$C$95,ROBA_U_DOLASKU!$A$6:$A$95,A699,ROBA_U_DOLASKU!$H$6:$H$95,2)</f>
        <v>0</v>
      </c>
      <c r="M699" s="9" t="n">
        <f aca="false">SUMIFS(ROBA_U_DOLASKU!$B$6:$B$95,ROBA_U_DOLASKU!$A$6:$A$95,A699,ROBA_U_DOLASKU!$H$6:$H$95,2)</f>
        <v>0</v>
      </c>
      <c r="N699" s="9" t="n">
        <f aca="false">SUMIFS(ROBA_U_DOLASKU!$C$6:$C$95,ROBA_U_DOLASKU!$A$6:$A$95,A699,ROBA_U_DOLASKU!$H$6:$H$95,3)</f>
        <v>0</v>
      </c>
      <c r="O699" s="9" t="n">
        <f aca="false">SUMIFS(ROBA_U_DOLASKU!$B$6:$B$95,ROBA_U_DOLASKU!$A$6:$A$95,A699,ROBA_U_DOLASKU!$H$6:$H$95,3)</f>
        <v>0</v>
      </c>
      <c r="P699" s="9" t="n">
        <f aca="false">IF(H699&lt;=0,999,IF(O699&gt;0,ROUND((F699-H699*N699+K699+M699+O699)/H699,1),IF(M699&gt;0,ROUND((F699-H699*L699+K699+M699)/H699,1),IF(K699&gt;0,ROUND((F699-H699*J699+K699)/H699,1),I699))))</f>
        <v>0</v>
      </c>
      <c r="Q699" s="22" t="str">
        <f aca="false">IF(H699&lt;=0,"Nema prodaje",IF(AND(K699=0,M699=0,O699=0),IF(I699&lt;POSTAVKE!$B$6,"Naruči odmah","Sve u redu"),IF(F699-H699*J699&lt;0,"Rupa za ~"&amp;TEXT(I699,"0.0")&amp;" mj.",IF(AND(M699&gt;0,F699-H699*L699+K699&lt;0),"Rupa nakon 1. dolaska",IF(AND(O699&gt;0,F699-H699*N699+K699+M699&lt;0),"Rupa nakon 2. dolaska",IF(P699&lt;POSTAVKE!$B$6,"Količina nije dovoljna",IF(I699&gt;=POSTAVKE!$B$6,"Sve u redu","Stiže na vrijeme")))))))</f>
        <v>Naruči odmah</v>
      </c>
      <c r="S699" s="23" t="n">
        <f aca="false">IFERROR(INDEX(PODACI_PRODAJA!B:B,MATCH($A699,PODACI_PRODAJA!$A:$A,0)),0)</f>
        <v>0</v>
      </c>
      <c r="T699" s="23" t="n">
        <f aca="false">IFERROR(INDEX(PODACI_PRODAJA!C:C,MATCH($A699,PODACI_PRODAJA!$A:$A,0)),0)</f>
        <v>0</v>
      </c>
      <c r="U699" s="23" t="n">
        <f aca="false">IFERROR(INDEX(PODACI_PRODAJA!D:D,MATCH($A699,PODACI_PRODAJA!$A:$A,0)),0)</f>
        <v>8</v>
      </c>
      <c r="V699" s="23" t="n">
        <f aca="false">IFERROR(INDEX(PODACI_PRODAJA!E:E,MATCH($A699,PODACI_PRODAJA!$A:$A,0)),0)</f>
        <v>18</v>
      </c>
      <c r="W699" s="23" t="n">
        <f aca="false">IFERROR(INDEX(PODACI_PRODAJA!F:F,MATCH($A699,PODACI_PRODAJA!$A:$A,0)),0)</f>
        <v>14</v>
      </c>
      <c r="X699" s="23" t="n">
        <f aca="false">IFERROR(INDEX(PODACI_PRODAJA!G:G,MATCH($A699,PODACI_PRODAJA!$A:$A,0)),0)</f>
        <v>0</v>
      </c>
      <c r="Y699" s="23" t="n">
        <f aca="false">IFERROR(INDEX(PODACI_PRODAJA!H:H,MATCH($A699,PODACI_PRODAJA!$A:$A,0)),0)</f>
        <v>0</v>
      </c>
      <c r="Z699" s="23" t="n">
        <f aca="false">IFERROR(INDEX(PODACI_PRODAJA!I:I,MATCH($A699,PODACI_PRODAJA!$A:$A,0)),0)</f>
        <v>0</v>
      </c>
      <c r="AA699" s="23" t="n">
        <f aca="false">IFERROR(INDEX(PODACI_PRODAJA!J:J,MATCH($A699,PODACI_PRODAJA!$A:$A,0)),0)</f>
        <v>0</v>
      </c>
      <c r="AB699" s="23" t="n">
        <f aca="false">IFERROR(INDEX(PODACI_PRODAJA!K:K,MATCH($A699,PODACI_PRODAJA!$A:$A,0)),0)</f>
        <v>0</v>
      </c>
      <c r="AC699" s="23" t="n">
        <f aca="false">IFERROR(INDEX(PODACI_PRODAJA!L:L,MATCH($A699,PODACI_PRODAJA!$A:$A,0)),0)</f>
        <v>0</v>
      </c>
      <c r="AD699" s="23" t="n">
        <f aca="false">IFERROR(INDEX(PODACI_PRODAJA!M:M,MATCH($A699,PODACI_PRODAJA!$A:$A,0)),0)</f>
        <v>0</v>
      </c>
    </row>
    <row r="700" customFormat="false" ht="15" hidden="false" customHeight="false" outlineLevel="0" collapsed="false">
      <c r="A700" s="11" t="str">
        <f aca="false">PODACI_ZALIHE!A697</f>
        <v>042280</v>
      </c>
      <c r="B700" s="8" t="str">
        <f aca="false">PODACI_ZALIHE!B697</f>
        <v>VETRO TRS 80 TUŠ STIJENA 80x200 cm</v>
      </c>
      <c r="C700" s="9" t="str">
        <f aca="false">PODACI_ZALIHE!C697</f>
        <v>6762</v>
      </c>
      <c r="D700" s="8" t="str">
        <f aca="false">PODACI_ZALIHE!D697</f>
        <v>ZHEJIANG QUICKLINE SHOWERING CO., LTD.</v>
      </c>
      <c r="E700" s="19" t="n">
        <f aca="false">IF(PODACI_ZALIHE!E697="","",PODACI_ZALIHE!E697)</f>
        <v>0</v>
      </c>
      <c r="F700" s="20" t="n">
        <f aca="false">PODACI_ZALIHE!F697</f>
        <v>0</v>
      </c>
      <c r="G700" s="19" t="n">
        <f aca="false">IF(E700="","",E700-F700)</f>
        <v>0</v>
      </c>
      <c r="H700" s="9" t="n">
        <f aca="false">PODACI_PRODAJA!N65</f>
        <v>11.88</v>
      </c>
      <c r="I700" s="21" t="n">
        <f aca="false">IF(H700&lt;=0,999,ROUND(F700/H700,1))</f>
        <v>0</v>
      </c>
      <c r="J700" s="9" t="n">
        <f aca="false">SUMIFS(ROBA_U_DOLASKU!$C$6:$C$95,ROBA_U_DOLASKU!$A$6:$A$95,A700,ROBA_U_DOLASKU!$H$6:$H$95,1)</f>
        <v>0</v>
      </c>
      <c r="K700" s="9" t="n">
        <f aca="false">SUMIFS(ROBA_U_DOLASKU!$B$6:$B$95,ROBA_U_DOLASKU!$A$6:$A$95,A700,ROBA_U_DOLASKU!$H$6:$H$95,1)</f>
        <v>0</v>
      </c>
      <c r="L700" s="9" t="n">
        <f aca="false">SUMIFS(ROBA_U_DOLASKU!$C$6:$C$95,ROBA_U_DOLASKU!$A$6:$A$95,A700,ROBA_U_DOLASKU!$H$6:$H$95,2)</f>
        <v>0</v>
      </c>
      <c r="M700" s="9" t="n">
        <f aca="false">SUMIFS(ROBA_U_DOLASKU!$B$6:$B$95,ROBA_U_DOLASKU!$A$6:$A$95,A700,ROBA_U_DOLASKU!$H$6:$H$95,2)</f>
        <v>0</v>
      </c>
      <c r="N700" s="9" t="n">
        <f aca="false">SUMIFS(ROBA_U_DOLASKU!$C$6:$C$95,ROBA_U_DOLASKU!$A$6:$A$95,A700,ROBA_U_DOLASKU!$H$6:$H$95,3)</f>
        <v>0</v>
      </c>
      <c r="O700" s="9" t="n">
        <f aca="false">SUMIFS(ROBA_U_DOLASKU!$B$6:$B$95,ROBA_U_DOLASKU!$A$6:$A$95,A700,ROBA_U_DOLASKU!$H$6:$H$95,3)</f>
        <v>0</v>
      </c>
      <c r="P700" s="9" t="n">
        <f aca="false">IF(H700&lt;=0,999,IF(O700&gt;0,ROUND((F700-H700*N700+K700+M700+O700)/H700,1),IF(M700&gt;0,ROUND((F700-H700*L700+K700+M700)/H700,1),IF(K700&gt;0,ROUND((F700-H700*J700+K700)/H700,1),I700))))</f>
        <v>0</v>
      </c>
      <c r="Q700" s="22" t="str">
        <f aca="false">IF(H700&lt;=0,"Nema prodaje",IF(AND(K700=0,M700=0,O700=0),IF(I700&lt;POSTAVKE!$B$6,"Naruči odmah","Sve u redu"),IF(F700-H700*J700&lt;0,"Rupa za ~"&amp;TEXT(I700,"0.0")&amp;" mj.",IF(AND(M700&gt;0,F700-H700*L700+K700&lt;0),"Rupa nakon 1. dolaska",IF(AND(O700&gt;0,F700-H700*N700+K700+M700&lt;0),"Rupa nakon 2. dolaska",IF(P700&lt;POSTAVKE!$B$6,"Količina nije dovoljna",IF(I700&gt;=POSTAVKE!$B$6,"Sve u redu","Stiže na vrijeme")))))))</f>
        <v>Naruči odmah</v>
      </c>
      <c r="S700" s="23" t="n">
        <f aca="false">IFERROR(INDEX(PODACI_PRODAJA!B:B,MATCH($A700,PODACI_PRODAJA!$A:$A,0)),0)</f>
        <v>11</v>
      </c>
      <c r="T700" s="23" t="n">
        <f aca="false">IFERROR(INDEX(PODACI_PRODAJA!C:C,MATCH($A700,PODACI_PRODAJA!$A:$A,0)),0)</f>
        <v>9</v>
      </c>
      <c r="U700" s="23" t="n">
        <f aca="false">IFERROR(INDEX(PODACI_PRODAJA!D:D,MATCH($A700,PODACI_PRODAJA!$A:$A,0)),0)</f>
        <v>11</v>
      </c>
      <c r="V700" s="23" t="n">
        <f aca="false">IFERROR(INDEX(PODACI_PRODAJA!E:E,MATCH($A700,PODACI_PRODAJA!$A:$A,0)),0)</f>
        <v>3</v>
      </c>
      <c r="W700" s="23" t="n">
        <f aca="false">IFERROR(INDEX(PODACI_PRODAJA!F:F,MATCH($A700,PODACI_PRODAJA!$A:$A,0)),0)</f>
        <v>12</v>
      </c>
      <c r="X700" s="23" t="n">
        <f aca="false">IFERROR(INDEX(PODACI_PRODAJA!G:G,MATCH($A700,PODACI_PRODAJA!$A:$A,0)),0)</f>
        <v>19</v>
      </c>
      <c r="Y700" s="23" t="n">
        <f aca="false">IFERROR(INDEX(PODACI_PRODAJA!H:H,MATCH($A700,PODACI_PRODAJA!$A:$A,0)),0)</f>
        <v>22</v>
      </c>
      <c r="Z700" s="23" t="n">
        <f aca="false">IFERROR(INDEX(PODACI_PRODAJA!I:I,MATCH($A700,PODACI_PRODAJA!$A:$A,0)),0)</f>
        <v>8</v>
      </c>
      <c r="AA700" s="23" t="n">
        <f aca="false">IFERROR(INDEX(PODACI_PRODAJA!J:J,MATCH($A700,PODACI_PRODAJA!$A:$A,0)),0)</f>
        <v>0</v>
      </c>
      <c r="AB700" s="23" t="n">
        <f aca="false">IFERROR(INDEX(PODACI_PRODAJA!K:K,MATCH($A700,PODACI_PRODAJA!$A:$A,0)),0)</f>
        <v>0</v>
      </c>
      <c r="AC700" s="23" t="n">
        <f aca="false">IFERROR(INDEX(PODACI_PRODAJA!L:L,MATCH($A700,PODACI_PRODAJA!$A:$A,0)),0)</f>
        <v>0</v>
      </c>
      <c r="AD700" s="23" t="n">
        <f aca="false">IFERROR(INDEX(PODACI_PRODAJA!M:M,MATCH($A700,PODACI_PRODAJA!$A:$A,0)),0)</f>
        <v>0</v>
      </c>
    </row>
    <row r="701" customFormat="false" ht="15" hidden="false" customHeight="false" outlineLevel="0" collapsed="false">
      <c r="A701" s="11" t="str">
        <f aca="false">PODACI_ZALIHE!A698</f>
        <v>042800</v>
      </c>
      <c r="B701" s="8" t="str">
        <f aca="false">PODACI_ZALIHE!B698</f>
        <v>LED NADOGLEDALNA RASVJETA 3WP2 4W 5000K IP44</v>
      </c>
      <c r="C701" s="9" t="str">
        <f aca="false">PODACI_ZALIHE!C698</f>
        <v>4954</v>
      </c>
      <c r="D701" s="8" t="str">
        <f aca="false">PODACI_ZALIHE!D698</f>
        <v>JAYLED LIGHTING LTD</v>
      </c>
      <c r="E701" s="19" t="n">
        <f aca="false">IF(PODACI_ZALIHE!E698="","",PODACI_ZALIHE!E698)</f>
        <v>0</v>
      </c>
      <c r="F701" s="20" t="n">
        <f aca="false">PODACI_ZALIHE!F698</f>
        <v>0</v>
      </c>
      <c r="G701" s="19" t="n">
        <f aca="false">IF(E701="","",E701-F701)</f>
        <v>0</v>
      </c>
      <c r="H701" s="9" t="n">
        <v>0</v>
      </c>
      <c r="I701" s="21" t="n">
        <f aca="false">IF(H701&lt;=0,999,ROUND(F701/H701,1))</f>
        <v>999</v>
      </c>
      <c r="J701" s="9" t="n">
        <f aca="false">SUMIFS(ROBA_U_DOLASKU!$C$6:$C$95,ROBA_U_DOLASKU!$A$6:$A$95,A701,ROBA_U_DOLASKU!$H$6:$H$95,1)</f>
        <v>0</v>
      </c>
      <c r="K701" s="9" t="n">
        <f aca="false">SUMIFS(ROBA_U_DOLASKU!$B$6:$B$95,ROBA_U_DOLASKU!$A$6:$A$95,A701,ROBA_U_DOLASKU!$H$6:$H$95,1)</f>
        <v>0</v>
      </c>
      <c r="L701" s="9" t="n">
        <f aca="false">SUMIFS(ROBA_U_DOLASKU!$C$6:$C$95,ROBA_U_DOLASKU!$A$6:$A$95,A701,ROBA_U_DOLASKU!$H$6:$H$95,2)</f>
        <v>0</v>
      </c>
      <c r="M701" s="9" t="n">
        <f aca="false">SUMIFS(ROBA_U_DOLASKU!$B$6:$B$95,ROBA_U_DOLASKU!$A$6:$A$95,A701,ROBA_U_DOLASKU!$H$6:$H$95,2)</f>
        <v>0</v>
      </c>
      <c r="N701" s="9" t="n">
        <f aca="false">SUMIFS(ROBA_U_DOLASKU!$C$6:$C$95,ROBA_U_DOLASKU!$A$6:$A$95,A701,ROBA_U_DOLASKU!$H$6:$H$95,3)</f>
        <v>0</v>
      </c>
      <c r="O701" s="9" t="n">
        <f aca="false">SUMIFS(ROBA_U_DOLASKU!$B$6:$B$95,ROBA_U_DOLASKU!$A$6:$A$95,A701,ROBA_U_DOLASKU!$H$6:$H$95,3)</f>
        <v>0</v>
      </c>
      <c r="P701" s="9" t="n">
        <f aca="false">IF(H701&lt;=0,999,IF(O701&gt;0,ROUND((F701-H701*N701+K701+M701+O701)/H701,1),IF(M701&gt;0,ROUND((F701-H701*L701+K701+M701)/H701,1),IF(K701&gt;0,ROUND((F701-H701*J701+K701)/H701,1),I701))))</f>
        <v>999</v>
      </c>
      <c r="Q701" s="22" t="str">
        <f aca="false">IF(H701&lt;=0,"Nema prodaje",IF(AND(K701=0,M701=0,O701=0),IF(I701&lt;POSTAVKE!$B$6,"Naruči odmah","Sve u redu"),IF(F701-H701*J701&lt;0,"Rupa za ~"&amp;TEXT(I701,"0.0")&amp;" mj.",IF(AND(M701&gt;0,F701-H701*L701+K701&lt;0),"Rupa nakon 1. dolaska",IF(AND(O701&gt;0,F701-H701*N701+K701+M701&lt;0),"Rupa nakon 2. dolaska",IF(P701&lt;POSTAVKE!$B$6,"Količina nije dovoljna",IF(I701&gt;=POSTAVKE!$B$6,"Sve u redu","Stiže na vrijeme")))))))</f>
        <v>Nema prodaje</v>
      </c>
      <c r="S701" s="23" t="n">
        <f aca="false">IFERROR(INDEX(PODACI_PRODAJA!B:B,MATCH($A701,PODACI_PRODAJA!$A:$A,0)),0)</f>
        <v>0</v>
      </c>
      <c r="T701" s="23" t="n">
        <f aca="false">IFERROR(INDEX(PODACI_PRODAJA!C:C,MATCH($A701,PODACI_PRODAJA!$A:$A,0)),0)</f>
        <v>0</v>
      </c>
      <c r="U701" s="23" t="n">
        <f aca="false">IFERROR(INDEX(PODACI_PRODAJA!D:D,MATCH($A701,PODACI_PRODAJA!$A:$A,0)),0)</f>
        <v>0</v>
      </c>
      <c r="V701" s="23" t="n">
        <f aca="false">IFERROR(INDEX(PODACI_PRODAJA!E:E,MATCH($A701,PODACI_PRODAJA!$A:$A,0)),0)</f>
        <v>0</v>
      </c>
      <c r="W701" s="23" t="n">
        <f aca="false">IFERROR(INDEX(PODACI_PRODAJA!F:F,MATCH($A701,PODACI_PRODAJA!$A:$A,0)),0)</f>
        <v>0</v>
      </c>
      <c r="X701" s="23" t="n">
        <f aca="false">IFERROR(INDEX(PODACI_PRODAJA!G:G,MATCH($A701,PODACI_PRODAJA!$A:$A,0)),0)</f>
        <v>0</v>
      </c>
      <c r="Y701" s="23" t="n">
        <f aca="false">IFERROR(INDEX(PODACI_PRODAJA!H:H,MATCH($A701,PODACI_PRODAJA!$A:$A,0)),0)</f>
        <v>0</v>
      </c>
      <c r="Z701" s="23" t="n">
        <f aca="false">IFERROR(INDEX(PODACI_PRODAJA!I:I,MATCH($A701,PODACI_PRODAJA!$A:$A,0)),0)</f>
        <v>0</v>
      </c>
      <c r="AA701" s="23" t="n">
        <f aca="false">IFERROR(INDEX(PODACI_PRODAJA!J:J,MATCH($A701,PODACI_PRODAJA!$A:$A,0)),0)</f>
        <v>0</v>
      </c>
      <c r="AB701" s="23" t="n">
        <f aca="false">IFERROR(INDEX(PODACI_PRODAJA!K:K,MATCH($A701,PODACI_PRODAJA!$A:$A,0)),0)</f>
        <v>0</v>
      </c>
      <c r="AC701" s="23" t="n">
        <f aca="false">IFERROR(INDEX(PODACI_PRODAJA!L:L,MATCH($A701,PODACI_PRODAJA!$A:$A,0)),0)</f>
        <v>0</v>
      </c>
      <c r="AD701" s="23" t="n">
        <f aca="false">IFERROR(INDEX(PODACI_PRODAJA!M:M,MATCH($A701,PODACI_PRODAJA!$A:$A,0)),0)</f>
        <v>0</v>
      </c>
    </row>
    <row r="702" customFormat="false" ht="15" hidden="false" customHeight="false" outlineLevel="0" collapsed="false">
      <c r="A702" s="11" t="str">
        <f aca="false">PODACI_ZALIHE!A699</f>
        <v>043350</v>
      </c>
      <c r="B702" s="8" t="str">
        <f aca="false">PODACI_ZALIHE!B699</f>
        <v>VETRO CUBO 80 TUŠ STIJENA 80x200 cm</v>
      </c>
      <c r="C702" s="9" t="str">
        <f aca="false">PODACI_ZALIHE!C699</f>
        <v>5140</v>
      </c>
      <c r="D702" s="8" t="str">
        <f aca="false">PODACI_ZALIHE!D699</f>
        <v>GUANGDONG OCEAN SANITARY WARE CO., LTD.</v>
      </c>
      <c r="E702" s="19" t="n">
        <f aca="false">IF(PODACI_ZALIHE!E699="","",PODACI_ZALIHE!E699)</f>
        <v>0</v>
      </c>
      <c r="F702" s="20" t="n">
        <f aca="false">PODACI_ZALIHE!F699</f>
        <v>0</v>
      </c>
      <c r="G702" s="19" t="n">
        <f aca="false">IF(E702="","",E702-F702)</f>
        <v>0</v>
      </c>
      <c r="H702" s="9" t="n">
        <f aca="false">PODACI_PRODAJA!N428</f>
        <v>0</v>
      </c>
      <c r="I702" s="21" t="n">
        <f aca="false">IF(H702&lt;=0,999,ROUND(F702/H702,1))</f>
        <v>999</v>
      </c>
      <c r="J702" s="9" t="n">
        <f aca="false">SUMIFS(ROBA_U_DOLASKU!$C$6:$C$95,ROBA_U_DOLASKU!$A$6:$A$95,A702,ROBA_U_DOLASKU!$H$6:$H$95,1)</f>
        <v>0</v>
      </c>
      <c r="K702" s="9" t="n">
        <f aca="false">SUMIFS(ROBA_U_DOLASKU!$B$6:$B$95,ROBA_U_DOLASKU!$A$6:$A$95,A702,ROBA_U_DOLASKU!$H$6:$H$95,1)</f>
        <v>0</v>
      </c>
      <c r="L702" s="9" t="n">
        <f aca="false">SUMIFS(ROBA_U_DOLASKU!$C$6:$C$95,ROBA_U_DOLASKU!$A$6:$A$95,A702,ROBA_U_DOLASKU!$H$6:$H$95,2)</f>
        <v>0</v>
      </c>
      <c r="M702" s="9" t="n">
        <f aca="false">SUMIFS(ROBA_U_DOLASKU!$B$6:$B$95,ROBA_U_DOLASKU!$A$6:$A$95,A702,ROBA_U_DOLASKU!$H$6:$H$95,2)</f>
        <v>0</v>
      </c>
      <c r="N702" s="9" t="n">
        <f aca="false">SUMIFS(ROBA_U_DOLASKU!$C$6:$C$95,ROBA_U_DOLASKU!$A$6:$A$95,A702,ROBA_U_DOLASKU!$H$6:$H$95,3)</f>
        <v>0</v>
      </c>
      <c r="O702" s="9" t="n">
        <f aca="false">SUMIFS(ROBA_U_DOLASKU!$B$6:$B$95,ROBA_U_DOLASKU!$A$6:$A$95,A702,ROBA_U_DOLASKU!$H$6:$H$95,3)</f>
        <v>0</v>
      </c>
      <c r="P702" s="9" t="n">
        <f aca="false">IF(H702&lt;=0,999,IF(O702&gt;0,ROUND((F702-H702*N702+K702+M702+O702)/H702,1),IF(M702&gt;0,ROUND((F702-H702*L702+K702+M702)/H702,1),IF(K702&gt;0,ROUND((F702-H702*J702+K702)/H702,1),I702))))</f>
        <v>999</v>
      </c>
      <c r="Q702" s="22" t="str">
        <f aca="false">IF(H702&lt;=0,"Nema prodaje",IF(AND(K702=0,M702=0,O702=0),IF(I702&lt;POSTAVKE!$B$6,"Naruči odmah","Sve u redu"),IF(F702-H702*J702&lt;0,"Rupa za ~"&amp;TEXT(I702,"0.0")&amp;" mj.",IF(AND(M702&gt;0,F702-H702*L702+K702&lt;0),"Rupa nakon 1. dolaska",IF(AND(O702&gt;0,F702-H702*N702+K702+M702&lt;0),"Rupa nakon 2. dolaska",IF(P702&lt;POSTAVKE!$B$6,"Količina nije dovoljna",IF(I702&gt;=POSTAVKE!$B$6,"Sve u redu","Stiže na vrijeme")))))))</f>
        <v>Nema prodaje</v>
      </c>
      <c r="S702" s="23" t="n">
        <f aca="false">IFERROR(INDEX(PODACI_PRODAJA!B:B,MATCH($A702,PODACI_PRODAJA!$A:$A,0)),0)</f>
        <v>0</v>
      </c>
      <c r="T702" s="23" t="n">
        <f aca="false">IFERROR(INDEX(PODACI_PRODAJA!C:C,MATCH($A702,PODACI_PRODAJA!$A:$A,0)),0)</f>
        <v>0</v>
      </c>
      <c r="U702" s="23" t="n">
        <f aca="false">IFERROR(INDEX(PODACI_PRODAJA!D:D,MATCH($A702,PODACI_PRODAJA!$A:$A,0)),0)</f>
        <v>0</v>
      </c>
      <c r="V702" s="23" t="n">
        <f aca="false">IFERROR(INDEX(PODACI_PRODAJA!E:E,MATCH($A702,PODACI_PRODAJA!$A:$A,0)),0)</f>
        <v>0</v>
      </c>
      <c r="W702" s="23" t="n">
        <f aca="false">IFERROR(INDEX(PODACI_PRODAJA!F:F,MATCH($A702,PODACI_PRODAJA!$A:$A,0)),0)</f>
        <v>0</v>
      </c>
      <c r="X702" s="23" t="n">
        <f aca="false">IFERROR(INDEX(PODACI_PRODAJA!G:G,MATCH($A702,PODACI_PRODAJA!$A:$A,0)),0)</f>
        <v>0</v>
      </c>
      <c r="Y702" s="23" t="n">
        <f aca="false">IFERROR(INDEX(PODACI_PRODAJA!H:H,MATCH($A702,PODACI_PRODAJA!$A:$A,0)),0)</f>
        <v>0</v>
      </c>
      <c r="Z702" s="23" t="n">
        <f aca="false">IFERROR(INDEX(PODACI_PRODAJA!I:I,MATCH($A702,PODACI_PRODAJA!$A:$A,0)),0)</f>
        <v>0</v>
      </c>
      <c r="AA702" s="23" t="n">
        <f aca="false">IFERROR(INDEX(PODACI_PRODAJA!J:J,MATCH($A702,PODACI_PRODAJA!$A:$A,0)),0)</f>
        <v>0</v>
      </c>
      <c r="AB702" s="23" t="n">
        <f aca="false">IFERROR(INDEX(PODACI_PRODAJA!K:K,MATCH($A702,PODACI_PRODAJA!$A:$A,0)),0)</f>
        <v>0</v>
      </c>
      <c r="AC702" s="23" t="n">
        <f aca="false">IFERROR(INDEX(PODACI_PRODAJA!L:L,MATCH($A702,PODACI_PRODAJA!$A:$A,0)),0)</f>
        <v>0</v>
      </c>
      <c r="AD702" s="23" t="n">
        <f aca="false">IFERROR(INDEX(PODACI_PRODAJA!M:M,MATCH($A702,PODACI_PRODAJA!$A:$A,0)),0)</f>
        <v>0</v>
      </c>
    </row>
    <row r="703" customFormat="false" ht="15" hidden="false" customHeight="false" outlineLevel="0" collapsed="false">
      <c r="A703" s="11" t="str">
        <f aca="false">PODACI_ZALIHE!A700</f>
        <v>043490</v>
      </c>
      <c r="B703" s="8" t="str">
        <f aca="false">PODACI_ZALIHE!B700</f>
        <v>VETRO CUBO 110 TUŠ STIJENA 110x200 cm</v>
      </c>
      <c r="C703" s="9" t="str">
        <f aca="false">PODACI_ZALIHE!C700</f>
        <v>5140</v>
      </c>
      <c r="D703" s="8" t="str">
        <f aca="false">PODACI_ZALIHE!D700</f>
        <v>GUANGDONG OCEAN SANITARY WARE CO., LTD.</v>
      </c>
      <c r="E703" s="19" t="n">
        <f aca="false">IF(PODACI_ZALIHE!E700="","",PODACI_ZALIHE!E700)</f>
        <v>0</v>
      </c>
      <c r="F703" s="20" t="n">
        <f aca="false">PODACI_ZALIHE!F700</f>
        <v>0</v>
      </c>
      <c r="G703" s="19" t="n">
        <f aca="false">IF(E703="","",E703-F703)</f>
        <v>0</v>
      </c>
      <c r="H703" s="9" t="n">
        <f aca="false">PODACI_PRODAJA!N431</f>
        <v>0.13</v>
      </c>
      <c r="I703" s="21" t="n">
        <f aca="false">IF(H703&lt;=0,999,ROUND(F703/H703,1))</f>
        <v>0</v>
      </c>
      <c r="J703" s="9" t="n">
        <f aca="false">SUMIFS(ROBA_U_DOLASKU!$C$6:$C$95,ROBA_U_DOLASKU!$A$6:$A$95,A703,ROBA_U_DOLASKU!$H$6:$H$95,1)</f>
        <v>0</v>
      </c>
      <c r="K703" s="9" t="n">
        <f aca="false">SUMIFS(ROBA_U_DOLASKU!$B$6:$B$95,ROBA_U_DOLASKU!$A$6:$A$95,A703,ROBA_U_DOLASKU!$H$6:$H$95,1)</f>
        <v>0</v>
      </c>
      <c r="L703" s="9" t="n">
        <f aca="false">SUMIFS(ROBA_U_DOLASKU!$C$6:$C$95,ROBA_U_DOLASKU!$A$6:$A$95,A703,ROBA_U_DOLASKU!$H$6:$H$95,2)</f>
        <v>0</v>
      </c>
      <c r="M703" s="9" t="n">
        <f aca="false">SUMIFS(ROBA_U_DOLASKU!$B$6:$B$95,ROBA_U_DOLASKU!$A$6:$A$95,A703,ROBA_U_DOLASKU!$H$6:$H$95,2)</f>
        <v>0</v>
      </c>
      <c r="N703" s="9" t="n">
        <f aca="false">SUMIFS(ROBA_U_DOLASKU!$C$6:$C$95,ROBA_U_DOLASKU!$A$6:$A$95,A703,ROBA_U_DOLASKU!$H$6:$H$95,3)</f>
        <v>0</v>
      </c>
      <c r="O703" s="9" t="n">
        <f aca="false">SUMIFS(ROBA_U_DOLASKU!$B$6:$B$95,ROBA_U_DOLASKU!$A$6:$A$95,A703,ROBA_U_DOLASKU!$H$6:$H$95,3)</f>
        <v>0</v>
      </c>
      <c r="P703" s="9" t="n">
        <f aca="false">IF(H703&lt;=0,999,IF(O703&gt;0,ROUND((F703-H703*N703+K703+M703+O703)/H703,1),IF(M703&gt;0,ROUND((F703-H703*L703+K703+M703)/H703,1),IF(K703&gt;0,ROUND((F703-H703*J703+K703)/H703,1),I703))))</f>
        <v>0</v>
      </c>
      <c r="Q703" s="22" t="str">
        <f aca="false">IF(H703&lt;=0,"Nema prodaje",IF(AND(K703=0,M703=0,O703=0),IF(I703&lt;POSTAVKE!$B$6,"Naruči odmah","Sve u redu"),IF(F703-H703*J703&lt;0,"Rupa za ~"&amp;TEXT(I703,"0.0")&amp;" mj.",IF(AND(M703&gt;0,F703-H703*L703+K703&lt;0),"Rupa nakon 1. dolaska",IF(AND(O703&gt;0,F703-H703*N703+K703+M703&lt;0),"Rupa nakon 2. dolaska",IF(P703&lt;POSTAVKE!$B$6,"Količina nije dovoljna",IF(I703&gt;=POSTAVKE!$B$6,"Sve u redu","Stiže na vrijeme")))))))</f>
        <v>Naruči odmah</v>
      </c>
      <c r="S703" s="23" t="n">
        <f aca="false">IFERROR(INDEX(PODACI_PRODAJA!B:B,MATCH($A703,PODACI_PRODAJA!$A:$A,0)),0)</f>
        <v>0</v>
      </c>
      <c r="T703" s="23" t="n">
        <f aca="false">IFERROR(INDEX(PODACI_PRODAJA!C:C,MATCH($A703,PODACI_PRODAJA!$A:$A,0)),0)</f>
        <v>0</v>
      </c>
      <c r="U703" s="23" t="n">
        <f aca="false">IFERROR(INDEX(PODACI_PRODAJA!D:D,MATCH($A703,PODACI_PRODAJA!$A:$A,0)),0)</f>
        <v>0</v>
      </c>
      <c r="V703" s="23" t="n">
        <f aca="false">IFERROR(INDEX(PODACI_PRODAJA!E:E,MATCH($A703,PODACI_PRODAJA!$A:$A,0)),0)</f>
        <v>0</v>
      </c>
      <c r="W703" s="23" t="n">
        <f aca="false">IFERROR(INDEX(PODACI_PRODAJA!F:F,MATCH($A703,PODACI_PRODAJA!$A:$A,0)),0)</f>
        <v>1</v>
      </c>
      <c r="X703" s="23" t="n">
        <f aca="false">IFERROR(INDEX(PODACI_PRODAJA!G:G,MATCH($A703,PODACI_PRODAJA!$A:$A,0)),0)</f>
        <v>0</v>
      </c>
      <c r="Y703" s="23" t="n">
        <f aca="false">IFERROR(INDEX(PODACI_PRODAJA!H:H,MATCH($A703,PODACI_PRODAJA!$A:$A,0)),0)</f>
        <v>0</v>
      </c>
      <c r="Z703" s="23" t="n">
        <f aca="false">IFERROR(INDEX(PODACI_PRODAJA!I:I,MATCH($A703,PODACI_PRODAJA!$A:$A,0)),0)</f>
        <v>0</v>
      </c>
      <c r="AA703" s="23" t="n">
        <f aca="false">IFERROR(INDEX(PODACI_PRODAJA!J:J,MATCH($A703,PODACI_PRODAJA!$A:$A,0)),0)</f>
        <v>0</v>
      </c>
      <c r="AB703" s="23" t="n">
        <f aca="false">IFERROR(INDEX(PODACI_PRODAJA!K:K,MATCH($A703,PODACI_PRODAJA!$A:$A,0)),0)</f>
        <v>0</v>
      </c>
      <c r="AC703" s="23" t="n">
        <f aca="false">IFERROR(INDEX(PODACI_PRODAJA!L:L,MATCH($A703,PODACI_PRODAJA!$A:$A,0)),0)</f>
        <v>0</v>
      </c>
      <c r="AD703" s="23" t="n">
        <f aca="false">IFERROR(INDEX(PODACI_PRODAJA!M:M,MATCH($A703,PODACI_PRODAJA!$A:$A,0)),0)</f>
        <v>0</v>
      </c>
    </row>
    <row r="704" customFormat="false" ht="15" hidden="false" customHeight="false" outlineLevel="0" collapsed="false">
      <c r="A704" s="11" t="str">
        <f aca="false">PODACI_ZALIHE!A701</f>
        <v>043590</v>
      </c>
      <c r="B704" s="8" t="str">
        <f aca="false">PODACI_ZALIHE!B701</f>
        <v>MARLA NADGRADNI UMIVAONIK CRNI MAT 358x358x137 mm</v>
      </c>
      <c r="C704" s="9" t="str">
        <f aca="false">PODACI_ZALIHE!C701</f>
        <v>6413</v>
      </c>
      <c r="D704" s="8" t="str">
        <f aca="false">PODACI_ZALIHE!D701</f>
        <v>ZHONGTONG TRADE (HK) LIMITED</v>
      </c>
      <c r="E704" s="19" t="n">
        <f aca="false">IF(PODACI_ZALIHE!E701="","",PODACI_ZALIHE!E701)</f>
        <v>0</v>
      </c>
      <c r="F704" s="20" t="n">
        <f aca="false">PODACI_ZALIHE!F701</f>
        <v>0</v>
      </c>
      <c r="G704" s="19" t="n">
        <f aca="false">IF(E704="","",E704-F704)</f>
        <v>0</v>
      </c>
      <c r="H704" s="9" t="n">
        <f aca="false">PODACI_PRODAJA!N432</f>
        <v>-0.25</v>
      </c>
      <c r="I704" s="21" t="n">
        <f aca="false">IF(H704&lt;=0,999,ROUND(F704/H704,1))</f>
        <v>999</v>
      </c>
      <c r="J704" s="9" t="n">
        <f aca="false">SUMIFS(ROBA_U_DOLASKU!$C$6:$C$95,ROBA_U_DOLASKU!$A$6:$A$95,A704,ROBA_U_DOLASKU!$H$6:$H$95,1)</f>
        <v>0</v>
      </c>
      <c r="K704" s="9" t="n">
        <f aca="false">SUMIFS(ROBA_U_DOLASKU!$B$6:$B$95,ROBA_U_DOLASKU!$A$6:$A$95,A704,ROBA_U_DOLASKU!$H$6:$H$95,1)</f>
        <v>0</v>
      </c>
      <c r="L704" s="9" t="n">
        <f aca="false">SUMIFS(ROBA_U_DOLASKU!$C$6:$C$95,ROBA_U_DOLASKU!$A$6:$A$95,A704,ROBA_U_DOLASKU!$H$6:$H$95,2)</f>
        <v>0</v>
      </c>
      <c r="M704" s="9" t="n">
        <f aca="false">SUMIFS(ROBA_U_DOLASKU!$B$6:$B$95,ROBA_U_DOLASKU!$A$6:$A$95,A704,ROBA_U_DOLASKU!$H$6:$H$95,2)</f>
        <v>0</v>
      </c>
      <c r="N704" s="9" t="n">
        <f aca="false">SUMIFS(ROBA_U_DOLASKU!$C$6:$C$95,ROBA_U_DOLASKU!$A$6:$A$95,A704,ROBA_U_DOLASKU!$H$6:$H$95,3)</f>
        <v>0</v>
      </c>
      <c r="O704" s="9" t="n">
        <f aca="false">SUMIFS(ROBA_U_DOLASKU!$B$6:$B$95,ROBA_U_DOLASKU!$A$6:$A$95,A704,ROBA_U_DOLASKU!$H$6:$H$95,3)</f>
        <v>0</v>
      </c>
      <c r="P704" s="9" t="n">
        <f aca="false">IF(H704&lt;=0,999,IF(O704&gt;0,ROUND((F704-H704*N704+K704+M704+O704)/H704,1),IF(M704&gt;0,ROUND((F704-H704*L704+K704+M704)/H704,1),IF(K704&gt;0,ROUND((F704-H704*J704+K704)/H704,1),I704))))</f>
        <v>999</v>
      </c>
      <c r="Q704" s="22" t="str">
        <f aca="false">IF(H704&lt;=0,"Nema prodaje",IF(AND(K704=0,M704=0,O704=0),IF(I704&lt;POSTAVKE!$B$6,"Naruči odmah","Sve u redu"),IF(F704-H704*J704&lt;0,"Rupa za ~"&amp;TEXT(I704,"0.0")&amp;" mj.",IF(AND(M704&gt;0,F704-H704*L704+K704&lt;0),"Rupa nakon 1. dolaska",IF(AND(O704&gt;0,F704-H704*N704+K704+M704&lt;0),"Rupa nakon 2. dolaska",IF(P704&lt;POSTAVKE!$B$6,"Količina nije dovoljna",IF(I704&gt;=POSTAVKE!$B$6,"Sve u redu","Stiže na vrijeme")))))))</f>
        <v>Nema prodaje</v>
      </c>
      <c r="S704" s="23" t="n">
        <f aca="false">IFERROR(INDEX(PODACI_PRODAJA!B:B,MATCH($A704,PODACI_PRODAJA!$A:$A,0)),0)</f>
        <v>0</v>
      </c>
      <c r="T704" s="23" t="n">
        <f aca="false">IFERROR(INDEX(PODACI_PRODAJA!C:C,MATCH($A704,PODACI_PRODAJA!$A:$A,0)),0)</f>
        <v>0</v>
      </c>
      <c r="U704" s="23" t="n">
        <f aca="false">IFERROR(INDEX(PODACI_PRODAJA!D:D,MATCH($A704,PODACI_PRODAJA!$A:$A,0)),0)</f>
        <v>0</v>
      </c>
      <c r="V704" s="23" t="n">
        <f aca="false">IFERROR(INDEX(PODACI_PRODAJA!E:E,MATCH($A704,PODACI_PRODAJA!$A:$A,0)),0)</f>
        <v>0</v>
      </c>
      <c r="W704" s="23" t="n">
        <f aca="false">IFERROR(INDEX(PODACI_PRODAJA!F:F,MATCH($A704,PODACI_PRODAJA!$A:$A,0)),0)</f>
        <v>0</v>
      </c>
      <c r="X704" s="23" t="n">
        <f aca="false">IFERROR(INDEX(PODACI_PRODAJA!G:G,MATCH($A704,PODACI_PRODAJA!$A:$A,0)),0)</f>
        <v>-1</v>
      </c>
      <c r="Y704" s="23" t="n">
        <f aca="false">IFERROR(INDEX(PODACI_PRODAJA!H:H,MATCH($A704,PODACI_PRODAJA!$A:$A,0)),0)</f>
        <v>-1</v>
      </c>
      <c r="Z704" s="23" t="n">
        <f aca="false">IFERROR(INDEX(PODACI_PRODAJA!I:I,MATCH($A704,PODACI_PRODAJA!$A:$A,0)),0)</f>
        <v>0</v>
      </c>
      <c r="AA704" s="23" t="n">
        <f aca="false">IFERROR(INDEX(PODACI_PRODAJA!J:J,MATCH($A704,PODACI_PRODAJA!$A:$A,0)),0)</f>
        <v>0</v>
      </c>
      <c r="AB704" s="23" t="n">
        <f aca="false">IFERROR(INDEX(PODACI_PRODAJA!K:K,MATCH($A704,PODACI_PRODAJA!$A:$A,0)),0)</f>
        <v>0</v>
      </c>
      <c r="AC704" s="23" t="n">
        <f aca="false">IFERROR(INDEX(PODACI_PRODAJA!L:L,MATCH($A704,PODACI_PRODAJA!$A:$A,0)),0)</f>
        <v>0</v>
      </c>
      <c r="AD704" s="23" t="n">
        <f aca="false">IFERROR(INDEX(PODACI_PRODAJA!M:M,MATCH($A704,PODACI_PRODAJA!$A:$A,0)),0)</f>
        <v>0</v>
      </c>
    </row>
    <row r="705" customFormat="false" ht="15" hidden="false" customHeight="false" outlineLevel="0" collapsed="false">
      <c r="A705" s="11" t="str">
        <f aca="false">PODACI_ZALIHE!A702</f>
        <v>044360</v>
      </c>
      <c r="B705" s="8" t="str">
        <f aca="false">PODACI_ZALIHE!B702</f>
        <v>PORTO 130 TUŠ VRATA 130x195 cm</v>
      </c>
      <c r="C705" s="9" t="str">
        <f aca="false">PODACI_ZALIHE!C702</f>
        <v>4328</v>
      </c>
      <c r="D705" s="8" t="str">
        <f aca="false">PODACI_ZALIHE!D702</f>
        <v>HANGZHOU DUHUI IMPORT AND EXPORT CO.,LTD</v>
      </c>
      <c r="E705" s="19" t="n">
        <f aca="false">IF(PODACI_ZALIHE!E702="","",PODACI_ZALIHE!E702)</f>
        <v>0</v>
      </c>
      <c r="F705" s="20" t="n">
        <f aca="false">PODACI_ZALIHE!F702</f>
        <v>0</v>
      </c>
      <c r="G705" s="19" t="n">
        <f aca="false">IF(E705="","",E705-F705)</f>
        <v>0</v>
      </c>
      <c r="H705" s="9" t="n">
        <f aca="false">PODACI_PRODAJA!N229</f>
        <v>0.25</v>
      </c>
      <c r="I705" s="21" t="n">
        <f aca="false">IF(H705&lt;=0,999,ROUND(F705/H705,1))</f>
        <v>0</v>
      </c>
      <c r="J705" s="9" t="n">
        <f aca="false">SUMIFS(ROBA_U_DOLASKU!$C$6:$C$95,ROBA_U_DOLASKU!$A$6:$A$95,A705,ROBA_U_DOLASKU!$H$6:$H$95,1)</f>
        <v>0</v>
      </c>
      <c r="K705" s="9" t="n">
        <f aca="false">SUMIFS(ROBA_U_DOLASKU!$B$6:$B$95,ROBA_U_DOLASKU!$A$6:$A$95,A705,ROBA_U_DOLASKU!$H$6:$H$95,1)</f>
        <v>0</v>
      </c>
      <c r="L705" s="9" t="n">
        <f aca="false">SUMIFS(ROBA_U_DOLASKU!$C$6:$C$95,ROBA_U_DOLASKU!$A$6:$A$95,A705,ROBA_U_DOLASKU!$H$6:$H$95,2)</f>
        <v>0</v>
      </c>
      <c r="M705" s="9" t="n">
        <f aca="false">SUMIFS(ROBA_U_DOLASKU!$B$6:$B$95,ROBA_U_DOLASKU!$A$6:$A$95,A705,ROBA_U_DOLASKU!$H$6:$H$95,2)</f>
        <v>0</v>
      </c>
      <c r="N705" s="9" t="n">
        <f aca="false">SUMIFS(ROBA_U_DOLASKU!$C$6:$C$95,ROBA_U_DOLASKU!$A$6:$A$95,A705,ROBA_U_DOLASKU!$H$6:$H$95,3)</f>
        <v>0</v>
      </c>
      <c r="O705" s="9" t="n">
        <f aca="false">SUMIFS(ROBA_U_DOLASKU!$B$6:$B$95,ROBA_U_DOLASKU!$A$6:$A$95,A705,ROBA_U_DOLASKU!$H$6:$H$95,3)</f>
        <v>0</v>
      </c>
      <c r="P705" s="9" t="n">
        <f aca="false">IF(H705&lt;=0,999,IF(O705&gt;0,ROUND((F705-H705*N705+K705+M705+O705)/H705,1),IF(M705&gt;0,ROUND((F705-H705*L705+K705+M705)/H705,1),IF(K705&gt;0,ROUND((F705-H705*J705+K705)/H705,1),I705))))</f>
        <v>0</v>
      </c>
      <c r="Q705" s="22" t="str">
        <f aca="false">IF(H705&lt;=0,"Nema prodaje",IF(AND(K705=0,M705=0,O705=0),IF(I705&lt;POSTAVKE!$B$6,"Naruči odmah","Sve u redu"),IF(F705-H705*J705&lt;0,"Rupa za ~"&amp;TEXT(I705,"0.0")&amp;" mj.",IF(AND(M705&gt;0,F705-H705*L705+K705&lt;0),"Rupa nakon 1. dolaska",IF(AND(O705&gt;0,F705-H705*N705+K705+M705&lt;0),"Rupa nakon 2. dolaska",IF(P705&lt;POSTAVKE!$B$6,"Količina nije dovoljna",IF(I705&gt;=POSTAVKE!$B$6,"Sve u redu","Stiže na vrijeme")))))))</f>
        <v>Naruči odmah</v>
      </c>
      <c r="S705" s="23" t="n">
        <f aca="false">IFERROR(INDEX(PODACI_PRODAJA!B:B,MATCH($A705,PODACI_PRODAJA!$A:$A,0)),0)</f>
        <v>1</v>
      </c>
      <c r="T705" s="23" t="n">
        <f aca="false">IFERROR(INDEX(PODACI_PRODAJA!C:C,MATCH($A705,PODACI_PRODAJA!$A:$A,0)),0)</f>
        <v>0</v>
      </c>
      <c r="U705" s="23" t="n">
        <f aca="false">IFERROR(INDEX(PODACI_PRODAJA!D:D,MATCH($A705,PODACI_PRODAJA!$A:$A,0)),0)</f>
        <v>1</v>
      </c>
      <c r="V705" s="23" t="n">
        <f aca="false">IFERROR(INDEX(PODACI_PRODAJA!E:E,MATCH($A705,PODACI_PRODAJA!$A:$A,0)),0)</f>
        <v>0</v>
      </c>
      <c r="W705" s="23" t="n">
        <f aca="false">IFERROR(INDEX(PODACI_PRODAJA!F:F,MATCH($A705,PODACI_PRODAJA!$A:$A,0)),0)</f>
        <v>0</v>
      </c>
      <c r="X705" s="23" t="n">
        <f aca="false">IFERROR(INDEX(PODACI_PRODAJA!G:G,MATCH($A705,PODACI_PRODAJA!$A:$A,0)),0)</f>
        <v>0</v>
      </c>
      <c r="Y705" s="23" t="n">
        <f aca="false">IFERROR(INDEX(PODACI_PRODAJA!H:H,MATCH($A705,PODACI_PRODAJA!$A:$A,0)),0)</f>
        <v>0</v>
      </c>
      <c r="Z705" s="23" t="n">
        <f aca="false">IFERROR(INDEX(PODACI_PRODAJA!I:I,MATCH($A705,PODACI_PRODAJA!$A:$A,0)),0)</f>
        <v>0</v>
      </c>
      <c r="AA705" s="23" t="n">
        <f aca="false">IFERROR(INDEX(PODACI_PRODAJA!J:J,MATCH($A705,PODACI_PRODAJA!$A:$A,0)),0)</f>
        <v>0</v>
      </c>
      <c r="AB705" s="23" t="n">
        <f aca="false">IFERROR(INDEX(PODACI_PRODAJA!K:K,MATCH($A705,PODACI_PRODAJA!$A:$A,0)),0)</f>
        <v>0</v>
      </c>
      <c r="AC705" s="23" t="n">
        <f aca="false">IFERROR(INDEX(PODACI_PRODAJA!L:L,MATCH($A705,PODACI_PRODAJA!$A:$A,0)),0)</f>
        <v>0</v>
      </c>
      <c r="AD705" s="23" t="n">
        <f aca="false">IFERROR(INDEX(PODACI_PRODAJA!M:M,MATCH($A705,PODACI_PRODAJA!$A:$A,0)),0)</f>
        <v>0</v>
      </c>
    </row>
    <row r="706" customFormat="false" ht="15" hidden="false" customHeight="false" outlineLevel="0" collapsed="false">
      <c r="A706" s="11" t="str">
        <f aca="false">PODACI_ZALIHE!A703</f>
        <v>060654</v>
      </c>
      <c r="B706" s="8" t="str">
        <f aca="false">PODACI_ZALIHE!B703</f>
        <v>TK-A70KV-4S KVADRATNA TUŠ KABINA 70x70x185 cm</v>
      </c>
      <c r="C706" s="9" t="str">
        <f aca="false">PODACI_ZALIHE!C703</f>
        <v>4838</v>
      </c>
      <c r="D706" s="8" t="str">
        <f aca="false">PODACI_ZALIHE!D703</f>
        <v>JIAXING DANNI SANITARY AND KITCHEN EQUIPMENT CO.LTD</v>
      </c>
      <c r="E706" s="19" t="n">
        <f aca="false">IF(PODACI_ZALIHE!E703="","",PODACI_ZALIHE!E703)</f>
        <v>0</v>
      </c>
      <c r="F706" s="20" t="n">
        <f aca="false">PODACI_ZALIHE!F703</f>
        <v>0</v>
      </c>
      <c r="G706" s="19" t="n">
        <f aca="false">IF(E706="","",E706-F706)</f>
        <v>0</v>
      </c>
      <c r="H706" s="9" t="n">
        <f aca="false">PODACI_PRODAJA!N446</f>
        <v>0.13</v>
      </c>
      <c r="I706" s="21" t="n">
        <f aca="false">IF(H706&lt;=0,999,ROUND(F706/H706,1))</f>
        <v>0</v>
      </c>
      <c r="J706" s="9" t="n">
        <f aca="false">SUMIFS(ROBA_U_DOLASKU!$C$6:$C$95,ROBA_U_DOLASKU!$A$6:$A$95,A706,ROBA_U_DOLASKU!$H$6:$H$95,1)</f>
        <v>0</v>
      </c>
      <c r="K706" s="9" t="n">
        <f aca="false">SUMIFS(ROBA_U_DOLASKU!$B$6:$B$95,ROBA_U_DOLASKU!$A$6:$A$95,A706,ROBA_U_DOLASKU!$H$6:$H$95,1)</f>
        <v>0</v>
      </c>
      <c r="L706" s="9" t="n">
        <f aca="false">SUMIFS(ROBA_U_DOLASKU!$C$6:$C$95,ROBA_U_DOLASKU!$A$6:$A$95,A706,ROBA_U_DOLASKU!$H$6:$H$95,2)</f>
        <v>0</v>
      </c>
      <c r="M706" s="9" t="n">
        <f aca="false">SUMIFS(ROBA_U_DOLASKU!$B$6:$B$95,ROBA_U_DOLASKU!$A$6:$A$95,A706,ROBA_U_DOLASKU!$H$6:$H$95,2)</f>
        <v>0</v>
      </c>
      <c r="N706" s="9" t="n">
        <f aca="false">SUMIFS(ROBA_U_DOLASKU!$C$6:$C$95,ROBA_U_DOLASKU!$A$6:$A$95,A706,ROBA_U_DOLASKU!$H$6:$H$95,3)</f>
        <v>0</v>
      </c>
      <c r="O706" s="9" t="n">
        <f aca="false">SUMIFS(ROBA_U_DOLASKU!$B$6:$B$95,ROBA_U_DOLASKU!$A$6:$A$95,A706,ROBA_U_DOLASKU!$H$6:$H$95,3)</f>
        <v>0</v>
      </c>
      <c r="P706" s="9" t="n">
        <f aca="false">IF(H706&lt;=0,999,IF(O706&gt;0,ROUND((F706-H706*N706+K706+M706+O706)/H706,1),IF(M706&gt;0,ROUND((F706-H706*L706+K706+M706)/H706,1),IF(K706&gt;0,ROUND((F706-H706*J706+K706)/H706,1),I706))))</f>
        <v>0</v>
      </c>
      <c r="Q706" s="22" t="str">
        <f aca="false">IF(H706&lt;=0,"Nema prodaje",IF(AND(K706=0,M706=0,O706=0),IF(I706&lt;POSTAVKE!$B$6,"Naruči odmah","Sve u redu"),IF(F706-H706*J706&lt;0,"Rupa za ~"&amp;TEXT(I706,"0.0")&amp;" mj.",IF(AND(M706&gt;0,F706-H706*L706+K706&lt;0),"Rupa nakon 1. dolaska",IF(AND(O706&gt;0,F706-H706*N706+K706+M706&lt;0),"Rupa nakon 2. dolaska",IF(P706&lt;POSTAVKE!$B$6,"Količina nije dovoljna",IF(I706&gt;=POSTAVKE!$B$6,"Sve u redu","Stiže na vrijeme")))))))</f>
        <v>Naruči odmah</v>
      </c>
      <c r="S706" s="23" t="n">
        <f aca="false">IFERROR(INDEX(PODACI_PRODAJA!B:B,MATCH($A706,PODACI_PRODAJA!$A:$A,0)),0)</f>
        <v>0</v>
      </c>
      <c r="T706" s="23" t="n">
        <f aca="false">IFERROR(INDEX(PODACI_PRODAJA!C:C,MATCH($A706,PODACI_PRODAJA!$A:$A,0)),0)</f>
        <v>1</v>
      </c>
      <c r="U706" s="23" t="n">
        <f aca="false">IFERROR(INDEX(PODACI_PRODAJA!D:D,MATCH($A706,PODACI_PRODAJA!$A:$A,0)),0)</f>
        <v>0</v>
      </c>
      <c r="V706" s="23" t="n">
        <f aca="false">IFERROR(INDEX(PODACI_PRODAJA!E:E,MATCH($A706,PODACI_PRODAJA!$A:$A,0)),0)</f>
        <v>0</v>
      </c>
      <c r="W706" s="23" t="n">
        <f aca="false">IFERROR(INDEX(PODACI_PRODAJA!F:F,MATCH($A706,PODACI_PRODAJA!$A:$A,0)),0)</f>
        <v>0</v>
      </c>
      <c r="X706" s="23" t="n">
        <f aca="false">IFERROR(INDEX(PODACI_PRODAJA!G:G,MATCH($A706,PODACI_PRODAJA!$A:$A,0)),0)</f>
        <v>0</v>
      </c>
      <c r="Y706" s="23" t="n">
        <f aca="false">IFERROR(INDEX(PODACI_PRODAJA!H:H,MATCH($A706,PODACI_PRODAJA!$A:$A,0)),0)</f>
        <v>0</v>
      </c>
      <c r="Z706" s="23" t="n">
        <f aca="false">IFERROR(INDEX(PODACI_PRODAJA!I:I,MATCH($A706,PODACI_PRODAJA!$A:$A,0)),0)</f>
        <v>0</v>
      </c>
      <c r="AA706" s="23" t="n">
        <f aca="false">IFERROR(INDEX(PODACI_PRODAJA!J:J,MATCH($A706,PODACI_PRODAJA!$A:$A,0)),0)</f>
        <v>0</v>
      </c>
      <c r="AB706" s="23" t="n">
        <f aca="false">IFERROR(INDEX(PODACI_PRODAJA!K:K,MATCH($A706,PODACI_PRODAJA!$A:$A,0)),0)</f>
        <v>0</v>
      </c>
      <c r="AC706" s="23" t="n">
        <f aca="false">IFERROR(INDEX(PODACI_PRODAJA!L:L,MATCH($A706,PODACI_PRODAJA!$A:$A,0)),0)</f>
        <v>0</v>
      </c>
      <c r="AD706" s="23" t="n">
        <f aca="false">IFERROR(INDEX(PODACI_PRODAJA!M:M,MATCH($A706,PODACI_PRODAJA!$A:$A,0)),0)</f>
        <v>0</v>
      </c>
    </row>
    <row r="707" customFormat="false" ht="15" hidden="false" customHeight="false" outlineLevel="0" collapsed="false">
      <c r="A707" s="11" t="str">
        <f aca="false">PODACI_ZALIHE!A704</f>
        <v>111.815.00.1</v>
      </c>
      <c r="B707" s="8" t="str">
        <f aca="false">PODACI_ZALIHE!B704</f>
        <v>GEBERIT DUOFIX SET ZIDNIH SIDARA ZA POJEDINAČNU MONTAŽU</v>
      </c>
      <c r="C707" s="9" t="str">
        <f aca="false">PODACI_ZALIHE!C704</f>
        <v>7564</v>
      </c>
      <c r="D707" s="8" t="str">
        <f aca="false">PODACI_ZALIHE!D704</f>
        <v>MAVI d.o.o.</v>
      </c>
      <c r="E707" s="19" t="n">
        <f aca="false">IF(PODACI_ZALIHE!E704="","",PODACI_ZALIHE!E704)</f>
        <v>0</v>
      </c>
      <c r="F707" s="20" t="n">
        <f aca="false">PODACI_ZALIHE!F704</f>
        <v>0</v>
      </c>
      <c r="G707" s="19" t="n">
        <f aca="false">IF(E707="","",E707-F707)</f>
        <v>0</v>
      </c>
      <c r="H707" s="9" t="n">
        <f aca="false">PODACI_PRODAJA!N459</f>
        <v>6.25</v>
      </c>
      <c r="I707" s="21" t="n">
        <f aca="false">IF(H707&lt;=0,999,ROUND(F707/H707,1))</f>
        <v>0</v>
      </c>
      <c r="J707" s="9" t="n">
        <f aca="false">SUMIFS(ROBA_U_DOLASKU!$C$6:$C$95,ROBA_U_DOLASKU!$A$6:$A$95,A707,ROBA_U_DOLASKU!$H$6:$H$95,1)</f>
        <v>0</v>
      </c>
      <c r="K707" s="9" t="n">
        <f aca="false">SUMIFS(ROBA_U_DOLASKU!$B$6:$B$95,ROBA_U_DOLASKU!$A$6:$A$95,A707,ROBA_U_DOLASKU!$H$6:$H$95,1)</f>
        <v>0</v>
      </c>
      <c r="L707" s="9" t="n">
        <f aca="false">SUMIFS(ROBA_U_DOLASKU!$C$6:$C$95,ROBA_U_DOLASKU!$A$6:$A$95,A707,ROBA_U_DOLASKU!$H$6:$H$95,2)</f>
        <v>0</v>
      </c>
      <c r="M707" s="9" t="n">
        <f aca="false">SUMIFS(ROBA_U_DOLASKU!$B$6:$B$95,ROBA_U_DOLASKU!$A$6:$A$95,A707,ROBA_U_DOLASKU!$H$6:$H$95,2)</f>
        <v>0</v>
      </c>
      <c r="N707" s="9" t="n">
        <f aca="false">SUMIFS(ROBA_U_DOLASKU!$C$6:$C$95,ROBA_U_DOLASKU!$A$6:$A$95,A707,ROBA_U_DOLASKU!$H$6:$H$95,3)</f>
        <v>0</v>
      </c>
      <c r="O707" s="9" t="n">
        <f aca="false">SUMIFS(ROBA_U_DOLASKU!$B$6:$B$95,ROBA_U_DOLASKU!$A$6:$A$95,A707,ROBA_U_DOLASKU!$H$6:$H$95,3)</f>
        <v>0</v>
      </c>
      <c r="P707" s="9" t="n">
        <f aca="false">IF(H707&lt;=0,999,IF(O707&gt;0,ROUND((F707-H707*N707+K707+M707+O707)/H707,1),IF(M707&gt;0,ROUND((F707-H707*L707+K707+M707)/H707,1),IF(K707&gt;0,ROUND((F707-H707*J707+K707)/H707,1),I707))))</f>
        <v>0</v>
      </c>
      <c r="Q707" s="22" t="str">
        <f aca="false">IF(H707&lt;=0,"Nema prodaje",IF(AND(K707=0,M707=0,O707=0),IF(I707&lt;POSTAVKE!$B$6,"Naruči odmah","Sve u redu"),IF(F707-H707*J707&lt;0,"Rupa za ~"&amp;TEXT(I707,"0.0")&amp;" mj.",IF(AND(M707&gt;0,F707-H707*L707+K707&lt;0),"Rupa nakon 1. dolaska",IF(AND(O707&gt;0,F707-H707*N707+K707+M707&lt;0),"Rupa nakon 2. dolaska",IF(P707&lt;POSTAVKE!$B$6,"Količina nije dovoljna",IF(I707&gt;=POSTAVKE!$B$6,"Sve u redu","Stiže na vrijeme")))))))</f>
        <v>Naruči odmah</v>
      </c>
      <c r="S707" s="23" t="n">
        <f aca="false">IFERROR(INDEX(PODACI_PRODAJA!B:B,MATCH($A707,PODACI_PRODAJA!$A:$A,0)),0)</f>
        <v>0</v>
      </c>
      <c r="T707" s="23" t="n">
        <f aca="false">IFERROR(INDEX(PODACI_PRODAJA!C:C,MATCH($A707,PODACI_PRODAJA!$A:$A,0)),0)</f>
        <v>0</v>
      </c>
      <c r="U707" s="23" t="n">
        <f aca="false">IFERROR(INDEX(PODACI_PRODAJA!D:D,MATCH($A707,PODACI_PRODAJA!$A:$A,0)),0)</f>
        <v>0</v>
      </c>
      <c r="V707" s="23" t="n">
        <f aca="false">IFERROR(INDEX(PODACI_PRODAJA!E:E,MATCH($A707,PODACI_PRODAJA!$A:$A,0)),0)</f>
        <v>0</v>
      </c>
      <c r="W707" s="23" t="n">
        <f aca="false">IFERROR(INDEX(PODACI_PRODAJA!F:F,MATCH($A707,PODACI_PRODAJA!$A:$A,0)),0)</f>
        <v>0</v>
      </c>
      <c r="X707" s="23" t="n">
        <f aca="false">IFERROR(INDEX(PODACI_PRODAJA!G:G,MATCH($A707,PODACI_PRODAJA!$A:$A,0)),0)</f>
        <v>0</v>
      </c>
      <c r="Y707" s="23" t="n">
        <f aca="false">IFERROR(INDEX(PODACI_PRODAJA!H:H,MATCH($A707,PODACI_PRODAJA!$A:$A,0)),0)</f>
        <v>50</v>
      </c>
      <c r="Z707" s="23" t="n">
        <f aca="false">IFERROR(INDEX(PODACI_PRODAJA!I:I,MATCH($A707,PODACI_PRODAJA!$A:$A,0)),0)</f>
        <v>0</v>
      </c>
      <c r="AA707" s="23" t="n">
        <f aca="false">IFERROR(INDEX(PODACI_PRODAJA!J:J,MATCH($A707,PODACI_PRODAJA!$A:$A,0)),0)</f>
        <v>0</v>
      </c>
      <c r="AB707" s="23" t="n">
        <f aca="false">IFERROR(INDEX(PODACI_PRODAJA!K:K,MATCH($A707,PODACI_PRODAJA!$A:$A,0)),0)</f>
        <v>0</v>
      </c>
      <c r="AC707" s="23" t="n">
        <f aca="false">IFERROR(INDEX(PODACI_PRODAJA!L:L,MATCH($A707,PODACI_PRODAJA!$A:$A,0)),0)</f>
        <v>0</v>
      </c>
      <c r="AD707" s="23" t="n">
        <f aca="false">IFERROR(INDEX(PODACI_PRODAJA!M:M,MATCH($A707,PODACI_PRODAJA!$A:$A,0)),0)</f>
        <v>0</v>
      </c>
    </row>
    <row r="708" customFormat="false" ht="15" hidden="false" customHeight="false" outlineLevel="0" collapsed="false">
      <c r="A708" s="11" t="str">
        <f aca="false">PODACI_ZALIHE!A705</f>
        <v>15261</v>
      </c>
      <c r="B708" s="8" t="str">
        <f aca="false">PODACI_ZALIHE!B705</f>
        <v>TK MEIRA 80 POLUKRUŽNA TUŠ KABINA 80x80x195 cm</v>
      </c>
      <c r="C708" s="9" t="str">
        <f aca="false">PODACI_ZALIHE!C705</f>
        <v>4981</v>
      </c>
      <c r="D708" s="8" t="str">
        <f aca="false">PODACI_ZALIHE!D705</f>
        <v>HANGZHOU SUNLIGHT TRADE CO., LTD.</v>
      </c>
      <c r="E708" s="19" t="n">
        <f aca="false">IF(PODACI_ZALIHE!E705="","",PODACI_ZALIHE!E705)</f>
        <v>0</v>
      </c>
      <c r="F708" s="20" t="n">
        <f aca="false">PODACI_ZALIHE!F705</f>
        <v>0</v>
      </c>
      <c r="G708" s="19" t="n">
        <f aca="false">IF(E708="","",E708-F708)</f>
        <v>0</v>
      </c>
      <c r="H708" s="9" t="n">
        <f aca="false">PODACI_PRODAJA!N184</f>
        <v>2.38</v>
      </c>
      <c r="I708" s="21" t="n">
        <f aca="false">IF(H708&lt;=0,999,ROUND(F708/H708,1))</f>
        <v>0</v>
      </c>
      <c r="J708" s="9" t="n">
        <f aca="false">SUMIFS(ROBA_U_DOLASKU!$C$6:$C$95,ROBA_U_DOLASKU!$A$6:$A$95,A708,ROBA_U_DOLASKU!$H$6:$H$95,1)</f>
        <v>0</v>
      </c>
      <c r="K708" s="9" t="n">
        <f aca="false">SUMIFS(ROBA_U_DOLASKU!$B$6:$B$95,ROBA_U_DOLASKU!$A$6:$A$95,A708,ROBA_U_DOLASKU!$H$6:$H$95,1)</f>
        <v>0</v>
      </c>
      <c r="L708" s="9" t="n">
        <f aca="false">SUMIFS(ROBA_U_DOLASKU!$C$6:$C$95,ROBA_U_DOLASKU!$A$6:$A$95,A708,ROBA_U_DOLASKU!$H$6:$H$95,2)</f>
        <v>0</v>
      </c>
      <c r="M708" s="9" t="n">
        <f aca="false">SUMIFS(ROBA_U_DOLASKU!$B$6:$B$95,ROBA_U_DOLASKU!$A$6:$A$95,A708,ROBA_U_DOLASKU!$H$6:$H$95,2)</f>
        <v>0</v>
      </c>
      <c r="N708" s="9" t="n">
        <f aca="false">SUMIFS(ROBA_U_DOLASKU!$C$6:$C$95,ROBA_U_DOLASKU!$A$6:$A$95,A708,ROBA_U_DOLASKU!$H$6:$H$95,3)</f>
        <v>0</v>
      </c>
      <c r="O708" s="9" t="n">
        <f aca="false">SUMIFS(ROBA_U_DOLASKU!$B$6:$B$95,ROBA_U_DOLASKU!$A$6:$A$95,A708,ROBA_U_DOLASKU!$H$6:$H$95,3)</f>
        <v>0</v>
      </c>
      <c r="P708" s="9" t="n">
        <f aca="false">IF(H708&lt;=0,999,IF(O708&gt;0,ROUND((F708-H708*N708+K708+M708+O708)/H708,1),IF(M708&gt;0,ROUND((F708-H708*L708+K708+M708)/H708,1),IF(K708&gt;0,ROUND((F708-H708*J708+K708)/H708,1),I708))))</f>
        <v>0</v>
      </c>
      <c r="Q708" s="22" t="str">
        <f aca="false">IF(H708&lt;=0,"Nema prodaje",IF(AND(K708=0,M708=0,O708=0),IF(I708&lt;POSTAVKE!$B$6,"Naruči odmah","Sve u redu"),IF(F708-H708*J708&lt;0,"Rupa za ~"&amp;TEXT(I708,"0.0")&amp;" mj.",IF(AND(M708&gt;0,F708-H708*L708+K708&lt;0),"Rupa nakon 1. dolaska",IF(AND(O708&gt;0,F708-H708*N708+K708+M708&lt;0),"Rupa nakon 2. dolaska",IF(P708&lt;POSTAVKE!$B$6,"Količina nije dovoljna",IF(I708&gt;=POSTAVKE!$B$6,"Sve u redu","Stiže na vrijeme")))))))</f>
        <v>Naruči odmah</v>
      </c>
      <c r="S708" s="23" t="n">
        <f aca="false">IFERROR(INDEX(PODACI_PRODAJA!B:B,MATCH($A708,PODACI_PRODAJA!$A:$A,0)),0)</f>
        <v>2</v>
      </c>
      <c r="T708" s="23" t="n">
        <f aca="false">IFERROR(INDEX(PODACI_PRODAJA!C:C,MATCH($A708,PODACI_PRODAJA!$A:$A,0)),0)</f>
        <v>0</v>
      </c>
      <c r="U708" s="23" t="n">
        <f aca="false">IFERROR(INDEX(PODACI_PRODAJA!D:D,MATCH($A708,PODACI_PRODAJA!$A:$A,0)),0)</f>
        <v>0</v>
      </c>
      <c r="V708" s="23" t="n">
        <f aca="false">IFERROR(INDEX(PODACI_PRODAJA!E:E,MATCH($A708,PODACI_PRODAJA!$A:$A,0)),0)</f>
        <v>6</v>
      </c>
      <c r="W708" s="23" t="n">
        <f aca="false">IFERROR(INDEX(PODACI_PRODAJA!F:F,MATCH($A708,PODACI_PRODAJA!$A:$A,0)),0)</f>
        <v>5</v>
      </c>
      <c r="X708" s="23" t="n">
        <f aca="false">IFERROR(INDEX(PODACI_PRODAJA!G:G,MATCH($A708,PODACI_PRODAJA!$A:$A,0)),0)</f>
        <v>4</v>
      </c>
      <c r="Y708" s="23" t="n">
        <f aca="false">IFERROR(INDEX(PODACI_PRODAJA!H:H,MATCH($A708,PODACI_PRODAJA!$A:$A,0)),0)</f>
        <v>2</v>
      </c>
      <c r="Z708" s="23" t="n">
        <f aca="false">IFERROR(INDEX(PODACI_PRODAJA!I:I,MATCH($A708,PODACI_PRODAJA!$A:$A,0)),0)</f>
        <v>0</v>
      </c>
      <c r="AA708" s="23" t="n">
        <f aca="false">IFERROR(INDEX(PODACI_PRODAJA!J:J,MATCH($A708,PODACI_PRODAJA!$A:$A,0)),0)</f>
        <v>0</v>
      </c>
      <c r="AB708" s="23" t="n">
        <f aca="false">IFERROR(INDEX(PODACI_PRODAJA!K:K,MATCH($A708,PODACI_PRODAJA!$A:$A,0)),0)</f>
        <v>0</v>
      </c>
      <c r="AC708" s="23" t="n">
        <f aca="false">IFERROR(INDEX(PODACI_PRODAJA!L:L,MATCH($A708,PODACI_PRODAJA!$A:$A,0)),0)</f>
        <v>0</v>
      </c>
      <c r="AD708" s="23" t="n">
        <f aca="false">IFERROR(INDEX(PODACI_PRODAJA!M:M,MATCH($A708,PODACI_PRODAJA!$A:$A,0)),0)</f>
        <v>0</v>
      </c>
    </row>
    <row r="709" customFormat="false" ht="15" hidden="false" customHeight="false" outlineLevel="0" collapsed="false">
      <c r="A709" s="11" t="str">
        <f aca="false">PODACI_ZALIHE!A706</f>
        <v>15464</v>
      </c>
      <c r="B709" s="8" t="str">
        <f aca="false">PODACI_ZALIHE!B706</f>
        <v>GENOVA BLACK TUŠ SET S TERM. MIJEŠALICOM</v>
      </c>
      <c r="C709" s="9" t="str">
        <f aca="false">PODACI_ZALIHE!C706</f>
        <v>3266</v>
      </c>
      <c r="D709" s="8" t="str">
        <f aca="false">PODACI_ZALIHE!D706</f>
        <v>ZHEJIANG VOGUESHOWER SANITARY WARE CO.,LTD</v>
      </c>
      <c r="E709" s="19" t="n">
        <f aca="false">IF(PODACI_ZALIHE!E706="","",PODACI_ZALIHE!E706)</f>
        <v>0</v>
      </c>
      <c r="F709" s="20" t="n">
        <f aca="false">PODACI_ZALIHE!F706</f>
        <v>0</v>
      </c>
      <c r="G709" s="19" t="n">
        <f aca="false">IF(E709="","",E709-F709)</f>
        <v>0</v>
      </c>
      <c r="H709" s="9" t="n">
        <f aca="false">PODACI_PRODAJA!N74</f>
        <v>1.38</v>
      </c>
      <c r="I709" s="21" t="n">
        <f aca="false">IF(H709&lt;=0,999,ROUND(F709/H709,1))</f>
        <v>0</v>
      </c>
      <c r="J709" s="9" t="n">
        <f aca="false">SUMIFS(ROBA_U_DOLASKU!$C$6:$C$95,ROBA_U_DOLASKU!$A$6:$A$95,A709,ROBA_U_DOLASKU!$H$6:$H$95,1)</f>
        <v>0</v>
      </c>
      <c r="K709" s="9" t="n">
        <f aca="false">SUMIFS(ROBA_U_DOLASKU!$B$6:$B$95,ROBA_U_DOLASKU!$A$6:$A$95,A709,ROBA_U_DOLASKU!$H$6:$H$95,1)</f>
        <v>0</v>
      </c>
      <c r="L709" s="9" t="n">
        <f aca="false">SUMIFS(ROBA_U_DOLASKU!$C$6:$C$95,ROBA_U_DOLASKU!$A$6:$A$95,A709,ROBA_U_DOLASKU!$H$6:$H$95,2)</f>
        <v>0</v>
      </c>
      <c r="M709" s="9" t="n">
        <f aca="false">SUMIFS(ROBA_U_DOLASKU!$B$6:$B$95,ROBA_U_DOLASKU!$A$6:$A$95,A709,ROBA_U_DOLASKU!$H$6:$H$95,2)</f>
        <v>0</v>
      </c>
      <c r="N709" s="9" t="n">
        <f aca="false">SUMIFS(ROBA_U_DOLASKU!$C$6:$C$95,ROBA_U_DOLASKU!$A$6:$A$95,A709,ROBA_U_DOLASKU!$H$6:$H$95,3)</f>
        <v>0</v>
      </c>
      <c r="O709" s="9" t="n">
        <f aca="false">SUMIFS(ROBA_U_DOLASKU!$B$6:$B$95,ROBA_U_DOLASKU!$A$6:$A$95,A709,ROBA_U_DOLASKU!$H$6:$H$95,3)</f>
        <v>0</v>
      </c>
      <c r="P709" s="9" t="n">
        <f aca="false">IF(H709&lt;=0,999,IF(O709&gt;0,ROUND((F709-H709*N709+K709+M709+O709)/H709,1),IF(M709&gt;0,ROUND((F709-H709*L709+K709+M709)/H709,1),IF(K709&gt;0,ROUND((F709-H709*J709+K709)/H709,1),I709))))</f>
        <v>0</v>
      </c>
      <c r="Q709" s="22" t="str">
        <f aca="false">IF(H709&lt;=0,"Nema prodaje",IF(AND(K709=0,M709=0,O709=0),IF(I709&lt;POSTAVKE!$B$6,"Naruči odmah","Sve u redu"),IF(F709-H709*J709&lt;0,"Rupa za ~"&amp;TEXT(I709,"0.0")&amp;" mj.",IF(AND(M709&gt;0,F709-H709*L709+K709&lt;0),"Rupa nakon 1. dolaska",IF(AND(O709&gt;0,F709-H709*N709+K709+M709&lt;0),"Rupa nakon 2. dolaska",IF(P709&lt;POSTAVKE!$B$6,"Količina nije dovoljna",IF(I709&gt;=POSTAVKE!$B$6,"Sve u redu","Stiže na vrijeme")))))))</f>
        <v>Naruči odmah</v>
      </c>
      <c r="S709" s="23" t="n">
        <f aca="false">IFERROR(INDEX(PODACI_PRODAJA!B:B,MATCH($A709,PODACI_PRODAJA!$A:$A,0)),0)</f>
        <v>9</v>
      </c>
      <c r="T709" s="23" t="n">
        <f aca="false">IFERROR(INDEX(PODACI_PRODAJA!C:C,MATCH($A709,PODACI_PRODAJA!$A:$A,0)),0)</f>
        <v>0</v>
      </c>
      <c r="U709" s="23" t="n">
        <f aca="false">IFERROR(INDEX(PODACI_PRODAJA!D:D,MATCH($A709,PODACI_PRODAJA!$A:$A,0)),0)</f>
        <v>2</v>
      </c>
      <c r="V709" s="23" t="n">
        <f aca="false">IFERROR(INDEX(PODACI_PRODAJA!E:E,MATCH($A709,PODACI_PRODAJA!$A:$A,0)),0)</f>
        <v>0</v>
      </c>
      <c r="W709" s="23" t="n">
        <f aca="false">IFERROR(INDEX(PODACI_PRODAJA!F:F,MATCH($A709,PODACI_PRODAJA!$A:$A,0)),0)</f>
        <v>0</v>
      </c>
      <c r="X709" s="23" t="n">
        <f aca="false">IFERROR(INDEX(PODACI_PRODAJA!G:G,MATCH($A709,PODACI_PRODAJA!$A:$A,0)),0)</f>
        <v>0</v>
      </c>
      <c r="Y709" s="23" t="n">
        <f aca="false">IFERROR(INDEX(PODACI_PRODAJA!H:H,MATCH($A709,PODACI_PRODAJA!$A:$A,0)),0)</f>
        <v>0</v>
      </c>
      <c r="Z709" s="23" t="n">
        <f aca="false">IFERROR(INDEX(PODACI_PRODAJA!I:I,MATCH($A709,PODACI_PRODAJA!$A:$A,0)),0)</f>
        <v>0</v>
      </c>
      <c r="AA709" s="23" t="n">
        <f aca="false">IFERROR(INDEX(PODACI_PRODAJA!J:J,MATCH($A709,PODACI_PRODAJA!$A:$A,0)),0)</f>
        <v>0</v>
      </c>
      <c r="AB709" s="23" t="n">
        <f aca="false">IFERROR(INDEX(PODACI_PRODAJA!K:K,MATCH($A709,PODACI_PRODAJA!$A:$A,0)),0)</f>
        <v>0</v>
      </c>
      <c r="AC709" s="23" t="n">
        <f aca="false">IFERROR(INDEX(PODACI_PRODAJA!L:L,MATCH($A709,PODACI_PRODAJA!$A:$A,0)),0)</f>
        <v>0</v>
      </c>
      <c r="AD709" s="23" t="n">
        <f aca="false">IFERROR(INDEX(PODACI_PRODAJA!M:M,MATCH($A709,PODACI_PRODAJA!$A:$A,0)),0)</f>
        <v>0</v>
      </c>
    </row>
    <row r="710" customFormat="false" ht="15" hidden="false" customHeight="false" outlineLevel="0" collapsed="false">
      <c r="A710" s="11" t="str">
        <f aca="false">PODACI_ZALIHE!A707</f>
        <v>15466</v>
      </c>
      <c r="B710" s="8" t="str">
        <f aca="false">PODACI_ZALIHE!B707</f>
        <v>TK FROST 80100 PRAVOKUTNA TUŠ KABINA 80x100x185 cm</v>
      </c>
      <c r="C710" s="9" t="str">
        <f aca="false">PODACI_ZALIHE!C707</f>
        <v>5590</v>
      </c>
      <c r="D710" s="8" t="str">
        <f aca="false">PODACI_ZALIHE!D707</f>
        <v>PINGHU YINUO SANITARY WARE CO.,LTD</v>
      </c>
      <c r="E710" s="19" t="n">
        <f aca="false">IF(PODACI_ZALIHE!E707="","",PODACI_ZALIHE!E707)</f>
        <v>0</v>
      </c>
      <c r="F710" s="20" t="n">
        <f aca="false">PODACI_ZALIHE!F707</f>
        <v>0</v>
      </c>
      <c r="G710" s="19" t="n">
        <f aca="false">IF(E710="","",E710-F710)</f>
        <v>0</v>
      </c>
      <c r="H710" s="9" t="n">
        <f aca="false">PODACI_PRODAJA!N152</f>
        <v>0.75</v>
      </c>
      <c r="I710" s="21" t="n">
        <f aca="false">IF(H710&lt;=0,999,ROUND(F710/H710,1))</f>
        <v>0</v>
      </c>
      <c r="J710" s="9" t="n">
        <f aca="false">SUMIFS(ROBA_U_DOLASKU!$C$6:$C$95,ROBA_U_DOLASKU!$A$6:$A$95,A710,ROBA_U_DOLASKU!$H$6:$H$95,1)</f>
        <v>0</v>
      </c>
      <c r="K710" s="9" t="n">
        <f aca="false">SUMIFS(ROBA_U_DOLASKU!$B$6:$B$95,ROBA_U_DOLASKU!$A$6:$A$95,A710,ROBA_U_DOLASKU!$H$6:$H$95,1)</f>
        <v>0</v>
      </c>
      <c r="L710" s="9" t="n">
        <f aca="false">SUMIFS(ROBA_U_DOLASKU!$C$6:$C$95,ROBA_U_DOLASKU!$A$6:$A$95,A710,ROBA_U_DOLASKU!$H$6:$H$95,2)</f>
        <v>0</v>
      </c>
      <c r="M710" s="9" t="n">
        <f aca="false">SUMIFS(ROBA_U_DOLASKU!$B$6:$B$95,ROBA_U_DOLASKU!$A$6:$A$95,A710,ROBA_U_DOLASKU!$H$6:$H$95,2)</f>
        <v>0</v>
      </c>
      <c r="N710" s="9" t="n">
        <f aca="false">SUMIFS(ROBA_U_DOLASKU!$C$6:$C$95,ROBA_U_DOLASKU!$A$6:$A$95,A710,ROBA_U_DOLASKU!$H$6:$H$95,3)</f>
        <v>0</v>
      </c>
      <c r="O710" s="9" t="n">
        <f aca="false">SUMIFS(ROBA_U_DOLASKU!$B$6:$B$95,ROBA_U_DOLASKU!$A$6:$A$95,A710,ROBA_U_DOLASKU!$H$6:$H$95,3)</f>
        <v>0</v>
      </c>
      <c r="P710" s="9" t="n">
        <f aca="false">IF(H710&lt;=0,999,IF(O710&gt;0,ROUND((F710-H710*N710+K710+M710+O710)/H710,1),IF(M710&gt;0,ROUND((F710-H710*L710+K710+M710)/H710,1),IF(K710&gt;0,ROUND((F710-H710*J710+K710)/H710,1),I710))))</f>
        <v>0</v>
      </c>
      <c r="Q710" s="22" t="str">
        <f aca="false">IF(H710&lt;=0,"Nema prodaje",IF(AND(K710=0,M710=0,O710=0),IF(I710&lt;POSTAVKE!$B$6,"Naruči odmah","Sve u redu"),IF(F710-H710*J710&lt;0,"Rupa za ~"&amp;TEXT(I710,"0.0")&amp;" mj.",IF(AND(M710&gt;0,F710-H710*L710+K710&lt;0),"Rupa nakon 1. dolaska",IF(AND(O710&gt;0,F710-H710*N710+K710+M710&lt;0),"Rupa nakon 2. dolaska",IF(P710&lt;POSTAVKE!$B$6,"Količina nije dovoljna",IF(I710&gt;=POSTAVKE!$B$6,"Sve u redu","Stiže na vrijeme")))))))</f>
        <v>Naruči odmah</v>
      </c>
      <c r="S710" s="23" t="n">
        <f aca="false">IFERROR(INDEX(PODACI_PRODAJA!B:B,MATCH($A710,PODACI_PRODAJA!$A:$A,0)),0)</f>
        <v>3</v>
      </c>
      <c r="T710" s="23" t="n">
        <f aca="false">IFERROR(INDEX(PODACI_PRODAJA!C:C,MATCH($A710,PODACI_PRODAJA!$A:$A,0)),0)</f>
        <v>3</v>
      </c>
      <c r="U710" s="23" t="n">
        <f aca="false">IFERROR(INDEX(PODACI_PRODAJA!D:D,MATCH($A710,PODACI_PRODAJA!$A:$A,0)),0)</f>
        <v>0</v>
      </c>
      <c r="V710" s="23" t="n">
        <f aca="false">IFERROR(INDEX(PODACI_PRODAJA!E:E,MATCH($A710,PODACI_PRODAJA!$A:$A,0)),0)</f>
        <v>0</v>
      </c>
      <c r="W710" s="23" t="n">
        <f aca="false">IFERROR(INDEX(PODACI_PRODAJA!F:F,MATCH($A710,PODACI_PRODAJA!$A:$A,0)),0)</f>
        <v>0</v>
      </c>
      <c r="X710" s="23" t="n">
        <f aca="false">IFERROR(INDEX(PODACI_PRODAJA!G:G,MATCH($A710,PODACI_PRODAJA!$A:$A,0)),0)</f>
        <v>0</v>
      </c>
      <c r="Y710" s="23" t="n">
        <f aca="false">IFERROR(INDEX(PODACI_PRODAJA!H:H,MATCH($A710,PODACI_PRODAJA!$A:$A,0)),0)</f>
        <v>0</v>
      </c>
      <c r="Z710" s="23" t="n">
        <f aca="false">IFERROR(INDEX(PODACI_PRODAJA!I:I,MATCH($A710,PODACI_PRODAJA!$A:$A,0)),0)</f>
        <v>0</v>
      </c>
      <c r="AA710" s="23" t="n">
        <f aca="false">IFERROR(INDEX(PODACI_PRODAJA!J:J,MATCH($A710,PODACI_PRODAJA!$A:$A,0)),0)</f>
        <v>0</v>
      </c>
      <c r="AB710" s="23" t="n">
        <f aca="false">IFERROR(INDEX(PODACI_PRODAJA!K:K,MATCH($A710,PODACI_PRODAJA!$A:$A,0)),0)</f>
        <v>0</v>
      </c>
      <c r="AC710" s="23" t="n">
        <f aca="false">IFERROR(INDEX(PODACI_PRODAJA!L:L,MATCH($A710,PODACI_PRODAJA!$A:$A,0)),0)</f>
        <v>0</v>
      </c>
      <c r="AD710" s="23" t="n">
        <f aca="false">IFERROR(INDEX(PODACI_PRODAJA!M:M,MATCH($A710,PODACI_PRODAJA!$A:$A,0)),0)</f>
        <v>0</v>
      </c>
    </row>
    <row r="711" customFormat="false" ht="15" hidden="false" customHeight="false" outlineLevel="0" collapsed="false">
      <c r="A711" s="11" t="str">
        <f aca="false">PODACI_ZALIHE!A708</f>
        <v>15467</v>
      </c>
      <c r="B711" s="8" t="str">
        <f aca="false">PODACI_ZALIHE!B708</f>
        <v>TK FROST 80120 KVADRATNA TUŠ KABINA 80x120x185 cm</v>
      </c>
      <c r="C711" s="9" t="str">
        <f aca="false">PODACI_ZALIHE!C708</f>
        <v>5590</v>
      </c>
      <c r="D711" s="8" t="str">
        <f aca="false">PODACI_ZALIHE!D708</f>
        <v>PINGHU YINUO SANITARY WARE CO.,LTD</v>
      </c>
      <c r="E711" s="19" t="n">
        <f aca="false">IF(PODACI_ZALIHE!E708="","",PODACI_ZALIHE!E708)</f>
        <v>0</v>
      </c>
      <c r="F711" s="20" t="n">
        <f aca="false">PODACI_ZALIHE!F708</f>
        <v>0</v>
      </c>
      <c r="G711" s="19" t="n">
        <f aca="false">IF(E711="","",E711-F711)</f>
        <v>0</v>
      </c>
      <c r="H711" s="9" t="n">
        <f aca="false">PODACI_PRODAJA!N476</f>
        <v>0</v>
      </c>
      <c r="I711" s="21" t="n">
        <f aca="false">IF(H711&lt;=0,999,ROUND(F711/H711,1))</f>
        <v>999</v>
      </c>
      <c r="J711" s="9" t="n">
        <f aca="false">SUMIFS(ROBA_U_DOLASKU!$C$6:$C$95,ROBA_U_DOLASKU!$A$6:$A$95,A711,ROBA_U_DOLASKU!$H$6:$H$95,1)</f>
        <v>0</v>
      </c>
      <c r="K711" s="9" t="n">
        <f aca="false">SUMIFS(ROBA_U_DOLASKU!$B$6:$B$95,ROBA_U_DOLASKU!$A$6:$A$95,A711,ROBA_U_DOLASKU!$H$6:$H$95,1)</f>
        <v>0</v>
      </c>
      <c r="L711" s="9" t="n">
        <f aca="false">SUMIFS(ROBA_U_DOLASKU!$C$6:$C$95,ROBA_U_DOLASKU!$A$6:$A$95,A711,ROBA_U_DOLASKU!$H$6:$H$95,2)</f>
        <v>0</v>
      </c>
      <c r="M711" s="9" t="n">
        <f aca="false">SUMIFS(ROBA_U_DOLASKU!$B$6:$B$95,ROBA_U_DOLASKU!$A$6:$A$95,A711,ROBA_U_DOLASKU!$H$6:$H$95,2)</f>
        <v>0</v>
      </c>
      <c r="N711" s="9" t="n">
        <f aca="false">SUMIFS(ROBA_U_DOLASKU!$C$6:$C$95,ROBA_U_DOLASKU!$A$6:$A$95,A711,ROBA_U_DOLASKU!$H$6:$H$95,3)</f>
        <v>0</v>
      </c>
      <c r="O711" s="9" t="n">
        <f aca="false">SUMIFS(ROBA_U_DOLASKU!$B$6:$B$95,ROBA_U_DOLASKU!$A$6:$A$95,A711,ROBA_U_DOLASKU!$H$6:$H$95,3)</f>
        <v>0</v>
      </c>
      <c r="P711" s="9" t="n">
        <f aca="false">IF(H711&lt;=0,999,IF(O711&gt;0,ROUND((F711-H711*N711+K711+M711+O711)/H711,1),IF(M711&gt;0,ROUND((F711-H711*L711+K711+M711)/H711,1),IF(K711&gt;0,ROUND((F711-H711*J711+K711)/H711,1),I711))))</f>
        <v>999</v>
      </c>
      <c r="Q711" s="22" t="str">
        <f aca="false">IF(H711&lt;=0,"Nema prodaje",IF(AND(K711=0,M711=0,O711=0),IF(I711&lt;POSTAVKE!$B$6,"Naruči odmah","Sve u redu"),IF(F711-H711*J711&lt;0,"Rupa za ~"&amp;TEXT(I711,"0.0")&amp;" mj.",IF(AND(M711&gt;0,F711-H711*L711+K711&lt;0),"Rupa nakon 1. dolaska",IF(AND(O711&gt;0,F711-H711*N711+K711+M711&lt;0),"Rupa nakon 2. dolaska",IF(P711&lt;POSTAVKE!$B$6,"Količina nije dovoljna",IF(I711&gt;=POSTAVKE!$B$6,"Sve u redu","Stiže na vrijeme")))))))</f>
        <v>Nema prodaje</v>
      </c>
      <c r="S711" s="23" t="n">
        <f aca="false">IFERROR(INDEX(PODACI_PRODAJA!B:B,MATCH($A711,PODACI_PRODAJA!$A:$A,0)),0)</f>
        <v>0</v>
      </c>
      <c r="T711" s="23" t="n">
        <f aca="false">IFERROR(INDEX(PODACI_PRODAJA!C:C,MATCH($A711,PODACI_PRODAJA!$A:$A,0)),0)</f>
        <v>0</v>
      </c>
      <c r="U711" s="23" t="n">
        <f aca="false">IFERROR(INDEX(PODACI_PRODAJA!D:D,MATCH($A711,PODACI_PRODAJA!$A:$A,0)),0)</f>
        <v>0</v>
      </c>
      <c r="V711" s="23" t="n">
        <f aca="false">IFERROR(INDEX(PODACI_PRODAJA!E:E,MATCH($A711,PODACI_PRODAJA!$A:$A,0)),0)</f>
        <v>0</v>
      </c>
      <c r="W711" s="23" t="n">
        <f aca="false">IFERROR(INDEX(PODACI_PRODAJA!F:F,MATCH($A711,PODACI_PRODAJA!$A:$A,0)),0)</f>
        <v>0</v>
      </c>
      <c r="X711" s="23" t="n">
        <f aca="false">IFERROR(INDEX(PODACI_PRODAJA!G:G,MATCH($A711,PODACI_PRODAJA!$A:$A,0)),0)</f>
        <v>0</v>
      </c>
      <c r="Y711" s="23" t="n">
        <f aca="false">IFERROR(INDEX(PODACI_PRODAJA!H:H,MATCH($A711,PODACI_PRODAJA!$A:$A,0)),0)</f>
        <v>0</v>
      </c>
      <c r="Z711" s="23" t="n">
        <f aca="false">IFERROR(INDEX(PODACI_PRODAJA!I:I,MATCH($A711,PODACI_PRODAJA!$A:$A,0)),0)</f>
        <v>0</v>
      </c>
      <c r="AA711" s="23" t="n">
        <f aca="false">IFERROR(INDEX(PODACI_PRODAJA!J:J,MATCH($A711,PODACI_PRODAJA!$A:$A,0)),0)</f>
        <v>0</v>
      </c>
      <c r="AB711" s="23" t="n">
        <f aca="false">IFERROR(INDEX(PODACI_PRODAJA!K:K,MATCH($A711,PODACI_PRODAJA!$A:$A,0)),0)</f>
        <v>0</v>
      </c>
      <c r="AC711" s="23" t="n">
        <f aca="false">IFERROR(INDEX(PODACI_PRODAJA!L:L,MATCH($A711,PODACI_PRODAJA!$A:$A,0)),0)</f>
        <v>0</v>
      </c>
      <c r="AD711" s="23" t="n">
        <f aca="false">IFERROR(INDEX(PODACI_PRODAJA!M:M,MATCH($A711,PODACI_PRODAJA!$A:$A,0)),0)</f>
        <v>0</v>
      </c>
    </row>
    <row r="712" customFormat="false" ht="15" hidden="false" customHeight="false" outlineLevel="0" collapsed="false">
      <c r="A712" s="11" t="str">
        <f aca="false">PODACI_ZALIHE!A709</f>
        <v>155090</v>
      </c>
      <c r="B712" s="8" t="str">
        <f aca="false">PODACI_ZALIHE!B709</f>
        <v>BOLD BIJELA 80 KV MINERALSOLID TUŠ KADA 800x800x30 mm</v>
      </c>
      <c r="C712" s="9" t="str">
        <f aca="false">PODACI_ZALIHE!C709</f>
        <v>5517</v>
      </c>
      <c r="D712" s="8" t="str">
        <f aca="false">PODACI_ZALIHE!D709</f>
        <v>NICOS INTERNATIONAL S.P.A.</v>
      </c>
      <c r="E712" s="19" t="n">
        <f aca="false">IF(PODACI_ZALIHE!E709="","",PODACI_ZALIHE!E709)</f>
        <v>0</v>
      </c>
      <c r="F712" s="20" t="n">
        <f aca="false">PODACI_ZALIHE!F709</f>
        <v>0</v>
      </c>
      <c r="G712" s="19" t="n">
        <f aca="false">IF(E712="","",E712-F712)</f>
        <v>0</v>
      </c>
      <c r="H712" s="9" t="n">
        <f aca="false">PODACI_PRODAJA!N129</f>
        <v>2.13</v>
      </c>
      <c r="I712" s="21" t="n">
        <f aca="false">IF(H712&lt;=0,999,ROUND(F712/H712,1))</f>
        <v>0</v>
      </c>
      <c r="J712" s="9" t="n">
        <f aca="false">SUMIFS(ROBA_U_DOLASKU!$C$6:$C$95,ROBA_U_DOLASKU!$A$6:$A$95,A712,ROBA_U_DOLASKU!$H$6:$H$95,1)</f>
        <v>0</v>
      </c>
      <c r="K712" s="9" t="n">
        <f aca="false">SUMIFS(ROBA_U_DOLASKU!$B$6:$B$95,ROBA_U_DOLASKU!$A$6:$A$95,A712,ROBA_U_DOLASKU!$H$6:$H$95,1)</f>
        <v>0</v>
      </c>
      <c r="L712" s="9" t="n">
        <f aca="false">SUMIFS(ROBA_U_DOLASKU!$C$6:$C$95,ROBA_U_DOLASKU!$A$6:$A$95,A712,ROBA_U_DOLASKU!$H$6:$H$95,2)</f>
        <v>0</v>
      </c>
      <c r="M712" s="9" t="n">
        <f aca="false">SUMIFS(ROBA_U_DOLASKU!$B$6:$B$95,ROBA_U_DOLASKU!$A$6:$A$95,A712,ROBA_U_DOLASKU!$H$6:$H$95,2)</f>
        <v>0</v>
      </c>
      <c r="N712" s="9" t="n">
        <f aca="false">SUMIFS(ROBA_U_DOLASKU!$C$6:$C$95,ROBA_U_DOLASKU!$A$6:$A$95,A712,ROBA_U_DOLASKU!$H$6:$H$95,3)</f>
        <v>0</v>
      </c>
      <c r="O712" s="9" t="n">
        <f aca="false">SUMIFS(ROBA_U_DOLASKU!$B$6:$B$95,ROBA_U_DOLASKU!$A$6:$A$95,A712,ROBA_U_DOLASKU!$H$6:$H$95,3)</f>
        <v>0</v>
      </c>
      <c r="P712" s="9" t="n">
        <f aca="false">IF(H712&lt;=0,999,IF(O712&gt;0,ROUND((F712-H712*N712+K712+M712+O712)/H712,1),IF(M712&gt;0,ROUND((F712-H712*L712+K712+M712)/H712,1),IF(K712&gt;0,ROUND((F712-H712*J712+K712)/H712,1),I712))))</f>
        <v>0</v>
      </c>
      <c r="Q712" s="22" t="str">
        <f aca="false">IF(H712&lt;=0,"Nema prodaje",IF(AND(K712=0,M712=0,O712=0),IF(I712&lt;POSTAVKE!$B$6,"Naruči odmah","Sve u redu"),IF(F712-H712*J712&lt;0,"Rupa za ~"&amp;TEXT(I712,"0.0")&amp;" mj.",IF(AND(M712&gt;0,F712-H712*L712+K712&lt;0),"Rupa nakon 1. dolaska",IF(AND(O712&gt;0,F712-H712*N712+K712+M712&lt;0),"Rupa nakon 2. dolaska",IF(P712&lt;POSTAVKE!$B$6,"Količina nije dovoljna",IF(I712&gt;=POSTAVKE!$B$6,"Sve u redu","Stiže na vrijeme")))))))</f>
        <v>Naruči odmah</v>
      </c>
      <c r="S712" s="23" t="n">
        <f aca="false">IFERROR(INDEX(PODACI_PRODAJA!B:B,MATCH($A712,PODACI_PRODAJA!$A:$A,0)),0)</f>
        <v>4</v>
      </c>
      <c r="T712" s="23" t="n">
        <f aca="false">IFERROR(INDEX(PODACI_PRODAJA!C:C,MATCH($A712,PODACI_PRODAJA!$A:$A,0)),0)</f>
        <v>5</v>
      </c>
      <c r="U712" s="23" t="n">
        <f aca="false">IFERROR(INDEX(PODACI_PRODAJA!D:D,MATCH($A712,PODACI_PRODAJA!$A:$A,0)),0)</f>
        <v>-1</v>
      </c>
      <c r="V712" s="23" t="n">
        <f aca="false">IFERROR(INDEX(PODACI_PRODAJA!E:E,MATCH($A712,PODACI_PRODAJA!$A:$A,0)),0)</f>
        <v>0</v>
      </c>
      <c r="W712" s="23" t="n">
        <f aca="false">IFERROR(INDEX(PODACI_PRODAJA!F:F,MATCH($A712,PODACI_PRODAJA!$A:$A,0)),0)</f>
        <v>8</v>
      </c>
      <c r="X712" s="23" t="n">
        <f aca="false">IFERROR(INDEX(PODACI_PRODAJA!G:G,MATCH($A712,PODACI_PRODAJA!$A:$A,0)),0)</f>
        <v>1</v>
      </c>
      <c r="Y712" s="23" t="n">
        <f aca="false">IFERROR(INDEX(PODACI_PRODAJA!H:H,MATCH($A712,PODACI_PRODAJA!$A:$A,0)),0)</f>
        <v>0</v>
      </c>
      <c r="Z712" s="23" t="n">
        <f aca="false">IFERROR(INDEX(PODACI_PRODAJA!I:I,MATCH($A712,PODACI_PRODAJA!$A:$A,0)),0)</f>
        <v>0</v>
      </c>
      <c r="AA712" s="23" t="n">
        <f aca="false">IFERROR(INDEX(PODACI_PRODAJA!J:J,MATCH($A712,PODACI_PRODAJA!$A:$A,0)),0)</f>
        <v>0</v>
      </c>
      <c r="AB712" s="23" t="n">
        <f aca="false">IFERROR(INDEX(PODACI_PRODAJA!K:K,MATCH($A712,PODACI_PRODAJA!$A:$A,0)),0)</f>
        <v>0</v>
      </c>
      <c r="AC712" s="23" t="n">
        <f aca="false">IFERROR(INDEX(PODACI_PRODAJA!L:L,MATCH($A712,PODACI_PRODAJA!$A:$A,0)),0)</f>
        <v>0</v>
      </c>
      <c r="AD712" s="23" t="n">
        <f aca="false">IFERROR(INDEX(PODACI_PRODAJA!M:M,MATCH($A712,PODACI_PRODAJA!$A:$A,0)),0)</f>
        <v>0</v>
      </c>
    </row>
    <row r="713" customFormat="false" ht="15" hidden="false" customHeight="false" outlineLevel="0" collapsed="false">
      <c r="A713" s="11" t="str">
        <f aca="false">PODACI_ZALIHE!A710</f>
        <v>155100</v>
      </c>
      <c r="B713" s="8" t="str">
        <f aca="false">PODACI_ZALIHE!B710</f>
        <v>BOLD BIJELA 8090 MINERALSOLID TUŠ KADA 800x900x30 mm</v>
      </c>
      <c r="C713" s="9" t="str">
        <f aca="false">PODACI_ZALIHE!C710</f>
        <v>5517</v>
      </c>
      <c r="D713" s="8" t="str">
        <f aca="false">PODACI_ZALIHE!D710</f>
        <v>NICOS INTERNATIONAL S.P.A.</v>
      </c>
      <c r="E713" s="19" t="n">
        <f aca="false">IF(PODACI_ZALIHE!E710="","",PODACI_ZALIHE!E710)</f>
        <v>0</v>
      </c>
      <c r="F713" s="20" t="n">
        <f aca="false">PODACI_ZALIHE!F710</f>
        <v>0</v>
      </c>
      <c r="G713" s="19" t="n">
        <f aca="false">IF(E713="","",E713-F713)</f>
        <v>0</v>
      </c>
      <c r="H713" s="9" t="n">
        <f aca="false">PODACI_PRODAJA!N237</f>
        <v>3.38</v>
      </c>
      <c r="I713" s="21" t="n">
        <f aca="false">IF(H713&lt;=0,999,ROUND(F713/H713,1))</f>
        <v>0</v>
      </c>
      <c r="J713" s="9" t="n">
        <f aca="false">SUMIFS(ROBA_U_DOLASKU!$C$6:$C$95,ROBA_U_DOLASKU!$A$6:$A$95,A713,ROBA_U_DOLASKU!$H$6:$H$95,1)</f>
        <v>0</v>
      </c>
      <c r="K713" s="9" t="n">
        <f aca="false">SUMIFS(ROBA_U_DOLASKU!$B$6:$B$95,ROBA_U_DOLASKU!$A$6:$A$95,A713,ROBA_U_DOLASKU!$H$6:$H$95,1)</f>
        <v>0</v>
      </c>
      <c r="L713" s="9" t="n">
        <f aca="false">SUMIFS(ROBA_U_DOLASKU!$C$6:$C$95,ROBA_U_DOLASKU!$A$6:$A$95,A713,ROBA_U_DOLASKU!$H$6:$H$95,2)</f>
        <v>0</v>
      </c>
      <c r="M713" s="9" t="n">
        <f aca="false">SUMIFS(ROBA_U_DOLASKU!$B$6:$B$95,ROBA_U_DOLASKU!$A$6:$A$95,A713,ROBA_U_DOLASKU!$H$6:$H$95,2)</f>
        <v>0</v>
      </c>
      <c r="N713" s="9" t="n">
        <f aca="false">SUMIFS(ROBA_U_DOLASKU!$C$6:$C$95,ROBA_U_DOLASKU!$A$6:$A$95,A713,ROBA_U_DOLASKU!$H$6:$H$95,3)</f>
        <v>0</v>
      </c>
      <c r="O713" s="9" t="n">
        <f aca="false">SUMIFS(ROBA_U_DOLASKU!$B$6:$B$95,ROBA_U_DOLASKU!$A$6:$A$95,A713,ROBA_U_DOLASKU!$H$6:$H$95,3)</f>
        <v>0</v>
      </c>
      <c r="P713" s="9" t="n">
        <f aca="false">IF(H713&lt;=0,999,IF(O713&gt;0,ROUND((F713-H713*N713+K713+M713+O713)/H713,1),IF(M713&gt;0,ROUND((F713-H713*L713+K713+M713)/H713,1),IF(K713&gt;0,ROUND((F713-H713*J713+K713)/H713,1),I713))))</f>
        <v>0</v>
      </c>
      <c r="Q713" s="22" t="str">
        <f aca="false">IF(H713&lt;=0,"Nema prodaje",IF(AND(K713=0,M713=0,O713=0),IF(I713&lt;POSTAVKE!$B$6,"Naruči odmah","Sve u redu"),IF(F713-H713*J713&lt;0,"Rupa za ~"&amp;TEXT(I713,"0.0")&amp;" mj.",IF(AND(M713&gt;0,F713-H713*L713+K713&lt;0),"Rupa nakon 1. dolaska",IF(AND(O713&gt;0,F713-H713*N713+K713+M713&lt;0),"Rupa nakon 2. dolaska",IF(P713&lt;POSTAVKE!$B$6,"Količina nije dovoljna",IF(I713&gt;=POSTAVKE!$B$6,"Sve u redu","Stiže na vrijeme")))))))</f>
        <v>Naruči odmah</v>
      </c>
      <c r="S713" s="23" t="n">
        <f aca="false">IFERROR(INDEX(PODACI_PRODAJA!B:B,MATCH($A713,PODACI_PRODAJA!$A:$A,0)),0)</f>
        <v>1</v>
      </c>
      <c r="T713" s="23" t="n">
        <f aca="false">IFERROR(INDEX(PODACI_PRODAJA!C:C,MATCH($A713,PODACI_PRODAJA!$A:$A,0)),0)</f>
        <v>7</v>
      </c>
      <c r="U713" s="23" t="n">
        <f aca="false">IFERROR(INDEX(PODACI_PRODAJA!D:D,MATCH($A713,PODACI_PRODAJA!$A:$A,0)),0)</f>
        <v>6</v>
      </c>
      <c r="V713" s="23" t="n">
        <f aca="false">IFERROR(INDEX(PODACI_PRODAJA!E:E,MATCH($A713,PODACI_PRODAJA!$A:$A,0)),0)</f>
        <v>8</v>
      </c>
      <c r="W713" s="23" t="n">
        <f aca="false">IFERROR(INDEX(PODACI_PRODAJA!F:F,MATCH($A713,PODACI_PRODAJA!$A:$A,0)),0)</f>
        <v>0</v>
      </c>
      <c r="X713" s="23" t="n">
        <f aca="false">IFERROR(INDEX(PODACI_PRODAJA!G:G,MATCH($A713,PODACI_PRODAJA!$A:$A,0)),0)</f>
        <v>5</v>
      </c>
      <c r="Y713" s="23" t="n">
        <f aca="false">IFERROR(INDEX(PODACI_PRODAJA!H:H,MATCH($A713,PODACI_PRODAJA!$A:$A,0)),0)</f>
        <v>0</v>
      </c>
      <c r="Z713" s="23" t="n">
        <f aca="false">IFERROR(INDEX(PODACI_PRODAJA!I:I,MATCH($A713,PODACI_PRODAJA!$A:$A,0)),0)</f>
        <v>0</v>
      </c>
      <c r="AA713" s="23" t="n">
        <f aca="false">IFERROR(INDEX(PODACI_PRODAJA!J:J,MATCH($A713,PODACI_PRODAJA!$A:$A,0)),0)</f>
        <v>0</v>
      </c>
      <c r="AB713" s="23" t="n">
        <f aca="false">IFERROR(INDEX(PODACI_PRODAJA!K:K,MATCH($A713,PODACI_PRODAJA!$A:$A,0)),0)</f>
        <v>0</v>
      </c>
      <c r="AC713" s="23" t="n">
        <f aca="false">IFERROR(INDEX(PODACI_PRODAJA!L:L,MATCH($A713,PODACI_PRODAJA!$A:$A,0)),0)</f>
        <v>0</v>
      </c>
      <c r="AD713" s="23" t="n">
        <f aca="false">IFERROR(INDEX(PODACI_PRODAJA!M:M,MATCH($A713,PODACI_PRODAJA!$A:$A,0)),0)</f>
        <v>0</v>
      </c>
    </row>
    <row r="714" customFormat="false" ht="15" hidden="false" customHeight="false" outlineLevel="0" collapsed="false">
      <c r="A714" s="11" t="str">
        <f aca="false">PODACI_ZALIHE!A711</f>
        <v>155110</v>
      </c>
      <c r="B714" s="8" t="str">
        <f aca="false">PODACI_ZALIHE!B711</f>
        <v>BOLD BIJELA 80100 MINERALSOLID TUŠ KADA 800x1000x30 mm</v>
      </c>
      <c r="C714" s="9" t="str">
        <f aca="false">PODACI_ZALIHE!C711</f>
        <v>5517</v>
      </c>
      <c r="D714" s="8" t="str">
        <f aca="false">PODACI_ZALIHE!D711</f>
        <v>NICOS INTERNATIONAL S.P.A.</v>
      </c>
      <c r="E714" s="19" t="n">
        <f aca="false">IF(PODACI_ZALIHE!E711="","",PODACI_ZALIHE!E711)</f>
        <v>0</v>
      </c>
      <c r="F714" s="20" t="n">
        <f aca="false">PODACI_ZALIHE!F711</f>
        <v>0</v>
      </c>
      <c r="G714" s="19" t="n">
        <f aca="false">IF(E714="","",E714-F714)</f>
        <v>0</v>
      </c>
      <c r="H714" s="9" t="n">
        <f aca="false">PODACI_PRODAJA!N478</f>
        <v>1.63</v>
      </c>
      <c r="I714" s="21" t="n">
        <f aca="false">IF(H714&lt;=0,999,ROUND(F714/H714,1))</f>
        <v>0</v>
      </c>
      <c r="J714" s="9" t="n">
        <f aca="false">SUMIFS(ROBA_U_DOLASKU!$C$6:$C$95,ROBA_U_DOLASKU!$A$6:$A$95,A714,ROBA_U_DOLASKU!$H$6:$H$95,1)</f>
        <v>0</v>
      </c>
      <c r="K714" s="9" t="n">
        <f aca="false">SUMIFS(ROBA_U_DOLASKU!$B$6:$B$95,ROBA_U_DOLASKU!$A$6:$A$95,A714,ROBA_U_DOLASKU!$H$6:$H$95,1)</f>
        <v>0</v>
      </c>
      <c r="L714" s="9" t="n">
        <f aca="false">SUMIFS(ROBA_U_DOLASKU!$C$6:$C$95,ROBA_U_DOLASKU!$A$6:$A$95,A714,ROBA_U_DOLASKU!$H$6:$H$95,2)</f>
        <v>0</v>
      </c>
      <c r="M714" s="9" t="n">
        <f aca="false">SUMIFS(ROBA_U_DOLASKU!$B$6:$B$95,ROBA_U_DOLASKU!$A$6:$A$95,A714,ROBA_U_DOLASKU!$H$6:$H$95,2)</f>
        <v>0</v>
      </c>
      <c r="N714" s="9" t="n">
        <f aca="false">SUMIFS(ROBA_U_DOLASKU!$C$6:$C$95,ROBA_U_DOLASKU!$A$6:$A$95,A714,ROBA_U_DOLASKU!$H$6:$H$95,3)</f>
        <v>0</v>
      </c>
      <c r="O714" s="9" t="n">
        <f aca="false">SUMIFS(ROBA_U_DOLASKU!$B$6:$B$95,ROBA_U_DOLASKU!$A$6:$A$95,A714,ROBA_U_DOLASKU!$H$6:$H$95,3)</f>
        <v>0</v>
      </c>
      <c r="P714" s="9" t="n">
        <f aca="false">IF(H714&lt;=0,999,IF(O714&gt;0,ROUND((F714-H714*N714+K714+M714+O714)/H714,1),IF(M714&gt;0,ROUND((F714-H714*L714+K714+M714)/H714,1),IF(K714&gt;0,ROUND((F714-H714*J714+K714)/H714,1),I714))))</f>
        <v>0</v>
      </c>
      <c r="Q714" s="22" t="str">
        <f aca="false">IF(H714&lt;=0,"Nema prodaje",IF(AND(K714=0,M714=0,O714=0),IF(I714&lt;POSTAVKE!$B$6,"Naruči odmah","Sve u redu"),IF(F714-H714*J714&lt;0,"Rupa za ~"&amp;TEXT(I714,"0.0")&amp;" mj.",IF(AND(M714&gt;0,F714-H714*L714+K714&lt;0),"Rupa nakon 1. dolaska",IF(AND(O714&gt;0,F714-H714*N714+K714+M714&lt;0),"Rupa nakon 2. dolaska",IF(P714&lt;POSTAVKE!$B$6,"Količina nije dovoljna",IF(I714&gt;=POSTAVKE!$B$6,"Sve u redu","Stiže na vrijeme")))))))</f>
        <v>Naruči odmah</v>
      </c>
      <c r="S714" s="23" t="n">
        <f aca="false">IFERROR(INDEX(PODACI_PRODAJA!B:B,MATCH($A714,PODACI_PRODAJA!$A:$A,0)),0)</f>
        <v>0</v>
      </c>
      <c r="T714" s="23" t="n">
        <f aca="false">IFERROR(INDEX(PODACI_PRODAJA!C:C,MATCH($A714,PODACI_PRODAJA!$A:$A,0)),0)</f>
        <v>0</v>
      </c>
      <c r="U714" s="23" t="n">
        <f aca="false">IFERROR(INDEX(PODACI_PRODAJA!D:D,MATCH($A714,PODACI_PRODAJA!$A:$A,0)),0)</f>
        <v>4</v>
      </c>
      <c r="V714" s="23" t="n">
        <f aca="false">IFERROR(INDEX(PODACI_PRODAJA!E:E,MATCH($A714,PODACI_PRODAJA!$A:$A,0)),0)</f>
        <v>2</v>
      </c>
      <c r="W714" s="23" t="n">
        <f aca="false">IFERROR(INDEX(PODACI_PRODAJA!F:F,MATCH($A714,PODACI_PRODAJA!$A:$A,0)),0)</f>
        <v>0</v>
      </c>
      <c r="X714" s="23" t="n">
        <f aca="false">IFERROR(INDEX(PODACI_PRODAJA!G:G,MATCH($A714,PODACI_PRODAJA!$A:$A,0)),0)</f>
        <v>4</v>
      </c>
      <c r="Y714" s="23" t="n">
        <f aca="false">IFERROR(INDEX(PODACI_PRODAJA!H:H,MATCH($A714,PODACI_PRODAJA!$A:$A,0)),0)</f>
        <v>3</v>
      </c>
      <c r="Z714" s="23" t="n">
        <f aca="false">IFERROR(INDEX(PODACI_PRODAJA!I:I,MATCH($A714,PODACI_PRODAJA!$A:$A,0)),0)</f>
        <v>0</v>
      </c>
      <c r="AA714" s="23" t="n">
        <f aca="false">IFERROR(INDEX(PODACI_PRODAJA!J:J,MATCH($A714,PODACI_PRODAJA!$A:$A,0)),0)</f>
        <v>0</v>
      </c>
      <c r="AB714" s="23" t="n">
        <f aca="false">IFERROR(INDEX(PODACI_PRODAJA!K:K,MATCH($A714,PODACI_PRODAJA!$A:$A,0)),0)</f>
        <v>0</v>
      </c>
      <c r="AC714" s="23" t="n">
        <f aca="false">IFERROR(INDEX(PODACI_PRODAJA!L:L,MATCH($A714,PODACI_PRODAJA!$A:$A,0)),0)</f>
        <v>0</v>
      </c>
      <c r="AD714" s="23" t="n">
        <f aca="false">IFERROR(INDEX(PODACI_PRODAJA!M:M,MATCH($A714,PODACI_PRODAJA!$A:$A,0)),0)</f>
        <v>0</v>
      </c>
    </row>
    <row r="715" customFormat="false" ht="15" hidden="false" customHeight="false" outlineLevel="0" collapsed="false">
      <c r="A715" s="11" t="str">
        <f aca="false">PODACI_ZALIHE!A712</f>
        <v>155190</v>
      </c>
      <c r="B715" s="8" t="str">
        <f aca="false">PODACI_ZALIHE!B712</f>
        <v>BOLD BIJELA 90 KV MINERALSOLID TUŠ KADA 900x900x30 mm</v>
      </c>
      <c r="C715" s="9" t="str">
        <f aca="false">PODACI_ZALIHE!C712</f>
        <v>5517</v>
      </c>
      <c r="D715" s="8" t="str">
        <f aca="false">PODACI_ZALIHE!D712</f>
        <v>NICOS INTERNATIONAL S.P.A.</v>
      </c>
      <c r="E715" s="19" t="n">
        <f aca="false">IF(PODACI_ZALIHE!E712="","",PODACI_ZALIHE!E712)</f>
        <v>0</v>
      </c>
      <c r="F715" s="20" t="n">
        <f aca="false">PODACI_ZALIHE!F712</f>
        <v>0</v>
      </c>
      <c r="G715" s="19" t="n">
        <f aca="false">IF(E715="","",E715-F715)</f>
        <v>0</v>
      </c>
      <c r="H715" s="9" t="n">
        <f aca="false">PODACI_PRODAJA!N484</f>
        <v>6.38</v>
      </c>
      <c r="I715" s="21" t="n">
        <f aca="false">IF(H715&lt;=0,999,ROUND(F715/H715,1))</f>
        <v>0</v>
      </c>
      <c r="J715" s="9" t="n">
        <f aca="false">SUMIFS(ROBA_U_DOLASKU!$C$6:$C$95,ROBA_U_DOLASKU!$A$6:$A$95,A715,ROBA_U_DOLASKU!$H$6:$H$95,1)</f>
        <v>0</v>
      </c>
      <c r="K715" s="9" t="n">
        <f aca="false">SUMIFS(ROBA_U_DOLASKU!$B$6:$B$95,ROBA_U_DOLASKU!$A$6:$A$95,A715,ROBA_U_DOLASKU!$H$6:$H$95,1)</f>
        <v>0</v>
      </c>
      <c r="L715" s="9" t="n">
        <f aca="false">SUMIFS(ROBA_U_DOLASKU!$C$6:$C$95,ROBA_U_DOLASKU!$A$6:$A$95,A715,ROBA_U_DOLASKU!$H$6:$H$95,2)</f>
        <v>0</v>
      </c>
      <c r="M715" s="9" t="n">
        <f aca="false">SUMIFS(ROBA_U_DOLASKU!$B$6:$B$95,ROBA_U_DOLASKU!$A$6:$A$95,A715,ROBA_U_DOLASKU!$H$6:$H$95,2)</f>
        <v>0</v>
      </c>
      <c r="N715" s="9" t="n">
        <f aca="false">SUMIFS(ROBA_U_DOLASKU!$C$6:$C$95,ROBA_U_DOLASKU!$A$6:$A$95,A715,ROBA_U_DOLASKU!$H$6:$H$95,3)</f>
        <v>0</v>
      </c>
      <c r="O715" s="9" t="n">
        <f aca="false">SUMIFS(ROBA_U_DOLASKU!$B$6:$B$95,ROBA_U_DOLASKU!$A$6:$A$95,A715,ROBA_U_DOLASKU!$H$6:$H$95,3)</f>
        <v>0</v>
      </c>
      <c r="P715" s="9" t="n">
        <f aca="false">IF(H715&lt;=0,999,IF(O715&gt;0,ROUND((F715-H715*N715+K715+M715+O715)/H715,1),IF(M715&gt;0,ROUND((F715-H715*L715+K715+M715)/H715,1),IF(K715&gt;0,ROUND((F715-H715*J715+K715)/H715,1),I715))))</f>
        <v>0</v>
      </c>
      <c r="Q715" s="22" t="str">
        <f aca="false">IF(H715&lt;=0,"Nema prodaje",IF(AND(K715=0,M715=0,O715=0),IF(I715&lt;POSTAVKE!$B$6,"Naruči odmah","Sve u redu"),IF(F715-H715*J715&lt;0,"Rupa za ~"&amp;TEXT(I715,"0.0")&amp;" mj.",IF(AND(M715&gt;0,F715-H715*L715+K715&lt;0),"Rupa nakon 1. dolaska",IF(AND(O715&gt;0,F715-H715*N715+K715+M715&lt;0),"Rupa nakon 2. dolaska",IF(P715&lt;POSTAVKE!$B$6,"Količina nije dovoljna",IF(I715&gt;=POSTAVKE!$B$6,"Sve u redu","Stiže na vrijeme")))))))</f>
        <v>Naruči odmah</v>
      </c>
      <c r="S715" s="23" t="n">
        <f aca="false">IFERROR(INDEX(PODACI_PRODAJA!B:B,MATCH($A715,PODACI_PRODAJA!$A:$A,0)),0)</f>
        <v>0</v>
      </c>
      <c r="T715" s="23" t="n">
        <f aca="false">IFERROR(INDEX(PODACI_PRODAJA!C:C,MATCH($A715,PODACI_PRODAJA!$A:$A,0)),0)</f>
        <v>8</v>
      </c>
      <c r="U715" s="23" t="n">
        <f aca="false">IFERROR(INDEX(PODACI_PRODAJA!D:D,MATCH($A715,PODACI_PRODAJA!$A:$A,0)),0)</f>
        <v>16</v>
      </c>
      <c r="V715" s="23" t="n">
        <f aca="false">IFERROR(INDEX(PODACI_PRODAJA!E:E,MATCH($A715,PODACI_PRODAJA!$A:$A,0)),0)</f>
        <v>6</v>
      </c>
      <c r="W715" s="23" t="n">
        <f aca="false">IFERROR(INDEX(PODACI_PRODAJA!F:F,MATCH($A715,PODACI_PRODAJA!$A:$A,0)),0)</f>
        <v>12</v>
      </c>
      <c r="X715" s="23" t="n">
        <f aca="false">IFERROR(INDEX(PODACI_PRODAJA!G:G,MATCH($A715,PODACI_PRODAJA!$A:$A,0)),0)</f>
        <v>8</v>
      </c>
      <c r="Y715" s="23" t="n">
        <f aca="false">IFERROR(INDEX(PODACI_PRODAJA!H:H,MATCH($A715,PODACI_PRODAJA!$A:$A,0)),0)</f>
        <v>1</v>
      </c>
      <c r="Z715" s="23" t="n">
        <f aca="false">IFERROR(INDEX(PODACI_PRODAJA!I:I,MATCH($A715,PODACI_PRODAJA!$A:$A,0)),0)</f>
        <v>0</v>
      </c>
      <c r="AA715" s="23" t="n">
        <f aca="false">IFERROR(INDEX(PODACI_PRODAJA!J:J,MATCH($A715,PODACI_PRODAJA!$A:$A,0)),0)</f>
        <v>0</v>
      </c>
      <c r="AB715" s="23" t="n">
        <f aca="false">IFERROR(INDEX(PODACI_PRODAJA!K:K,MATCH($A715,PODACI_PRODAJA!$A:$A,0)),0)</f>
        <v>0</v>
      </c>
      <c r="AC715" s="23" t="n">
        <f aca="false">IFERROR(INDEX(PODACI_PRODAJA!L:L,MATCH($A715,PODACI_PRODAJA!$A:$A,0)),0)</f>
        <v>0</v>
      </c>
      <c r="AD715" s="23" t="n">
        <f aca="false">IFERROR(INDEX(PODACI_PRODAJA!M:M,MATCH($A715,PODACI_PRODAJA!$A:$A,0)),0)</f>
        <v>0</v>
      </c>
    </row>
    <row r="716" customFormat="false" ht="15" hidden="false" customHeight="false" outlineLevel="0" collapsed="false">
      <c r="A716" s="11" t="str">
        <f aca="false">PODACI_ZALIHE!A713</f>
        <v>155200</v>
      </c>
      <c r="B716" s="8" t="str">
        <f aca="false">PODACI_ZALIHE!B713</f>
        <v>BOLD BIJELA 90100 MINERALSOLID TUŠ KADA 900x1000x30 mm</v>
      </c>
      <c r="C716" s="9" t="str">
        <f aca="false">PODACI_ZALIHE!C713</f>
        <v>5517</v>
      </c>
      <c r="D716" s="8" t="str">
        <f aca="false">PODACI_ZALIHE!D713</f>
        <v>NICOS INTERNATIONAL S.P.A.</v>
      </c>
      <c r="E716" s="19" t="n">
        <f aca="false">IF(PODACI_ZALIHE!E713="","",PODACI_ZALIHE!E713)</f>
        <v>0</v>
      </c>
      <c r="F716" s="20" t="n">
        <f aca="false">PODACI_ZALIHE!F713</f>
        <v>0</v>
      </c>
      <c r="G716" s="19" t="n">
        <f aca="false">IF(E716="","",E716-F716)</f>
        <v>0</v>
      </c>
      <c r="H716" s="9" t="n">
        <f aca="false">PODACI_PRODAJA!N117</f>
        <v>3.13</v>
      </c>
      <c r="I716" s="21" t="n">
        <f aca="false">IF(H716&lt;=0,999,ROUND(F716/H716,1))</f>
        <v>0</v>
      </c>
      <c r="J716" s="9" t="n">
        <f aca="false">SUMIFS(ROBA_U_DOLASKU!$C$6:$C$95,ROBA_U_DOLASKU!$A$6:$A$95,A716,ROBA_U_DOLASKU!$H$6:$H$95,1)</f>
        <v>0</v>
      </c>
      <c r="K716" s="9" t="n">
        <f aca="false">SUMIFS(ROBA_U_DOLASKU!$B$6:$B$95,ROBA_U_DOLASKU!$A$6:$A$95,A716,ROBA_U_DOLASKU!$H$6:$H$95,1)</f>
        <v>0</v>
      </c>
      <c r="L716" s="9" t="n">
        <f aca="false">SUMIFS(ROBA_U_DOLASKU!$C$6:$C$95,ROBA_U_DOLASKU!$A$6:$A$95,A716,ROBA_U_DOLASKU!$H$6:$H$95,2)</f>
        <v>0</v>
      </c>
      <c r="M716" s="9" t="n">
        <f aca="false">SUMIFS(ROBA_U_DOLASKU!$B$6:$B$95,ROBA_U_DOLASKU!$A$6:$A$95,A716,ROBA_U_DOLASKU!$H$6:$H$95,2)</f>
        <v>0</v>
      </c>
      <c r="N716" s="9" t="n">
        <f aca="false">SUMIFS(ROBA_U_DOLASKU!$C$6:$C$95,ROBA_U_DOLASKU!$A$6:$A$95,A716,ROBA_U_DOLASKU!$H$6:$H$95,3)</f>
        <v>0</v>
      </c>
      <c r="O716" s="9" t="n">
        <f aca="false">SUMIFS(ROBA_U_DOLASKU!$B$6:$B$95,ROBA_U_DOLASKU!$A$6:$A$95,A716,ROBA_U_DOLASKU!$H$6:$H$95,3)</f>
        <v>0</v>
      </c>
      <c r="P716" s="9" t="n">
        <f aca="false">IF(H716&lt;=0,999,IF(O716&gt;0,ROUND((F716-H716*N716+K716+M716+O716)/H716,1),IF(M716&gt;0,ROUND((F716-H716*L716+K716+M716)/H716,1),IF(K716&gt;0,ROUND((F716-H716*J716+K716)/H716,1),I716))))</f>
        <v>0</v>
      </c>
      <c r="Q716" s="22" t="str">
        <f aca="false">IF(H716&lt;=0,"Nema prodaje",IF(AND(K716=0,M716=0,O716=0),IF(I716&lt;POSTAVKE!$B$6,"Naruči odmah","Sve u redu"),IF(F716-H716*J716&lt;0,"Rupa za ~"&amp;TEXT(I716,"0.0")&amp;" mj.",IF(AND(M716&gt;0,F716-H716*L716+K716&lt;0),"Rupa nakon 1. dolaska",IF(AND(O716&gt;0,F716-H716*N716+K716+M716&lt;0),"Rupa nakon 2. dolaska",IF(P716&lt;POSTAVKE!$B$6,"Količina nije dovoljna",IF(I716&gt;=POSTAVKE!$B$6,"Sve u redu","Stiže na vrijeme")))))))</f>
        <v>Naruči odmah</v>
      </c>
      <c r="S716" s="23" t="n">
        <f aca="false">IFERROR(INDEX(PODACI_PRODAJA!B:B,MATCH($A716,PODACI_PRODAJA!$A:$A,0)),0)</f>
        <v>5</v>
      </c>
      <c r="T716" s="23" t="n">
        <f aca="false">IFERROR(INDEX(PODACI_PRODAJA!C:C,MATCH($A716,PODACI_PRODAJA!$A:$A,0)),0)</f>
        <v>0</v>
      </c>
      <c r="U716" s="23" t="n">
        <f aca="false">IFERROR(INDEX(PODACI_PRODAJA!D:D,MATCH($A716,PODACI_PRODAJA!$A:$A,0)),0)</f>
        <v>8</v>
      </c>
      <c r="V716" s="23" t="n">
        <f aca="false">IFERROR(INDEX(PODACI_PRODAJA!E:E,MATCH($A716,PODACI_PRODAJA!$A:$A,0)),0)</f>
        <v>0</v>
      </c>
      <c r="W716" s="23" t="n">
        <f aca="false">IFERROR(INDEX(PODACI_PRODAJA!F:F,MATCH($A716,PODACI_PRODAJA!$A:$A,0)),0)</f>
        <v>8</v>
      </c>
      <c r="X716" s="23" t="n">
        <f aca="false">IFERROR(INDEX(PODACI_PRODAJA!G:G,MATCH($A716,PODACI_PRODAJA!$A:$A,0)),0)</f>
        <v>4</v>
      </c>
      <c r="Y716" s="23" t="n">
        <f aca="false">IFERROR(INDEX(PODACI_PRODAJA!H:H,MATCH($A716,PODACI_PRODAJA!$A:$A,0)),0)</f>
        <v>0</v>
      </c>
      <c r="Z716" s="23" t="n">
        <f aca="false">IFERROR(INDEX(PODACI_PRODAJA!I:I,MATCH($A716,PODACI_PRODAJA!$A:$A,0)),0)</f>
        <v>0</v>
      </c>
      <c r="AA716" s="23" t="n">
        <f aca="false">IFERROR(INDEX(PODACI_PRODAJA!J:J,MATCH($A716,PODACI_PRODAJA!$A:$A,0)),0)</f>
        <v>0</v>
      </c>
      <c r="AB716" s="23" t="n">
        <f aca="false">IFERROR(INDEX(PODACI_PRODAJA!K:K,MATCH($A716,PODACI_PRODAJA!$A:$A,0)),0)</f>
        <v>0</v>
      </c>
      <c r="AC716" s="23" t="n">
        <f aca="false">IFERROR(INDEX(PODACI_PRODAJA!L:L,MATCH($A716,PODACI_PRODAJA!$A:$A,0)),0)</f>
        <v>0</v>
      </c>
      <c r="AD716" s="23" t="n">
        <f aca="false">IFERROR(INDEX(PODACI_PRODAJA!M:M,MATCH($A716,PODACI_PRODAJA!$A:$A,0)),0)</f>
        <v>0</v>
      </c>
    </row>
    <row r="717" customFormat="false" ht="15" hidden="false" customHeight="false" outlineLevel="0" collapsed="false">
      <c r="A717" s="11" t="str">
        <f aca="false">PODACI_ZALIHE!A714</f>
        <v>155220</v>
      </c>
      <c r="B717" s="8" t="str">
        <f aca="false">PODACI_ZALIHE!B714</f>
        <v>BOLD BIJELA 90120 MINERALSOLID TUŠ KADA 900x1200x30 mm</v>
      </c>
      <c r="C717" s="9" t="str">
        <f aca="false">PODACI_ZALIHE!C714</f>
        <v>5517</v>
      </c>
      <c r="D717" s="8" t="str">
        <f aca="false">PODACI_ZALIHE!D714</f>
        <v>NICOS INTERNATIONAL S.P.A.</v>
      </c>
      <c r="E717" s="19" t="n">
        <f aca="false">IF(PODACI_ZALIHE!E714="","",PODACI_ZALIHE!E714)</f>
        <v>0</v>
      </c>
      <c r="F717" s="20" t="n">
        <f aca="false">PODACI_ZALIHE!F714</f>
        <v>0</v>
      </c>
      <c r="G717" s="19" t="n">
        <f aca="false">IF(E717="","",E717-F717)</f>
        <v>0</v>
      </c>
      <c r="H717" s="9" t="n">
        <f aca="false">PODACI_PRODAJA!N118</f>
        <v>4.25</v>
      </c>
      <c r="I717" s="21" t="n">
        <f aca="false">IF(H717&lt;=0,999,ROUND(F717/H717,1))</f>
        <v>0</v>
      </c>
      <c r="J717" s="9" t="n">
        <f aca="false">SUMIFS(ROBA_U_DOLASKU!$C$6:$C$95,ROBA_U_DOLASKU!$A$6:$A$95,A717,ROBA_U_DOLASKU!$H$6:$H$95,1)</f>
        <v>0</v>
      </c>
      <c r="K717" s="9" t="n">
        <f aca="false">SUMIFS(ROBA_U_DOLASKU!$B$6:$B$95,ROBA_U_DOLASKU!$A$6:$A$95,A717,ROBA_U_DOLASKU!$H$6:$H$95,1)</f>
        <v>0</v>
      </c>
      <c r="L717" s="9" t="n">
        <f aca="false">SUMIFS(ROBA_U_DOLASKU!$C$6:$C$95,ROBA_U_DOLASKU!$A$6:$A$95,A717,ROBA_U_DOLASKU!$H$6:$H$95,2)</f>
        <v>0</v>
      </c>
      <c r="M717" s="9" t="n">
        <f aca="false">SUMIFS(ROBA_U_DOLASKU!$B$6:$B$95,ROBA_U_DOLASKU!$A$6:$A$95,A717,ROBA_U_DOLASKU!$H$6:$H$95,2)</f>
        <v>0</v>
      </c>
      <c r="N717" s="9" t="n">
        <f aca="false">SUMIFS(ROBA_U_DOLASKU!$C$6:$C$95,ROBA_U_DOLASKU!$A$6:$A$95,A717,ROBA_U_DOLASKU!$H$6:$H$95,3)</f>
        <v>0</v>
      </c>
      <c r="O717" s="9" t="n">
        <f aca="false">SUMIFS(ROBA_U_DOLASKU!$B$6:$B$95,ROBA_U_DOLASKU!$A$6:$A$95,A717,ROBA_U_DOLASKU!$H$6:$H$95,3)</f>
        <v>0</v>
      </c>
      <c r="P717" s="9" t="n">
        <f aca="false">IF(H717&lt;=0,999,IF(O717&gt;0,ROUND((F717-H717*N717+K717+M717+O717)/H717,1),IF(M717&gt;0,ROUND((F717-H717*L717+K717+M717)/H717,1),IF(K717&gt;0,ROUND((F717-H717*J717+K717)/H717,1),I717))))</f>
        <v>0</v>
      </c>
      <c r="Q717" s="22" t="str">
        <f aca="false">IF(H717&lt;=0,"Nema prodaje",IF(AND(K717=0,M717=0,O717=0),IF(I717&lt;POSTAVKE!$B$6,"Naruči odmah","Sve u redu"),IF(F717-H717*J717&lt;0,"Rupa za ~"&amp;TEXT(I717,"0.0")&amp;" mj.",IF(AND(M717&gt;0,F717-H717*L717+K717&lt;0),"Rupa nakon 1. dolaska",IF(AND(O717&gt;0,F717-H717*N717+K717+M717&lt;0),"Rupa nakon 2. dolaska",IF(P717&lt;POSTAVKE!$B$6,"Količina nije dovoljna",IF(I717&gt;=POSTAVKE!$B$6,"Sve u redu","Stiže na vrijeme")))))))</f>
        <v>Naruči odmah</v>
      </c>
      <c r="S717" s="23" t="n">
        <f aca="false">IFERROR(INDEX(PODACI_PRODAJA!B:B,MATCH($A717,PODACI_PRODAJA!$A:$A,0)),0)</f>
        <v>5</v>
      </c>
      <c r="T717" s="23" t="n">
        <f aca="false">IFERROR(INDEX(PODACI_PRODAJA!C:C,MATCH($A717,PODACI_PRODAJA!$A:$A,0)),0)</f>
        <v>5</v>
      </c>
      <c r="U717" s="23" t="n">
        <f aca="false">IFERROR(INDEX(PODACI_PRODAJA!D:D,MATCH($A717,PODACI_PRODAJA!$A:$A,0)),0)</f>
        <v>5</v>
      </c>
      <c r="V717" s="23" t="n">
        <f aca="false">IFERROR(INDEX(PODACI_PRODAJA!E:E,MATCH($A717,PODACI_PRODAJA!$A:$A,0)),0)</f>
        <v>0</v>
      </c>
      <c r="W717" s="23" t="n">
        <f aca="false">IFERROR(INDEX(PODACI_PRODAJA!F:F,MATCH($A717,PODACI_PRODAJA!$A:$A,0)),0)</f>
        <v>10</v>
      </c>
      <c r="X717" s="23" t="n">
        <f aca="false">IFERROR(INDEX(PODACI_PRODAJA!G:G,MATCH($A717,PODACI_PRODAJA!$A:$A,0)),0)</f>
        <v>9</v>
      </c>
      <c r="Y717" s="23" t="n">
        <f aca="false">IFERROR(INDEX(PODACI_PRODAJA!H:H,MATCH($A717,PODACI_PRODAJA!$A:$A,0)),0)</f>
        <v>0</v>
      </c>
      <c r="Z717" s="23" t="n">
        <f aca="false">IFERROR(INDEX(PODACI_PRODAJA!I:I,MATCH($A717,PODACI_PRODAJA!$A:$A,0)),0)</f>
        <v>0</v>
      </c>
      <c r="AA717" s="23" t="n">
        <f aca="false">IFERROR(INDEX(PODACI_PRODAJA!J:J,MATCH($A717,PODACI_PRODAJA!$A:$A,0)),0)</f>
        <v>0</v>
      </c>
      <c r="AB717" s="23" t="n">
        <f aca="false">IFERROR(INDEX(PODACI_PRODAJA!K:K,MATCH($A717,PODACI_PRODAJA!$A:$A,0)),0)</f>
        <v>0</v>
      </c>
      <c r="AC717" s="23" t="n">
        <f aca="false">IFERROR(INDEX(PODACI_PRODAJA!L:L,MATCH($A717,PODACI_PRODAJA!$A:$A,0)),0)</f>
        <v>0</v>
      </c>
      <c r="AD717" s="23" t="n">
        <f aca="false">IFERROR(INDEX(PODACI_PRODAJA!M:M,MATCH($A717,PODACI_PRODAJA!$A:$A,0)),0)</f>
        <v>0</v>
      </c>
    </row>
    <row r="718" customFormat="false" ht="15" hidden="false" customHeight="false" outlineLevel="0" collapsed="false">
      <c r="A718" s="11" t="str">
        <f aca="false">PODACI_ZALIHE!A715</f>
        <v>155230</v>
      </c>
      <c r="B718" s="8" t="str">
        <f aca="false">PODACI_ZALIHE!B715</f>
        <v>BOLD BIJELA 90130 MINERALSOLID TUŠ KADA 900x1300x30 mm</v>
      </c>
      <c r="C718" s="9" t="str">
        <f aca="false">PODACI_ZALIHE!C715</f>
        <v>5517</v>
      </c>
      <c r="D718" s="8" t="str">
        <f aca="false">PODACI_ZALIHE!D715</f>
        <v>NICOS INTERNATIONAL S.P.A.</v>
      </c>
      <c r="E718" s="19" t="n">
        <f aca="false">IF(PODACI_ZALIHE!E715="","",PODACI_ZALIHE!E715)</f>
        <v>0</v>
      </c>
      <c r="F718" s="20" t="n">
        <f aca="false">PODACI_ZALIHE!F715</f>
        <v>0</v>
      </c>
      <c r="G718" s="19" t="n">
        <f aca="false">IF(E718="","",E718-F718)</f>
        <v>0</v>
      </c>
      <c r="H718" s="9" t="n">
        <f aca="false">PODACI_PRODAJA!N486</f>
        <v>2.75</v>
      </c>
      <c r="I718" s="21" t="n">
        <f aca="false">IF(H718&lt;=0,999,ROUND(F718/H718,1))</f>
        <v>0</v>
      </c>
      <c r="J718" s="9" t="n">
        <f aca="false">SUMIFS(ROBA_U_DOLASKU!$C$6:$C$95,ROBA_U_DOLASKU!$A$6:$A$95,A718,ROBA_U_DOLASKU!$H$6:$H$95,1)</f>
        <v>0</v>
      </c>
      <c r="K718" s="9" t="n">
        <f aca="false">SUMIFS(ROBA_U_DOLASKU!$B$6:$B$95,ROBA_U_DOLASKU!$A$6:$A$95,A718,ROBA_U_DOLASKU!$H$6:$H$95,1)</f>
        <v>0</v>
      </c>
      <c r="L718" s="9" t="n">
        <f aca="false">SUMIFS(ROBA_U_DOLASKU!$C$6:$C$95,ROBA_U_DOLASKU!$A$6:$A$95,A718,ROBA_U_DOLASKU!$H$6:$H$95,2)</f>
        <v>0</v>
      </c>
      <c r="M718" s="9" t="n">
        <f aca="false">SUMIFS(ROBA_U_DOLASKU!$B$6:$B$95,ROBA_U_DOLASKU!$A$6:$A$95,A718,ROBA_U_DOLASKU!$H$6:$H$95,2)</f>
        <v>0</v>
      </c>
      <c r="N718" s="9" t="n">
        <f aca="false">SUMIFS(ROBA_U_DOLASKU!$C$6:$C$95,ROBA_U_DOLASKU!$A$6:$A$95,A718,ROBA_U_DOLASKU!$H$6:$H$95,3)</f>
        <v>0</v>
      </c>
      <c r="O718" s="9" t="n">
        <f aca="false">SUMIFS(ROBA_U_DOLASKU!$B$6:$B$95,ROBA_U_DOLASKU!$A$6:$A$95,A718,ROBA_U_DOLASKU!$H$6:$H$95,3)</f>
        <v>0</v>
      </c>
      <c r="P718" s="9" t="n">
        <f aca="false">IF(H718&lt;=0,999,IF(O718&gt;0,ROUND((F718-H718*N718+K718+M718+O718)/H718,1),IF(M718&gt;0,ROUND((F718-H718*L718+K718+M718)/H718,1),IF(K718&gt;0,ROUND((F718-H718*J718+K718)/H718,1),I718))))</f>
        <v>0</v>
      </c>
      <c r="Q718" s="22" t="str">
        <f aca="false">IF(H718&lt;=0,"Nema prodaje",IF(AND(K718=0,M718=0,O718=0),IF(I718&lt;POSTAVKE!$B$6,"Naruči odmah","Sve u redu"),IF(F718-H718*J718&lt;0,"Rupa za ~"&amp;TEXT(I718,"0.0")&amp;" mj.",IF(AND(M718&gt;0,F718-H718*L718+K718&lt;0),"Rupa nakon 1. dolaska",IF(AND(O718&gt;0,F718-H718*N718+K718+M718&lt;0),"Rupa nakon 2. dolaska",IF(P718&lt;POSTAVKE!$B$6,"Količina nije dovoljna",IF(I718&gt;=POSTAVKE!$B$6,"Sve u redu","Stiže na vrijeme")))))))</f>
        <v>Naruči odmah</v>
      </c>
      <c r="S718" s="23" t="n">
        <f aca="false">IFERROR(INDEX(PODACI_PRODAJA!B:B,MATCH($A718,PODACI_PRODAJA!$A:$A,0)),0)</f>
        <v>0</v>
      </c>
      <c r="T718" s="23" t="n">
        <f aca="false">IFERROR(INDEX(PODACI_PRODAJA!C:C,MATCH($A718,PODACI_PRODAJA!$A:$A,0)),0)</f>
        <v>17</v>
      </c>
      <c r="U718" s="23" t="n">
        <f aca="false">IFERROR(INDEX(PODACI_PRODAJA!D:D,MATCH($A718,PODACI_PRODAJA!$A:$A,0)),0)</f>
        <v>0</v>
      </c>
      <c r="V718" s="23" t="n">
        <f aca="false">IFERROR(INDEX(PODACI_PRODAJA!E:E,MATCH($A718,PODACI_PRODAJA!$A:$A,0)),0)</f>
        <v>5</v>
      </c>
      <c r="W718" s="23" t="n">
        <f aca="false">IFERROR(INDEX(PODACI_PRODAJA!F:F,MATCH($A718,PODACI_PRODAJA!$A:$A,0)),0)</f>
        <v>0</v>
      </c>
      <c r="X718" s="23" t="n">
        <f aca="false">IFERROR(INDEX(PODACI_PRODAJA!G:G,MATCH($A718,PODACI_PRODAJA!$A:$A,0)),0)</f>
        <v>0</v>
      </c>
      <c r="Y718" s="23" t="n">
        <f aca="false">IFERROR(INDEX(PODACI_PRODAJA!H:H,MATCH($A718,PODACI_PRODAJA!$A:$A,0)),0)</f>
        <v>0</v>
      </c>
      <c r="Z718" s="23" t="n">
        <f aca="false">IFERROR(INDEX(PODACI_PRODAJA!I:I,MATCH($A718,PODACI_PRODAJA!$A:$A,0)),0)</f>
        <v>0</v>
      </c>
      <c r="AA718" s="23" t="n">
        <f aca="false">IFERROR(INDEX(PODACI_PRODAJA!J:J,MATCH($A718,PODACI_PRODAJA!$A:$A,0)),0)</f>
        <v>0</v>
      </c>
      <c r="AB718" s="23" t="n">
        <f aca="false">IFERROR(INDEX(PODACI_PRODAJA!K:K,MATCH($A718,PODACI_PRODAJA!$A:$A,0)),0)</f>
        <v>0</v>
      </c>
      <c r="AC718" s="23" t="n">
        <f aca="false">IFERROR(INDEX(PODACI_PRODAJA!L:L,MATCH($A718,PODACI_PRODAJA!$A:$A,0)),0)</f>
        <v>0</v>
      </c>
      <c r="AD718" s="23" t="n">
        <f aca="false">IFERROR(INDEX(PODACI_PRODAJA!M:M,MATCH($A718,PODACI_PRODAJA!$A:$A,0)),0)</f>
        <v>0</v>
      </c>
    </row>
    <row r="719" customFormat="false" ht="15" hidden="false" customHeight="false" outlineLevel="0" collapsed="false">
      <c r="A719" s="11" t="str">
        <f aca="false">PODACI_ZALIHE!A716</f>
        <v>155240</v>
      </c>
      <c r="B719" s="8" t="str">
        <f aca="false">PODACI_ZALIHE!B716</f>
        <v>BOLD BIJELA 90140 MINERALSOLID TUŠ KADA 900x1400x30 mm</v>
      </c>
      <c r="C719" s="9" t="str">
        <f aca="false">PODACI_ZALIHE!C716</f>
        <v>5517</v>
      </c>
      <c r="D719" s="8" t="str">
        <f aca="false">PODACI_ZALIHE!D716</f>
        <v>NICOS INTERNATIONAL S.P.A.</v>
      </c>
      <c r="E719" s="19" t="n">
        <f aca="false">IF(PODACI_ZALIHE!E716="","",PODACI_ZALIHE!E716)</f>
        <v>0</v>
      </c>
      <c r="F719" s="20" t="n">
        <f aca="false">PODACI_ZALIHE!F716</f>
        <v>0</v>
      </c>
      <c r="G719" s="19" t="n">
        <f aca="false">IF(E719="","",E719-F719)</f>
        <v>0</v>
      </c>
      <c r="H719" s="9" t="n">
        <f aca="false">PODACI_PRODAJA!N31</f>
        <v>6.88</v>
      </c>
      <c r="I719" s="21" t="n">
        <f aca="false">IF(H719&lt;=0,999,ROUND(F719/H719,1))</f>
        <v>0</v>
      </c>
      <c r="J719" s="9" t="n">
        <f aca="false">SUMIFS(ROBA_U_DOLASKU!$C$6:$C$95,ROBA_U_DOLASKU!$A$6:$A$95,A719,ROBA_U_DOLASKU!$H$6:$H$95,1)</f>
        <v>0</v>
      </c>
      <c r="K719" s="9" t="n">
        <f aca="false">SUMIFS(ROBA_U_DOLASKU!$B$6:$B$95,ROBA_U_DOLASKU!$A$6:$A$95,A719,ROBA_U_DOLASKU!$H$6:$H$95,1)</f>
        <v>0</v>
      </c>
      <c r="L719" s="9" t="n">
        <f aca="false">SUMIFS(ROBA_U_DOLASKU!$C$6:$C$95,ROBA_U_DOLASKU!$A$6:$A$95,A719,ROBA_U_DOLASKU!$H$6:$H$95,2)</f>
        <v>0</v>
      </c>
      <c r="M719" s="9" t="n">
        <f aca="false">SUMIFS(ROBA_U_DOLASKU!$B$6:$B$95,ROBA_U_DOLASKU!$A$6:$A$95,A719,ROBA_U_DOLASKU!$H$6:$H$95,2)</f>
        <v>0</v>
      </c>
      <c r="N719" s="9" t="n">
        <f aca="false">SUMIFS(ROBA_U_DOLASKU!$C$6:$C$95,ROBA_U_DOLASKU!$A$6:$A$95,A719,ROBA_U_DOLASKU!$H$6:$H$95,3)</f>
        <v>0</v>
      </c>
      <c r="O719" s="9" t="n">
        <f aca="false">SUMIFS(ROBA_U_DOLASKU!$B$6:$B$95,ROBA_U_DOLASKU!$A$6:$A$95,A719,ROBA_U_DOLASKU!$H$6:$H$95,3)</f>
        <v>0</v>
      </c>
      <c r="P719" s="9" t="n">
        <f aca="false">IF(H719&lt;=0,999,IF(O719&gt;0,ROUND((F719-H719*N719+K719+M719+O719)/H719,1),IF(M719&gt;0,ROUND((F719-H719*L719+K719+M719)/H719,1),IF(K719&gt;0,ROUND((F719-H719*J719+K719)/H719,1),I719))))</f>
        <v>0</v>
      </c>
      <c r="Q719" s="22" t="str">
        <f aca="false">IF(H719&lt;=0,"Nema prodaje",IF(AND(K719=0,M719=0,O719=0),IF(I719&lt;POSTAVKE!$B$6,"Naruči odmah","Sve u redu"),IF(F719-H719*J719&lt;0,"Rupa za ~"&amp;TEXT(I719,"0.0")&amp;" mj.",IF(AND(M719&gt;0,F719-H719*L719+K719&lt;0),"Rupa nakon 1. dolaska",IF(AND(O719&gt;0,F719-H719*N719+K719+M719&lt;0),"Rupa nakon 2. dolaska",IF(P719&lt;POSTAVKE!$B$6,"Količina nije dovoljna",IF(I719&gt;=POSTAVKE!$B$6,"Sve u redu","Stiže na vrijeme")))))))</f>
        <v>Naruči odmah</v>
      </c>
      <c r="S719" s="23" t="n">
        <f aca="false">IFERROR(INDEX(PODACI_PRODAJA!B:B,MATCH($A719,PODACI_PRODAJA!$A:$A,0)),0)</f>
        <v>29</v>
      </c>
      <c r="T719" s="23" t="n">
        <f aca="false">IFERROR(INDEX(PODACI_PRODAJA!C:C,MATCH($A719,PODACI_PRODAJA!$A:$A,0)),0)</f>
        <v>0</v>
      </c>
      <c r="U719" s="23" t="n">
        <f aca="false">IFERROR(INDEX(PODACI_PRODAJA!D:D,MATCH($A719,PODACI_PRODAJA!$A:$A,0)),0)</f>
        <v>13</v>
      </c>
      <c r="V719" s="23" t="n">
        <f aca="false">IFERROR(INDEX(PODACI_PRODAJA!E:E,MATCH($A719,PODACI_PRODAJA!$A:$A,0)),0)</f>
        <v>0</v>
      </c>
      <c r="W719" s="23" t="n">
        <f aca="false">IFERROR(INDEX(PODACI_PRODAJA!F:F,MATCH($A719,PODACI_PRODAJA!$A:$A,0)),0)</f>
        <v>10</v>
      </c>
      <c r="X719" s="23" t="n">
        <f aca="false">IFERROR(INDEX(PODACI_PRODAJA!G:G,MATCH($A719,PODACI_PRODAJA!$A:$A,0)),0)</f>
        <v>3</v>
      </c>
      <c r="Y719" s="23" t="n">
        <f aca="false">IFERROR(INDEX(PODACI_PRODAJA!H:H,MATCH($A719,PODACI_PRODAJA!$A:$A,0)),0)</f>
        <v>0</v>
      </c>
      <c r="Z719" s="23" t="n">
        <f aca="false">IFERROR(INDEX(PODACI_PRODAJA!I:I,MATCH($A719,PODACI_PRODAJA!$A:$A,0)),0)</f>
        <v>0</v>
      </c>
      <c r="AA719" s="23" t="n">
        <f aca="false">IFERROR(INDEX(PODACI_PRODAJA!J:J,MATCH($A719,PODACI_PRODAJA!$A:$A,0)),0)</f>
        <v>0</v>
      </c>
      <c r="AB719" s="23" t="n">
        <f aca="false">IFERROR(INDEX(PODACI_PRODAJA!K:K,MATCH($A719,PODACI_PRODAJA!$A:$A,0)),0)</f>
        <v>0</v>
      </c>
      <c r="AC719" s="23" t="n">
        <f aca="false">IFERROR(INDEX(PODACI_PRODAJA!L:L,MATCH($A719,PODACI_PRODAJA!$A:$A,0)),0)</f>
        <v>0</v>
      </c>
      <c r="AD719" s="23" t="n">
        <f aca="false">IFERROR(INDEX(PODACI_PRODAJA!M:M,MATCH($A719,PODACI_PRODAJA!$A:$A,0)),0)</f>
        <v>0</v>
      </c>
    </row>
    <row r="720" customFormat="false" ht="15" hidden="false" customHeight="false" outlineLevel="0" collapsed="false">
      <c r="A720" s="11" t="str">
        <f aca="false">PODACI_ZALIHE!A717</f>
        <v>155250</v>
      </c>
      <c r="B720" s="8" t="str">
        <f aca="false">PODACI_ZALIHE!B717</f>
        <v>BOLD BIJELA 90150 MINERALSOLID TUŠ KADA 900x1500x30 mm</v>
      </c>
      <c r="C720" s="9" t="str">
        <f aca="false">PODACI_ZALIHE!C717</f>
        <v>5517</v>
      </c>
      <c r="D720" s="8" t="str">
        <f aca="false">PODACI_ZALIHE!D717</f>
        <v>NICOS INTERNATIONAL S.P.A.</v>
      </c>
      <c r="E720" s="19" t="n">
        <f aca="false">IF(PODACI_ZALIHE!E717="","",PODACI_ZALIHE!E717)</f>
        <v>0</v>
      </c>
      <c r="F720" s="20" t="n">
        <f aca="false">PODACI_ZALIHE!F717</f>
        <v>0</v>
      </c>
      <c r="G720" s="19" t="n">
        <f aca="false">IF(E720="","",E720-F720)</f>
        <v>0</v>
      </c>
      <c r="H720" s="9" t="n">
        <f aca="false">PODACI_PRODAJA!N487</f>
        <v>1.25</v>
      </c>
      <c r="I720" s="21" t="n">
        <f aca="false">IF(H720&lt;=0,999,ROUND(F720/H720,1))</f>
        <v>0</v>
      </c>
      <c r="J720" s="9" t="n">
        <f aca="false">SUMIFS(ROBA_U_DOLASKU!$C$6:$C$95,ROBA_U_DOLASKU!$A$6:$A$95,A720,ROBA_U_DOLASKU!$H$6:$H$95,1)</f>
        <v>0</v>
      </c>
      <c r="K720" s="9" t="n">
        <f aca="false">SUMIFS(ROBA_U_DOLASKU!$B$6:$B$95,ROBA_U_DOLASKU!$A$6:$A$95,A720,ROBA_U_DOLASKU!$H$6:$H$95,1)</f>
        <v>0</v>
      </c>
      <c r="L720" s="9" t="n">
        <f aca="false">SUMIFS(ROBA_U_DOLASKU!$C$6:$C$95,ROBA_U_DOLASKU!$A$6:$A$95,A720,ROBA_U_DOLASKU!$H$6:$H$95,2)</f>
        <v>0</v>
      </c>
      <c r="M720" s="9" t="n">
        <f aca="false">SUMIFS(ROBA_U_DOLASKU!$B$6:$B$95,ROBA_U_DOLASKU!$A$6:$A$95,A720,ROBA_U_DOLASKU!$H$6:$H$95,2)</f>
        <v>0</v>
      </c>
      <c r="N720" s="9" t="n">
        <f aca="false">SUMIFS(ROBA_U_DOLASKU!$C$6:$C$95,ROBA_U_DOLASKU!$A$6:$A$95,A720,ROBA_U_DOLASKU!$H$6:$H$95,3)</f>
        <v>0</v>
      </c>
      <c r="O720" s="9" t="n">
        <f aca="false">SUMIFS(ROBA_U_DOLASKU!$B$6:$B$95,ROBA_U_DOLASKU!$A$6:$A$95,A720,ROBA_U_DOLASKU!$H$6:$H$95,3)</f>
        <v>0</v>
      </c>
      <c r="P720" s="9" t="n">
        <f aca="false">IF(H720&lt;=0,999,IF(O720&gt;0,ROUND((F720-H720*N720+K720+M720+O720)/H720,1),IF(M720&gt;0,ROUND((F720-H720*L720+K720+M720)/H720,1),IF(K720&gt;0,ROUND((F720-H720*J720+K720)/H720,1),I720))))</f>
        <v>0</v>
      </c>
      <c r="Q720" s="22" t="str">
        <f aca="false">IF(H720&lt;=0,"Nema prodaje",IF(AND(K720=0,M720=0,O720=0),IF(I720&lt;POSTAVKE!$B$6,"Naruči odmah","Sve u redu"),IF(F720-H720*J720&lt;0,"Rupa za ~"&amp;TEXT(I720,"0.0")&amp;" mj.",IF(AND(M720&gt;0,F720-H720*L720+K720&lt;0),"Rupa nakon 1. dolaska",IF(AND(O720&gt;0,F720-H720*N720+K720+M720&lt;0),"Rupa nakon 2. dolaska",IF(P720&lt;POSTAVKE!$B$6,"Količina nije dovoljna",IF(I720&gt;=POSTAVKE!$B$6,"Sve u redu","Stiže na vrijeme")))))))</f>
        <v>Naruči odmah</v>
      </c>
      <c r="S720" s="23" t="n">
        <f aca="false">IFERROR(INDEX(PODACI_PRODAJA!B:B,MATCH($A720,PODACI_PRODAJA!$A:$A,0)),0)</f>
        <v>0</v>
      </c>
      <c r="T720" s="23" t="n">
        <f aca="false">IFERROR(INDEX(PODACI_PRODAJA!C:C,MATCH($A720,PODACI_PRODAJA!$A:$A,0)),0)</f>
        <v>0</v>
      </c>
      <c r="U720" s="23" t="n">
        <f aca="false">IFERROR(INDEX(PODACI_PRODAJA!D:D,MATCH($A720,PODACI_PRODAJA!$A:$A,0)),0)</f>
        <v>2</v>
      </c>
      <c r="V720" s="23" t="n">
        <f aca="false">IFERROR(INDEX(PODACI_PRODAJA!E:E,MATCH($A720,PODACI_PRODAJA!$A:$A,0)),0)</f>
        <v>0</v>
      </c>
      <c r="W720" s="23" t="n">
        <f aca="false">IFERROR(INDEX(PODACI_PRODAJA!F:F,MATCH($A720,PODACI_PRODAJA!$A:$A,0)),0)</f>
        <v>5</v>
      </c>
      <c r="X720" s="23" t="n">
        <f aca="false">IFERROR(INDEX(PODACI_PRODAJA!G:G,MATCH($A720,PODACI_PRODAJA!$A:$A,0)),0)</f>
        <v>3</v>
      </c>
      <c r="Y720" s="23" t="n">
        <f aca="false">IFERROR(INDEX(PODACI_PRODAJA!H:H,MATCH($A720,PODACI_PRODAJA!$A:$A,0)),0)</f>
        <v>0</v>
      </c>
      <c r="Z720" s="23" t="n">
        <f aca="false">IFERROR(INDEX(PODACI_PRODAJA!I:I,MATCH($A720,PODACI_PRODAJA!$A:$A,0)),0)</f>
        <v>0</v>
      </c>
      <c r="AA720" s="23" t="n">
        <f aca="false">IFERROR(INDEX(PODACI_PRODAJA!J:J,MATCH($A720,PODACI_PRODAJA!$A:$A,0)),0)</f>
        <v>0</v>
      </c>
      <c r="AB720" s="23" t="n">
        <f aca="false">IFERROR(INDEX(PODACI_PRODAJA!K:K,MATCH($A720,PODACI_PRODAJA!$A:$A,0)),0)</f>
        <v>0</v>
      </c>
      <c r="AC720" s="23" t="n">
        <f aca="false">IFERROR(INDEX(PODACI_PRODAJA!L:L,MATCH($A720,PODACI_PRODAJA!$A:$A,0)),0)</f>
        <v>0</v>
      </c>
      <c r="AD720" s="23" t="n">
        <f aca="false">IFERROR(INDEX(PODACI_PRODAJA!M:M,MATCH($A720,PODACI_PRODAJA!$A:$A,0)),0)</f>
        <v>0</v>
      </c>
    </row>
    <row r="721" customFormat="false" ht="15" hidden="false" customHeight="false" outlineLevel="0" collapsed="false">
      <c r="A721" s="11" t="str">
        <f aca="false">PODACI_ZALIHE!A718</f>
        <v>155270</v>
      </c>
      <c r="B721" s="8" t="str">
        <f aca="false">PODACI_ZALIHE!B718</f>
        <v>BOLD BIJELA 90170 MINERALSOLID TUŠ KADA 900x1700x30 mm</v>
      </c>
      <c r="C721" s="9" t="str">
        <f aca="false">PODACI_ZALIHE!C718</f>
        <v>5517</v>
      </c>
      <c r="D721" s="8" t="str">
        <f aca="false">PODACI_ZALIHE!D718</f>
        <v>NICOS INTERNATIONAL S.P.A.</v>
      </c>
      <c r="E721" s="19" t="n">
        <f aca="false">IF(PODACI_ZALIHE!E718="","",PODACI_ZALIHE!E718)</f>
        <v>0</v>
      </c>
      <c r="F721" s="20" t="n">
        <f aca="false">PODACI_ZALIHE!F718</f>
        <v>0</v>
      </c>
      <c r="G721" s="19" t="n">
        <f aca="false">IF(E721="","",E721-F721)</f>
        <v>0</v>
      </c>
      <c r="H721" s="9" t="n">
        <f aca="false">PODACI_PRODAJA!N489</f>
        <v>0.63</v>
      </c>
      <c r="I721" s="21" t="n">
        <f aca="false">IF(H721&lt;=0,999,ROUND(F721/H721,1))</f>
        <v>0</v>
      </c>
      <c r="J721" s="9" t="n">
        <f aca="false">SUMIFS(ROBA_U_DOLASKU!$C$6:$C$95,ROBA_U_DOLASKU!$A$6:$A$95,A721,ROBA_U_DOLASKU!$H$6:$H$95,1)</f>
        <v>0</v>
      </c>
      <c r="K721" s="9" t="n">
        <f aca="false">SUMIFS(ROBA_U_DOLASKU!$B$6:$B$95,ROBA_U_DOLASKU!$A$6:$A$95,A721,ROBA_U_DOLASKU!$H$6:$H$95,1)</f>
        <v>0</v>
      </c>
      <c r="L721" s="9" t="n">
        <f aca="false">SUMIFS(ROBA_U_DOLASKU!$C$6:$C$95,ROBA_U_DOLASKU!$A$6:$A$95,A721,ROBA_U_DOLASKU!$H$6:$H$95,2)</f>
        <v>0</v>
      </c>
      <c r="M721" s="9" t="n">
        <f aca="false">SUMIFS(ROBA_U_DOLASKU!$B$6:$B$95,ROBA_U_DOLASKU!$A$6:$A$95,A721,ROBA_U_DOLASKU!$H$6:$H$95,2)</f>
        <v>0</v>
      </c>
      <c r="N721" s="9" t="n">
        <f aca="false">SUMIFS(ROBA_U_DOLASKU!$C$6:$C$95,ROBA_U_DOLASKU!$A$6:$A$95,A721,ROBA_U_DOLASKU!$H$6:$H$95,3)</f>
        <v>0</v>
      </c>
      <c r="O721" s="9" t="n">
        <f aca="false">SUMIFS(ROBA_U_DOLASKU!$B$6:$B$95,ROBA_U_DOLASKU!$A$6:$A$95,A721,ROBA_U_DOLASKU!$H$6:$H$95,3)</f>
        <v>0</v>
      </c>
      <c r="P721" s="9" t="n">
        <f aca="false">IF(H721&lt;=0,999,IF(O721&gt;0,ROUND((F721-H721*N721+K721+M721+O721)/H721,1),IF(M721&gt;0,ROUND((F721-H721*L721+K721+M721)/H721,1),IF(K721&gt;0,ROUND((F721-H721*J721+K721)/H721,1),I721))))</f>
        <v>0</v>
      </c>
      <c r="Q721" s="22" t="str">
        <f aca="false">IF(H721&lt;=0,"Nema prodaje",IF(AND(K721=0,M721=0,O721=0),IF(I721&lt;POSTAVKE!$B$6,"Naruči odmah","Sve u redu"),IF(F721-H721*J721&lt;0,"Rupa za ~"&amp;TEXT(I721,"0.0")&amp;" mj.",IF(AND(M721&gt;0,F721-H721*L721+K721&lt;0),"Rupa nakon 1. dolaska",IF(AND(O721&gt;0,F721-H721*N721+K721+M721&lt;0),"Rupa nakon 2. dolaska",IF(P721&lt;POSTAVKE!$B$6,"Količina nije dovoljna",IF(I721&gt;=POSTAVKE!$B$6,"Sve u redu","Stiže na vrijeme")))))))</f>
        <v>Naruči odmah</v>
      </c>
      <c r="S721" s="23" t="n">
        <f aca="false">IFERROR(INDEX(PODACI_PRODAJA!B:B,MATCH($A721,PODACI_PRODAJA!$A:$A,0)),0)</f>
        <v>0</v>
      </c>
      <c r="T721" s="23" t="n">
        <f aca="false">IFERROR(INDEX(PODACI_PRODAJA!C:C,MATCH($A721,PODACI_PRODAJA!$A:$A,0)),0)</f>
        <v>5</v>
      </c>
      <c r="U721" s="23" t="n">
        <f aca="false">IFERROR(INDEX(PODACI_PRODAJA!D:D,MATCH($A721,PODACI_PRODAJA!$A:$A,0)),0)</f>
        <v>0</v>
      </c>
      <c r="V721" s="23" t="n">
        <f aca="false">IFERROR(INDEX(PODACI_PRODAJA!E:E,MATCH($A721,PODACI_PRODAJA!$A:$A,0)),0)</f>
        <v>0</v>
      </c>
      <c r="W721" s="23" t="n">
        <f aca="false">IFERROR(INDEX(PODACI_PRODAJA!F:F,MATCH($A721,PODACI_PRODAJA!$A:$A,0)),0)</f>
        <v>0</v>
      </c>
      <c r="X721" s="23" t="n">
        <f aca="false">IFERROR(INDEX(PODACI_PRODAJA!G:G,MATCH($A721,PODACI_PRODAJA!$A:$A,0)),0)</f>
        <v>0</v>
      </c>
      <c r="Y721" s="23" t="n">
        <f aca="false">IFERROR(INDEX(PODACI_PRODAJA!H:H,MATCH($A721,PODACI_PRODAJA!$A:$A,0)),0)</f>
        <v>0</v>
      </c>
      <c r="Z721" s="23" t="n">
        <f aca="false">IFERROR(INDEX(PODACI_PRODAJA!I:I,MATCH($A721,PODACI_PRODAJA!$A:$A,0)),0)</f>
        <v>0</v>
      </c>
      <c r="AA721" s="23" t="n">
        <f aca="false">IFERROR(INDEX(PODACI_PRODAJA!J:J,MATCH($A721,PODACI_PRODAJA!$A:$A,0)),0)</f>
        <v>0</v>
      </c>
      <c r="AB721" s="23" t="n">
        <f aca="false">IFERROR(INDEX(PODACI_PRODAJA!K:K,MATCH($A721,PODACI_PRODAJA!$A:$A,0)),0)</f>
        <v>0</v>
      </c>
      <c r="AC721" s="23" t="n">
        <f aca="false">IFERROR(INDEX(PODACI_PRODAJA!L:L,MATCH($A721,PODACI_PRODAJA!$A:$A,0)),0)</f>
        <v>0</v>
      </c>
      <c r="AD721" s="23" t="n">
        <f aca="false">IFERROR(INDEX(PODACI_PRODAJA!M:M,MATCH($A721,PODACI_PRODAJA!$A:$A,0)),0)</f>
        <v>0</v>
      </c>
    </row>
    <row r="722" customFormat="false" ht="15" hidden="false" customHeight="false" outlineLevel="0" collapsed="false">
      <c r="A722" s="11" t="str">
        <f aca="false">PODACI_ZALIHE!A719</f>
        <v>155300</v>
      </c>
      <c r="B722" s="8" t="str">
        <f aca="false">PODACI_ZALIHE!B719</f>
        <v>BOLD BIJELA 100110 MINERALSOLID TUŠ KADA 1000x1100x30 mm</v>
      </c>
      <c r="C722" s="9" t="str">
        <f aca="false">PODACI_ZALIHE!C719</f>
        <v>5517</v>
      </c>
      <c r="D722" s="8" t="str">
        <f aca="false">PODACI_ZALIHE!D719</f>
        <v>NICOS INTERNATIONAL S.P.A.</v>
      </c>
      <c r="E722" s="19" t="str">
        <f aca="false">IF(PODACI_ZALIHE!E719="","",PODACI_ZALIHE!E719)</f>
        <v/>
      </c>
      <c r="F722" s="20" t="n">
        <f aca="false">PODACI_ZALIHE!F719</f>
        <v>0</v>
      </c>
      <c r="G722" s="19" t="str">
        <f aca="false">IF(E722="","",E722-F722)</f>
        <v/>
      </c>
      <c r="H722" s="9" t="n">
        <f aca="false">PODACI_PRODAJA!N491</f>
        <v>0.63</v>
      </c>
      <c r="I722" s="21" t="n">
        <f aca="false">IF(H722&lt;=0,999,ROUND(F722/H722,1))</f>
        <v>0</v>
      </c>
      <c r="J722" s="9" t="n">
        <f aca="false">SUMIFS(ROBA_U_DOLASKU!$C$6:$C$95,ROBA_U_DOLASKU!$A$6:$A$95,A722,ROBA_U_DOLASKU!$H$6:$H$95,1)</f>
        <v>0</v>
      </c>
      <c r="K722" s="9" t="n">
        <f aca="false">SUMIFS(ROBA_U_DOLASKU!$B$6:$B$95,ROBA_U_DOLASKU!$A$6:$A$95,A722,ROBA_U_DOLASKU!$H$6:$H$95,1)</f>
        <v>0</v>
      </c>
      <c r="L722" s="9" t="n">
        <f aca="false">SUMIFS(ROBA_U_DOLASKU!$C$6:$C$95,ROBA_U_DOLASKU!$A$6:$A$95,A722,ROBA_U_DOLASKU!$H$6:$H$95,2)</f>
        <v>0</v>
      </c>
      <c r="M722" s="9" t="n">
        <f aca="false">SUMIFS(ROBA_U_DOLASKU!$B$6:$B$95,ROBA_U_DOLASKU!$A$6:$A$95,A722,ROBA_U_DOLASKU!$H$6:$H$95,2)</f>
        <v>0</v>
      </c>
      <c r="N722" s="9" t="n">
        <f aca="false">SUMIFS(ROBA_U_DOLASKU!$C$6:$C$95,ROBA_U_DOLASKU!$A$6:$A$95,A722,ROBA_U_DOLASKU!$H$6:$H$95,3)</f>
        <v>0</v>
      </c>
      <c r="O722" s="9" t="n">
        <f aca="false">SUMIFS(ROBA_U_DOLASKU!$B$6:$B$95,ROBA_U_DOLASKU!$A$6:$A$95,A722,ROBA_U_DOLASKU!$H$6:$H$95,3)</f>
        <v>0</v>
      </c>
      <c r="P722" s="9" t="n">
        <f aca="false">IF(H722&lt;=0,999,IF(O722&gt;0,ROUND((F722-H722*N722+K722+M722+O722)/H722,1),IF(M722&gt;0,ROUND((F722-H722*L722+K722+M722)/H722,1),IF(K722&gt;0,ROUND((F722-H722*J722+K722)/H722,1),I722))))</f>
        <v>0</v>
      </c>
      <c r="Q722" s="22" t="str">
        <f aca="false">IF(H722&lt;=0,"Nema prodaje",IF(AND(K722=0,M722=0,O722=0),IF(I722&lt;POSTAVKE!$B$6,"Naruči odmah","Sve u redu"),IF(F722-H722*J722&lt;0,"Rupa za ~"&amp;TEXT(I722,"0.0")&amp;" mj.",IF(AND(M722&gt;0,F722-H722*L722+K722&lt;0),"Rupa nakon 1. dolaska",IF(AND(O722&gt;0,F722-H722*N722+K722+M722&lt;0),"Rupa nakon 2. dolaska",IF(P722&lt;POSTAVKE!$B$6,"Količina nije dovoljna",IF(I722&gt;=POSTAVKE!$B$6,"Sve u redu","Stiže na vrijeme")))))))</f>
        <v>Naruči odmah</v>
      </c>
      <c r="S722" s="23" t="n">
        <f aca="false">IFERROR(INDEX(PODACI_PRODAJA!B:B,MATCH($A722,PODACI_PRODAJA!$A:$A,0)),0)</f>
        <v>0</v>
      </c>
      <c r="T722" s="23" t="n">
        <f aca="false">IFERROR(INDEX(PODACI_PRODAJA!C:C,MATCH($A722,PODACI_PRODAJA!$A:$A,0)),0)</f>
        <v>0</v>
      </c>
      <c r="U722" s="23" t="n">
        <f aca="false">IFERROR(INDEX(PODACI_PRODAJA!D:D,MATCH($A722,PODACI_PRODAJA!$A:$A,0)),0)</f>
        <v>1</v>
      </c>
      <c r="V722" s="23" t="n">
        <f aca="false">IFERROR(INDEX(PODACI_PRODAJA!E:E,MATCH($A722,PODACI_PRODAJA!$A:$A,0)),0)</f>
        <v>0</v>
      </c>
      <c r="W722" s="23" t="n">
        <f aca="false">IFERROR(INDEX(PODACI_PRODAJA!F:F,MATCH($A722,PODACI_PRODAJA!$A:$A,0)),0)</f>
        <v>3</v>
      </c>
      <c r="X722" s="23" t="n">
        <f aca="false">IFERROR(INDEX(PODACI_PRODAJA!G:G,MATCH($A722,PODACI_PRODAJA!$A:$A,0)),0)</f>
        <v>1</v>
      </c>
      <c r="Y722" s="23" t="n">
        <f aca="false">IFERROR(INDEX(PODACI_PRODAJA!H:H,MATCH($A722,PODACI_PRODAJA!$A:$A,0)),0)</f>
        <v>0</v>
      </c>
      <c r="Z722" s="23" t="n">
        <f aca="false">IFERROR(INDEX(PODACI_PRODAJA!I:I,MATCH($A722,PODACI_PRODAJA!$A:$A,0)),0)</f>
        <v>0</v>
      </c>
      <c r="AA722" s="23" t="n">
        <f aca="false">IFERROR(INDEX(PODACI_PRODAJA!J:J,MATCH($A722,PODACI_PRODAJA!$A:$A,0)),0)</f>
        <v>0</v>
      </c>
      <c r="AB722" s="23" t="n">
        <f aca="false">IFERROR(INDEX(PODACI_PRODAJA!K:K,MATCH($A722,PODACI_PRODAJA!$A:$A,0)),0)</f>
        <v>0</v>
      </c>
      <c r="AC722" s="23" t="n">
        <f aca="false">IFERROR(INDEX(PODACI_PRODAJA!L:L,MATCH($A722,PODACI_PRODAJA!$A:$A,0)),0)</f>
        <v>0</v>
      </c>
      <c r="AD722" s="23" t="n">
        <f aca="false">IFERROR(INDEX(PODACI_PRODAJA!M:M,MATCH($A722,PODACI_PRODAJA!$A:$A,0)),0)</f>
        <v>0</v>
      </c>
    </row>
    <row r="723" customFormat="false" ht="15" hidden="false" customHeight="false" outlineLevel="0" collapsed="false">
      <c r="A723" s="11" t="str">
        <f aca="false">PODACI_ZALIHE!A720</f>
        <v>155310</v>
      </c>
      <c r="B723" s="8" t="str">
        <f aca="false">PODACI_ZALIHE!B720</f>
        <v>BOLD BIJELA 100120 MINERALSOLID TUŠ KADA 1000x1200x30 mm</v>
      </c>
      <c r="C723" s="9" t="str">
        <f aca="false">PODACI_ZALIHE!C720</f>
        <v>5517</v>
      </c>
      <c r="D723" s="8" t="str">
        <f aca="false">PODACI_ZALIHE!D720</f>
        <v>NICOS INTERNATIONAL S.P.A.</v>
      </c>
      <c r="E723" s="19" t="n">
        <f aca="false">IF(PODACI_ZALIHE!E720="","",PODACI_ZALIHE!E720)</f>
        <v>0</v>
      </c>
      <c r="F723" s="20" t="n">
        <f aca="false">PODACI_ZALIHE!F720</f>
        <v>0</v>
      </c>
      <c r="G723" s="19" t="n">
        <f aca="false">IF(E723="","",E723-F723)</f>
        <v>0</v>
      </c>
      <c r="H723" s="9" t="n">
        <f aca="false">PODACI_PRODAJA!N492</f>
        <v>1.25</v>
      </c>
      <c r="I723" s="21" t="n">
        <f aca="false">IF(H723&lt;=0,999,ROUND(F723/H723,1))</f>
        <v>0</v>
      </c>
      <c r="J723" s="9" t="n">
        <f aca="false">SUMIFS(ROBA_U_DOLASKU!$C$6:$C$95,ROBA_U_DOLASKU!$A$6:$A$95,A723,ROBA_U_DOLASKU!$H$6:$H$95,1)</f>
        <v>0</v>
      </c>
      <c r="K723" s="9" t="n">
        <f aca="false">SUMIFS(ROBA_U_DOLASKU!$B$6:$B$95,ROBA_U_DOLASKU!$A$6:$A$95,A723,ROBA_U_DOLASKU!$H$6:$H$95,1)</f>
        <v>0</v>
      </c>
      <c r="L723" s="9" t="n">
        <f aca="false">SUMIFS(ROBA_U_DOLASKU!$C$6:$C$95,ROBA_U_DOLASKU!$A$6:$A$95,A723,ROBA_U_DOLASKU!$H$6:$H$95,2)</f>
        <v>0</v>
      </c>
      <c r="M723" s="9" t="n">
        <f aca="false">SUMIFS(ROBA_U_DOLASKU!$B$6:$B$95,ROBA_U_DOLASKU!$A$6:$A$95,A723,ROBA_U_DOLASKU!$H$6:$H$95,2)</f>
        <v>0</v>
      </c>
      <c r="N723" s="9" t="n">
        <f aca="false">SUMIFS(ROBA_U_DOLASKU!$C$6:$C$95,ROBA_U_DOLASKU!$A$6:$A$95,A723,ROBA_U_DOLASKU!$H$6:$H$95,3)</f>
        <v>0</v>
      </c>
      <c r="O723" s="9" t="n">
        <f aca="false">SUMIFS(ROBA_U_DOLASKU!$B$6:$B$95,ROBA_U_DOLASKU!$A$6:$A$95,A723,ROBA_U_DOLASKU!$H$6:$H$95,3)</f>
        <v>0</v>
      </c>
      <c r="P723" s="9" t="n">
        <f aca="false">IF(H723&lt;=0,999,IF(O723&gt;0,ROUND((F723-H723*N723+K723+M723+O723)/H723,1),IF(M723&gt;0,ROUND((F723-H723*L723+K723+M723)/H723,1),IF(K723&gt;0,ROUND((F723-H723*J723+K723)/H723,1),I723))))</f>
        <v>0</v>
      </c>
      <c r="Q723" s="22" t="str">
        <f aca="false">IF(H723&lt;=0,"Nema prodaje",IF(AND(K723=0,M723=0,O723=0),IF(I723&lt;POSTAVKE!$B$6,"Naruči odmah","Sve u redu"),IF(F723-H723*J723&lt;0,"Rupa za ~"&amp;TEXT(I723,"0.0")&amp;" mj.",IF(AND(M723&gt;0,F723-H723*L723+K723&lt;0),"Rupa nakon 1. dolaska",IF(AND(O723&gt;0,F723-H723*N723+K723+M723&lt;0),"Rupa nakon 2. dolaska",IF(P723&lt;POSTAVKE!$B$6,"Količina nije dovoljna",IF(I723&gt;=POSTAVKE!$B$6,"Sve u redu","Stiže na vrijeme")))))))</f>
        <v>Naruči odmah</v>
      </c>
      <c r="S723" s="23" t="n">
        <f aca="false">IFERROR(INDEX(PODACI_PRODAJA!B:B,MATCH($A723,PODACI_PRODAJA!$A:$A,0)),0)</f>
        <v>0</v>
      </c>
      <c r="T723" s="23" t="n">
        <f aca="false">IFERROR(INDEX(PODACI_PRODAJA!C:C,MATCH($A723,PODACI_PRODAJA!$A:$A,0)),0)</f>
        <v>0</v>
      </c>
      <c r="U723" s="23" t="n">
        <f aca="false">IFERROR(INDEX(PODACI_PRODAJA!D:D,MATCH($A723,PODACI_PRODAJA!$A:$A,0)),0)</f>
        <v>4</v>
      </c>
      <c r="V723" s="23" t="n">
        <f aca="false">IFERROR(INDEX(PODACI_PRODAJA!E:E,MATCH($A723,PODACI_PRODAJA!$A:$A,0)),0)</f>
        <v>0</v>
      </c>
      <c r="W723" s="23" t="n">
        <f aca="false">IFERROR(INDEX(PODACI_PRODAJA!F:F,MATCH($A723,PODACI_PRODAJA!$A:$A,0)),0)</f>
        <v>4</v>
      </c>
      <c r="X723" s="23" t="n">
        <f aca="false">IFERROR(INDEX(PODACI_PRODAJA!G:G,MATCH($A723,PODACI_PRODAJA!$A:$A,0)),0)</f>
        <v>2</v>
      </c>
      <c r="Y723" s="23" t="n">
        <f aca="false">IFERROR(INDEX(PODACI_PRODAJA!H:H,MATCH($A723,PODACI_PRODAJA!$A:$A,0)),0)</f>
        <v>0</v>
      </c>
      <c r="Z723" s="23" t="n">
        <f aca="false">IFERROR(INDEX(PODACI_PRODAJA!I:I,MATCH($A723,PODACI_PRODAJA!$A:$A,0)),0)</f>
        <v>0</v>
      </c>
      <c r="AA723" s="23" t="n">
        <f aca="false">IFERROR(INDEX(PODACI_PRODAJA!J:J,MATCH($A723,PODACI_PRODAJA!$A:$A,0)),0)</f>
        <v>0</v>
      </c>
      <c r="AB723" s="23" t="n">
        <f aca="false">IFERROR(INDEX(PODACI_PRODAJA!K:K,MATCH($A723,PODACI_PRODAJA!$A:$A,0)),0)</f>
        <v>0</v>
      </c>
      <c r="AC723" s="23" t="n">
        <f aca="false">IFERROR(INDEX(PODACI_PRODAJA!L:L,MATCH($A723,PODACI_PRODAJA!$A:$A,0)),0)</f>
        <v>0</v>
      </c>
      <c r="AD723" s="23" t="n">
        <f aca="false">IFERROR(INDEX(PODACI_PRODAJA!M:M,MATCH($A723,PODACI_PRODAJA!$A:$A,0)),0)</f>
        <v>0</v>
      </c>
    </row>
    <row r="724" customFormat="false" ht="15" hidden="false" customHeight="false" outlineLevel="0" collapsed="false">
      <c r="A724" s="11" t="str">
        <f aca="false">PODACI_ZALIHE!A721</f>
        <v>155320</v>
      </c>
      <c r="B724" s="8" t="str">
        <f aca="false">PODACI_ZALIHE!B721</f>
        <v>BOLD BIJELA 100130 MINERALSOLID TUŠ KADA 1000x1300x30 mm</v>
      </c>
      <c r="C724" s="9" t="str">
        <f aca="false">PODACI_ZALIHE!C721</f>
        <v>5517</v>
      </c>
      <c r="D724" s="8" t="str">
        <f aca="false">PODACI_ZALIHE!D721</f>
        <v>NICOS INTERNATIONAL S.P.A.</v>
      </c>
      <c r="E724" s="19" t="n">
        <f aca="false">IF(PODACI_ZALIHE!E721="","",PODACI_ZALIHE!E721)</f>
        <v>0</v>
      </c>
      <c r="F724" s="20" t="n">
        <f aca="false">PODACI_ZALIHE!F721</f>
        <v>0</v>
      </c>
      <c r="G724" s="19" t="n">
        <f aca="false">IF(E724="","",E724-F724)</f>
        <v>0</v>
      </c>
      <c r="H724" s="9" t="n">
        <f aca="false">PODACI_PRODAJA!N493</f>
        <v>1.38</v>
      </c>
      <c r="I724" s="21" t="n">
        <f aca="false">IF(H724&lt;=0,999,ROUND(F724/H724,1))</f>
        <v>0</v>
      </c>
      <c r="J724" s="9" t="n">
        <f aca="false">SUMIFS(ROBA_U_DOLASKU!$C$6:$C$95,ROBA_U_DOLASKU!$A$6:$A$95,A724,ROBA_U_DOLASKU!$H$6:$H$95,1)</f>
        <v>0</v>
      </c>
      <c r="K724" s="9" t="n">
        <f aca="false">SUMIFS(ROBA_U_DOLASKU!$B$6:$B$95,ROBA_U_DOLASKU!$A$6:$A$95,A724,ROBA_U_DOLASKU!$H$6:$H$95,1)</f>
        <v>0</v>
      </c>
      <c r="L724" s="9" t="n">
        <f aca="false">SUMIFS(ROBA_U_DOLASKU!$C$6:$C$95,ROBA_U_DOLASKU!$A$6:$A$95,A724,ROBA_U_DOLASKU!$H$6:$H$95,2)</f>
        <v>0</v>
      </c>
      <c r="M724" s="9" t="n">
        <f aca="false">SUMIFS(ROBA_U_DOLASKU!$B$6:$B$95,ROBA_U_DOLASKU!$A$6:$A$95,A724,ROBA_U_DOLASKU!$H$6:$H$95,2)</f>
        <v>0</v>
      </c>
      <c r="N724" s="9" t="n">
        <f aca="false">SUMIFS(ROBA_U_DOLASKU!$C$6:$C$95,ROBA_U_DOLASKU!$A$6:$A$95,A724,ROBA_U_DOLASKU!$H$6:$H$95,3)</f>
        <v>0</v>
      </c>
      <c r="O724" s="9" t="n">
        <f aca="false">SUMIFS(ROBA_U_DOLASKU!$B$6:$B$95,ROBA_U_DOLASKU!$A$6:$A$95,A724,ROBA_U_DOLASKU!$H$6:$H$95,3)</f>
        <v>0</v>
      </c>
      <c r="P724" s="9" t="n">
        <f aca="false">IF(H724&lt;=0,999,IF(O724&gt;0,ROUND((F724-H724*N724+K724+M724+O724)/H724,1),IF(M724&gt;0,ROUND((F724-H724*L724+K724+M724)/H724,1),IF(K724&gt;0,ROUND((F724-H724*J724+K724)/H724,1),I724))))</f>
        <v>0</v>
      </c>
      <c r="Q724" s="22" t="str">
        <f aca="false">IF(H724&lt;=0,"Nema prodaje",IF(AND(K724=0,M724=0,O724=0),IF(I724&lt;POSTAVKE!$B$6,"Naruči odmah","Sve u redu"),IF(F724-H724*J724&lt;0,"Rupa za ~"&amp;TEXT(I724,"0.0")&amp;" mj.",IF(AND(M724&gt;0,F724-H724*L724+K724&lt;0),"Rupa nakon 1. dolaska",IF(AND(O724&gt;0,F724-H724*N724+K724+M724&lt;0),"Rupa nakon 2. dolaska",IF(P724&lt;POSTAVKE!$B$6,"Količina nije dovoljna",IF(I724&gt;=POSTAVKE!$B$6,"Sve u redu","Stiže na vrijeme")))))))</f>
        <v>Naruči odmah</v>
      </c>
      <c r="S724" s="23" t="n">
        <f aca="false">IFERROR(INDEX(PODACI_PRODAJA!B:B,MATCH($A724,PODACI_PRODAJA!$A:$A,0)),0)</f>
        <v>0</v>
      </c>
      <c r="T724" s="23" t="n">
        <f aca="false">IFERROR(INDEX(PODACI_PRODAJA!C:C,MATCH($A724,PODACI_PRODAJA!$A:$A,0)),0)</f>
        <v>2</v>
      </c>
      <c r="U724" s="23" t="n">
        <f aca="false">IFERROR(INDEX(PODACI_PRODAJA!D:D,MATCH($A724,PODACI_PRODAJA!$A:$A,0)),0)</f>
        <v>4</v>
      </c>
      <c r="V724" s="23" t="n">
        <f aca="false">IFERROR(INDEX(PODACI_PRODAJA!E:E,MATCH($A724,PODACI_PRODAJA!$A:$A,0)),0)</f>
        <v>4</v>
      </c>
      <c r="W724" s="23" t="n">
        <f aca="false">IFERROR(INDEX(PODACI_PRODAJA!F:F,MATCH($A724,PODACI_PRODAJA!$A:$A,0)),0)</f>
        <v>1</v>
      </c>
      <c r="X724" s="23" t="n">
        <f aca="false">IFERROR(INDEX(PODACI_PRODAJA!G:G,MATCH($A724,PODACI_PRODAJA!$A:$A,0)),0)</f>
        <v>0</v>
      </c>
      <c r="Y724" s="23" t="n">
        <f aca="false">IFERROR(INDEX(PODACI_PRODAJA!H:H,MATCH($A724,PODACI_PRODAJA!$A:$A,0)),0)</f>
        <v>0</v>
      </c>
      <c r="Z724" s="23" t="n">
        <f aca="false">IFERROR(INDEX(PODACI_PRODAJA!I:I,MATCH($A724,PODACI_PRODAJA!$A:$A,0)),0)</f>
        <v>0</v>
      </c>
      <c r="AA724" s="23" t="n">
        <f aca="false">IFERROR(INDEX(PODACI_PRODAJA!J:J,MATCH($A724,PODACI_PRODAJA!$A:$A,0)),0)</f>
        <v>0</v>
      </c>
      <c r="AB724" s="23" t="n">
        <f aca="false">IFERROR(INDEX(PODACI_PRODAJA!K:K,MATCH($A724,PODACI_PRODAJA!$A:$A,0)),0)</f>
        <v>0</v>
      </c>
      <c r="AC724" s="23" t="n">
        <f aca="false">IFERROR(INDEX(PODACI_PRODAJA!L:L,MATCH($A724,PODACI_PRODAJA!$A:$A,0)),0)</f>
        <v>0</v>
      </c>
      <c r="AD724" s="23" t="n">
        <f aca="false">IFERROR(INDEX(PODACI_PRODAJA!M:M,MATCH($A724,PODACI_PRODAJA!$A:$A,0)),0)</f>
        <v>0</v>
      </c>
    </row>
    <row r="725" customFormat="false" ht="15" hidden="false" customHeight="false" outlineLevel="0" collapsed="false">
      <c r="A725" s="11" t="str">
        <f aca="false">PODACI_ZALIHE!A722</f>
        <v>155340</v>
      </c>
      <c r="B725" s="8" t="str">
        <f aca="false">PODACI_ZALIHE!B722</f>
        <v>BOLD BIJELA 100150 MINERALSOLID TUŠ KADA 1000x1500x30 mm</v>
      </c>
      <c r="C725" s="9" t="str">
        <f aca="false">PODACI_ZALIHE!C722</f>
        <v>5517</v>
      </c>
      <c r="D725" s="8" t="str">
        <f aca="false">PODACI_ZALIHE!D722</f>
        <v>NICOS INTERNATIONAL S.P.A.</v>
      </c>
      <c r="E725" s="19" t="n">
        <f aca="false">IF(PODACI_ZALIHE!E722="","",PODACI_ZALIHE!E722)</f>
        <v>0</v>
      </c>
      <c r="F725" s="20" t="n">
        <f aca="false">PODACI_ZALIHE!F722</f>
        <v>0</v>
      </c>
      <c r="G725" s="19" t="n">
        <f aca="false">IF(E725="","",E725-F725)</f>
        <v>0</v>
      </c>
      <c r="H725" s="9" t="n">
        <f aca="false">PODACI_PRODAJA!N186</f>
        <v>0.88</v>
      </c>
      <c r="I725" s="21" t="n">
        <f aca="false">IF(H725&lt;=0,999,ROUND(F725/H725,1))</f>
        <v>0</v>
      </c>
      <c r="J725" s="9" t="n">
        <f aca="false">SUMIFS(ROBA_U_DOLASKU!$C$6:$C$95,ROBA_U_DOLASKU!$A$6:$A$95,A725,ROBA_U_DOLASKU!$H$6:$H$95,1)</f>
        <v>0</v>
      </c>
      <c r="K725" s="9" t="n">
        <f aca="false">SUMIFS(ROBA_U_DOLASKU!$B$6:$B$95,ROBA_U_DOLASKU!$A$6:$A$95,A725,ROBA_U_DOLASKU!$H$6:$H$95,1)</f>
        <v>0</v>
      </c>
      <c r="L725" s="9" t="n">
        <f aca="false">SUMIFS(ROBA_U_DOLASKU!$C$6:$C$95,ROBA_U_DOLASKU!$A$6:$A$95,A725,ROBA_U_DOLASKU!$H$6:$H$95,2)</f>
        <v>0</v>
      </c>
      <c r="M725" s="9" t="n">
        <f aca="false">SUMIFS(ROBA_U_DOLASKU!$B$6:$B$95,ROBA_U_DOLASKU!$A$6:$A$95,A725,ROBA_U_DOLASKU!$H$6:$H$95,2)</f>
        <v>0</v>
      </c>
      <c r="N725" s="9" t="n">
        <f aca="false">SUMIFS(ROBA_U_DOLASKU!$C$6:$C$95,ROBA_U_DOLASKU!$A$6:$A$95,A725,ROBA_U_DOLASKU!$H$6:$H$95,3)</f>
        <v>0</v>
      </c>
      <c r="O725" s="9" t="n">
        <f aca="false">SUMIFS(ROBA_U_DOLASKU!$B$6:$B$95,ROBA_U_DOLASKU!$A$6:$A$95,A725,ROBA_U_DOLASKU!$H$6:$H$95,3)</f>
        <v>0</v>
      </c>
      <c r="P725" s="9" t="n">
        <f aca="false">IF(H725&lt;=0,999,IF(O725&gt;0,ROUND((F725-H725*N725+K725+M725+O725)/H725,1),IF(M725&gt;0,ROUND((F725-H725*L725+K725+M725)/H725,1),IF(K725&gt;0,ROUND((F725-H725*J725+K725)/H725,1),I725))))</f>
        <v>0</v>
      </c>
      <c r="Q725" s="22" t="str">
        <f aca="false">IF(H725&lt;=0,"Nema prodaje",IF(AND(K725=0,M725=0,O725=0),IF(I725&lt;POSTAVKE!$B$6,"Naruči odmah","Sve u redu"),IF(F725-H725*J725&lt;0,"Rupa za ~"&amp;TEXT(I725,"0.0")&amp;" mj.",IF(AND(M725&gt;0,F725-H725*L725+K725&lt;0),"Rupa nakon 1. dolaska",IF(AND(O725&gt;0,F725-H725*N725+K725+M725&lt;0),"Rupa nakon 2. dolaska",IF(P725&lt;POSTAVKE!$B$6,"Količina nije dovoljna",IF(I725&gt;=POSTAVKE!$B$6,"Sve u redu","Stiže na vrijeme")))))))</f>
        <v>Naruči odmah</v>
      </c>
      <c r="S725" s="23" t="n">
        <f aca="false">IFERROR(INDEX(PODACI_PRODAJA!B:B,MATCH($A725,PODACI_PRODAJA!$A:$A,0)),0)</f>
        <v>2</v>
      </c>
      <c r="T725" s="23" t="n">
        <f aca="false">IFERROR(INDEX(PODACI_PRODAJA!C:C,MATCH($A725,PODACI_PRODAJA!$A:$A,0)),0)</f>
        <v>2</v>
      </c>
      <c r="U725" s="23" t="n">
        <f aca="false">IFERROR(INDEX(PODACI_PRODAJA!D:D,MATCH($A725,PODACI_PRODAJA!$A:$A,0)),0)</f>
        <v>3</v>
      </c>
      <c r="V725" s="23" t="n">
        <f aca="false">IFERROR(INDEX(PODACI_PRODAJA!E:E,MATCH($A725,PODACI_PRODAJA!$A:$A,0)),0)</f>
        <v>0</v>
      </c>
      <c r="W725" s="23" t="n">
        <f aca="false">IFERROR(INDEX(PODACI_PRODAJA!F:F,MATCH($A725,PODACI_PRODAJA!$A:$A,0)),0)</f>
        <v>0</v>
      </c>
      <c r="X725" s="23" t="n">
        <f aca="false">IFERROR(INDEX(PODACI_PRODAJA!G:G,MATCH($A725,PODACI_PRODAJA!$A:$A,0)),0)</f>
        <v>0</v>
      </c>
      <c r="Y725" s="23" t="n">
        <f aca="false">IFERROR(INDEX(PODACI_PRODAJA!H:H,MATCH($A725,PODACI_PRODAJA!$A:$A,0)),0)</f>
        <v>0</v>
      </c>
      <c r="Z725" s="23" t="n">
        <f aca="false">IFERROR(INDEX(PODACI_PRODAJA!I:I,MATCH($A725,PODACI_PRODAJA!$A:$A,0)),0)</f>
        <v>0</v>
      </c>
      <c r="AA725" s="23" t="n">
        <f aca="false">IFERROR(INDEX(PODACI_PRODAJA!J:J,MATCH($A725,PODACI_PRODAJA!$A:$A,0)),0)</f>
        <v>0</v>
      </c>
      <c r="AB725" s="23" t="n">
        <f aca="false">IFERROR(INDEX(PODACI_PRODAJA!K:K,MATCH($A725,PODACI_PRODAJA!$A:$A,0)),0)</f>
        <v>0</v>
      </c>
      <c r="AC725" s="23" t="n">
        <f aca="false">IFERROR(INDEX(PODACI_PRODAJA!L:L,MATCH($A725,PODACI_PRODAJA!$A:$A,0)),0)</f>
        <v>0</v>
      </c>
      <c r="AD725" s="23" t="n">
        <f aca="false">IFERROR(INDEX(PODACI_PRODAJA!M:M,MATCH($A725,PODACI_PRODAJA!$A:$A,0)),0)</f>
        <v>0</v>
      </c>
    </row>
    <row r="726" customFormat="false" ht="15" hidden="false" customHeight="false" outlineLevel="0" collapsed="false">
      <c r="A726" s="11" t="str">
        <f aca="false">PODACI_ZALIHE!A723</f>
        <v>15661R</v>
      </c>
      <c r="B726" s="8" t="str">
        <f aca="false">PODACI_ZALIHE!B723</f>
        <v>BOLD S BIJELA 80R MINERALSOLID TUŠ KADA 800x800x30 mm</v>
      </c>
      <c r="C726" s="9" t="str">
        <f aca="false">PODACI_ZALIHE!C723</f>
        <v>5517</v>
      </c>
      <c r="D726" s="8" t="str">
        <f aca="false">PODACI_ZALIHE!D723</f>
        <v>NICOS INTERNATIONAL S.P.A.</v>
      </c>
      <c r="E726" s="19" t="n">
        <f aca="false">IF(PODACI_ZALIHE!E723="","",PODACI_ZALIHE!E723)</f>
        <v>0</v>
      </c>
      <c r="F726" s="20" t="n">
        <f aca="false">PODACI_ZALIHE!F723</f>
        <v>0</v>
      </c>
      <c r="G726" s="19" t="n">
        <f aca="false">IF(E726="","",E726-F726)</f>
        <v>0</v>
      </c>
      <c r="H726" s="9" t="n">
        <f aca="false">PODACI_PRODAJA!N239</f>
        <v>0.63</v>
      </c>
      <c r="I726" s="21" t="n">
        <f aca="false">IF(H726&lt;=0,999,ROUND(F726/H726,1))</f>
        <v>0</v>
      </c>
      <c r="J726" s="9" t="n">
        <f aca="false">SUMIFS(ROBA_U_DOLASKU!$C$6:$C$95,ROBA_U_DOLASKU!$A$6:$A$95,A726,ROBA_U_DOLASKU!$H$6:$H$95,1)</f>
        <v>0</v>
      </c>
      <c r="K726" s="9" t="n">
        <f aca="false">SUMIFS(ROBA_U_DOLASKU!$B$6:$B$95,ROBA_U_DOLASKU!$A$6:$A$95,A726,ROBA_U_DOLASKU!$H$6:$H$95,1)</f>
        <v>0</v>
      </c>
      <c r="L726" s="9" t="n">
        <f aca="false">SUMIFS(ROBA_U_DOLASKU!$C$6:$C$95,ROBA_U_DOLASKU!$A$6:$A$95,A726,ROBA_U_DOLASKU!$H$6:$H$95,2)</f>
        <v>0</v>
      </c>
      <c r="M726" s="9" t="n">
        <f aca="false">SUMIFS(ROBA_U_DOLASKU!$B$6:$B$95,ROBA_U_DOLASKU!$A$6:$A$95,A726,ROBA_U_DOLASKU!$H$6:$H$95,2)</f>
        <v>0</v>
      </c>
      <c r="N726" s="9" t="n">
        <f aca="false">SUMIFS(ROBA_U_DOLASKU!$C$6:$C$95,ROBA_U_DOLASKU!$A$6:$A$95,A726,ROBA_U_DOLASKU!$H$6:$H$95,3)</f>
        <v>0</v>
      </c>
      <c r="O726" s="9" t="n">
        <f aca="false">SUMIFS(ROBA_U_DOLASKU!$B$6:$B$95,ROBA_U_DOLASKU!$A$6:$A$95,A726,ROBA_U_DOLASKU!$H$6:$H$95,3)</f>
        <v>0</v>
      </c>
      <c r="P726" s="9" t="n">
        <f aca="false">IF(H726&lt;=0,999,IF(O726&gt;0,ROUND((F726-H726*N726+K726+M726+O726)/H726,1),IF(M726&gt;0,ROUND((F726-H726*L726+K726+M726)/H726,1),IF(K726&gt;0,ROUND((F726-H726*J726+K726)/H726,1),I726))))</f>
        <v>0</v>
      </c>
      <c r="Q726" s="22" t="str">
        <f aca="false">IF(H726&lt;=0,"Nema prodaje",IF(AND(K726=0,M726=0,O726=0),IF(I726&lt;POSTAVKE!$B$6,"Naruči odmah","Sve u redu"),IF(F726-H726*J726&lt;0,"Rupa za ~"&amp;TEXT(I726,"0.0")&amp;" mj.",IF(AND(M726&gt;0,F726-H726*L726+K726&lt;0),"Rupa nakon 1. dolaska",IF(AND(O726&gt;0,F726-H726*N726+K726+M726&lt;0),"Rupa nakon 2. dolaska",IF(P726&lt;POSTAVKE!$B$6,"Količina nije dovoljna",IF(I726&gt;=POSTAVKE!$B$6,"Sve u redu","Stiže na vrijeme")))))))</f>
        <v>Naruči odmah</v>
      </c>
      <c r="S726" s="23" t="n">
        <f aca="false">IFERROR(INDEX(PODACI_PRODAJA!B:B,MATCH($A726,PODACI_PRODAJA!$A:$A,0)),0)</f>
        <v>1</v>
      </c>
      <c r="T726" s="23" t="n">
        <f aca="false">IFERROR(INDEX(PODACI_PRODAJA!C:C,MATCH($A726,PODACI_PRODAJA!$A:$A,0)),0)</f>
        <v>3</v>
      </c>
      <c r="U726" s="23" t="n">
        <f aca="false">IFERROR(INDEX(PODACI_PRODAJA!D:D,MATCH($A726,PODACI_PRODAJA!$A:$A,0)),0)</f>
        <v>0</v>
      </c>
      <c r="V726" s="23" t="n">
        <f aca="false">IFERROR(INDEX(PODACI_PRODAJA!E:E,MATCH($A726,PODACI_PRODAJA!$A:$A,0)),0)</f>
        <v>0</v>
      </c>
      <c r="W726" s="23" t="n">
        <f aca="false">IFERROR(INDEX(PODACI_PRODAJA!F:F,MATCH($A726,PODACI_PRODAJA!$A:$A,0)),0)</f>
        <v>0</v>
      </c>
      <c r="X726" s="23" t="n">
        <f aca="false">IFERROR(INDEX(PODACI_PRODAJA!G:G,MATCH($A726,PODACI_PRODAJA!$A:$A,0)),0)</f>
        <v>1</v>
      </c>
      <c r="Y726" s="23" t="n">
        <f aca="false">IFERROR(INDEX(PODACI_PRODAJA!H:H,MATCH($A726,PODACI_PRODAJA!$A:$A,0)),0)</f>
        <v>0</v>
      </c>
      <c r="Z726" s="23" t="n">
        <f aca="false">IFERROR(INDEX(PODACI_PRODAJA!I:I,MATCH($A726,PODACI_PRODAJA!$A:$A,0)),0)</f>
        <v>0</v>
      </c>
      <c r="AA726" s="23" t="n">
        <f aca="false">IFERROR(INDEX(PODACI_PRODAJA!J:J,MATCH($A726,PODACI_PRODAJA!$A:$A,0)),0)</f>
        <v>0</v>
      </c>
      <c r="AB726" s="23" t="n">
        <f aca="false">IFERROR(INDEX(PODACI_PRODAJA!K:K,MATCH($A726,PODACI_PRODAJA!$A:$A,0)),0)</f>
        <v>0</v>
      </c>
      <c r="AC726" s="23" t="n">
        <f aca="false">IFERROR(INDEX(PODACI_PRODAJA!L:L,MATCH($A726,PODACI_PRODAJA!$A:$A,0)),0)</f>
        <v>0</v>
      </c>
      <c r="AD726" s="23" t="n">
        <f aca="false">IFERROR(INDEX(PODACI_PRODAJA!M:M,MATCH($A726,PODACI_PRODAJA!$A:$A,0)),0)</f>
        <v>0</v>
      </c>
    </row>
    <row r="727" customFormat="false" ht="15" hidden="false" customHeight="false" outlineLevel="0" collapsed="false">
      <c r="A727" s="11" t="str">
        <f aca="false">PODACI_ZALIHE!A724</f>
        <v>156620</v>
      </c>
      <c r="B727" s="8" t="str">
        <f aca="false">PODACI_ZALIHE!B724</f>
        <v>BOLD S BIJELA 8090 MINERALSOLID TUŠ KADA 800x900x30 mm</v>
      </c>
      <c r="C727" s="9" t="str">
        <f aca="false">PODACI_ZALIHE!C724</f>
        <v>5517</v>
      </c>
      <c r="D727" s="8" t="str">
        <f aca="false">PODACI_ZALIHE!D724</f>
        <v>NICOS INTERNATIONAL S.P.A.</v>
      </c>
      <c r="E727" s="19" t="n">
        <f aca="false">IF(PODACI_ZALIHE!E724="","",PODACI_ZALIHE!E724)</f>
        <v>0</v>
      </c>
      <c r="F727" s="20" t="n">
        <f aca="false">PODACI_ZALIHE!F724</f>
        <v>0</v>
      </c>
      <c r="G727" s="19" t="n">
        <f aca="false">IF(E727="","",E727-F727)</f>
        <v>0</v>
      </c>
      <c r="H727" s="9" t="n">
        <f aca="false">PODACI_PRODAJA!N496</f>
        <v>2.5</v>
      </c>
      <c r="I727" s="21" t="n">
        <f aca="false">IF(H727&lt;=0,999,ROUND(F727/H727,1))</f>
        <v>0</v>
      </c>
      <c r="J727" s="9" t="n">
        <f aca="false">SUMIFS(ROBA_U_DOLASKU!$C$6:$C$95,ROBA_U_DOLASKU!$A$6:$A$95,A727,ROBA_U_DOLASKU!$H$6:$H$95,1)</f>
        <v>0</v>
      </c>
      <c r="K727" s="9" t="n">
        <f aca="false">SUMIFS(ROBA_U_DOLASKU!$B$6:$B$95,ROBA_U_DOLASKU!$A$6:$A$95,A727,ROBA_U_DOLASKU!$H$6:$H$95,1)</f>
        <v>0</v>
      </c>
      <c r="L727" s="9" t="n">
        <f aca="false">SUMIFS(ROBA_U_DOLASKU!$C$6:$C$95,ROBA_U_DOLASKU!$A$6:$A$95,A727,ROBA_U_DOLASKU!$H$6:$H$95,2)</f>
        <v>0</v>
      </c>
      <c r="M727" s="9" t="n">
        <f aca="false">SUMIFS(ROBA_U_DOLASKU!$B$6:$B$95,ROBA_U_DOLASKU!$A$6:$A$95,A727,ROBA_U_DOLASKU!$H$6:$H$95,2)</f>
        <v>0</v>
      </c>
      <c r="N727" s="9" t="n">
        <f aca="false">SUMIFS(ROBA_U_DOLASKU!$C$6:$C$95,ROBA_U_DOLASKU!$A$6:$A$95,A727,ROBA_U_DOLASKU!$H$6:$H$95,3)</f>
        <v>0</v>
      </c>
      <c r="O727" s="9" t="n">
        <f aca="false">SUMIFS(ROBA_U_DOLASKU!$B$6:$B$95,ROBA_U_DOLASKU!$A$6:$A$95,A727,ROBA_U_DOLASKU!$H$6:$H$95,3)</f>
        <v>0</v>
      </c>
      <c r="P727" s="9" t="n">
        <f aca="false">IF(H727&lt;=0,999,IF(O727&gt;0,ROUND((F727-H727*N727+K727+M727+O727)/H727,1),IF(M727&gt;0,ROUND((F727-H727*L727+K727+M727)/H727,1),IF(K727&gt;0,ROUND((F727-H727*J727+K727)/H727,1),I727))))</f>
        <v>0</v>
      </c>
      <c r="Q727" s="22" t="str">
        <f aca="false">IF(H727&lt;=0,"Nema prodaje",IF(AND(K727=0,M727=0,O727=0),IF(I727&lt;POSTAVKE!$B$6,"Naruči odmah","Sve u redu"),IF(F727-H727*J727&lt;0,"Rupa za ~"&amp;TEXT(I727,"0.0")&amp;" mj.",IF(AND(M727&gt;0,F727-H727*L727+K727&lt;0),"Rupa nakon 1. dolaska",IF(AND(O727&gt;0,F727-H727*N727+K727+M727&lt;0),"Rupa nakon 2. dolaska",IF(P727&lt;POSTAVKE!$B$6,"Količina nije dovoljna",IF(I727&gt;=POSTAVKE!$B$6,"Sve u redu","Stiže na vrijeme")))))))</f>
        <v>Naruči odmah</v>
      </c>
      <c r="S727" s="23" t="n">
        <f aca="false">IFERROR(INDEX(PODACI_PRODAJA!B:B,MATCH($A727,PODACI_PRODAJA!$A:$A,0)),0)</f>
        <v>0</v>
      </c>
      <c r="T727" s="23" t="n">
        <f aca="false">IFERROR(INDEX(PODACI_PRODAJA!C:C,MATCH($A727,PODACI_PRODAJA!$A:$A,0)),0)</f>
        <v>8</v>
      </c>
      <c r="U727" s="23" t="n">
        <f aca="false">IFERROR(INDEX(PODACI_PRODAJA!D:D,MATCH($A727,PODACI_PRODAJA!$A:$A,0)),0)</f>
        <v>0</v>
      </c>
      <c r="V727" s="23" t="n">
        <f aca="false">IFERROR(INDEX(PODACI_PRODAJA!E:E,MATCH($A727,PODACI_PRODAJA!$A:$A,0)),0)</f>
        <v>6</v>
      </c>
      <c r="W727" s="23" t="n">
        <f aca="false">IFERROR(INDEX(PODACI_PRODAJA!F:F,MATCH($A727,PODACI_PRODAJA!$A:$A,0)),0)</f>
        <v>6</v>
      </c>
      <c r="X727" s="23" t="n">
        <f aca="false">IFERROR(INDEX(PODACI_PRODAJA!G:G,MATCH($A727,PODACI_PRODAJA!$A:$A,0)),0)</f>
        <v>0</v>
      </c>
      <c r="Y727" s="23" t="n">
        <f aca="false">IFERROR(INDEX(PODACI_PRODAJA!H:H,MATCH($A727,PODACI_PRODAJA!$A:$A,0)),0)</f>
        <v>0</v>
      </c>
      <c r="Z727" s="23" t="n">
        <f aca="false">IFERROR(INDEX(PODACI_PRODAJA!I:I,MATCH($A727,PODACI_PRODAJA!$A:$A,0)),0)</f>
        <v>0</v>
      </c>
      <c r="AA727" s="23" t="n">
        <f aca="false">IFERROR(INDEX(PODACI_PRODAJA!J:J,MATCH($A727,PODACI_PRODAJA!$A:$A,0)),0)</f>
        <v>0</v>
      </c>
      <c r="AB727" s="23" t="n">
        <f aca="false">IFERROR(INDEX(PODACI_PRODAJA!K:K,MATCH($A727,PODACI_PRODAJA!$A:$A,0)),0)</f>
        <v>0</v>
      </c>
      <c r="AC727" s="23" t="n">
        <f aca="false">IFERROR(INDEX(PODACI_PRODAJA!L:L,MATCH($A727,PODACI_PRODAJA!$A:$A,0)),0)</f>
        <v>0</v>
      </c>
      <c r="AD727" s="23" t="n">
        <f aca="false">IFERROR(INDEX(PODACI_PRODAJA!M:M,MATCH($A727,PODACI_PRODAJA!$A:$A,0)),0)</f>
        <v>0</v>
      </c>
    </row>
    <row r="728" customFormat="false" ht="15" hidden="false" customHeight="false" outlineLevel="0" collapsed="false">
      <c r="A728" s="11" t="str">
        <f aca="false">PODACI_ZALIHE!A725</f>
        <v>15663R</v>
      </c>
      <c r="B728" s="8" t="str">
        <f aca="false">PODACI_ZALIHE!B725</f>
        <v>BOLD S BIJELA 100R MINERALSOLID TUŠ KADA 1000x1000x30 mm</v>
      </c>
      <c r="C728" s="9" t="str">
        <f aca="false">PODACI_ZALIHE!C725</f>
        <v>5517</v>
      </c>
      <c r="D728" s="8" t="str">
        <f aca="false">PODACI_ZALIHE!D725</f>
        <v>NICOS INTERNATIONAL S.P.A.</v>
      </c>
      <c r="E728" s="19" t="n">
        <f aca="false">IF(PODACI_ZALIHE!E725="","",PODACI_ZALIHE!E725)</f>
        <v>0</v>
      </c>
      <c r="F728" s="20" t="n">
        <f aca="false">PODACI_ZALIHE!F725</f>
        <v>0</v>
      </c>
      <c r="G728" s="19" t="n">
        <f aca="false">IF(E728="","",E728-F728)</f>
        <v>0</v>
      </c>
      <c r="H728" s="9" t="n">
        <v>0</v>
      </c>
      <c r="I728" s="21" t="n">
        <f aca="false">IF(H728&lt;=0,999,ROUND(F728/H728,1))</f>
        <v>999</v>
      </c>
      <c r="J728" s="9" t="n">
        <f aca="false">SUMIFS(ROBA_U_DOLASKU!$C$6:$C$95,ROBA_U_DOLASKU!$A$6:$A$95,A728,ROBA_U_DOLASKU!$H$6:$H$95,1)</f>
        <v>0</v>
      </c>
      <c r="K728" s="9" t="n">
        <f aca="false">SUMIFS(ROBA_U_DOLASKU!$B$6:$B$95,ROBA_U_DOLASKU!$A$6:$A$95,A728,ROBA_U_DOLASKU!$H$6:$H$95,1)</f>
        <v>0</v>
      </c>
      <c r="L728" s="9" t="n">
        <f aca="false">SUMIFS(ROBA_U_DOLASKU!$C$6:$C$95,ROBA_U_DOLASKU!$A$6:$A$95,A728,ROBA_U_DOLASKU!$H$6:$H$95,2)</f>
        <v>0</v>
      </c>
      <c r="M728" s="9" t="n">
        <f aca="false">SUMIFS(ROBA_U_DOLASKU!$B$6:$B$95,ROBA_U_DOLASKU!$A$6:$A$95,A728,ROBA_U_DOLASKU!$H$6:$H$95,2)</f>
        <v>0</v>
      </c>
      <c r="N728" s="9" t="n">
        <f aca="false">SUMIFS(ROBA_U_DOLASKU!$C$6:$C$95,ROBA_U_DOLASKU!$A$6:$A$95,A728,ROBA_U_DOLASKU!$H$6:$H$95,3)</f>
        <v>0</v>
      </c>
      <c r="O728" s="9" t="n">
        <f aca="false">SUMIFS(ROBA_U_DOLASKU!$B$6:$B$95,ROBA_U_DOLASKU!$A$6:$A$95,A728,ROBA_U_DOLASKU!$H$6:$H$95,3)</f>
        <v>0</v>
      </c>
      <c r="P728" s="9" t="n">
        <f aca="false">IF(H728&lt;=0,999,IF(O728&gt;0,ROUND((F728-H728*N728+K728+M728+O728)/H728,1),IF(M728&gt;0,ROUND((F728-H728*L728+K728+M728)/H728,1),IF(K728&gt;0,ROUND((F728-H728*J728+K728)/H728,1),I728))))</f>
        <v>999</v>
      </c>
      <c r="Q728" s="22" t="str">
        <f aca="false">IF(H728&lt;=0,"Nema prodaje",IF(AND(K728=0,M728=0,O728=0),IF(I728&lt;POSTAVKE!$B$6,"Naruči odmah","Sve u redu"),IF(F728-H728*J728&lt;0,"Rupa za ~"&amp;TEXT(I728,"0.0")&amp;" mj.",IF(AND(M728&gt;0,F728-H728*L728+K728&lt;0),"Rupa nakon 1. dolaska",IF(AND(O728&gt;0,F728-H728*N728+K728+M728&lt;0),"Rupa nakon 2. dolaska",IF(P728&lt;POSTAVKE!$B$6,"Količina nije dovoljna",IF(I728&gt;=POSTAVKE!$B$6,"Sve u redu","Stiže na vrijeme")))))))</f>
        <v>Nema prodaje</v>
      </c>
      <c r="S728" s="23" t="n">
        <f aca="false">IFERROR(INDEX(PODACI_PRODAJA!B:B,MATCH($A728,PODACI_PRODAJA!$A:$A,0)),0)</f>
        <v>0</v>
      </c>
      <c r="T728" s="23" t="n">
        <f aca="false">IFERROR(INDEX(PODACI_PRODAJA!C:C,MATCH($A728,PODACI_PRODAJA!$A:$A,0)),0)</f>
        <v>0</v>
      </c>
      <c r="U728" s="23" t="n">
        <f aca="false">IFERROR(INDEX(PODACI_PRODAJA!D:D,MATCH($A728,PODACI_PRODAJA!$A:$A,0)),0)</f>
        <v>0</v>
      </c>
      <c r="V728" s="23" t="n">
        <f aca="false">IFERROR(INDEX(PODACI_PRODAJA!E:E,MATCH($A728,PODACI_PRODAJA!$A:$A,0)),0)</f>
        <v>0</v>
      </c>
      <c r="W728" s="23" t="n">
        <f aca="false">IFERROR(INDEX(PODACI_PRODAJA!F:F,MATCH($A728,PODACI_PRODAJA!$A:$A,0)),0)</f>
        <v>0</v>
      </c>
      <c r="X728" s="23" t="n">
        <f aca="false">IFERROR(INDEX(PODACI_PRODAJA!G:G,MATCH($A728,PODACI_PRODAJA!$A:$A,0)),0)</f>
        <v>0</v>
      </c>
      <c r="Y728" s="23" t="n">
        <f aca="false">IFERROR(INDEX(PODACI_PRODAJA!H:H,MATCH($A728,PODACI_PRODAJA!$A:$A,0)),0)</f>
        <v>0</v>
      </c>
      <c r="Z728" s="23" t="n">
        <f aca="false">IFERROR(INDEX(PODACI_PRODAJA!I:I,MATCH($A728,PODACI_PRODAJA!$A:$A,0)),0)</f>
        <v>0</v>
      </c>
      <c r="AA728" s="23" t="n">
        <f aca="false">IFERROR(INDEX(PODACI_PRODAJA!J:J,MATCH($A728,PODACI_PRODAJA!$A:$A,0)),0)</f>
        <v>0</v>
      </c>
      <c r="AB728" s="23" t="n">
        <f aca="false">IFERROR(INDEX(PODACI_PRODAJA!K:K,MATCH($A728,PODACI_PRODAJA!$A:$A,0)),0)</f>
        <v>0</v>
      </c>
      <c r="AC728" s="23" t="n">
        <f aca="false">IFERROR(INDEX(PODACI_PRODAJA!L:L,MATCH($A728,PODACI_PRODAJA!$A:$A,0)),0)</f>
        <v>0</v>
      </c>
      <c r="AD728" s="23" t="n">
        <f aca="false">IFERROR(INDEX(PODACI_PRODAJA!M:M,MATCH($A728,PODACI_PRODAJA!$A:$A,0)),0)</f>
        <v>0</v>
      </c>
    </row>
    <row r="729" customFormat="false" ht="15" hidden="false" customHeight="false" outlineLevel="0" collapsed="false">
      <c r="A729" s="11" t="str">
        <f aca="false">PODACI_ZALIHE!A726</f>
        <v>1566300</v>
      </c>
      <c r="B729" s="8" t="str">
        <f aca="false">PODACI_ZALIHE!B726</f>
        <v>BOLD S BIJELA 80100 MINERALSOLID TUŠ KADA 800x1000x30 mm</v>
      </c>
      <c r="C729" s="9" t="str">
        <f aca="false">PODACI_ZALIHE!C726</f>
        <v>5140</v>
      </c>
      <c r="D729" s="8" t="str">
        <f aca="false">PODACI_ZALIHE!D726</f>
        <v>GUANGDONG OCEAN SANITARY WARE CO., LTD.</v>
      </c>
      <c r="E729" s="19" t="n">
        <f aca="false">IF(PODACI_ZALIHE!E726="","",PODACI_ZALIHE!E726)</f>
        <v>3</v>
      </c>
      <c r="F729" s="20" t="n">
        <f aca="false">PODACI_ZALIHE!F726</f>
        <v>0</v>
      </c>
      <c r="G729" s="19" t="n">
        <f aca="false">IF(E729="","",E729-F729)</f>
        <v>3</v>
      </c>
      <c r="H729" s="9" t="n">
        <f aca="false">PODACI_PRODAJA!N498</f>
        <v>7.13</v>
      </c>
      <c r="I729" s="21" t="n">
        <f aca="false">IF(H729&lt;=0,999,ROUND(F729/H729,1))</f>
        <v>0</v>
      </c>
      <c r="J729" s="9" t="n">
        <f aca="false">SUMIFS(ROBA_U_DOLASKU!$C$6:$C$95,ROBA_U_DOLASKU!$A$6:$A$95,A729,ROBA_U_DOLASKU!$H$6:$H$95,1)</f>
        <v>0</v>
      </c>
      <c r="K729" s="9" t="n">
        <f aca="false">SUMIFS(ROBA_U_DOLASKU!$B$6:$B$95,ROBA_U_DOLASKU!$A$6:$A$95,A729,ROBA_U_DOLASKU!$H$6:$H$95,1)</f>
        <v>0</v>
      </c>
      <c r="L729" s="9" t="n">
        <f aca="false">SUMIFS(ROBA_U_DOLASKU!$C$6:$C$95,ROBA_U_DOLASKU!$A$6:$A$95,A729,ROBA_U_DOLASKU!$H$6:$H$95,2)</f>
        <v>0</v>
      </c>
      <c r="M729" s="9" t="n">
        <f aca="false">SUMIFS(ROBA_U_DOLASKU!$B$6:$B$95,ROBA_U_DOLASKU!$A$6:$A$95,A729,ROBA_U_DOLASKU!$H$6:$H$95,2)</f>
        <v>0</v>
      </c>
      <c r="N729" s="9" t="n">
        <f aca="false">SUMIFS(ROBA_U_DOLASKU!$C$6:$C$95,ROBA_U_DOLASKU!$A$6:$A$95,A729,ROBA_U_DOLASKU!$H$6:$H$95,3)</f>
        <v>0</v>
      </c>
      <c r="O729" s="9" t="n">
        <f aca="false">SUMIFS(ROBA_U_DOLASKU!$B$6:$B$95,ROBA_U_DOLASKU!$A$6:$A$95,A729,ROBA_U_DOLASKU!$H$6:$H$95,3)</f>
        <v>0</v>
      </c>
      <c r="P729" s="9" t="n">
        <f aca="false">IF(H729&lt;=0,999,IF(O729&gt;0,ROUND((F729-H729*N729+K729+M729+O729)/H729,1),IF(M729&gt;0,ROUND((F729-H729*L729+K729+M729)/H729,1),IF(K729&gt;0,ROUND((F729-H729*J729+K729)/H729,1),I729))))</f>
        <v>0</v>
      </c>
      <c r="Q729" s="22" t="str">
        <f aca="false">IF(H729&lt;=0,"Nema prodaje",IF(AND(K729=0,M729=0,O729=0),IF(I729&lt;POSTAVKE!$B$6,"Naruči odmah","Sve u redu"),IF(F729-H729*J729&lt;0,"Rupa za ~"&amp;TEXT(I729,"0.0")&amp;" mj.",IF(AND(M729&gt;0,F729-H729*L729+K729&lt;0),"Rupa nakon 1. dolaska",IF(AND(O729&gt;0,F729-H729*N729+K729+M729&lt;0),"Rupa nakon 2. dolaska",IF(P729&lt;POSTAVKE!$B$6,"Količina nije dovoljna",IF(I729&gt;=POSTAVKE!$B$6,"Sve u redu","Stiže na vrijeme")))))))</f>
        <v>Naruči odmah</v>
      </c>
      <c r="S729" s="23" t="n">
        <f aca="false">IFERROR(INDEX(PODACI_PRODAJA!B:B,MATCH($A729,PODACI_PRODAJA!$A:$A,0)),0)</f>
        <v>0</v>
      </c>
      <c r="T729" s="23" t="n">
        <f aca="false">IFERROR(INDEX(PODACI_PRODAJA!C:C,MATCH($A729,PODACI_PRODAJA!$A:$A,0)),0)</f>
        <v>3</v>
      </c>
      <c r="U729" s="23" t="n">
        <f aca="false">IFERROR(INDEX(PODACI_PRODAJA!D:D,MATCH($A729,PODACI_PRODAJA!$A:$A,0)),0)</f>
        <v>22</v>
      </c>
      <c r="V729" s="23" t="n">
        <f aca="false">IFERROR(INDEX(PODACI_PRODAJA!E:E,MATCH($A729,PODACI_PRODAJA!$A:$A,0)),0)</f>
        <v>0</v>
      </c>
      <c r="W729" s="23" t="n">
        <f aca="false">IFERROR(INDEX(PODACI_PRODAJA!F:F,MATCH($A729,PODACI_PRODAJA!$A:$A,0)),0)</f>
        <v>12</v>
      </c>
      <c r="X729" s="23" t="n">
        <f aca="false">IFERROR(INDEX(PODACI_PRODAJA!G:G,MATCH($A729,PODACI_PRODAJA!$A:$A,0)),0)</f>
        <v>18</v>
      </c>
      <c r="Y729" s="23" t="n">
        <f aca="false">IFERROR(INDEX(PODACI_PRODAJA!H:H,MATCH($A729,PODACI_PRODAJA!$A:$A,0)),0)</f>
        <v>0</v>
      </c>
      <c r="Z729" s="23" t="n">
        <f aca="false">IFERROR(INDEX(PODACI_PRODAJA!I:I,MATCH($A729,PODACI_PRODAJA!$A:$A,0)),0)</f>
        <v>2</v>
      </c>
      <c r="AA729" s="23" t="n">
        <f aca="false">IFERROR(INDEX(PODACI_PRODAJA!J:J,MATCH($A729,PODACI_PRODAJA!$A:$A,0)),0)</f>
        <v>3</v>
      </c>
      <c r="AB729" s="23" t="n">
        <f aca="false">IFERROR(INDEX(PODACI_PRODAJA!K:K,MATCH($A729,PODACI_PRODAJA!$A:$A,0)),0)</f>
        <v>0</v>
      </c>
      <c r="AC729" s="23" t="n">
        <f aca="false">IFERROR(INDEX(PODACI_PRODAJA!L:L,MATCH($A729,PODACI_PRODAJA!$A:$A,0)),0)</f>
        <v>0</v>
      </c>
      <c r="AD729" s="23" t="n">
        <f aca="false">IFERROR(INDEX(PODACI_PRODAJA!M:M,MATCH($A729,PODACI_PRODAJA!$A:$A,0)),0)</f>
        <v>0</v>
      </c>
    </row>
    <row r="730" customFormat="false" ht="15" hidden="false" customHeight="false" outlineLevel="0" collapsed="false">
      <c r="A730" s="11" t="str">
        <f aca="false">PODACI_ZALIHE!A727</f>
        <v>156640</v>
      </c>
      <c r="B730" s="8" t="str">
        <f aca="false">PODACI_ZALIHE!B727</f>
        <v>BOLD S BIJELA 80110 MINERALSOLID TUŠ KADA 800x1100x30 mm</v>
      </c>
      <c r="C730" s="9" t="str">
        <f aca="false">PODACI_ZALIHE!C727</f>
        <v>5517</v>
      </c>
      <c r="D730" s="8" t="str">
        <f aca="false">PODACI_ZALIHE!D727</f>
        <v>NICOS INTERNATIONAL S.P.A.</v>
      </c>
      <c r="E730" s="19" t="n">
        <f aca="false">IF(PODACI_ZALIHE!E727="","",PODACI_ZALIHE!E727)</f>
        <v>0</v>
      </c>
      <c r="F730" s="20" t="n">
        <f aca="false">PODACI_ZALIHE!F727</f>
        <v>0</v>
      </c>
      <c r="G730" s="19" t="n">
        <f aca="false">IF(E730="","",E730-F730)</f>
        <v>0</v>
      </c>
      <c r="H730" s="9" t="n">
        <f aca="false">PODACI_PRODAJA!N499</f>
        <v>1.13</v>
      </c>
      <c r="I730" s="21" t="n">
        <f aca="false">IF(H730&lt;=0,999,ROUND(F730/H730,1))</f>
        <v>0</v>
      </c>
      <c r="J730" s="9" t="n">
        <f aca="false">SUMIFS(ROBA_U_DOLASKU!$C$6:$C$95,ROBA_U_DOLASKU!$A$6:$A$95,A730,ROBA_U_DOLASKU!$H$6:$H$95,1)</f>
        <v>0</v>
      </c>
      <c r="K730" s="9" t="n">
        <f aca="false">SUMIFS(ROBA_U_DOLASKU!$B$6:$B$95,ROBA_U_DOLASKU!$A$6:$A$95,A730,ROBA_U_DOLASKU!$H$6:$H$95,1)</f>
        <v>0</v>
      </c>
      <c r="L730" s="9" t="n">
        <f aca="false">SUMIFS(ROBA_U_DOLASKU!$C$6:$C$95,ROBA_U_DOLASKU!$A$6:$A$95,A730,ROBA_U_DOLASKU!$H$6:$H$95,2)</f>
        <v>0</v>
      </c>
      <c r="M730" s="9" t="n">
        <f aca="false">SUMIFS(ROBA_U_DOLASKU!$B$6:$B$95,ROBA_U_DOLASKU!$A$6:$A$95,A730,ROBA_U_DOLASKU!$H$6:$H$95,2)</f>
        <v>0</v>
      </c>
      <c r="N730" s="9" t="n">
        <f aca="false">SUMIFS(ROBA_U_DOLASKU!$C$6:$C$95,ROBA_U_DOLASKU!$A$6:$A$95,A730,ROBA_U_DOLASKU!$H$6:$H$95,3)</f>
        <v>0</v>
      </c>
      <c r="O730" s="9" t="n">
        <f aca="false">SUMIFS(ROBA_U_DOLASKU!$B$6:$B$95,ROBA_U_DOLASKU!$A$6:$A$95,A730,ROBA_U_DOLASKU!$H$6:$H$95,3)</f>
        <v>0</v>
      </c>
      <c r="P730" s="9" t="n">
        <f aca="false">IF(H730&lt;=0,999,IF(O730&gt;0,ROUND((F730-H730*N730+K730+M730+O730)/H730,1),IF(M730&gt;0,ROUND((F730-H730*L730+K730+M730)/H730,1),IF(K730&gt;0,ROUND((F730-H730*J730+K730)/H730,1),I730))))</f>
        <v>0</v>
      </c>
      <c r="Q730" s="22" t="str">
        <f aca="false">IF(H730&lt;=0,"Nema prodaje",IF(AND(K730=0,M730=0,O730=0),IF(I730&lt;POSTAVKE!$B$6,"Naruči odmah","Sve u redu"),IF(F730-H730*J730&lt;0,"Rupa za ~"&amp;TEXT(I730,"0.0")&amp;" mj.",IF(AND(M730&gt;0,F730-H730*L730+K730&lt;0),"Rupa nakon 1. dolaska",IF(AND(O730&gt;0,F730-H730*N730+K730+M730&lt;0),"Rupa nakon 2. dolaska",IF(P730&lt;POSTAVKE!$B$6,"Količina nije dovoljna",IF(I730&gt;=POSTAVKE!$B$6,"Sve u redu","Stiže na vrijeme")))))))</f>
        <v>Naruči odmah</v>
      </c>
      <c r="S730" s="23" t="n">
        <f aca="false">IFERROR(INDEX(PODACI_PRODAJA!B:B,MATCH($A730,PODACI_PRODAJA!$A:$A,0)),0)</f>
        <v>0</v>
      </c>
      <c r="T730" s="23" t="n">
        <f aca="false">IFERROR(INDEX(PODACI_PRODAJA!C:C,MATCH($A730,PODACI_PRODAJA!$A:$A,0)),0)</f>
        <v>0</v>
      </c>
      <c r="U730" s="23" t="n">
        <f aca="false">IFERROR(INDEX(PODACI_PRODAJA!D:D,MATCH($A730,PODACI_PRODAJA!$A:$A,0)),0)</f>
        <v>0</v>
      </c>
      <c r="V730" s="23" t="n">
        <f aca="false">IFERROR(INDEX(PODACI_PRODAJA!E:E,MATCH($A730,PODACI_PRODAJA!$A:$A,0)),0)</f>
        <v>3</v>
      </c>
      <c r="W730" s="23" t="n">
        <f aca="false">IFERROR(INDEX(PODACI_PRODAJA!F:F,MATCH($A730,PODACI_PRODAJA!$A:$A,0)),0)</f>
        <v>2</v>
      </c>
      <c r="X730" s="23" t="n">
        <f aca="false">IFERROR(INDEX(PODACI_PRODAJA!G:G,MATCH($A730,PODACI_PRODAJA!$A:$A,0)),0)</f>
        <v>4</v>
      </c>
      <c r="Y730" s="23" t="n">
        <f aca="false">IFERROR(INDEX(PODACI_PRODAJA!H:H,MATCH($A730,PODACI_PRODAJA!$A:$A,0)),0)</f>
        <v>0</v>
      </c>
      <c r="Z730" s="23" t="n">
        <f aca="false">IFERROR(INDEX(PODACI_PRODAJA!I:I,MATCH($A730,PODACI_PRODAJA!$A:$A,0)),0)</f>
        <v>0</v>
      </c>
      <c r="AA730" s="23" t="n">
        <f aca="false">IFERROR(INDEX(PODACI_PRODAJA!J:J,MATCH($A730,PODACI_PRODAJA!$A:$A,0)),0)</f>
        <v>0</v>
      </c>
      <c r="AB730" s="23" t="n">
        <f aca="false">IFERROR(INDEX(PODACI_PRODAJA!K:K,MATCH($A730,PODACI_PRODAJA!$A:$A,0)),0)</f>
        <v>0</v>
      </c>
      <c r="AC730" s="23" t="n">
        <f aca="false">IFERROR(INDEX(PODACI_PRODAJA!L:L,MATCH($A730,PODACI_PRODAJA!$A:$A,0)),0)</f>
        <v>0</v>
      </c>
      <c r="AD730" s="23" t="n">
        <f aca="false">IFERROR(INDEX(PODACI_PRODAJA!M:M,MATCH($A730,PODACI_PRODAJA!$A:$A,0)),0)</f>
        <v>0</v>
      </c>
    </row>
    <row r="731" customFormat="false" ht="15" hidden="false" customHeight="false" outlineLevel="0" collapsed="false">
      <c r="A731" s="11" t="str">
        <f aca="false">PODACI_ZALIHE!A728</f>
        <v>156650</v>
      </c>
      <c r="B731" s="8" t="str">
        <f aca="false">PODACI_ZALIHE!B728</f>
        <v>BOLD S BIJELA 80120 MINERALSOLID TUŠ KADA 800x1200x30 mm</v>
      </c>
      <c r="C731" s="9" t="str">
        <f aca="false">PODACI_ZALIHE!C728</f>
        <v>5517</v>
      </c>
      <c r="D731" s="8" t="str">
        <f aca="false">PODACI_ZALIHE!D728</f>
        <v>NICOS INTERNATIONAL S.P.A.</v>
      </c>
      <c r="E731" s="19" t="n">
        <f aca="false">IF(PODACI_ZALIHE!E728="","",PODACI_ZALIHE!E728)</f>
        <v>0</v>
      </c>
      <c r="F731" s="20" t="n">
        <f aca="false">PODACI_ZALIHE!F728</f>
        <v>0</v>
      </c>
      <c r="G731" s="19" t="n">
        <f aca="false">IF(E731="","",E731-F731)</f>
        <v>0</v>
      </c>
      <c r="H731" s="9" t="n">
        <f aca="false">PODACI_PRODAJA!N500</f>
        <v>1.63</v>
      </c>
      <c r="I731" s="21" t="n">
        <f aca="false">IF(H731&lt;=0,999,ROUND(F731/H731,1))</f>
        <v>0</v>
      </c>
      <c r="J731" s="9" t="n">
        <f aca="false">SUMIFS(ROBA_U_DOLASKU!$C$6:$C$95,ROBA_U_DOLASKU!$A$6:$A$95,A731,ROBA_U_DOLASKU!$H$6:$H$95,1)</f>
        <v>0</v>
      </c>
      <c r="K731" s="9" t="n">
        <f aca="false">SUMIFS(ROBA_U_DOLASKU!$B$6:$B$95,ROBA_U_DOLASKU!$A$6:$A$95,A731,ROBA_U_DOLASKU!$H$6:$H$95,1)</f>
        <v>0</v>
      </c>
      <c r="L731" s="9" t="n">
        <f aca="false">SUMIFS(ROBA_U_DOLASKU!$C$6:$C$95,ROBA_U_DOLASKU!$A$6:$A$95,A731,ROBA_U_DOLASKU!$H$6:$H$95,2)</f>
        <v>0</v>
      </c>
      <c r="M731" s="9" t="n">
        <f aca="false">SUMIFS(ROBA_U_DOLASKU!$B$6:$B$95,ROBA_U_DOLASKU!$A$6:$A$95,A731,ROBA_U_DOLASKU!$H$6:$H$95,2)</f>
        <v>0</v>
      </c>
      <c r="N731" s="9" t="n">
        <f aca="false">SUMIFS(ROBA_U_DOLASKU!$C$6:$C$95,ROBA_U_DOLASKU!$A$6:$A$95,A731,ROBA_U_DOLASKU!$H$6:$H$95,3)</f>
        <v>0</v>
      </c>
      <c r="O731" s="9" t="n">
        <f aca="false">SUMIFS(ROBA_U_DOLASKU!$B$6:$B$95,ROBA_U_DOLASKU!$A$6:$A$95,A731,ROBA_U_DOLASKU!$H$6:$H$95,3)</f>
        <v>0</v>
      </c>
      <c r="P731" s="9" t="n">
        <f aca="false">IF(H731&lt;=0,999,IF(O731&gt;0,ROUND((F731-H731*N731+K731+M731+O731)/H731,1),IF(M731&gt;0,ROUND((F731-H731*L731+K731+M731)/H731,1),IF(K731&gt;0,ROUND((F731-H731*J731+K731)/H731,1),I731))))</f>
        <v>0</v>
      </c>
      <c r="Q731" s="22" t="str">
        <f aca="false">IF(H731&lt;=0,"Nema prodaje",IF(AND(K731=0,M731=0,O731=0),IF(I731&lt;POSTAVKE!$B$6,"Naruči odmah","Sve u redu"),IF(F731-H731*J731&lt;0,"Rupa za ~"&amp;TEXT(I731,"0.0")&amp;" mj.",IF(AND(M731&gt;0,F731-H731*L731+K731&lt;0),"Rupa nakon 1. dolaska",IF(AND(O731&gt;0,F731-H731*N731+K731+M731&lt;0),"Rupa nakon 2. dolaska",IF(P731&lt;POSTAVKE!$B$6,"Količina nije dovoljna",IF(I731&gt;=POSTAVKE!$B$6,"Sve u redu","Stiže na vrijeme")))))))</f>
        <v>Naruči odmah</v>
      </c>
      <c r="S731" s="23" t="n">
        <f aca="false">IFERROR(INDEX(PODACI_PRODAJA!B:B,MATCH($A731,PODACI_PRODAJA!$A:$A,0)),0)</f>
        <v>0</v>
      </c>
      <c r="T731" s="23" t="n">
        <f aca="false">IFERROR(INDEX(PODACI_PRODAJA!C:C,MATCH($A731,PODACI_PRODAJA!$A:$A,0)),0)</f>
        <v>10</v>
      </c>
      <c r="U731" s="23" t="n">
        <f aca="false">IFERROR(INDEX(PODACI_PRODAJA!D:D,MATCH($A731,PODACI_PRODAJA!$A:$A,0)),0)</f>
        <v>2</v>
      </c>
      <c r="V731" s="23" t="n">
        <f aca="false">IFERROR(INDEX(PODACI_PRODAJA!E:E,MATCH($A731,PODACI_PRODAJA!$A:$A,0)),0)</f>
        <v>0</v>
      </c>
      <c r="W731" s="23" t="n">
        <f aca="false">IFERROR(INDEX(PODACI_PRODAJA!F:F,MATCH($A731,PODACI_PRODAJA!$A:$A,0)),0)</f>
        <v>0</v>
      </c>
      <c r="X731" s="23" t="n">
        <f aca="false">IFERROR(INDEX(PODACI_PRODAJA!G:G,MATCH($A731,PODACI_PRODAJA!$A:$A,0)),0)</f>
        <v>0</v>
      </c>
      <c r="Y731" s="23" t="n">
        <f aca="false">IFERROR(INDEX(PODACI_PRODAJA!H:H,MATCH($A731,PODACI_PRODAJA!$A:$A,0)),0)</f>
        <v>1</v>
      </c>
      <c r="Z731" s="23" t="n">
        <f aca="false">IFERROR(INDEX(PODACI_PRODAJA!I:I,MATCH($A731,PODACI_PRODAJA!$A:$A,0)),0)</f>
        <v>0</v>
      </c>
      <c r="AA731" s="23" t="n">
        <f aca="false">IFERROR(INDEX(PODACI_PRODAJA!J:J,MATCH($A731,PODACI_PRODAJA!$A:$A,0)),0)</f>
        <v>0</v>
      </c>
      <c r="AB731" s="23" t="n">
        <f aca="false">IFERROR(INDEX(PODACI_PRODAJA!K:K,MATCH($A731,PODACI_PRODAJA!$A:$A,0)),0)</f>
        <v>0</v>
      </c>
      <c r="AC731" s="23" t="n">
        <f aca="false">IFERROR(INDEX(PODACI_PRODAJA!L:L,MATCH($A731,PODACI_PRODAJA!$A:$A,0)),0)</f>
        <v>0</v>
      </c>
      <c r="AD731" s="23" t="n">
        <f aca="false">IFERROR(INDEX(PODACI_PRODAJA!M:M,MATCH($A731,PODACI_PRODAJA!$A:$A,0)),0)</f>
        <v>0</v>
      </c>
    </row>
    <row r="732" customFormat="false" ht="15" hidden="false" customHeight="false" outlineLevel="0" collapsed="false">
      <c r="A732" s="11" t="str">
        <f aca="false">PODACI_ZALIHE!A729</f>
        <v>156660</v>
      </c>
      <c r="B732" s="8" t="str">
        <f aca="false">PODACI_ZALIHE!B729</f>
        <v>BOLD S BIJELA 80130 MINERALSOLID TUŠ KADA 800x1300x30 mm</v>
      </c>
      <c r="C732" s="9" t="str">
        <f aca="false">PODACI_ZALIHE!C729</f>
        <v>5517</v>
      </c>
      <c r="D732" s="8" t="str">
        <f aca="false">PODACI_ZALIHE!D729</f>
        <v>NICOS INTERNATIONAL S.P.A.</v>
      </c>
      <c r="E732" s="19" t="n">
        <f aca="false">IF(PODACI_ZALIHE!E729="","",PODACI_ZALIHE!E729)</f>
        <v>0</v>
      </c>
      <c r="F732" s="20" t="n">
        <f aca="false">PODACI_ZALIHE!F729</f>
        <v>0</v>
      </c>
      <c r="G732" s="19" t="n">
        <f aca="false">IF(E732="","",E732-F732)</f>
        <v>0</v>
      </c>
      <c r="H732" s="9" t="n">
        <f aca="false">PODACI_PRODAJA!N502</f>
        <v>0.13</v>
      </c>
      <c r="I732" s="21" t="n">
        <f aca="false">IF(H732&lt;=0,999,ROUND(F732/H732,1))</f>
        <v>0</v>
      </c>
      <c r="J732" s="9" t="n">
        <f aca="false">SUMIFS(ROBA_U_DOLASKU!$C$6:$C$95,ROBA_U_DOLASKU!$A$6:$A$95,A732,ROBA_U_DOLASKU!$H$6:$H$95,1)</f>
        <v>0</v>
      </c>
      <c r="K732" s="9" t="n">
        <f aca="false">SUMIFS(ROBA_U_DOLASKU!$B$6:$B$95,ROBA_U_DOLASKU!$A$6:$A$95,A732,ROBA_U_DOLASKU!$H$6:$H$95,1)</f>
        <v>0</v>
      </c>
      <c r="L732" s="9" t="n">
        <f aca="false">SUMIFS(ROBA_U_DOLASKU!$C$6:$C$95,ROBA_U_DOLASKU!$A$6:$A$95,A732,ROBA_U_DOLASKU!$H$6:$H$95,2)</f>
        <v>0</v>
      </c>
      <c r="M732" s="9" t="n">
        <f aca="false">SUMIFS(ROBA_U_DOLASKU!$B$6:$B$95,ROBA_U_DOLASKU!$A$6:$A$95,A732,ROBA_U_DOLASKU!$H$6:$H$95,2)</f>
        <v>0</v>
      </c>
      <c r="N732" s="9" t="n">
        <f aca="false">SUMIFS(ROBA_U_DOLASKU!$C$6:$C$95,ROBA_U_DOLASKU!$A$6:$A$95,A732,ROBA_U_DOLASKU!$H$6:$H$95,3)</f>
        <v>0</v>
      </c>
      <c r="O732" s="9" t="n">
        <f aca="false">SUMIFS(ROBA_U_DOLASKU!$B$6:$B$95,ROBA_U_DOLASKU!$A$6:$A$95,A732,ROBA_U_DOLASKU!$H$6:$H$95,3)</f>
        <v>0</v>
      </c>
      <c r="P732" s="9" t="n">
        <f aca="false">IF(H732&lt;=0,999,IF(O732&gt;0,ROUND((F732-H732*N732+K732+M732+O732)/H732,1),IF(M732&gt;0,ROUND((F732-H732*L732+K732+M732)/H732,1),IF(K732&gt;0,ROUND((F732-H732*J732+K732)/H732,1),I732))))</f>
        <v>0</v>
      </c>
      <c r="Q732" s="22" t="str">
        <f aca="false">IF(H732&lt;=0,"Nema prodaje",IF(AND(K732=0,M732=0,O732=0),IF(I732&lt;POSTAVKE!$B$6,"Naruči odmah","Sve u redu"),IF(F732-H732*J732&lt;0,"Rupa za ~"&amp;TEXT(I732,"0.0")&amp;" mj.",IF(AND(M732&gt;0,F732-H732*L732+K732&lt;0),"Rupa nakon 1. dolaska",IF(AND(O732&gt;0,F732-H732*N732+K732+M732&lt;0),"Rupa nakon 2. dolaska",IF(P732&lt;POSTAVKE!$B$6,"Količina nije dovoljna",IF(I732&gt;=POSTAVKE!$B$6,"Sve u redu","Stiže na vrijeme")))))))</f>
        <v>Naruči odmah</v>
      </c>
      <c r="S732" s="23" t="n">
        <f aca="false">IFERROR(INDEX(PODACI_PRODAJA!B:B,MATCH($A732,PODACI_PRODAJA!$A:$A,0)),0)</f>
        <v>0</v>
      </c>
      <c r="T732" s="23" t="n">
        <f aca="false">IFERROR(INDEX(PODACI_PRODAJA!C:C,MATCH($A732,PODACI_PRODAJA!$A:$A,0)),0)</f>
        <v>0</v>
      </c>
      <c r="U732" s="23" t="n">
        <f aca="false">IFERROR(INDEX(PODACI_PRODAJA!D:D,MATCH($A732,PODACI_PRODAJA!$A:$A,0)),0)</f>
        <v>0</v>
      </c>
      <c r="V732" s="23" t="n">
        <f aca="false">IFERROR(INDEX(PODACI_PRODAJA!E:E,MATCH($A732,PODACI_PRODAJA!$A:$A,0)),0)</f>
        <v>0</v>
      </c>
      <c r="W732" s="23" t="n">
        <f aca="false">IFERROR(INDEX(PODACI_PRODAJA!F:F,MATCH($A732,PODACI_PRODAJA!$A:$A,0)),0)</f>
        <v>1</v>
      </c>
      <c r="X732" s="23" t="n">
        <f aca="false">IFERROR(INDEX(PODACI_PRODAJA!G:G,MATCH($A732,PODACI_PRODAJA!$A:$A,0)),0)</f>
        <v>0</v>
      </c>
      <c r="Y732" s="23" t="n">
        <f aca="false">IFERROR(INDEX(PODACI_PRODAJA!H:H,MATCH($A732,PODACI_PRODAJA!$A:$A,0)),0)</f>
        <v>0</v>
      </c>
      <c r="Z732" s="23" t="n">
        <f aca="false">IFERROR(INDEX(PODACI_PRODAJA!I:I,MATCH($A732,PODACI_PRODAJA!$A:$A,0)),0)</f>
        <v>0</v>
      </c>
      <c r="AA732" s="23" t="n">
        <f aca="false">IFERROR(INDEX(PODACI_PRODAJA!J:J,MATCH($A732,PODACI_PRODAJA!$A:$A,0)),0)</f>
        <v>0</v>
      </c>
      <c r="AB732" s="23" t="n">
        <f aca="false">IFERROR(INDEX(PODACI_PRODAJA!K:K,MATCH($A732,PODACI_PRODAJA!$A:$A,0)),0)</f>
        <v>0</v>
      </c>
      <c r="AC732" s="23" t="n">
        <f aca="false">IFERROR(INDEX(PODACI_PRODAJA!L:L,MATCH($A732,PODACI_PRODAJA!$A:$A,0)),0)</f>
        <v>0</v>
      </c>
      <c r="AD732" s="23" t="n">
        <f aca="false">IFERROR(INDEX(PODACI_PRODAJA!M:M,MATCH($A732,PODACI_PRODAJA!$A:$A,0)),0)</f>
        <v>0</v>
      </c>
    </row>
    <row r="733" customFormat="false" ht="15" hidden="false" customHeight="false" outlineLevel="0" collapsed="false">
      <c r="A733" s="11" t="str">
        <f aca="false">PODACI_ZALIHE!A730</f>
        <v>156670</v>
      </c>
      <c r="B733" s="8" t="str">
        <f aca="false">PODACI_ZALIHE!B730</f>
        <v>BOLD S BIJELA 80140 MINERALSOLID TUŠ KADA 800x1400x30 mm</v>
      </c>
      <c r="C733" s="9" t="str">
        <f aca="false">PODACI_ZALIHE!C730</f>
        <v>5517</v>
      </c>
      <c r="D733" s="8" t="str">
        <f aca="false">PODACI_ZALIHE!D730</f>
        <v>NICOS INTERNATIONAL S.P.A.</v>
      </c>
      <c r="E733" s="19" t="n">
        <f aca="false">IF(PODACI_ZALIHE!E730="","",PODACI_ZALIHE!E730)</f>
        <v>0</v>
      </c>
      <c r="F733" s="20" t="n">
        <f aca="false">PODACI_ZALIHE!F730</f>
        <v>0</v>
      </c>
      <c r="G733" s="19" t="n">
        <f aca="false">IF(E733="","",E733-F733)</f>
        <v>0</v>
      </c>
      <c r="H733" s="9" t="n">
        <f aca="false">PODACI_PRODAJA!N503</f>
        <v>1.25</v>
      </c>
      <c r="I733" s="21" t="n">
        <f aca="false">IF(H733&lt;=0,999,ROUND(F733/H733,1))</f>
        <v>0</v>
      </c>
      <c r="J733" s="9" t="n">
        <f aca="false">SUMIFS(ROBA_U_DOLASKU!$C$6:$C$95,ROBA_U_DOLASKU!$A$6:$A$95,A733,ROBA_U_DOLASKU!$H$6:$H$95,1)</f>
        <v>0</v>
      </c>
      <c r="K733" s="9" t="n">
        <f aca="false">SUMIFS(ROBA_U_DOLASKU!$B$6:$B$95,ROBA_U_DOLASKU!$A$6:$A$95,A733,ROBA_U_DOLASKU!$H$6:$H$95,1)</f>
        <v>0</v>
      </c>
      <c r="L733" s="9" t="n">
        <f aca="false">SUMIFS(ROBA_U_DOLASKU!$C$6:$C$95,ROBA_U_DOLASKU!$A$6:$A$95,A733,ROBA_U_DOLASKU!$H$6:$H$95,2)</f>
        <v>0</v>
      </c>
      <c r="M733" s="9" t="n">
        <f aca="false">SUMIFS(ROBA_U_DOLASKU!$B$6:$B$95,ROBA_U_DOLASKU!$A$6:$A$95,A733,ROBA_U_DOLASKU!$H$6:$H$95,2)</f>
        <v>0</v>
      </c>
      <c r="N733" s="9" t="n">
        <f aca="false">SUMIFS(ROBA_U_DOLASKU!$C$6:$C$95,ROBA_U_DOLASKU!$A$6:$A$95,A733,ROBA_U_DOLASKU!$H$6:$H$95,3)</f>
        <v>0</v>
      </c>
      <c r="O733" s="9" t="n">
        <f aca="false">SUMIFS(ROBA_U_DOLASKU!$B$6:$B$95,ROBA_U_DOLASKU!$A$6:$A$95,A733,ROBA_U_DOLASKU!$H$6:$H$95,3)</f>
        <v>0</v>
      </c>
      <c r="P733" s="9" t="n">
        <f aca="false">IF(H733&lt;=0,999,IF(O733&gt;0,ROUND((F733-H733*N733+K733+M733+O733)/H733,1),IF(M733&gt;0,ROUND((F733-H733*L733+K733+M733)/H733,1),IF(K733&gt;0,ROUND((F733-H733*J733+K733)/H733,1),I733))))</f>
        <v>0</v>
      </c>
      <c r="Q733" s="22" t="str">
        <f aca="false">IF(H733&lt;=0,"Nema prodaje",IF(AND(K733=0,M733=0,O733=0),IF(I733&lt;POSTAVKE!$B$6,"Naruči odmah","Sve u redu"),IF(F733-H733*J733&lt;0,"Rupa za ~"&amp;TEXT(I733,"0.0")&amp;" mj.",IF(AND(M733&gt;0,F733-H733*L733+K733&lt;0),"Rupa nakon 1. dolaska",IF(AND(O733&gt;0,F733-H733*N733+K733+M733&lt;0),"Rupa nakon 2. dolaska",IF(P733&lt;POSTAVKE!$B$6,"Količina nije dovoljna",IF(I733&gt;=POSTAVKE!$B$6,"Sve u redu","Stiže na vrijeme")))))))</f>
        <v>Naruči odmah</v>
      </c>
      <c r="S733" s="23" t="n">
        <f aca="false">IFERROR(INDEX(PODACI_PRODAJA!B:B,MATCH($A733,PODACI_PRODAJA!$A:$A,0)),0)</f>
        <v>0</v>
      </c>
      <c r="T733" s="23" t="n">
        <f aca="false">IFERROR(INDEX(PODACI_PRODAJA!C:C,MATCH($A733,PODACI_PRODAJA!$A:$A,0)),0)</f>
        <v>0</v>
      </c>
      <c r="U733" s="23" t="n">
        <f aca="false">IFERROR(INDEX(PODACI_PRODAJA!D:D,MATCH($A733,PODACI_PRODAJA!$A:$A,0)),0)</f>
        <v>0</v>
      </c>
      <c r="V733" s="23" t="n">
        <f aca="false">IFERROR(INDEX(PODACI_PRODAJA!E:E,MATCH($A733,PODACI_PRODAJA!$A:$A,0)),0)</f>
        <v>0</v>
      </c>
      <c r="W733" s="23" t="n">
        <f aca="false">IFERROR(INDEX(PODACI_PRODAJA!F:F,MATCH($A733,PODACI_PRODAJA!$A:$A,0)),0)</f>
        <v>9</v>
      </c>
      <c r="X733" s="23" t="n">
        <f aca="false">IFERROR(INDEX(PODACI_PRODAJA!G:G,MATCH($A733,PODACI_PRODAJA!$A:$A,0)),0)</f>
        <v>0</v>
      </c>
      <c r="Y733" s="23" t="n">
        <f aca="false">IFERROR(INDEX(PODACI_PRODAJA!H:H,MATCH($A733,PODACI_PRODAJA!$A:$A,0)),0)</f>
        <v>1</v>
      </c>
      <c r="Z733" s="23" t="n">
        <f aca="false">IFERROR(INDEX(PODACI_PRODAJA!I:I,MATCH($A733,PODACI_PRODAJA!$A:$A,0)),0)</f>
        <v>0</v>
      </c>
      <c r="AA733" s="23" t="n">
        <f aca="false">IFERROR(INDEX(PODACI_PRODAJA!J:J,MATCH($A733,PODACI_PRODAJA!$A:$A,0)),0)</f>
        <v>0</v>
      </c>
      <c r="AB733" s="23" t="n">
        <f aca="false">IFERROR(INDEX(PODACI_PRODAJA!K:K,MATCH($A733,PODACI_PRODAJA!$A:$A,0)),0)</f>
        <v>0</v>
      </c>
      <c r="AC733" s="23" t="n">
        <f aca="false">IFERROR(INDEX(PODACI_PRODAJA!L:L,MATCH($A733,PODACI_PRODAJA!$A:$A,0)),0)</f>
        <v>0</v>
      </c>
      <c r="AD733" s="23" t="n">
        <f aca="false">IFERROR(INDEX(PODACI_PRODAJA!M:M,MATCH($A733,PODACI_PRODAJA!$A:$A,0)),0)</f>
        <v>0</v>
      </c>
    </row>
    <row r="734" customFormat="false" ht="15" hidden="false" customHeight="false" outlineLevel="0" collapsed="false">
      <c r="A734" s="11" t="str">
        <f aca="false">PODACI_ZALIHE!A731</f>
        <v>156690</v>
      </c>
      <c r="B734" s="8" t="str">
        <f aca="false">PODACI_ZALIHE!B731</f>
        <v>BOLD S BIJELA 80160 MINERALSOLID TUŠ KADA 800x1600x30 mm</v>
      </c>
      <c r="C734" s="9" t="str">
        <f aca="false">PODACI_ZALIHE!C731</f>
        <v>5517</v>
      </c>
      <c r="D734" s="8" t="str">
        <f aca="false">PODACI_ZALIHE!D731</f>
        <v>NICOS INTERNATIONAL S.P.A.</v>
      </c>
      <c r="E734" s="19" t="n">
        <f aca="false">IF(PODACI_ZALIHE!E731="","",PODACI_ZALIHE!E731)</f>
        <v>0</v>
      </c>
      <c r="F734" s="20" t="n">
        <f aca="false">PODACI_ZALIHE!F731</f>
        <v>0</v>
      </c>
      <c r="G734" s="19" t="n">
        <f aca="false">IF(E734="","",E734-F734)</f>
        <v>0</v>
      </c>
      <c r="H734" s="9" t="n">
        <f aca="false">PODACI_PRODAJA!N505</f>
        <v>3</v>
      </c>
      <c r="I734" s="21" t="n">
        <f aca="false">IF(H734&lt;=0,999,ROUND(F734/H734,1))</f>
        <v>0</v>
      </c>
      <c r="J734" s="9" t="n">
        <f aca="false">SUMIFS(ROBA_U_DOLASKU!$C$6:$C$95,ROBA_U_DOLASKU!$A$6:$A$95,A734,ROBA_U_DOLASKU!$H$6:$H$95,1)</f>
        <v>0</v>
      </c>
      <c r="K734" s="9" t="n">
        <f aca="false">SUMIFS(ROBA_U_DOLASKU!$B$6:$B$95,ROBA_U_DOLASKU!$A$6:$A$95,A734,ROBA_U_DOLASKU!$H$6:$H$95,1)</f>
        <v>0</v>
      </c>
      <c r="L734" s="9" t="n">
        <f aca="false">SUMIFS(ROBA_U_DOLASKU!$C$6:$C$95,ROBA_U_DOLASKU!$A$6:$A$95,A734,ROBA_U_DOLASKU!$H$6:$H$95,2)</f>
        <v>0</v>
      </c>
      <c r="M734" s="9" t="n">
        <f aca="false">SUMIFS(ROBA_U_DOLASKU!$B$6:$B$95,ROBA_U_DOLASKU!$A$6:$A$95,A734,ROBA_U_DOLASKU!$H$6:$H$95,2)</f>
        <v>0</v>
      </c>
      <c r="N734" s="9" t="n">
        <f aca="false">SUMIFS(ROBA_U_DOLASKU!$C$6:$C$95,ROBA_U_DOLASKU!$A$6:$A$95,A734,ROBA_U_DOLASKU!$H$6:$H$95,3)</f>
        <v>0</v>
      </c>
      <c r="O734" s="9" t="n">
        <f aca="false">SUMIFS(ROBA_U_DOLASKU!$B$6:$B$95,ROBA_U_DOLASKU!$A$6:$A$95,A734,ROBA_U_DOLASKU!$H$6:$H$95,3)</f>
        <v>0</v>
      </c>
      <c r="P734" s="9" t="n">
        <f aca="false">IF(H734&lt;=0,999,IF(O734&gt;0,ROUND((F734-H734*N734+K734+M734+O734)/H734,1),IF(M734&gt;0,ROUND((F734-H734*L734+K734+M734)/H734,1),IF(K734&gt;0,ROUND((F734-H734*J734+K734)/H734,1),I734))))</f>
        <v>0</v>
      </c>
      <c r="Q734" s="22" t="str">
        <f aca="false">IF(H734&lt;=0,"Nema prodaje",IF(AND(K734=0,M734=0,O734=0),IF(I734&lt;POSTAVKE!$B$6,"Naruči odmah","Sve u redu"),IF(F734-H734*J734&lt;0,"Rupa za ~"&amp;TEXT(I734,"0.0")&amp;" mj.",IF(AND(M734&gt;0,F734-H734*L734+K734&lt;0),"Rupa nakon 1. dolaska",IF(AND(O734&gt;0,F734-H734*N734+K734+M734&lt;0),"Rupa nakon 2. dolaska",IF(P734&lt;POSTAVKE!$B$6,"Količina nije dovoljna",IF(I734&gt;=POSTAVKE!$B$6,"Sve u redu","Stiže na vrijeme")))))))</f>
        <v>Naruči odmah</v>
      </c>
      <c r="S734" s="23" t="n">
        <f aca="false">IFERROR(INDEX(PODACI_PRODAJA!B:B,MATCH($A734,PODACI_PRODAJA!$A:$A,0)),0)</f>
        <v>0</v>
      </c>
      <c r="T734" s="23" t="n">
        <f aca="false">IFERROR(INDEX(PODACI_PRODAJA!C:C,MATCH($A734,PODACI_PRODAJA!$A:$A,0)),0)</f>
        <v>4</v>
      </c>
      <c r="U734" s="23" t="n">
        <f aca="false">IFERROR(INDEX(PODACI_PRODAJA!D:D,MATCH($A734,PODACI_PRODAJA!$A:$A,0)),0)</f>
        <v>3</v>
      </c>
      <c r="V734" s="23" t="n">
        <f aca="false">IFERROR(INDEX(PODACI_PRODAJA!E:E,MATCH($A734,PODACI_PRODAJA!$A:$A,0)),0)</f>
        <v>5</v>
      </c>
      <c r="W734" s="23" t="n">
        <f aca="false">IFERROR(INDEX(PODACI_PRODAJA!F:F,MATCH($A734,PODACI_PRODAJA!$A:$A,0)),0)</f>
        <v>4</v>
      </c>
      <c r="X734" s="23" t="n">
        <f aca="false">IFERROR(INDEX(PODACI_PRODAJA!G:G,MATCH($A734,PODACI_PRODAJA!$A:$A,0)),0)</f>
        <v>8</v>
      </c>
      <c r="Y734" s="23" t="n">
        <f aca="false">IFERROR(INDEX(PODACI_PRODAJA!H:H,MATCH($A734,PODACI_PRODAJA!$A:$A,0)),0)</f>
        <v>0</v>
      </c>
      <c r="Z734" s="23" t="n">
        <f aca="false">IFERROR(INDEX(PODACI_PRODAJA!I:I,MATCH($A734,PODACI_PRODAJA!$A:$A,0)),0)</f>
        <v>0</v>
      </c>
      <c r="AA734" s="23" t="n">
        <f aca="false">IFERROR(INDEX(PODACI_PRODAJA!J:J,MATCH($A734,PODACI_PRODAJA!$A:$A,0)),0)</f>
        <v>0</v>
      </c>
      <c r="AB734" s="23" t="n">
        <f aca="false">IFERROR(INDEX(PODACI_PRODAJA!K:K,MATCH($A734,PODACI_PRODAJA!$A:$A,0)),0)</f>
        <v>0</v>
      </c>
      <c r="AC734" s="23" t="n">
        <f aca="false">IFERROR(INDEX(PODACI_PRODAJA!L:L,MATCH($A734,PODACI_PRODAJA!$A:$A,0)),0)</f>
        <v>0</v>
      </c>
      <c r="AD734" s="23" t="n">
        <f aca="false">IFERROR(INDEX(PODACI_PRODAJA!M:M,MATCH($A734,PODACI_PRODAJA!$A:$A,0)),0)</f>
        <v>0</v>
      </c>
    </row>
    <row r="735" customFormat="false" ht="15" hidden="false" customHeight="false" outlineLevel="0" collapsed="false">
      <c r="A735" s="11" t="str">
        <f aca="false">PODACI_ZALIHE!A732</f>
        <v>156700</v>
      </c>
      <c r="B735" s="8" t="str">
        <f aca="false">PODACI_ZALIHE!B732</f>
        <v>BOLD S BIJELA 80170 MINERALSOLID TUŠ KADA 800x1700x30 mm</v>
      </c>
      <c r="C735" s="9" t="str">
        <f aca="false">PODACI_ZALIHE!C732</f>
        <v>5517</v>
      </c>
      <c r="D735" s="8" t="str">
        <f aca="false">PODACI_ZALIHE!D732</f>
        <v>NICOS INTERNATIONAL S.P.A.</v>
      </c>
      <c r="E735" s="19" t="n">
        <f aca="false">IF(PODACI_ZALIHE!E732="","",PODACI_ZALIHE!E732)</f>
        <v>0</v>
      </c>
      <c r="F735" s="20" t="n">
        <f aca="false">PODACI_ZALIHE!F732</f>
        <v>0</v>
      </c>
      <c r="G735" s="19" t="n">
        <f aca="false">IF(E735="","",E735-F735)</f>
        <v>0</v>
      </c>
      <c r="H735" s="9" t="n">
        <f aca="false">PODACI_PRODAJA!N506</f>
        <v>2.5</v>
      </c>
      <c r="I735" s="21" t="n">
        <f aca="false">IF(H735&lt;=0,999,ROUND(F735/H735,1))</f>
        <v>0</v>
      </c>
      <c r="J735" s="9" t="n">
        <f aca="false">SUMIFS(ROBA_U_DOLASKU!$C$6:$C$95,ROBA_U_DOLASKU!$A$6:$A$95,A735,ROBA_U_DOLASKU!$H$6:$H$95,1)</f>
        <v>0</v>
      </c>
      <c r="K735" s="9" t="n">
        <f aca="false">SUMIFS(ROBA_U_DOLASKU!$B$6:$B$95,ROBA_U_DOLASKU!$A$6:$A$95,A735,ROBA_U_DOLASKU!$H$6:$H$95,1)</f>
        <v>0</v>
      </c>
      <c r="L735" s="9" t="n">
        <f aca="false">SUMIFS(ROBA_U_DOLASKU!$C$6:$C$95,ROBA_U_DOLASKU!$A$6:$A$95,A735,ROBA_U_DOLASKU!$H$6:$H$95,2)</f>
        <v>0</v>
      </c>
      <c r="M735" s="9" t="n">
        <f aca="false">SUMIFS(ROBA_U_DOLASKU!$B$6:$B$95,ROBA_U_DOLASKU!$A$6:$A$95,A735,ROBA_U_DOLASKU!$H$6:$H$95,2)</f>
        <v>0</v>
      </c>
      <c r="N735" s="9" t="n">
        <f aca="false">SUMIFS(ROBA_U_DOLASKU!$C$6:$C$95,ROBA_U_DOLASKU!$A$6:$A$95,A735,ROBA_U_DOLASKU!$H$6:$H$95,3)</f>
        <v>0</v>
      </c>
      <c r="O735" s="9" t="n">
        <f aca="false">SUMIFS(ROBA_U_DOLASKU!$B$6:$B$95,ROBA_U_DOLASKU!$A$6:$A$95,A735,ROBA_U_DOLASKU!$H$6:$H$95,3)</f>
        <v>0</v>
      </c>
      <c r="P735" s="9" t="n">
        <f aca="false">IF(H735&lt;=0,999,IF(O735&gt;0,ROUND((F735-H735*N735+K735+M735+O735)/H735,1),IF(M735&gt;0,ROUND((F735-H735*L735+K735+M735)/H735,1),IF(K735&gt;0,ROUND((F735-H735*J735+K735)/H735,1),I735))))</f>
        <v>0</v>
      </c>
      <c r="Q735" s="22" t="str">
        <f aca="false">IF(H735&lt;=0,"Nema prodaje",IF(AND(K735=0,M735=0,O735=0),IF(I735&lt;POSTAVKE!$B$6,"Naruči odmah","Sve u redu"),IF(F735-H735*J735&lt;0,"Rupa za ~"&amp;TEXT(I735,"0.0")&amp;" mj.",IF(AND(M735&gt;0,F735-H735*L735+K735&lt;0),"Rupa nakon 1. dolaska",IF(AND(O735&gt;0,F735-H735*N735+K735+M735&lt;0),"Rupa nakon 2. dolaska",IF(P735&lt;POSTAVKE!$B$6,"Količina nije dovoljna",IF(I735&gt;=POSTAVKE!$B$6,"Sve u redu","Stiže na vrijeme")))))))</f>
        <v>Naruči odmah</v>
      </c>
      <c r="S735" s="23" t="n">
        <f aca="false">IFERROR(INDEX(PODACI_PRODAJA!B:B,MATCH($A735,PODACI_PRODAJA!$A:$A,0)),0)</f>
        <v>0</v>
      </c>
      <c r="T735" s="23" t="n">
        <f aca="false">IFERROR(INDEX(PODACI_PRODAJA!C:C,MATCH($A735,PODACI_PRODAJA!$A:$A,0)),0)</f>
        <v>9</v>
      </c>
      <c r="U735" s="23" t="n">
        <f aca="false">IFERROR(INDEX(PODACI_PRODAJA!D:D,MATCH($A735,PODACI_PRODAJA!$A:$A,0)),0)</f>
        <v>0</v>
      </c>
      <c r="V735" s="23" t="n">
        <f aca="false">IFERROR(INDEX(PODACI_PRODAJA!E:E,MATCH($A735,PODACI_PRODAJA!$A:$A,0)),0)</f>
        <v>0</v>
      </c>
      <c r="W735" s="23" t="n">
        <f aca="false">IFERROR(INDEX(PODACI_PRODAJA!F:F,MATCH($A735,PODACI_PRODAJA!$A:$A,0)),0)</f>
        <v>3</v>
      </c>
      <c r="X735" s="23" t="n">
        <f aca="false">IFERROR(INDEX(PODACI_PRODAJA!G:G,MATCH($A735,PODACI_PRODAJA!$A:$A,0)),0)</f>
        <v>8</v>
      </c>
      <c r="Y735" s="23" t="n">
        <f aca="false">IFERROR(INDEX(PODACI_PRODAJA!H:H,MATCH($A735,PODACI_PRODAJA!$A:$A,0)),0)</f>
        <v>0</v>
      </c>
      <c r="Z735" s="23" t="n">
        <f aca="false">IFERROR(INDEX(PODACI_PRODAJA!I:I,MATCH($A735,PODACI_PRODAJA!$A:$A,0)),0)</f>
        <v>0</v>
      </c>
      <c r="AA735" s="23" t="n">
        <f aca="false">IFERROR(INDEX(PODACI_PRODAJA!J:J,MATCH($A735,PODACI_PRODAJA!$A:$A,0)),0)</f>
        <v>0</v>
      </c>
      <c r="AB735" s="23" t="n">
        <f aca="false">IFERROR(INDEX(PODACI_PRODAJA!K:K,MATCH($A735,PODACI_PRODAJA!$A:$A,0)),0)</f>
        <v>0</v>
      </c>
      <c r="AC735" s="23" t="n">
        <f aca="false">IFERROR(INDEX(PODACI_PRODAJA!L:L,MATCH($A735,PODACI_PRODAJA!$A:$A,0)),0)</f>
        <v>0</v>
      </c>
      <c r="AD735" s="23" t="n">
        <f aca="false">IFERROR(INDEX(PODACI_PRODAJA!M:M,MATCH($A735,PODACI_PRODAJA!$A:$A,0)),0)</f>
        <v>0</v>
      </c>
    </row>
    <row r="736" customFormat="false" ht="15" hidden="false" customHeight="false" outlineLevel="0" collapsed="false">
      <c r="A736" s="11" t="str">
        <f aca="false">PODACI_ZALIHE!A733</f>
        <v>156710</v>
      </c>
      <c r="B736" s="8" t="str">
        <f aca="false">PODACI_ZALIHE!B733</f>
        <v>BOLD S BIJELA 90 KV MINERALSOLID TUŠ KADA 900x900x30 mm</v>
      </c>
      <c r="C736" s="9" t="str">
        <f aca="false">PODACI_ZALIHE!C733</f>
        <v>5517</v>
      </c>
      <c r="D736" s="8" t="str">
        <f aca="false">PODACI_ZALIHE!D733</f>
        <v>NICOS INTERNATIONAL S.P.A.</v>
      </c>
      <c r="E736" s="19" t="n">
        <f aca="false">IF(PODACI_ZALIHE!E733="","",PODACI_ZALIHE!E733)</f>
        <v>0</v>
      </c>
      <c r="F736" s="20" t="n">
        <f aca="false">PODACI_ZALIHE!F733</f>
        <v>0</v>
      </c>
      <c r="G736" s="19" t="n">
        <f aca="false">IF(E736="","",E736-F736)</f>
        <v>0</v>
      </c>
      <c r="H736" s="9" t="n">
        <v>0</v>
      </c>
      <c r="I736" s="21" t="n">
        <f aca="false">IF(H736&lt;=0,999,ROUND(F736/H736,1))</f>
        <v>999</v>
      </c>
      <c r="J736" s="9" t="n">
        <f aca="false">SUMIFS(ROBA_U_DOLASKU!$C$6:$C$95,ROBA_U_DOLASKU!$A$6:$A$95,A736,ROBA_U_DOLASKU!$H$6:$H$95,1)</f>
        <v>0</v>
      </c>
      <c r="K736" s="9" t="n">
        <f aca="false">SUMIFS(ROBA_U_DOLASKU!$B$6:$B$95,ROBA_U_DOLASKU!$A$6:$A$95,A736,ROBA_U_DOLASKU!$H$6:$H$95,1)</f>
        <v>0</v>
      </c>
      <c r="L736" s="9" t="n">
        <f aca="false">SUMIFS(ROBA_U_DOLASKU!$C$6:$C$95,ROBA_U_DOLASKU!$A$6:$A$95,A736,ROBA_U_DOLASKU!$H$6:$H$95,2)</f>
        <v>0</v>
      </c>
      <c r="M736" s="9" t="n">
        <f aca="false">SUMIFS(ROBA_U_DOLASKU!$B$6:$B$95,ROBA_U_DOLASKU!$A$6:$A$95,A736,ROBA_U_DOLASKU!$H$6:$H$95,2)</f>
        <v>0</v>
      </c>
      <c r="N736" s="9" t="n">
        <f aca="false">SUMIFS(ROBA_U_DOLASKU!$C$6:$C$95,ROBA_U_DOLASKU!$A$6:$A$95,A736,ROBA_U_DOLASKU!$H$6:$H$95,3)</f>
        <v>0</v>
      </c>
      <c r="O736" s="9" t="n">
        <f aca="false">SUMIFS(ROBA_U_DOLASKU!$B$6:$B$95,ROBA_U_DOLASKU!$A$6:$A$95,A736,ROBA_U_DOLASKU!$H$6:$H$95,3)</f>
        <v>0</v>
      </c>
      <c r="P736" s="9" t="n">
        <f aca="false">IF(H736&lt;=0,999,IF(O736&gt;0,ROUND((F736-H736*N736+K736+M736+O736)/H736,1),IF(M736&gt;0,ROUND((F736-H736*L736+K736+M736)/H736,1),IF(K736&gt;0,ROUND((F736-H736*J736+K736)/H736,1),I736))))</f>
        <v>999</v>
      </c>
      <c r="Q736" s="22" t="str">
        <f aca="false">IF(H736&lt;=0,"Nema prodaje",IF(AND(K736=0,M736=0,O736=0),IF(I736&lt;POSTAVKE!$B$6,"Naruči odmah","Sve u redu"),IF(F736-H736*J736&lt;0,"Rupa za ~"&amp;TEXT(I736,"0.0")&amp;" mj.",IF(AND(M736&gt;0,F736-H736*L736+K736&lt;0),"Rupa nakon 1. dolaska",IF(AND(O736&gt;0,F736-H736*N736+K736+M736&lt;0),"Rupa nakon 2. dolaska",IF(P736&lt;POSTAVKE!$B$6,"Količina nije dovoljna",IF(I736&gt;=POSTAVKE!$B$6,"Sve u redu","Stiže na vrijeme")))))))</f>
        <v>Nema prodaje</v>
      </c>
      <c r="S736" s="23" t="n">
        <f aca="false">IFERROR(INDEX(PODACI_PRODAJA!B:B,MATCH($A736,PODACI_PRODAJA!$A:$A,0)),0)</f>
        <v>0</v>
      </c>
      <c r="T736" s="23" t="n">
        <f aca="false">IFERROR(INDEX(PODACI_PRODAJA!C:C,MATCH($A736,PODACI_PRODAJA!$A:$A,0)),0)</f>
        <v>0</v>
      </c>
      <c r="U736" s="23" t="n">
        <f aca="false">IFERROR(INDEX(PODACI_PRODAJA!D:D,MATCH($A736,PODACI_PRODAJA!$A:$A,0)),0)</f>
        <v>0</v>
      </c>
      <c r="V736" s="23" t="n">
        <f aca="false">IFERROR(INDEX(PODACI_PRODAJA!E:E,MATCH($A736,PODACI_PRODAJA!$A:$A,0)),0)</f>
        <v>0</v>
      </c>
      <c r="W736" s="23" t="n">
        <f aca="false">IFERROR(INDEX(PODACI_PRODAJA!F:F,MATCH($A736,PODACI_PRODAJA!$A:$A,0)),0)</f>
        <v>0</v>
      </c>
      <c r="X736" s="23" t="n">
        <f aca="false">IFERROR(INDEX(PODACI_PRODAJA!G:G,MATCH($A736,PODACI_PRODAJA!$A:$A,0)),0)</f>
        <v>0</v>
      </c>
      <c r="Y736" s="23" t="n">
        <f aca="false">IFERROR(INDEX(PODACI_PRODAJA!H:H,MATCH($A736,PODACI_PRODAJA!$A:$A,0)),0)</f>
        <v>0</v>
      </c>
      <c r="Z736" s="23" t="n">
        <f aca="false">IFERROR(INDEX(PODACI_PRODAJA!I:I,MATCH($A736,PODACI_PRODAJA!$A:$A,0)),0)</f>
        <v>0</v>
      </c>
      <c r="AA736" s="23" t="n">
        <f aca="false">IFERROR(INDEX(PODACI_PRODAJA!J:J,MATCH($A736,PODACI_PRODAJA!$A:$A,0)),0)</f>
        <v>0</v>
      </c>
      <c r="AB736" s="23" t="n">
        <f aca="false">IFERROR(INDEX(PODACI_PRODAJA!K:K,MATCH($A736,PODACI_PRODAJA!$A:$A,0)),0)</f>
        <v>0</v>
      </c>
      <c r="AC736" s="23" t="n">
        <f aca="false">IFERROR(INDEX(PODACI_PRODAJA!L:L,MATCH($A736,PODACI_PRODAJA!$A:$A,0)),0)</f>
        <v>0</v>
      </c>
      <c r="AD736" s="23" t="n">
        <f aca="false">IFERROR(INDEX(PODACI_PRODAJA!M:M,MATCH($A736,PODACI_PRODAJA!$A:$A,0)),0)</f>
        <v>0</v>
      </c>
    </row>
    <row r="737" customFormat="false" ht="15" hidden="false" customHeight="false" outlineLevel="0" collapsed="false">
      <c r="A737" s="11" t="str">
        <f aca="false">PODACI_ZALIHE!A734</f>
        <v>156730</v>
      </c>
      <c r="B737" s="8" t="str">
        <f aca="false">PODACI_ZALIHE!B734</f>
        <v>BOLD S BIJELA 90110 MINERALSOLID TUŠ KADA 900x1100x30 mm</v>
      </c>
      <c r="C737" s="9" t="str">
        <f aca="false">PODACI_ZALIHE!C734</f>
        <v>5517</v>
      </c>
      <c r="D737" s="8" t="str">
        <f aca="false">PODACI_ZALIHE!D734</f>
        <v>NICOS INTERNATIONAL S.P.A.</v>
      </c>
      <c r="E737" s="19" t="n">
        <f aca="false">IF(PODACI_ZALIHE!E734="","",PODACI_ZALIHE!E734)</f>
        <v>0</v>
      </c>
      <c r="F737" s="20" t="n">
        <f aca="false">PODACI_ZALIHE!F734</f>
        <v>0</v>
      </c>
      <c r="G737" s="19" t="n">
        <f aca="false">IF(E737="","",E737-F737)</f>
        <v>0</v>
      </c>
      <c r="H737" s="9" t="n">
        <f aca="false">PODACI_PRODAJA!N241</f>
        <v>1.88</v>
      </c>
      <c r="I737" s="21" t="n">
        <f aca="false">IF(H737&lt;=0,999,ROUND(F737/H737,1))</f>
        <v>0</v>
      </c>
      <c r="J737" s="9" t="n">
        <f aca="false">SUMIFS(ROBA_U_DOLASKU!$C$6:$C$95,ROBA_U_DOLASKU!$A$6:$A$95,A737,ROBA_U_DOLASKU!$H$6:$H$95,1)</f>
        <v>0</v>
      </c>
      <c r="K737" s="9" t="n">
        <f aca="false">SUMIFS(ROBA_U_DOLASKU!$B$6:$B$95,ROBA_U_DOLASKU!$A$6:$A$95,A737,ROBA_U_DOLASKU!$H$6:$H$95,1)</f>
        <v>0</v>
      </c>
      <c r="L737" s="9" t="n">
        <f aca="false">SUMIFS(ROBA_U_DOLASKU!$C$6:$C$95,ROBA_U_DOLASKU!$A$6:$A$95,A737,ROBA_U_DOLASKU!$H$6:$H$95,2)</f>
        <v>0</v>
      </c>
      <c r="M737" s="9" t="n">
        <f aca="false">SUMIFS(ROBA_U_DOLASKU!$B$6:$B$95,ROBA_U_DOLASKU!$A$6:$A$95,A737,ROBA_U_DOLASKU!$H$6:$H$95,2)</f>
        <v>0</v>
      </c>
      <c r="N737" s="9" t="n">
        <f aca="false">SUMIFS(ROBA_U_DOLASKU!$C$6:$C$95,ROBA_U_DOLASKU!$A$6:$A$95,A737,ROBA_U_DOLASKU!$H$6:$H$95,3)</f>
        <v>0</v>
      </c>
      <c r="O737" s="9" t="n">
        <f aca="false">SUMIFS(ROBA_U_DOLASKU!$B$6:$B$95,ROBA_U_DOLASKU!$A$6:$A$95,A737,ROBA_U_DOLASKU!$H$6:$H$95,3)</f>
        <v>0</v>
      </c>
      <c r="P737" s="9" t="n">
        <f aca="false">IF(H737&lt;=0,999,IF(O737&gt;0,ROUND((F737-H737*N737+K737+M737+O737)/H737,1),IF(M737&gt;0,ROUND((F737-H737*L737+K737+M737)/H737,1),IF(K737&gt;0,ROUND((F737-H737*J737+K737)/H737,1),I737))))</f>
        <v>0</v>
      </c>
      <c r="Q737" s="22" t="str">
        <f aca="false">IF(H737&lt;=0,"Nema prodaje",IF(AND(K737=0,M737=0,O737=0),IF(I737&lt;POSTAVKE!$B$6,"Naruči odmah","Sve u redu"),IF(F737-H737*J737&lt;0,"Rupa za ~"&amp;TEXT(I737,"0.0")&amp;" mj.",IF(AND(M737&gt;0,F737-H737*L737+K737&lt;0),"Rupa nakon 1. dolaska",IF(AND(O737&gt;0,F737-H737*N737+K737+M737&lt;0),"Rupa nakon 2. dolaska",IF(P737&lt;POSTAVKE!$B$6,"Količina nije dovoljna",IF(I737&gt;=POSTAVKE!$B$6,"Sve u redu","Stiže na vrijeme")))))))</f>
        <v>Naruči odmah</v>
      </c>
      <c r="S737" s="23" t="n">
        <f aca="false">IFERROR(INDEX(PODACI_PRODAJA!B:B,MATCH($A737,PODACI_PRODAJA!$A:$A,0)),0)</f>
        <v>1</v>
      </c>
      <c r="T737" s="23" t="n">
        <f aca="false">IFERROR(INDEX(PODACI_PRODAJA!C:C,MATCH($A737,PODACI_PRODAJA!$A:$A,0)),0)</f>
        <v>4</v>
      </c>
      <c r="U737" s="23" t="n">
        <f aca="false">IFERROR(INDEX(PODACI_PRODAJA!D:D,MATCH($A737,PODACI_PRODAJA!$A:$A,0)),0)</f>
        <v>0</v>
      </c>
      <c r="V737" s="23" t="n">
        <f aca="false">IFERROR(INDEX(PODACI_PRODAJA!E:E,MATCH($A737,PODACI_PRODAJA!$A:$A,0)),0)</f>
        <v>0</v>
      </c>
      <c r="W737" s="23" t="n">
        <f aca="false">IFERROR(INDEX(PODACI_PRODAJA!F:F,MATCH($A737,PODACI_PRODAJA!$A:$A,0)),0)</f>
        <v>5</v>
      </c>
      <c r="X737" s="23" t="n">
        <f aca="false">IFERROR(INDEX(PODACI_PRODAJA!G:G,MATCH($A737,PODACI_PRODAJA!$A:$A,0)),0)</f>
        <v>5</v>
      </c>
      <c r="Y737" s="23" t="n">
        <f aca="false">IFERROR(INDEX(PODACI_PRODAJA!H:H,MATCH($A737,PODACI_PRODAJA!$A:$A,0)),0)</f>
        <v>0</v>
      </c>
      <c r="Z737" s="23" t="n">
        <f aca="false">IFERROR(INDEX(PODACI_PRODAJA!I:I,MATCH($A737,PODACI_PRODAJA!$A:$A,0)),0)</f>
        <v>0</v>
      </c>
      <c r="AA737" s="23" t="n">
        <f aca="false">IFERROR(INDEX(PODACI_PRODAJA!J:J,MATCH($A737,PODACI_PRODAJA!$A:$A,0)),0)</f>
        <v>0</v>
      </c>
      <c r="AB737" s="23" t="n">
        <f aca="false">IFERROR(INDEX(PODACI_PRODAJA!K:K,MATCH($A737,PODACI_PRODAJA!$A:$A,0)),0)</f>
        <v>0</v>
      </c>
      <c r="AC737" s="23" t="n">
        <f aca="false">IFERROR(INDEX(PODACI_PRODAJA!L:L,MATCH($A737,PODACI_PRODAJA!$A:$A,0)),0)</f>
        <v>0</v>
      </c>
      <c r="AD737" s="23" t="n">
        <f aca="false">IFERROR(INDEX(PODACI_PRODAJA!M:M,MATCH($A737,PODACI_PRODAJA!$A:$A,0)),0)</f>
        <v>0</v>
      </c>
    </row>
    <row r="738" customFormat="false" ht="15" hidden="false" customHeight="false" outlineLevel="0" collapsed="false">
      <c r="A738" s="11" t="str">
        <f aca="false">PODACI_ZALIHE!A735</f>
        <v>156740</v>
      </c>
      <c r="B738" s="8" t="str">
        <f aca="false">PODACI_ZALIHE!B735</f>
        <v>BOLD S BIJELA 90120 MINERALSOLID TUŠ KADA 900x1200x30 mm</v>
      </c>
      <c r="C738" s="9" t="str">
        <f aca="false">PODACI_ZALIHE!C735</f>
        <v>5517</v>
      </c>
      <c r="D738" s="8" t="str">
        <f aca="false">PODACI_ZALIHE!D735</f>
        <v>NICOS INTERNATIONAL S.P.A.</v>
      </c>
      <c r="E738" s="19" t="n">
        <f aca="false">IF(PODACI_ZALIHE!E735="","",PODACI_ZALIHE!E735)</f>
        <v>0</v>
      </c>
      <c r="F738" s="20" t="n">
        <f aca="false">PODACI_ZALIHE!F735</f>
        <v>0</v>
      </c>
      <c r="G738" s="19" t="n">
        <f aca="false">IF(E738="","",E738-F738)</f>
        <v>0</v>
      </c>
      <c r="H738" s="9" t="n">
        <f aca="false">PODACI_PRODAJA!N58</f>
        <v>3.88</v>
      </c>
      <c r="I738" s="21" t="n">
        <f aca="false">IF(H738&lt;=0,999,ROUND(F738/H738,1))</f>
        <v>0</v>
      </c>
      <c r="J738" s="9" t="n">
        <f aca="false">SUMIFS(ROBA_U_DOLASKU!$C$6:$C$95,ROBA_U_DOLASKU!$A$6:$A$95,A738,ROBA_U_DOLASKU!$H$6:$H$95,1)</f>
        <v>0</v>
      </c>
      <c r="K738" s="9" t="n">
        <f aca="false">SUMIFS(ROBA_U_DOLASKU!$B$6:$B$95,ROBA_U_DOLASKU!$A$6:$A$95,A738,ROBA_U_DOLASKU!$H$6:$H$95,1)</f>
        <v>0</v>
      </c>
      <c r="L738" s="9" t="n">
        <f aca="false">SUMIFS(ROBA_U_DOLASKU!$C$6:$C$95,ROBA_U_DOLASKU!$A$6:$A$95,A738,ROBA_U_DOLASKU!$H$6:$H$95,2)</f>
        <v>0</v>
      </c>
      <c r="M738" s="9" t="n">
        <f aca="false">SUMIFS(ROBA_U_DOLASKU!$B$6:$B$95,ROBA_U_DOLASKU!$A$6:$A$95,A738,ROBA_U_DOLASKU!$H$6:$H$95,2)</f>
        <v>0</v>
      </c>
      <c r="N738" s="9" t="n">
        <f aca="false">SUMIFS(ROBA_U_DOLASKU!$C$6:$C$95,ROBA_U_DOLASKU!$A$6:$A$95,A738,ROBA_U_DOLASKU!$H$6:$H$95,3)</f>
        <v>0</v>
      </c>
      <c r="O738" s="9" t="n">
        <f aca="false">SUMIFS(ROBA_U_DOLASKU!$B$6:$B$95,ROBA_U_DOLASKU!$A$6:$A$95,A738,ROBA_U_DOLASKU!$H$6:$H$95,3)</f>
        <v>0</v>
      </c>
      <c r="P738" s="9" t="n">
        <f aca="false">IF(H738&lt;=0,999,IF(O738&gt;0,ROUND((F738-H738*N738+K738+M738+O738)/H738,1),IF(M738&gt;0,ROUND((F738-H738*L738+K738+M738)/H738,1),IF(K738&gt;0,ROUND((F738-H738*J738+K738)/H738,1),I738))))</f>
        <v>0</v>
      </c>
      <c r="Q738" s="22" t="str">
        <f aca="false">IF(H738&lt;=0,"Nema prodaje",IF(AND(K738=0,M738=0,O738=0),IF(I738&lt;POSTAVKE!$B$6,"Naruči odmah","Sve u redu"),IF(F738-H738*J738&lt;0,"Rupa za ~"&amp;TEXT(I738,"0.0")&amp;" mj.",IF(AND(M738&gt;0,F738-H738*L738+K738&lt;0),"Rupa nakon 1. dolaska",IF(AND(O738&gt;0,F738-H738*N738+K738+M738&lt;0),"Rupa nakon 2. dolaska",IF(P738&lt;POSTAVKE!$B$6,"Količina nije dovoljna",IF(I738&gt;=POSTAVKE!$B$6,"Sve u redu","Stiže na vrijeme")))))))</f>
        <v>Naruči odmah</v>
      </c>
      <c r="S738" s="23" t="n">
        <f aca="false">IFERROR(INDEX(PODACI_PRODAJA!B:B,MATCH($A738,PODACI_PRODAJA!$A:$A,0)),0)</f>
        <v>14</v>
      </c>
      <c r="T738" s="23" t="n">
        <f aca="false">IFERROR(INDEX(PODACI_PRODAJA!C:C,MATCH($A738,PODACI_PRODAJA!$A:$A,0)),0)</f>
        <v>17</v>
      </c>
      <c r="U738" s="23" t="n">
        <f aca="false">IFERROR(INDEX(PODACI_PRODAJA!D:D,MATCH($A738,PODACI_PRODAJA!$A:$A,0)),0)</f>
        <v>0</v>
      </c>
      <c r="V738" s="23" t="n">
        <f aca="false">IFERROR(INDEX(PODACI_PRODAJA!E:E,MATCH($A738,PODACI_PRODAJA!$A:$A,0)),0)</f>
        <v>0</v>
      </c>
      <c r="W738" s="23" t="n">
        <f aca="false">IFERROR(INDEX(PODACI_PRODAJA!F:F,MATCH($A738,PODACI_PRODAJA!$A:$A,0)),0)</f>
        <v>0</v>
      </c>
      <c r="X738" s="23" t="n">
        <f aca="false">IFERROR(INDEX(PODACI_PRODAJA!G:G,MATCH($A738,PODACI_PRODAJA!$A:$A,0)),0)</f>
        <v>0</v>
      </c>
      <c r="Y738" s="23" t="n">
        <f aca="false">IFERROR(INDEX(PODACI_PRODAJA!H:H,MATCH($A738,PODACI_PRODAJA!$A:$A,0)),0)</f>
        <v>0</v>
      </c>
      <c r="Z738" s="23" t="n">
        <f aca="false">IFERROR(INDEX(PODACI_PRODAJA!I:I,MATCH($A738,PODACI_PRODAJA!$A:$A,0)),0)</f>
        <v>0</v>
      </c>
      <c r="AA738" s="23" t="n">
        <f aca="false">IFERROR(INDEX(PODACI_PRODAJA!J:J,MATCH($A738,PODACI_PRODAJA!$A:$A,0)),0)</f>
        <v>0</v>
      </c>
      <c r="AB738" s="23" t="n">
        <f aca="false">IFERROR(INDEX(PODACI_PRODAJA!K:K,MATCH($A738,PODACI_PRODAJA!$A:$A,0)),0)</f>
        <v>0</v>
      </c>
      <c r="AC738" s="23" t="n">
        <f aca="false">IFERROR(INDEX(PODACI_PRODAJA!L:L,MATCH($A738,PODACI_PRODAJA!$A:$A,0)),0)</f>
        <v>0</v>
      </c>
      <c r="AD738" s="23" t="n">
        <f aca="false">IFERROR(INDEX(PODACI_PRODAJA!M:M,MATCH($A738,PODACI_PRODAJA!$A:$A,0)),0)</f>
        <v>0</v>
      </c>
    </row>
    <row r="739" customFormat="false" ht="15" hidden="false" customHeight="false" outlineLevel="0" collapsed="false">
      <c r="A739" s="11" t="str">
        <f aca="false">PODACI_ZALIHE!A736</f>
        <v>156750</v>
      </c>
      <c r="B739" s="8" t="str">
        <f aca="false">PODACI_ZALIHE!B736</f>
        <v>BOLD S BIJELA 90130 MINERALSOLID TUŠ KADA 900x1300x30 mm</v>
      </c>
      <c r="C739" s="9" t="str">
        <f aca="false">PODACI_ZALIHE!C736</f>
        <v>5517</v>
      </c>
      <c r="D739" s="8" t="str">
        <f aca="false">PODACI_ZALIHE!D736</f>
        <v>NICOS INTERNATIONAL S.P.A.</v>
      </c>
      <c r="E739" s="19" t="n">
        <f aca="false">IF(PODACI_ZALIHE!E736="","",PODACI_ZALIHE!E736)</f>
        <v>0</v>
      </c>
      <c r="F739" s="20" t="n">
        <f aca="false">PODACI_ZALIHE!F736</f>
        <v>0</v>
      </c>
      <c r="G739" s="19" t="n">
        <f aca="false">IF(E739="","",E739-F739)</f>
        <v>0</v>
      </c>
      <c r="H739" s="9" t="n">
        <f aca="false">PODACI_PRODAJA!N510</f>
        <v>0.5</v>
      </c>
      <c r="I739" s="21" t="n">
        <f aca="false">IF(H739&lt;=0,999,ROUND(F739/H739,1))</f>
        <v>0</v>
      </c>
      <c r="J739" s="9" t="n">
        <f aca="false">SUMIFS(ROBA_U_DOLASKU!$C$6:$C$95,ROBA_U_DOLASKU!$A$6:$A$95,A739,ROBA_U_DOLASKU!$H$6:$H$95,1)</f>
        <v>0</v>
      </c>
      <c r="K739" s="9" t="n">
        <f aca="false">SUMIFS(ROBA_U_DOLASKU!$B$6:$B$95,ROBA_U_DOLASKU!$A$6:$A$95,A739,ROBA_U_DOLASKU!$H$6:$H$95,1)</f>
        <v>0</v>
      </c>
      <c r="L739" s="9" t="n">
        <f aca="false">SUMIFS(ROBA_U_DOLASKU!$C$6:$C$95,ROBA_U_DOLASKU!$A$6:$A$95,A739,ROBA_U_DOLASKU!$H$6:$H$95,2)</f>
        <v>0</v>
      </c>
      <c r="M739" s="9" t="n">
        <f aca="false">SUMIFS(ROBA_U_DOLASKU!$B$6:$B$95,ROBA_U_DOLASKU!$A$6:$A$95,A739,ROBA_U_DOLASKU!$H$6:$H$95,2)</f>
        <v>0</v>
      </c>
      <c r="N739" s="9" t="n">
        <f aca="false">SUMIFS(ROBA_U_DOLASKU!$C$6:$C$95,ROBA_U_DOLASKU!$A$6:$A$95,A739,ROBA_U_DOLASKU!$H$6:$H$95,3)</f>
        <v>0</v>
      </c>
      <c r="O739" s="9" t="n">
        <f aca="false">SUMIFS(ROBA_U_DOLASKU!$B$6:$B$95,ROBA_U_DOLASKU!$A$6:$A$95,A739,ROBA_U_DOLASKU!$H$6:$H$95,3)</f>
        <v>0</v>
      </c>
      <c r="P739" s="9" t="n">
        <f aca="false">IF(H739&lt;=0,999,IF(O739&gt;0,ROUND((F739-H739*N739+K739+M739+O739)/H739,1),IF(M739&gt;0,ROUND((F739-H739*L739+K739+M739)/H739,1),IF(K739&gt;0,ROUND((F739-H739*J739+K739)/H739,1),I739))))</f>
        <v>0</v>
      </c>
      <c r="Q739" s="22" t="str">
        <f aca="false">IF(H739&lt;=0,"Nema prodaje",IF(AND(K739=0,M739=0,O739=0),IF(I739&lt;POSTAVKE!$B$6,"Naruči odmah","Sve u redu"),IF(F739-H739*J739&lt;0,"Rupa za ~"&amp;TEXT(I739,"0.0")&amp;" mj.",IF(AND(M739&gt;0,F739-H739*L739+K739&lt;0),"Rupa nakon 1. dolaska",IF(AND(O739&gt;0,F739-H739*N739+K739+M739&lt;0),"Rupa nakon 2. dolaska",IF(P739&lt;POSTAVKE!$B$6,"Količina nije dovoljna",IF(I739&gt;=POSTAVKE!$B$6,"Sve u redu","Stiže na vrijeme")))))))</f>
        <v>Naruči odmah</v>
      </c>
      <c r="S739" s="23" t="n">
        <f aca="false">IFERROR(INDEX(PODACI_PRODAJA!B:B,MATCH($A739,PODACI_PRODAJA!$A:$A,0)),0)</f>
        <v>0</v>
      </c>
      <c r="T739" s="23" t="n">
        <f aca="false">IFERROR(INDEX(PODACI_PRODAJA!C:C,MATCH($A739,PODACI_PRODAJA!$A:$A,0)),0)</f>
        <v>0</v>
      </c>
      <c r="U739" s="23" t="n">
        <f aca="false">IFERROR(INDEX(PODACI_PRODAJA!D:D,MATCH($A739,PODACI_PRODAJA!$A:$A,0)),0)</f>
        <v>0</v>
      </c>
      <c r="V739" s="23" t="n">
        <f aca="false">IFERROR(INDEX(PODACI_PRODAJA!E:E,MATCH($A739,PODACI_PRODAJA!$A:$A,0)),0)</f>
        <v>0</v>
      </c>
      <c r="W739" s="23" t="n">
        <f aca="false">IFERROR(INDEX(PODACI_PRODAJA!F:F,MATCH($A739,PODACI_PRODAJA!$A:$A,0)),0)</f>
        <v>0</v>
      </c>
      <c r="X739" s="23" t="n">
        <f aca="false">IFERROR(INDEX(PODACI_PRODAJA!G:G,MATCH($A739,PODACI_PRODAJA!$A:$A,0)),0)</f>
        <v>4</v>
      </c>
      <c r="Y739" s="23" t="n">
        <f aca="false">IFERROR(INDEX(PODACI_PRODAJA!H:H,MATCH($A739,PODACI_PRODAJA!$A:$A,0)),0)</f>
        <v>0</v>
      </c>
      <c r="Z739" s="23" t="n">
        <f aca="false">IFERROR(INDEX(PODACI_PRODAJA!I:I,MATCH($A739,PODACI_PRODAJA!$A:$A,0)),0)</f>
        <v>0</v>
      </c>
      <c r="AA739" s="23" t="n">
        <f aca="false">IFERROR(INDEX(PODACI_PRODAJA!J:J,MATCH($A739,PODACI_PRODAJA!$A:$A,0)),0)</f>
        <v>0</v>
      </c>
      <c r="AB739" s="23" t="n">
        <f aca="false">IFERROR(INDEX(PODACI_PRODAJA!K:K,MATCH($A739,PODACI_PRODAJA!$A:$A,0)),0)</f>
        <v>0</v>
      </c>
      <c r="AC739" s="23" t="n">
        <f aca="false">IFERROR(INDEX(PODACI_PRODAJA!L:L,MATCH($A739,PODACI_PRODAJA!$A:$A,0)),0)</f>
        <v>0</v>
      </c>
      <c r="AD739" s="23" t="n">
        <f aca="false">IFERROR(INDEX(PODACI_PRODAJA!M:M,MATCH($A739,PODACI_PRODAJA!$A:$A,0)),0)</f>
        <v>0</v>
      </c>
    </row>
    <row r="740" customFormat="false" ht="15" hidden="false" customHeight="false" outlineLevel="0" collapsed="false">
      <c r="A740" s="11" t="str">
        <f aca="false">PODACI_ZALIHE!A737</f>
        <v>156770</v>
      </c>
      <c r="B740" s="8" t="str">
        <f aca="false">PODACI_ZALIHE!B737</f>
        <v>BOLD S BIJELA 90150 MINERALSOLID TUŠ KADA 900x1500x30 mm</v>
      </c>
      <c r="C740" s="9" t="str">
        <f aca="false">PODACI_ZALIHE!C737</f>
        <v>5517</v>
      </c>
      <c r="D740" s="8" t="str">
        <f aca="false">PODACI_ZALIHE!D737</f>
        <v>NICOS INTERNATIONAL S.P.A.</v>
      </c>
      <c r="E740" s="19" t="n">
        <f aca="false">IF(PODACI_ZALIHE!E737="","",PODACI_ZALIHE!E737)</f>
        <v>0</v>
      </c>
      <c r="F740" s="20" t="n">
        <f aca="false">PODACI_ZALIHE!F737</f>
        <v>0</v>
      </c>
      <c r="G740" s="19" t="n">
        <f aca="false">IF(E740="","",E740-F740)</f>
        <v>0</v>
      </c>
      <c r="H740" s="9" t="n">
        <f aca="false">PODACI_PRODAJA!N511</f>
        <v>1.13</v>
      </c>
      <c r="I740" s="21" t="n">
        <f aca="false">IF(H740&lt;=0,999,ROUND(F740/H740,1))</f>
        <v>0</v>
      </c>
      <c r="J740" s="9" t="n">
        <f aca="false">SUMIFS(ROBA_U_DOLASKU!$C$6:$C$95,ROBA_U_DOLASKU!$A$6:$A$95,A740,ROBA_U_DOLASKU!$H$6:$H$95,1)</f>
        <v>0</v>
      </c>
      <c r="K740" s="9" t="n">
        <f aca="false">SUMIFS(ROBA_U_DOLASKU!$B$6:$B$95,ROBA_U_DOLASKU!$A$6:$A$95,A740,ROBA_U_DOLASKU!$H$6:$H$95,1)</f>
        <v>0</v>
      </c>
      <c r="L740" s="9" t="n">
        <f aca="false">SUMIFS(ROBA_U_DOLASKU!$C$6:$C$95,ROBA_U_DOLASKU!$A$6:$A$95,A740,ROBA_U_DOLASKU!$H$6:$H$95,2)</f>
        <v>0</v>
      </c>
      <c r="M740" s="9" t="n">
        <f aca="false">SUMIFS(ROBA_U_DOLASKU!$B$6:$B$95,ROBA_U_DOLASKU!$A$6:$A$95,A740,ROBA_U_DOLASKU!$H$6:$H$95,2)</f>
        <v>0</v>
      </c>
      <c r="N740" s="9" t="n">
        <f aca="false">SUMIFS(ROBA_U_DOLASKU!$C$6:$C$95,ROBA_U_DOLASKU!$A$6:$A$95,A740,ROBA_U_DOLASKU!$H$6:$H$95,3)</f>
        <v>0</v>
      </c>
      <c r="O740" s="9" t="n">
        <f aca="false">SUMIFS(ROBA_U_DOLASKU!$B$6:$B$95,ROBA_U_DOLASKU!$A$6:$A$95,A740,ROBA_U_DOLASKU!$H$6:$H$95,3)</f>
        <v>0</v>
      </c>
      <c r="P740" s="9" t="n">
        <f aca="false">IF(H740&lt;=0,999,IF(O740&gt;0,ROUND((F740-H740*N740+K740+M740+O740)/H740,1),IF(M740&gt;0,ROUND((F740-H740*L740+K740+M740)/H740,1),IF(K740&gt;0,ROUND((F740-H740*J740+K740)/H740,1),I740))))</f>
        <v>0</v>
      </c>
      <c r="Q740" s="22" t="str">
        <f aca="false">IF(H740&lt;=0,"Nema prodaje",IF(AND(K740=0,M740=0,O740=0),IF(I740&lt;POSTAVKE!$B$6,"Naruči odmah","Sve u redu"),IF(F740-H740*J740&lt;0,"Rupa za ~"&amp;TEXT(I740,"0.0")&amp;" mj.",IF(AND(M740&gt;0,F740-H740*L740+K740&lt;0),"Rupa nakon 1. dolaska",IF(AND(O740&gt;0,F740-H740*N740+K740+M740&lt;0),"Rupa nakon 2. dolaska",IF(P740&lt;POSTAVKE!$B$6,"Količina nije dovoljna",IF(I740&gt;=POSTAVKE!$B$6,"Sve u redu","Stiže na vrijeme")))))))</f>
        <v>Naruči odmah</v>
      </c>
      <c r="S740" s="23" t="n">
        <f aca="false">IFERROR(INDEX(PODACI_PRODAJA!B:B,MATCH($A740,PODACI_PRODAJA!$A:$A,0)),0)</f>
        <v>0</v>
      </c>
      <c r="T740" s="23" t="n">
        <f aca="false">IFERROR(INDEX(PODACI_PRODAJA!C:C,MATCH($A740,PODACI_PRODAJA!$A:$A,0)),0)</f>
        <v>9</v>
      </c>
      <c r="U740" s="23" t="n">
        <f aca="false">IFERROR(INDEX(PODACI_PRODAJA!D:D,MATCH($A740,PODACI_PRODAJA!$A:$A,0)),0)</f>
        <v>0</v>
      </c>
      <c r="V740" s="23" t="n">
        <f aca="false">IFERROR(INDEX(PODACI_PRODAJA!E:E,MATCH($A740,PODACI_PRODAJA!$A:$A,0)),0)</f>
        <v>0</v>
      </c>
      <c r="W740" s="23" t="n">
        <f aca="false">IFERROR(INDEX(PODACI_PRODAJA!F:F,MATCH($A740,PODACI_PRODAJA!$A:$A,0)),0)</f>
        <v>0</v>
      </c>
      <c r="X740" s="23" t="n">
        <f aca="false">IFERROR(INDEX(PODACI_PRODAJA!G:G,MATCH($A740,PODACI_PRODAJA!$A:$A,0)),0)</f>
        <v>0</v>
      </c>
      <c r="Y740" s="23" t="n">
        <f aca="false">IFERROR(INDEX(PODACI_PRODAJA!H:H,MATCH($A740,PODACI_PRODAJA!$A:$A,0)),0)</f>
        <v>0</v>
      </c>
      <c r="Z740" s="23" t="n">
        <f aca="false">IFERROR(INDEX(PODACI_PRODAJA!I:I,MATCH($A740,PODACI_PRODAJA!$A:$A,0)),0)</f>
        <v>0</v>
      </c>
      <c r="AA740" s="23" t="n">
        <f aca="false">IFERROR(INDEX(PODACI_PRODAJA!J:J,MATCH($A740,PODACI_PRODAJA!$A:$A,0)),0)</f>
        <v>0</v>
      </c>
      <c r="AB740" s="23" t="n">
        <f aca="false">IFERROR(INDEX(PODACI_PRODAJA!K:K,MATCH($A740,PODACI_PRODAJA!$A:$A,0)),0)</f>
        <v>0</v>
      </c>
      <c r="AC740" s="23" t="n">
        <f aca="false">IFERROR(INDEX(PODACI_PRODAJA!L:L,MATCH($A740,PODACI_PRODAJA!$A:$A,0)),0)</f>
        <v>0</v>
      </c>
      <c r="AD740" s="23" t="n">
        <f aca="false">IFERROR(INDEX(PODACI_PRODAJA!M:M,MATCH($A740,PODACI_PRODAJA!$A:$A,0)),0)</f>
        <v>0</v>
      </c>
    </row>
    <row r="741" customFormat="false" ht="15" hidden="false" customHeight="false" outlineLevel="0" collapsed="false">
      <c r="A741" s="11" t="str">
        <f aca="false">PODACI_ZALIHE!A738</f>
        <v>156780</v>
      </c>
      <c r="B741" s="8" t="str">
        <f aca="false">PODACI_ZALIHE!B738</f>
        <v>BOLD S BIJELA 90160 MINERALSOLID TUŠ KADA 900x1600x30 mm</v>
      </c>
      <c r="C741" s="9" t="str">
        <f aca="false">PODACI_ZALIHE!C738</f>
        <v>5517</v>
      </c>
      <c r="D741" s="8" t="str">
        <f aca="false">PODACI_ZALIHE!D738</f>
        <v>NICOS INTERNATIONAL S.P.A.</v>
      </c>
      <c r="E741" s="19" t="n">
        <f aca="false">IF(PODACI_ZALIHE!E738="","",PODACI_ZALIHE!E738)</f>
        <v>0</v>
      </c>
      <c r="F741" s="20" t="n">
        <f aca="false">PODACI_ZALIHE!F738</f>
        <v>0</v>
      </c>
      <c r="G741" s="19" t="n">
        <f aca="false">IF(E741="","",E741-F741)</f>
        <v>0</v>
      </c>
      <c r="H741" s="9" t="n">
        <f aca="false">PODACI_PRODAJA!N512</f>
        <v>1.5</v>
      </c>
      <c r="I741" s="21" t="n">
        <f aca="false">IF(H741&lt;=0,999,ROUND(F741/H741,1))</f>
        <v>0</v>
      </c>
      <c r="J741" s="9" t="n">
        <f aca="false">SUMIFS(ROBA_U_DOLASKU!$C$6:$C$95,ROBA_U_DOLASKU!$A$6:$A$95,A741,ROBA_U_DOLASKU!$H$6:$H$95,1)</f>
        <v>0</v>
      </c>
      <c r="K741" s="9" t="n">
        <f aca="false">SUMIFS(ROBA_U_DOLASKU!$B$6:$B$95,ROBA_U_DOLASKU!$A$6:$A$95,A741,ROBA_U_DOLASKU!$H$6:$H$95,1)</f>
        <v>0</v>
      </c>
      <c r="L741" s="9" t="n">
        <f aca="false">SUMIFS(ROBA_U_DOLASKU!$C$6:$C$95,ROBA_U_DOLASKU!$A$6:$A$95,A741,ROBA_U_DOLASKU!$H$6:$H$95,2)</f>
        <v>0</v>
      </c>
      <c r="M741" s="9" t="n">
        <f aca="false">SUMIFS(ROBA_U_DOLASKU!$B$6:$B$95,ROBA_U_DOLASKU!$A$6:$A$95,A741,ROBA_U_DOLASKU!$H$6:$H$95,2)</f>
        <v>0</v>
      </c>
      <c r="N741" s="9" t="n">
        <f aca="false">SUMIFS(ROBA_U_DOLASKU!$C$6:$C$95,ROBA_U_DOLASKU!$A$6:$A$95,A741,ROBA_U_DOLASKU!$H$6:$H$95,3)</f>
        <v>0</v>
      </c>
      <c r="O741" s="9" t="n">
        <f aca="false">SUMIFS(ROBA_U_DOLASKU!$B$6:$B$95,ROBA_U_DOLASKU!$A$6:$A$95,A741,ROBA_U_DOLASKU!$H$6:$H$95,3)</f>
        <v>0</v>
      </c>
      <c r="P741" s="9" t="n">
        <f aca="false">IF(H741&lt;=0,999,IF(O741&gt;0,ROUND((F741-H741*N741+K741+M741+O741)/H741,1),IF(M741&gt;0,ROUND((F741-H741*L741+K741+M741)/H741,1),IF(K741&gt;0,ROUND((F741-H741*J741+K741)/H741,1),I741))))</f>
        <v>0</v>
      </c>
      <c r="Q741" s="22" t="str">
        <f aca="false">IF(H741&lt;=0,"Nema prodaje",IF(AND(K741=0,M741=0,O741=0),IF(I741&lt;POSTAVKE!$B$6,"Naruči odmah","Sve u redu"),IF(F741-H741*J741&lt;0,"Rupa za ~"&amp;TEXT(I741,"0.0")&amp;" mj.",IF(AND(M741&gt;0,F741-H741*L741+K741&lt;0),"Rupa nakon 1. dolaska",IF(AND(O741&gt;0,F741-H741*N741+K741+M741&lt;0),"Rupa nakon 2. dolaska",IF(P741&lt;POSTAVKE!$B$6,"Količina nije dovoljna",IF(I741&gt;=POSTAVKE!$B$6,"Sve u redu","Stiže na vrijeme")))))))</f>
        <v>Naruči odmah</v>
      </c>
      <c r="S741" s="23" t="n">
        <f aca="false">IFERROR(INDEX(PODACI_PRODAJA!B:B,MATCH($A741,PODACI_PRODAJA!$A:$A,0)),0)</f>
        <v>0</v>
      </c>
      <c r="T741" s="23" t="n">
        <f aca="false">IFERROR(INDEX(PODACI_PRODAJA!C:C,MATCH($A741,PODACI_PRODAJA!$A:$A,0)),0)</f>
        <v>0</v>
      </c>
      <c r="U741" s="23" t="n">
        <f aca="false">IFERROR(INDEX(PODACI_PRODAJA!D:D,MATCH($A741,PODACI_PRODAJA!$A:$A,0)),0)</f>
        <v>-1</v>
      </c>
      <c r="V741" s="23" t="n">
        <f aca="false">IFERROR(INDEX(PODACI_PRODAJA!E:E,MATCH($A741,PODACI_PRODAJA!$A:$A,0)),0)</f>
        <v>4</v>
      </c>
      <c r="W741" s="23" t="n">
        <f aca="false">IFERROR(INDEX(PODACI_PRODAJA!F:F,MATCH($A741,PODACI_PRODAJA!$A:$A,0)),0)</f>
        <v>8</v>
      </c>
      <c r="X741" s="23" t="n">
        <f aca="false">IFERROR(INDEX(PODACI_PRODAJA!G:G,MATCH($A741,PODACI_PRODAJA!$A:$A,0)),0)</f>
        <v>1</v>
      </c>
      <c r="Y741" s="23" t="n">
        <f aca="false">IFERROR(INDEX(PODACI_PRODAJA!H:H,MATCH($A741,PODACI_PRODAJA!$A:$A,0)),0)</f>
        <v>0</v>
      </c>
      <c r="Z741" s="23" t="n">
        <f aca="false">IFERROR(INDEX(PODACI_PRODAJA!I:I,MATCH($A741,PODACI_PRODAJA!$A:$A,0)),0)</f>
        <v>0</v>
      </c>
      <c r="AA741" s="23" t="n">
        <f aca="false">IFERROR(INDEX(PODACI_PRODAJA!J:J,MATCH($A741,PODACI_PRODAJA!$A:$A,0)),0)</f>
        <v>0</v>
      </c>
      <c r="AB741" s="23" t="n">
        <f aca="false">IFERROR(INDEX(PODACI_PRODAJA!K:K,MATCH($A741,PODACI_PRODAJA!$A:$A,0)),0)</f>
        <v>0</v>
      </c>
      <c r="AC741" s="23" t="n">
        <f aca="false">IFERROR(INDEX(PODACI_PRODAJA!L:L,MATCH($A741,PODACI_PRODAJA!$A:$A,0)),0)</f>
        <v>0</v>
      </c>
      <c r="AD741" s="23" t="n">
        <f aca="false">IFERROR(INDEX(PODACI_PRODAJA!M:M,MATCH($A741,PODACI_PRODAJA!$A:$A,0)),0)</f>
        <v>0</v>
      </c>
    </row>
    <row r="742" customFormat="false" ht="15" hidden="false" customHeight="false" outlineLevel="0" collapsed="false">
      <c r="A742" s="11" t="str">
        <f aca="false">PODACI_ZALIHE!A739</f>
        <v>156790</v>
      </c>
      <c r="B742" s="8" t="str">
        <f aca="false">PODACI_ZALIHE!B739</f>
        <v>BOLD S BIJELA 90170 MINERALSOLID TUŠ KADA 900x1700x30 mm</v>
      </c>
      <c r="C742" s="9" t="str">
        <f aca="false">PODACI_ZALIHE!C739</f>
        <v>5517</v>
      </c>
      <c r="D742" s="8" t="str">
        <f aca="false">PODACI_ZALIHE!D739</f>
        <v>NICOS INTERNATIONAL S.P.A.</v>
      </c>
      <c r="E742" s="19" t="n">
        <f aca="false">IF(PODACI_ZALIHE!E739="","",PODACI_ZALIHE!E739)</f>
        <v>0</v>
      </c>
      <c r="F742" s="20" t="n">
        <f aca="false">PODACI_ZALIHE!F739</f>
        <v>0</v>
      </c>
      <c r="G742" s="19" t="n">
        <f aca="false">IF(E742="","",E742-F742)</f>
        <v>0</v>
      </c>
      <c r="H742" s="9" t="n">
        <f aca="false">PODACI_PRODAJA!N513</f>
        <v>1.5</v>
      </c>
      <c r="I742" s="21" t="n">
        <f aca="false">IF(H742&lt;=0,999,ROUND(F742/H742,1))</f>
        <v>0</v>
      </c>
      <c r="J742" s="9" t="n">
        <f aca="false">SUMIFS(ROBA_U_DOLASKU!$C$6:$C$95,ROBA_U_DOLASKU!$A$6:$A$95,A742,ROBA_U_DOLASKU!$H$6:$H$95,1)</f>
        <v>0</v>
      </c>
      <c r="K742" s="9" t="n">
        <f aca="false">SUMIFS(ROBA_U_DOLASKU!$B$6:$B$95,ROBA_U_DOLASKU!$A$6:$A$95,A742,ROBA_U_DOLASKU!$H$6:$H$95,1)</f>
        <v>0</v>
      </c>
      <c r="L742" s="9" t="n">
        <f aca="false">SUMIFS(ROBA_U_DOLASKU!$C$6:$C$95,ROBA_U_DOLASKU!$A$6:$A$95,A742,ROBA_U_DOLASKU!$H$6:$H$95,2)</f>
        <v>0</v>
      </c>
      <c r="M742" s="9" t="n">
        <f aca="false">SUMIFS(ROBA_U_DOLASKU!$B$6:$B$95,ROBA_U_DOLASKU!$A$6:$A$95,A742,ROBA_U_DOLASKU!$H$6:$H$95,2)</f>
        <v>0</v>
      </c>
      <c r="N742" s="9" t="n">
        <f aca="false">SUMIFS(ROBA_U_DOLASKU!$C$6:$C$95,ROBA_U_DOLASKU!$A$6:$A$95,A742,ROBA_U_DOLASKU!$H$6:$H$95,3)</f>
        <v>0</v>
      </c>
      <c r="O742" s="9" t="n">
        <f aca="false">SUMIFS(ROBA_U_DOLASKU!$B$6:$B$95,ROBA_U_DOLASKU!$A$6:$A$95,A742,ROBA_U_DOLASKU!$H$6:$H$95,3)</f>
        <v>0</v>
      </c>
      <c r="P742" s="9" t="n">
        <f aca="false">IF(H742&lt;=0,999,IF(O742&gt;0,ROUND((F742-H742*N742+K742+M742+O742)/H742,1),IF(M742&gt;0,ROUND((F742-H742*L742+K742+M742)/H742,1),IF(K742&gt;0,ROUND((F742-H742*J742+K742)/H742,1),I742))))</f>
        <v>0</v>
      </c>
      <c r="Q742" s="22" t="str">
        <f aca="false">IF(H742&lt;=0,"Nema prodaje",IF(AND(K742=0,M742=0,O742=0),IF(I742&lt;POSTAVKE!$B$6,"Naruči odmah","Sve u redu"),IF(F742-H742*J742&lt;0,"Rupa za ~"&amp;TEXT(I742,"0.0")&amp;" mj.",IF(AND(M742&gt;0,F742-H742*L742+K742&lt;0),"Rupa nakon 1. dolaska",IF(AND(O742&gt;0,F742-H742*N742+K742+M742&lt;0),"Rupa nakon 2. dolaska",IF(P742&lt;POSTAVKE!$B$6,"Količina nije dovoljna",IF(I742&gt;=POSTAVKE!$B$6,"Sve u redu","Stiže na vrijeme")))))))</f>
        <v>Naruči odmah</v>
      </c>
      <c r="S742" s="23" t="n">
        <f aca="false">IFERROR(INDEX(PODACI_PRODAJA!B:B,MATCH($A742,PODACI_PRODAJA!$A:$A,0)),0)</f>
        <v>0</v>
      </c>
      <c r="T742" s="23" t="n">
        <f aca="false">IFERROR(INDEX(PODACI_PRODAJA!C:C,MATCH($A742,PODACI_PRODAJA!$A:$A,0)),0)</f>
        <v>4</v>
      </c>
      <c r="U742" s="23" t="n">
        <f aca="false">IFERROR(INDEX(PODACI_PRODAJA!D:D,MATCH($A742,PODACI_PRODAJA!$A:$A,0)),0)</f>
        <v>3</v>
      </c>
      <c r="V742" s="23" t="n">
        <f aca="false">IFERROR(INDEX(PODACI_PRODAJA!E:E,MATCH($A742,PODACI_PRODAJA!$A:$A,0)),0)</f>
        <v>0</v>
      </c>
      <c r="W742" s="23" t="n">
        <f aca="false">IFERROR(INDEX(PODACI_PRODAJA!F:F,MATCH($A742,PODACI_PRODAJA!$A:$A,0)),0)</f>
        <v>3</v>
      </c>
      <c r="X742" s="23" t="n">
        <f aca="false">IFERROR(INDEX(PODACI_PRODAJA!G:G,MATCH($A742,PODACI_PRODAJA!$A:$A,0)),0)</f>
        <v>2</v>
      </c>
      <c r="Y742" s="23" t="n">
        <f aca="false">IFERROR(INDEX(PODACI_PRODAJA!H:H,MATCH($A742,PODACI_PRODAJA!$A:$A,0)),0)</f>
        <v>0</v>
      </c>
      <c r="Z742" s="23" t="n">
        <f aca="false">IFERROR(INDEX(PODACI_PRODAJA!I:I,MATCH($A742,PODACI_PRODAJA!$A:$A,0)),0)</f>
        <v>0</v>
      </c>
      <c r="AA742" s="23" t="n">
        <f aca="false">IFERROR(INDEX(PODACI_PRODAJA!J:J,MATCH($A742,PODACI_PRODAJA!$A:$A,0)),0)</f>
        <v>0</v>
      </c>
      <c r="AB742" s="23" t="n">
        <f aca="false">IFERROR(INDEX(PODACI_PRODAJA!K:K,MATCH($A742,PODACI_PRODAJA!$A:$A,0)),0)</f>
        <v>0</v>
      </c>
      <c r="AC742" s="23" t="n">
        <f aca="false">IFERROR(INDEX(PODACI_PRODAJA!L:L,MATCH($A742,PODACI_PRODAJA!$A:$A,0)),0)</f>
        <v>0</v>
      </c>
      <c r="AD742" s="23" t="n">
        <f aca="false">IFERROR(INDEX(PODACI_PRODAJA!M:M,MATCH($A742,PODACI_PRODAJA!$A:$A,0)),0)</f>
        <v>0</v>
      </c>
    </row>
    <row r="743" customFormat="false" ht="15" hidden="false" customHeight="false" outlineLevel="0" collapsed="false">
      <c r="A743" s="11" t="str">
        <f aca="false">PODACI_ZALIHE!A740</f>
        <v>156830</v>
      </c>
      <c r="B743" s="8" t="str">
        <f aca="false">PODACI_ZALIHE!B740</f>
        <v>BOLD S BIJELA 100120 MINERALSOLID TUŠ KADA 1000x1200x30 mm</v>
      </c>
      <c r="C743" s="9" t="str">
        <f aca="false">PODACI_ZALIHE!C740</f>
        <v>5517</v>
      </c>
      <c r="D743" s="8" t="str">
        <f aca="false">PODACI_ZALIHE!D740</f>
        <v>NICOS INTERNATIONAL S.P.A.</v>
      </c>
      <c r="E743" s="19" t="n">
        <f aca="false">IF(PODACI_ZALIHE!E740="","",PODACI_ZALIHE!E740)</f>
        <v>0</v>
      </c>
      <c r="F743" s="20" t="n">
        <f aca="false">PODACI_ZALIHE!F740</f>
        <v>0</v>
      </c>
      <c r="G743" s="19" t="n">
        <f aca="false">IF(E743="","",E743-F743)</f>
        <v>0</v>
      </c>
      <c r="H743" s="9" t="n">
        <f aca="false">PODACI_PRODAJA!N517</f>
        <v>0.5</v>
      </c>
      <c r="I743" s="21" t="n">
        <f aca="false">IF(H743&lt;=0,999,ROUND(F743/H743,1))</f>
        <v>0</v>
      </c>
      <c r="J743" s="9" t="n">
        <f aca="false">SUMIFS(ROBA_U_DOLASKU!$C$6:$C$95,ROBA_U_DOLASKU!$A$6:$A$95,A743,ROBA_U_DOLASKU!$H$6:$H$95,1)</f>
        <v>0</v>
      </c>
      <c r="K743" s="9" t="n">
        <f aca="false">SUMIFS(ROBA_U_DOLASKU!$B$6:$B$95,ROBA_U_DOLASKU!$A$6:$A$95,A743,ROBA_U_DOLASKU!$H$6:$H$95,1)</f>
        <v>0</v>
      </c>
      <c r="L743" s="9" t="n">
        <f aca="false">SUMIFS(ROBA_U_DOLASKU!$C$6:$C$95,ROBA_U_DOLASKU!$A$6:$A$95,A743,ROBA_U_DOLASKU!$H$6:$H$95,2)</f>
        <v>0</v>
      </c>
      <c r="M743" s="9" t="n">
        <f aca="false">SUMIFS(ROBA_U_DOLASKU!$B$6:$B$95,ROBA_U_DOLASKU!$A$6:$A$95,A743,ROBA_U_DOLASKU!$H$6:$H$95,2)</f>
        <v>0</v>
      </c>
      <c r="N743" s="9" t="n">
        <f aca="false">SUMIFS(ROBA_U_DOLASKU!$C$6:$C$95,ROBA_U_DOLASKU!$A$6:$A$95,A743,ROBA_U_DOLASKU!$H$6:$H$95,3)</f>
        <v>0</v>
      </c>
      <c r="O743" s="9" t="n">
        <f aca="false">SUMIFS(ROBA_U_DOLASKU!$B$6:$B$95,ROBA_U_DOLASKU!$A$6:$A$95,A743,ROBA_U_DOLASKU!$H$6:$H$95,3)</f>
        <v>0</v>
      </c>
      <c r="P743" s="9" t="n">
        <f aca="false">IF(H743&lt;=0,999,IF(O743&gt;0,ROUND((F743-H743*N743+K743+M743+O743)/H743,1),IF(M743&gt;0,ROUND((F743-H743*L743+K743+M743)/H743,1),IF(K743&gt;0,ROUND((F743-H743*J743+K743)/H743,1),I743))))</f>
        <v>0</v>
      </c>
      <c r="Q743" s="22" t="str">
        <f aca="false">IF(H743&lt;=0,"Nema prodaje",IF(AND(K743=0,M743=0,O743=0),IF(I743&lt;POSTAVKE!$B$6,"Naruči odmah","Sve u redu"),IF(F743-H743*J743&lt;0,"Rupa za ~"&amp;TEXT(I743,"0.0")&amp;" mj.",IF(AND(M743&gt;0,F743-H743*L743+K743&lt;0),"Rupa nakon 1. dolaska",IF(AND(O743&gt;0,F743-H743*N743+K743+M743&lt;0),"Rupa nakon 2. dolaska",IF(P743&lt;POSTAVKE!$B$6,"Količina nije dovoljna",IF(I743&gt;=POSTAVKE!$B$6,"Sve u redu","Stiže na vrijeme")))))))</f>
        <v>Naruči odmah</v>
      </c>
      <c r="S743" s="23" t="n">
        <f aca="false">IFERROR(INDEX(PODACI_PRODAJA!B:B,MATCH($A743,PODACI_PRODAJA!$A:$A,0)),0)</f>
        <v>0</v>
      </c>
      <c r="T743" s="23" t="n">
        <f aca="false">IFERROR(INDEX(PODACI_PRODAJA!C:C,MATCH($A743,PODACI_PRODAJA!$A:$A,0)),0)</f>
        <v>4</v>
      </c>
      <c r="U743" s="23" t="n">
        <f aca="false">IFERROR(INDEX(PODACI_PRODAJA!D:D,MATCH($A743,PODACI_PRODAJA!$A:$A,0)),0)</f>
        <v>0</v>
      </c>
      <c r="V743" s="23" t="n">
        <f aca="false">IFERROR(INDEX(PODACI_PRODAJA!E:E,MATCH($A743,PODACI_PRODAJA!$A:$A,0)),0)</f>
        <v>0</v>
      </c>
      <c r="W743" s="23" t="n">
        <f aca="false">IFERROR(INDEX(PODACI_PRODAJA!F:F,MATCH($A743,PODACI_PRODAJA!$A:$A,0)),0)</f>
        <v>0</v>
      </c>
      <c r="X743" s="23" t="n">
        <f aca="false">IFERROR(INDEX(PODACI_PRODAJA!G:G,MATCH($A743,PODACI_PRODAJA!$A:$A,0)),0)</f>
        <v>0</v>
      </c>
      <c r="Y743" s="23" t="n">
        <f aca="false">IFERROR(INDEX(PODACI_PRODAJA!H:H,MATCH($A743,PODACI_PRODAJA!$A:$A,0)),0)</f>
        <v>0</v>
      </c>
      <c r="Z743" s="23" t="n">
        <f aca="false">IFERROR(INDEX(PODACI_PRODAJA!I:I,MATCH($A743,PODACI_PRODAJA!$A:$A,0)),0)</f>
        <v>0</v>
      </c>
      <c r="AA743" s="23" t="n">
        <f aca="false">IFERROR(INDEX(PODACI_PRODAJA!J:J,MATCH($A743,PODACI_PRODAJA!$A:$A,0)),0)</f>
        <v>0</v>
      </c>
      <c r="AB743" s="23" t="n">
        <f aca="false">IFERROR(INDEX(PODACI_PRODAJA!K:K,MATCH($A743,PODACI_PRODAJA!$A:$A,0)),0)</f>
        <v>0</v>
      </c>
      <c r="AC743" s="23" t="n">
        <f aca="false">IFERROR(INDEX(PODACI_PRODAJA!L:L,MATCH($A743,PODACI_PRODAJA!$A:$A,0)),0)</f>
        <v>0</v>
      </c>
      <c r="AD743" s="23" t="n">
        <f aca="false">IFERROR(INDEX(PODACI_PRODAJA!M:M,MATCH($A743,PODACI_PRODAJA!$A:$A,0)),0)</f>
        <v>0</v>
      </c>
    </row>
    <row r="744" customFormat="false" ht="15" hidden="false" customHeight="false" outlineLevel="0" collapsed="false">
      <c r="A744" s="11" t="str">
        <f aca="false">PODACI_ZALIHE!A741</f>
        <v>156860</v>
      </c>
      <c r="B744" s="8" t="str">
        <f aca="false">PODACI_ZALIHE!B741</f>
        <v>BOLD S BIJELA 100150 MINERALSOLID TUŠ KADA 1000x1500x30 mm</v>
      </c>
      <c r="C744" s="9" t="str">
        <f aca="false">PODACI_ZALIHE!C741</f>
        <v>5517</v>
      </c>
      <c r="D744" s="8" t="str">
        <f aca="false">PODACI_ZALIHE!D741</f>
        <v>NICOS INTERNATIONAL S.P.A.</v>
      </c>
      <c r="E744" s="19" t="n">
        <f aca="false">IF(PODACI_ZALIHE!E741="","",PODACI_ZALIHE!E741)</f>
        <v>0</v>
      </c>
      <c r="F744" s="20" t="n">
        <f aca="false">PODACI_ZALIHE!F741</f>
        <v>0</v>
      </c>
      <c r="G744" s="19" t="n">
        <f aca="false">IF(E744="","",E744-F744)</f>
        <v>0</v>
      </c>
      <c r="H744" s="9" t="n">
        <f aca="false">PODACI_PRODAJA!N522</f>
        <v>2</v>
      </c>
      <c r="I744" s="21" t="n">
        <f aca="false">IF(H744&lt;=0,999,ROUND(F744/H744,1))</f>
        <v>0</v>
      </c>
      <c r="J744" s="9" t="n">
        <f aca="false">SUMIFS(ROBA_U_DOLASKU!$C$6:$C$95,ROBA_U_DOLASKU!$A$6:$A$95,A744,ROBA_U_DOLASKU!$H$6:$H$95,1)</f>
        <v>0</v>
      </c>
      <c r="K744" s="9" t="n">
        <f aca="false">SUMIFS(ROBA_U_DOLASKU!$B$6:$B$95,ROBA_U_DOLASKU!$A$6:$A$95,A744,ROBA_U_DOLASKU!$H$6:$H$95,1)</f>
        <v>0</v>
      </c>
      <c r="L744" s="9" t="n">
        <f aca="false">SUMIFS(ROBA_U_DOLASKU!$C$6:$C$95,ROBA_U_DOLASKU!$A$6:$A$95,A744,ROBA_U_DOLASKU!$H$6:$H$95,2)</f>
        <v>0</v>
      </c>
      <c r="M744" s="9" t="n">
        <f aca="false">SUMIFS(ROBA_U_DOLASKU!$B$6:$B$95,ROBA_U_DOLASKU!$A$6:$A$95,A744,ROBA_U_DOLASKU!$H$6:$H$95,2)</f>
        <v>0</v>
      </c>
      <c r="N744" s="9" t="n">
        <f aca="false">SUMIFS(ROBA_U_DOLASKU!$C$6:$C$95,ROBA_U_DOLASKU!$A$6:$A$95,A744,ROBA_U_DOLASKU!$H$6:$H$95,3)</f>
        <v>0</v>
      </c>
      <c r="O744" s="9" t="n">
        <f aca="false">SUMIFS(ROBA_U_DOLASKU!$B$6:$B$95,ROBA_U_DOLASKU!$A$6:$A$95,A744,ROBA_U_DOLASKU!$H$6:$H$95,3)</f>
        <v>0</v>
      </c>
      <c r="P744" s="9" t="n">
        <f aca="false">IF(H744&lt;=0,999,IF(O744&gt;0,ROUND((F744-H744*N744+K744+M744+O744)/H744,1),IF(M744&gt;0,ROUND((F744-H744*L744+K744+M744)/H744,1),IF(K744&gt;0,ROUND((F744-H744*J744+K744)/H744,1),I744))))</f>
        <v>0</v>
      </c>
      <c r="Q744" s="22" t="str">
        <f aca="false">IF(H744&lt;=0,"Nema prodaje",IF(AND(K744=0,M744=0,O744=0),IF(I744&lt;POSTAVKE!$B$6,"Naruči odmah","Sve u redu"),IF(F744-H744*J744&lt;0,"Rupa za ~"&amp;TEXT(I744,"0.0")&amp;" mj.",IF(AND(M744&gt;0,F744-H744*L744+K744&lt;0),"Rupa nakon 1. dolaska",IF(AND(O744&gt;0,F744-H744*N744+K744+M744&lt;0),"Rupa nakon 2. dolaska",IF(P744&lt;POSTAVKE!$B$6,"Količina nije dovoljna",IF(I744&gt;=POSTAVKE!$B$6,"Sve u redu","Stiže na vrijeme")))))))</f>
        <v>Naruči odmah</v>
      </c>
      <c r="S744" s="23" t="n">
        <f aca="false">IFERROR(INDEX(PODACI_PRODAJA!B:B,MATCH($A744,PODACI_PRODAJA!$A:$A,0)),0)</f>
        <v>0</v>
      </c>
      <c r="T744" s="23" t="n">
        <f aca="false">IFERROR(INDEX(PODACI_PRODAJA!C:C,MATCH($A744,PODACI_PRODAJA!$A:$A,0)),0)</f>
        <v>5</v>
      </c>
      <c r="U744" s="23" t="n">
        <f aca="false">IFERROR(INDEX(PODACI_PRODAJA!D:D,MATCH($A744,PODACI_PRODAJA!$A:$A,0)),0)</f>
        <v>5</v>
      </c>
      <c r="V744" s="23" t="n">
        <f aca="false">IFERROR(INDEX(PODACI_PRODAJA!E:E,MATCH($A744,PODACI_PRODAJA!$A:$A,0)),0)</f>
        <v>6</v>
      </c>
      <c r="W744" s="23" t="n">
        <f aca="false">IFERROR(INDEX(PODACI_PRODAJA!F:F,MATCH($A744,PODACI_PRODAJA!$A:$A,0)),0)</f>
        <v>0</v>
      </c>
      <c r="X744" s="23" t="n">
        <f aca="false">IFERROR(INDEX(PODACI_PRODAJA!G:G,MATCH($A744,PODACI_PRODAJA!$A:$A,0)),0)</f>
        <v>0</v>
      </c>
      <c r="Y744" s="23" t="n">
        <f aca="false">IFERROR(INDEX(PODACI_PRODAJA!H:H,MATCH($A744,PODACI_PRODAJA!$A:$A,0)),0)</f>
        <v>0</v>
      </c>
      <c r="Z744" s="23" t="n">
        <f aca="false">IFERROR(INDEX(PODACI_PRODAJA!I:I,MATCH($A744,PODACI_PRODAJA!$A:$A,0)),0)</f>
        <v>0</v>
      </c>
      <c r="AA744" s="23" t="n">
        <f aca="false">IFERROR(INDEX(PODACI_PRODAJA!J:J,MATCH($A744,PODACI_PRODAJA!$A:$A,0)),0)</f>
        <v>0</v>
      </c>
      <c r="AB744" s="23" t="n">
        <f aca="false">IFERROR(INDEX(PODACI_PRODAJA!K:K,MATCH($A744,PODACI_PRODAJA!$A:$A,0)),0)</f>
        <v>0</v>
      </c>
      <c r="AC744" s="23" t="n">
        <f aca="false">IFERROR(INDEX(PODACI_PRODAJA!L:L,MATCH($A744,PODACI_PRODAJA!$A:$A,0)),0)</f>
        <v>0</v>
      </c>
      <c r="AD744" s="23" t="n">
        <f aca="false">IFERROR(INDEX(PODACI_PRODAJA!M:M,MATCH($A744,PODACI_PRODAJA!$A:$A,0)),0)</f>
        <v>0</v>
      </c>
    </row>
    <row r="745" customFormat="false" ht="15" hidden="false" customHeight="false" outlineLevel="0" collapsed="false">
      <c r="A745" s="11" t="str">
        <f aca="false">PODACI_ZALIHE!A742</f>
        <v>156870</v>
      </c>
      <c r="B745" s="8" t="str">
        <f aca="false">PODACI_ZALIHE!B742</f>
        <v>BOLD S BIJELA 100160 MINERALSOLID TUŠ KADA 1000x1600x30 mm</v>
      </c>
      <c r="C745" s="9" t="str">
        <f aca="false">PODACI_ZALIHE!C742</f>
        <v>5517</v>
      </c>
      <c r="D745" s="8" t="str">
        <f aca="false">PODACI_ZALIHE!D742</f>
        <v>NICOS INTERNATIONAL S.P.A.</v>
      </c>
      <c r="E745" s="19" t="n">
        <f aca="false">IF(PODACI_ZALIHE!E742="","",PODACI_ZALIHE!E742)</f>
        <v>0</v>
      </c>
      <c r="F745" s="20" t="n">
        <f aca="false">PODACI_ZALIHE!F742</f>
        <v>0</v>
      </c>
      <c r="G745" s="19" t="n">
        <f aca="false">IF(E745="","",E745-F745)</f>
        <v>0</v>
      </c>
      <c r="H745" s="9" t="n">
        <f aca="false">PODACI_PRODAJA!N523</f>
        <v>2.25</v>
      </c>
      <c r="I745" s="21" t="n">
        <f aca="false">IF(H745&lt;=0,999,ROUND(F745/H745,1))</f>
        <v>0</v>
      </c>
      <c r="J745" s="9" t="n">
        <f aca="false">SUMIFS(ROBA_U_DOLASKU!$C$6:$C$95,ROBA_U_DOLASKU!$A$6:$A$95,A745,ROBA_U_DOLASKU!$H$6:$H$95,1)</f>
        <v>0</v>
      </c>
      <c r="K745" s="9" t="n">
        <f aca="false">SUMIFS(ROBA_U_DOLASKU!$B$6:$B$95,ROBA_U_DOLASKU!$A$6:$A$95,A745,ROBA_U_DOLASKU!$H$6:$H$95,1)</f>
        <v>0</v>
      </c>
      <c r="L745" s="9" t="n">
        <f aca="false">SUMIFS(ROBA_U_DOLASKU!$C$6:$C$95,ROBA_U_DOLASKU!$A$6:$A$95,A745,ROBA_U_DOLASKU!$H$6:$H$95,2)</f>
        <v>0</v>
      </c>
      <c r="M745" s="9" t="n">
        <f aca="false">SUMIFS(ROBA_U_DOLASKU!$B$6:$B$95,ROBA_U_DOLASKU!$A$6:$A$95,A745,ROBA_U_DOLASKU!$H$6:$H$95,2)</f>
        <v>0</v>
      </c>
      <c r="N745" s="9" t="n">
        <f aca="false">SUMIFS(ROBA_U_DOLASKU!$C$6:$C$95,ROBA_U_DOLASKU!$A$6:$A$95,A745,ROBA_U_DOLASKU!$H$6:$H$95,3)</f>
        <v>0</v>
      </c>
      <c r="O745" s="9" t="n">
        <f aca="false">SUMIFS(ROBA_U_DOLASKU!$B$6:$B$95,ROBA_U_DOLASKU!$A$6:$A$95,A745,ROBA_U_DOLASKU!$H$6:$H$95,3)</f>
        <v>0</v>
      </c>
      <c r="P745" s="9" t="n">
        <f aca="false">IF(H745&lt;=0,999,IF(O745&gt;0,ROUND((F745-H745*N745+K745+M745+O745)/H745,1),IF(M745&gt;0,ROUND((F745-H745*L745+K745+M745)/H745,1),IF(K745&gt;0,ROUND((F745-H745*J745+K745)/H745,1),I745))))</f>
        <v>0</v>
      </c>
      <c r="Q745" s="22" t="str">
        <f aca="false">IF(H745&lt;=0,"Nema prodaje",IF(AND(K745=0,M745=0,O745=0),IF(I745&lt;POSTAVKE!$B$6,"Naruči odmah","Sve u redu"),IF(F745-H745*J745&lt;0,"Rupa za ~"&amp;TEXT(I745,"0.0")&amp;" mj.",IF(AND(M745&gt;0,F745-H745*L745+K745&lt;0),"Rupa nakon 1. dolaska",IF(AND(O745&gt;0,F745-H745*N745+K745+M745&lt;0),"Rupa nakon 2. dolaska",IF(P745&lt;POSTAVKE!$B$6,"Količina nije dovoljna",IF(I745&gt;=POSTAVKE!$B$6,"Sve u redu","Stiže na vrijeme")))))))</f>
        <v>Naruči odmah</v>
      </c>
      <c r="S745" s="23" t="n">
        <f aca="false">IFERROR(INDEX(PODACI_PRODAJA!B:B,MATCH($A745,PODACI_PRODAJA!$A:$A,0)),0)</f>
        <v>0</v>
      </c>
      <c r="T745" s="23" t="n">
        <f aca="false">IFERROR(INDEX(PODACI_PRODAJA!C:C,MATCH($A745,PODACI_PRODAJA!$A:$A,0)),0)</f>
        <v>5</v>
      </c>
      <c r="U745" s="23" t="n">
        <f aca="false">IFERROR(INDEX(PODACI_PRODAJA!D:D,MATCH($A745,PODACI_PRODAJA!$A:$A,0)),0)</f>
        <v>4</v>
      </c>
      <c r="V745" s="23" t="n">
        <f aca="false">IFERROR(INDEX(PODACI_PRODAJA!E:E,MATCH($A745,PODACI_PRODAJA!$A:$A,0)),0)</f>
        <v>0</v>
      </c>
      <c r="W745" s="23" t="n">
        <f aca="false">IFERROR(INDEX(PODACI_PRODAJA!F:F,MATCH($A745,PODACI_PRODAJA!$A:$A,0)),0)</f>
        <v>9</v>
      </c>
      <c r="X745" s="23" t="n">
        <f aca="false">IFERROR(INDEX(PODACI_PRODAJA!G:G,MATCH($A745,PODACI_PRODAJA!$A:$A,0)),0)</f>
        <v>0</v>
      </c>
      <c r="Y745" s="23" t="n">
        <f aca="false">IFERROR(INDEX(PODACI_PRODAJA!H:H,MATCH($A745,PODACI_PRODAJA!$A:$A,0)),0)</f>
        <v>0</v>
      </c>
      <c r="Z745" s="23" t="n">
        <f aca="false">IFERROR(INDEX(PODACI_PRODAJA!I:I,MATCH($A745,PODACI_PRODAJA!$A:$A,0)),0)</f>
        <v>0</v>
      </c>
      <c r="AA745" s="23" t="n">
        <f aca="false">IFERROR(INDEX(PODACI_PRODAJA!J:J,MATCH($A745,PODACI_PRODAJA!$A:$A,0)),0)</f>
        <v>0</v>
      </c>
      <c r="AB745" s="23" t="n">
        <f aca="false">IFERROR(INDEX(PODACI_PRODAJA!K:K,MATCH($A745,PODACI_PRODAJA!$A:$A,0)),0)</f>
        <v>0</v>
      </c>
      <c r="AC745" s="23" t="n">
        <f aca="false">IFERROR(INDEX(PODACI_PRODAJA!L:L,MATCH($A745,PODACI_PRODAJA!$A:$A,0)),0)</f>
        <v>0</v>
      </c>
      <c r="AD745" s="23" t="n">
        <f aca="false">IFERROR(INDEX(PODACI_PRODAJA!M:M,MATCH($A745,PODACI_PRODAJA!$A:$A,0)),0)</f>
        <v>0</v>
      </c>
    </row>
    <row r="746" customFormat="false" ht="15" hidden="false" customHeight="false" outlineLevel="0" collapsed="false">
      <c r="A746" s="11" t="str">
        <f aca="false">PODACI_ZALIHE!A743</f>
        <v>15810</v>
      </c>
      <c r="B746" s="8" t="str">
        <f aca="false">PODACI_ZALIHE!B743</f>
        <v>BOLD LUX 75100 MINERALSOLID TUŠ KADA BIJELA SJAJNA</v>
      </c>
      <c r="C746" s="9" t="str">
        <f aca="false">PODACI_ZALIHE!C743</f>
        <v>5082</v>
      </c>
      <c r="D746" s="8" t="str">
        <f aca="false">PODACI_ZALIHE!D743</f>
        <v>AQUAESTIL PLUS d.o.o.</v>
      </c>
      <c r="E746" s="19" t="n">
        <f aca="false">IF(PODACI_ZALIHE!E743="","",PODACI_ZALIHE!E743)</f>
        <v>0</v>
      </c>
      <c r="F746" s="20" t="n">
        <f aca="false">PODACI_ZALIHE!F743</f>
        <v>0</v>
      </c>
      <c r="G746" s="19" t="n">
        <f aca="false">IF(E746="","",E746-F746)</f>
        <v>0</v>
      </c>
      <c r="H746" s="9" t="n">
        <f aca="false">PODACI_PRODAJA!N531</f>
        <v>0.25</v>
      </c>
      <c r="I746" s="21" t="n">
        <f aca="false">IF(H746&lt;=0,999,ROUND(F746/H746,1))</f>
        <v>0</v>
      </c>
      <c r="J746" s="9" t="n">
        <f aca="false">SUMIFS(ROBA_U_DOLASKU!$C$6:$C$95,ROBA_U_DOLASKU!$A$6:$A$95,A746,ROBA_U_DOLASKU!$H$6:$H$95,1)</f>
        <v>0</v>
      </c>
      <c r="K746" s="9" t="n">
        <f aca="false">SUMIFS(ROBA_U_DOLASKU!$B$6:$B$95,ROBA_U_DOLASKU!$A$6:$A$95,A746,ROBA_U_DOLASKU!$H$6:$H$95,1)</f>
        <v>0</v>
      </c>
      <c r="L746" s="9" t="n">
        <f aca="false">SUMIFS(ROBA_U_DOLASKU!$C$6:$C$95,ROBA_U_DOLASKU!$A$6:$A$95,A746,ROBA_U_DOLASKU!$H$6:$H$95,2)</f>
        <v>0</v>
      </c>
      <c r="M746" s="9" t="n">
        <f aca="false">SUMIFS(ROBA_U_DOLASKU!$B$6:$B$95,ROBA_U_DOLASKU!$A$6:$A$95,A746,ROBA_U_DOLASKU!$H$6:$H$95,2)</f>
        <v>0</v>
      </c>
      <c r="N746" s="9" t="n">
        <f aca="false">SUMIFS(ROBA_U_DOLASKU!$C$6:$C$95,ROBA_U_DOLASKU!$A$6:$A$95,A746,ROBA_U_DOLASKU!$H$6:$H$95,3)</f>
        <v>0</v>
      </c>
      <c r="O746" s="9" t="n">
        <f aca="false">SUMIFS(ROBA_U_DOLASKU!$B$6:$B$95,ROBA_U_DOLASKU!$A$6:$A$95,A746,ROBA_U_DOLASKU!$H$6:$H$95,3)</f>
        <v>0</v>
      </c>
      <c r="P746" s="9" t="n">
        <f aca="false">IF(H746&lt;=0,999,IF(O746&gt;0,ROUND((F746-H746*N746+K746+M746+O746)/H746,1),IF(M746&gt;0,ROUND((F746-H746*L746+K746+M746)/H746,1),IF(K746&gt;0,ROUND((F746-H746*J746+K746)/H746,1),I746))))</f>
        <v>0</v>
      </c>
      <c r="Q746" s="22" t="str">
        <f aca="false">IF(H746&lt;=0,"Nema prodaje",IF(AND(K746=0,M746=0,O746=0),IF(I746&lt;POSTAVKE!$B$6,"Naruči odmah","Sve u redu"),IF(F746-H746*J746&lt;0,"Rupa za ~"&amp;TEXT(I746,"0.0")&amp;" mj.",IF(AND(M746&gt;0,F746-H746*L746+K746&lt;0),"Rupa nakon 1. dolaska",IF(AND(O746&gt;0,F746-H746*N746+K746+M746&lt;0),"Rupa nakon 2. dolaska",IF(P746&lt;POSTAVKE!$B$6,"Količina nije dovoljna",IF(I746&gt;=POSTAVKE!$B$6,"Sve u redu","Stiže na vrijeme")))))))</f>
        <v>Naruči odmah</v>
      </c>
      <c r="S746" s="23" t="n">
        <f aca="false">IFERROR(INDEX(PODACI_PRODAJA!B:B,MATCH($A746,PODACI_PRODAJA!$A:$A,0)),0)</f>
        <v>0</v>
      </c>
      <c r="T746" s="23" t="n">
        <f aca="false">IFERROR(INDEX(PODACI_PRODAJA!C:C,MATCH($A746,PODACI_PRODAJA!$A:$A,0)),0)</f>
        <v>0</v>
      </c>
      <c r="U746" s="23" t="n">
        <f aca="false">IFERROR(INDEX(PODACI_PRODAJA!D:D,MATCH($A746,PODACI_PRODAJA!$A:$A,0)),0)</f>
        <v>0</v>
      </c>
      <c r="V746" s="23" t="n">
        <f aca="false">IFERROR(INDEX(PODACI_PRODAJA!E:E,MATCH($A746,PODACI_PRODAJA!$A:$A,0)),0)</f>
        <v>2</v>
      </c>
      <c r="W746" s="23" t="n">
        <f aca="false">IFERROR(INDEX(PODACI_PRODAJA!F:F,MATCH($A746,PODACI_PRODAJA!$A:$A,0)),0)</f>
        <v>0</v>
      </c>
      <c r="X746" s="23" t="n">
        <f aca="false">IFERROR(INDEX(PODACI_PRODAJA!G:G,MATCH($A746,PODACI_PRODAJA!$A:$A,0)),0)</f>
        <v>0</v>
      </c>
      <c r="Y746" s="23" t="n">
        <f aca="false">IFERROR(INDEX(PODACI_PRODAJA!H:H,MATCH($A746,PODACI_PRODAJA!$A:$A,0)),0)</f>
        <v>0</v>
      </c>
      <c r="Z746" s="23" t="n">
        <f aca="false">IFERROR(INDEX(PODACI_PRODAJA!I:I,MATCH($A746,PODACI_PRODAJA!$A:$A,0)),0)</f>
        <v>0</v>
      </c>
      <c r="AA746" s="23" t="n">
        <f aca="false">IFERROR(INDEX(PODACI_PRODAJA!J:J,MATCH($A746,PODACI_PRODAJA!$A:$A,0)),0)</f>
        <v>0</v>
      </c>
      <c r="AB746" s="23" t="n">
        <f aca="false">IFERROR(INDEX(PODACI_PRODAJA!K:K,MATCH($A746,PODACI_PRODAJA!$A:$A,0)),0)</f>
        <v>0</v>
      </c>
      <c r="AC746" s="23" t="n">
        <f aca="false">IFERROR(INDEX(PODACI_PRODAJA!L:L,MATCH($A746,PODACI_PRODAJA!$A:$A,0)),0)</f>
        <v>0</v>
      </c>
      <c r="AD746" s="23" t="n">
        <f aca="false">IFERROR(INDEX(PODACI_PRODAJA!M:M,MATCH($A746,PODACI_PRODAJA!$A:$A,0)),0)</f>
        <v>0</v>
      </c>
    </row>
    <row r="747" customFormat="false" ht="15" hidden="false" customHeight="false" outlineLevel="0" collapsed="false">
      <c r="A747" s="11" t="str">
        <f aca="false">PODACI_ZALIHE!A744</f>
        <v>15811</v>
      </c>
      <c r="B747" s="8" t="str">
        <f aca="false">PODACI_ZALIHE!B744</f>
        <v>BOLD LUX 75170 MINERALSOLID TUŠ KADA BIJELA SJAJNA</v>
      </c>
      <c r="C747" s="9" t="str">
        <f aca="false">PODACI_ZALIHE!C744</f>
        <v>5082</v>
      </c>
      <c r="D747" s="8" t="str">
        <f aca="false">PODACI_ZALIHE!D744</f>
        <v>AQUAESTIL PLUS d.o.o.</v>
      </c>
      <c r="E747" s="19" t="n">
        <f aca="false">IF(PODACI_ZALIHE!E744="","",PODACI_ZALIHE!E744)</f>
        <v>0</v>
      </c>
      <c r="F747" s="20" t="n">
        <f aca="false">PODACI_ZALIHE!F744</f>
        <v>0</v>
      </c>
      <c r="G747" s="19" t="n">
        <f aca="false">IF(E747="","",E747-F747)</f>
        <v>0</v>
      </c>
      <c r="H747" s="9" t="n">
        <f aca="false">PODACI_PRODAJA!N532</f>
        <v>0.63</v>
      </c>
      <c r="I747" s="21" t="n">
        <f aca="false">IF(H747&lt;=0,999,ROUND(F747/H747,1))</f>
        <v>0</v>
      </c>
      <c r="J747" s="9" t="n">
        <f aca="false">SUMIFS(ROBA_U_DOLASKU!$C$6:$C$95,ROBA_U_DOLASKU!$A$6:$A$95,A747,ROBA_U_DOLASKU!$H$6:$H$95,1)</f>
        <v>0</v>
      </c>
      <c r="K747" s="9" t="n">
        <f aca="false">SUMIFS(ROBA_U_DOLASKU!$B$6:$B$95,ROBA_U_DOLASKU!$A$6:$A$95,A747,ROBA_U_DOLASKU!$H$6:$H$95,1)</f>
        <v>0</v>
      </c>
      <c r="L747" s="9" t="n">
        <f aca="false">SUMIFS(ROBA_U_DOLASKU!$C$6:$C$95,ROBA_U_DOLASKU!$A$6:$A$95,A747,ROBA_U_DOLASKU!$H$6:$H$95,2)</f>
        <v>0</v>
      </c>
      <c r="M747" s="9" t="n">
        <f aca="false">SUMIFS(ROBA_U_DOLASKU!$B$6:$B$95,ROBA_U_DOLASKU!$A$6:$A$95,A747,ROBA_U_DOLASKU!$H$6:$H$95,2)</f>
        <v>0</v>
      </c>
      <c r="N747" s="9" t="n">
        <f aca="false">SUMIFS(ROBA_U_DOLASKU!$C$6:$C$95,ROBA_U_DOLASKU!$A$6:$A$95,A747,ROBA_U_DOLASKU!$H$6:$H$95,3)</f>
        <v>0</v>
      </c>
      <c r="O747" s="9" t="n">
        <f aca="false">SUMIFS(ROBA_U_DOLASKU!$B$6:$B$95,ROBA_U_DOLASKU!$A$6:$A$95,A747,ROBA_U_DOLASKU!$H$6:$H$95,3)</f>
        <v>0</v>
      </c>
      <c r="P747" s="9" t="n">
        <f aca="false">IF(H747&lt;=0,999,IF(O747&gt;0,ROUND((F747-H747*N747+K747+M747+O747)/H747,1),IF(M747&gt;0,ROUND((F747-H747*L747+K747+M747)/H747,1),IF(K747&gt;0,ROUND((F747-H747*J747+K747)/H747,1),I747))))</f>
        <v>0</v>
      </c>
      <c r="Q747" s="22" t="str">
        <f aca="false">IF(H747&lt;=0,"Nema prodaje",IF(AND(K747=0,M747=0,O747=0),IF(I747&lt;POSTAVKE!$B$6,"Naruči odmah","Sve u redu"),IF(F747-H747*J747&lt;0,"Rupa za ~"&amp;TEXT(I747,"0.0")&amp;" mj.",IF(AND(M747&gt;0,F747-H747*L747+K747&lt;0),"Rupa nakon 1. dolaska",IF(AND(O747&gt;0,F747-H747*N747+K747+M747&lt;0),"Rupa nakon 2. dolaska",IF(P747&lt;POSTAVKE!$B$6,"Količina nije dovoljna",IF(I747&gt;=POSTAVKE!$B$6,"Sve u redu","Stiže na vrijeme")))))))</f>
        <v>Naruči odmah</v>
      </c>
      <c r="S747" s="23" t="n">
        <f aca="false">IFERROR(INDEX(PODACI_PRODAJA!B:B,MATCH($A747,PODACI_PRODAJA!$A:$A,0)),0)</f>
        <v>0</v>
      </c>
      <c r="T747" s="23" t="n">
        <f aca="false">IFERROR(INDEX(PODACI_PRODAJA!C:C,MATCH($A747,PODACI_PRODAJA!$A:$A,0)),0)</f>
        <v>0</v>
      </c>
      <c r="U747" s="23" t="n">
        <f aca="false">IFERROR(INDEX(PODACI_PRODAJA!D:D,MATCH($A747,PODACI_PRODAJA!$A:$A,0)),0)</f>
        <v>0</v>
      </c>
      <c r="V747" s="23" t="n">
        <f aca="false">IFERROR(INDEX(PODACI_PRODAJA!E:E,MATCH($A747,PODACI_PRODAJA!$A:$A,0)),0)</f>
        <v>2</v>
      </c>
      <c r="W747" s="23" t="n">
        <f aca="false">IFERROR(INDEX(PODACI_PRODAJA!F:F,MATCH($A747,PODACI_PRODAJA!$A:$A,0)),0)</f>
        <v>0</v>
      </c>
      <c r="X747" s="23" t="n">
        <f aca="false">IFERROR(INDEX(PODACI_PRODAJA!G:G,MATCH($A747,PODACI_PRODAJA!$A:$A,0)),0)</f>
        <v>3</v>
      </c>
      <c r="Y747" s="23" t="n">
        <f aca="false">IFERROR(INDEX(PODACI_PRODAJA!H:H,MATCH($A747,PODACI_PRODAJA!$A:$A,0)),0)</f>
        <v>0</v>
      </c>
      <c r="Z747" s="23" t="n">
        <f aca="false">IFERROR(INDEX(PODACI_PRODAJA!I:I,MATCH($A747,PODACI_PRODAJA!$A:$A,0)),0)</f>
        <v>0</v>
      </c>
      <c r="AA747" s="23" t="n">
        <f aca="false">IFERROR(INDEX(PODACI_PRODAJA!J:J,MATCH($A747,PODACI_PRODAJA!$A:$A,0)),0)</f>
        <v>0</v>
      </c>
      <c r="AB747" s="23" t="n">
        <f aca="false">IFERROR(INDEX(PODACI_PRODAJA!K:K,MATCH($A747,PODACI_PRODAJA!$A:$A,0)),0)</f>
        <v>0</v>
      </c>
      <c r="AC747" s="23" t="n">
        <f aca="false">IFERROR(INDEX(PODACI_PRODAJA!L:L,MATCH($A747,PODACI_PRODAJA!$A:$A,0)),0)</f>
        <v>0</v>
      </c>
      <c r="AD747" s="23" t="n">
        <f aca="false">IFERROR(INDEX(PODACI_PRODAJA!M:M,MATCH($A747,PODACI_PRODAJA!$A:$A,0)),0)</f>
        <v>0</v>
      </c>
    </row>
    <row r="748" customFormat="false" ht="15" hidden="false" customHeight="false" outlineLevel="0" collapsed="false">
      <c r="A748" s="11" t="str">
        <f aca="false">PODACI_ZALIHE!A745</f>
        <v>15812</v>
      </c>
      <c r="B748" s="8" t="str">
        <f aca="false">PODACI_ZALIHE!B745</f>
        <v>BOLD LUX 8090 MINERALSOLID TUŠ KADA BIJELA SJAJNA</v>
      </c>
      <c r="C748" s="9" t="str">
        <f aca="false">PODACI_ZALIHE!C745</f>
        <v>5082</v>
      </c>
      <c r="D748" s="8" t="str">
        <f aca="false">PODACI_ZALIHE!D745</f>
        <v>AQUAESTIL PLUS d.o.o.</v>
      </c>
      <c r="E748" s="19" t="n">
        <f aca="false">IF(PODACI_ZALIHE!E745="","",PODACI_ZALIHE!E745)</f>
        <v>0</v>
      </c>
      <c r="F748" s="20" t="n">
        <f aca="false">PODACI_ZALIHE!F745</f>
        <v>0</v>
      </c>
      <c r="G748" s="19" t="n">
        <f aca="false">IF(E748="","",E748-F748)</f>
        <v>0</v>
      </c>
      <c r="H748" s="9" t="n">
        <f aca="false">PODACI_PRODAJA!N533</f>
        <v>1.25</v>
      </c>
      <c r="I748" s="21" t="n">
        <f aca="false">IF(H748&lt;=0,999,ROUND(F748/H748,1))</f>
        <v>0</v>
      </c>
      <c r="J748" s="9" t="n">
        <f aca="false">SUMIFS(ROBA_U_DOLASKU!$C$6:$C$95,ROBA_U_DOLASKU!$A$6:$A$95,A748,ROBA_U_DOLASKU!$H$6:$H$95,1)</f>
        <v>0</v>
      </c>
      <c r="K748" s="9" t="n">
        <f aca="false">SUMIFS(ROBA_U_DOLASKU!$B$6:$B$95,ROBA_U_DOLASKU!$A$6:$A$95,A748,ROBA_U_DOLASKU!$H$6:$H$95,1)</f>
        <v>0</v>
      </c>
      <c r="L748" s="9" t="n">
        <f aca="false">SUMIFS(ROBA_U_DOLASKU!$C$6:$C$95,ROBA_U_DOLASKU!$A$6:$A$95,A748,ROBA_U_DOLASKU!$H$6:$H$95,2)</f>
        <v>0</v>
      </c>
      <c r="M748" s="9" t="n">
        <f aca="false">SUMIFS(ROBA_U_DOLASKU!$B$6:$B$95,ROBA_U_DOLASKU!$A$6:$A$95,A748,ROBA_U_DOLASKU!$H$6:$H$95,2)</f>
        <v>0</v>
      </c>
      <c r="N748" s="9" t="n">
        <f aca="false">SUMIFS(ROBA_U_DOLASKU!$C$6:$C$95,ROBA_U_DOLASKU!$A$6:$A$95,A748,ROBA_U_DOLASKU!$H$6:$H$95,3)</f>
        <v>0</v>
      </c>
      <c r="O748" s="9" t="n">
        <f aca="false">SUMIFS(ROBA_U_DOLASKU!$B$6:$B$95,ROBA_U_DOLASKU!$A$6:$A$95,A748,ROBA_U_DOLASKU!$H$6:$H$95,3)</f>
        <v>0</v>
      </c>
      <c r="P748" s="9" t="n">
        <f aca="false">IF(H748&lt;=0,999,IF(O748&gt;0,ROUND((F748-H748*N748+K748+M748+O748)/H748,1),IF(M748&gt;0,ROUND((F748-H748*L748+K748+M748)/H748,1),IF(K748&gt;0,ROUND((F748-H748*J748+K748)/H748,1),I748))))</f>
        <v>0</v>
      </c>
      <c r="Q748" s="22" t="str">
        <f aca="false">IF(H748&lt;=0,"Nema prodaje",IF(AND(K748=0,M748=0,O748=0),IF(I748&lt;POSTAVKE!$B$6,"Naruči odmah","Sve u redu"),IF(F748-H748*J748&lt;0,"Rupa za ~"&amp;TEXT(I748,"0.0")&amp;" mj.",IF(AND(M748&gt;0,F748-H748*L748+K748&lt;0),"Rupa nakon 1. dolaska",IF(AND(O748&gt;0,F748-H748*N748+K748+M748&lt;0),"Rupa nakon 2. dolaska",IF(P748&lt;POSTAVKE!$B$6,"Količina nije dovoljna",IF(I748&gt;=POSTAVKE!$B$6,"Sve u redu","Stiže na vrijeme")))))))</f>
        <v>Naruči odmah</v>
      </c>
      <c r="S748" s="23" t="n">
        <f aca="false">IFERROR(INDEX(PODACI_PRODAJA!B:B,MATCH($A748,PODACI_PRODAJA!$A:$A,0)),0)</f>
        <v>0</v>
      </c>
      <c r="T748" s="23" t="n">
        <f aca="false">IFERROR(INDEX(PODACI_PRODAJA!C:C,MATCH($A748,PODACI_PRODAJA!$A:$A,0)),0)</f>
        <v>0</v>
      </c>
      <c r="U748" s="23" t="n">
        <f aca="false">IFERROR(INDEX(PODACI_PRODAJA!D:D,MATCH($A748,PODACI_PRODAJA!$A:$A,0)),0)</f>
        <v>5</v>
      </c>
      <c r="V748" s="23" t="n">
        <f aca="false">IFERROR(INDEX(PODACI_PRODAJA!E:E,MATCH($A748,PODACI_PRODAJA!$A:$A,0)),0)</f>
        <v>5</v>
      </c>
      <c r="W748" s="23" t="n">
        <f aca="false">IFERROR(INDEX(PODACI_PRODAJA!F:F,MATCH($A748,PODACI_PRODAJA!$A:$A,0)),0)</f>
        <v>0</v>
      </c>
      <c r="X748" s="23" t="n">
        <f aca="false">IFERROR(INDEX(PODACI_PRODAJA!G:G,MATCH($A748,PODACI_PRODAJA!$A:$A,0)),0)</f>
        <v>0</v>
      </c>
      <c r="Y748" s="23" t="n">
        <f aca="false">IFERROR(INDEX(PODACI_PRODAJA!H:H,MATCH($A748,PODACI_PRODAJA!$A:$A,0)),0)</f>
        <v>0</v>
      </c>
      <c r="Z748" s="23" t="n">
        <f aca="false">IFERROR(INDEX(PODACI_PRODAJA!I:I,MATCH($A748,PODACI_PRODAJA!$A:$A,0)),0)</f>
        <v>0</v>
      </c>
      <c r="AA748" s="23" t="n">
        <f aca="false">IFERROR(INDEX(PODACI_PRODAJA!J:J,MATCH($A748,PODACI_PRODAJA!$A:$A,0)),0)</f>
        <v>0</v>
      </c>
      <c r="AB748" s="23" t="n">
        <f aca="false">IFERROR(INDEX(PODACI_PRODAJA!K:K,MATCH($A748,PODACI_PRODAJA!$A:$A,0)),0)</f>
        <v>0</v>
      </c>
      <c r="AC748" s="23" t="n">
        <f aca="false">IFERROR(INDEX(PODACI_PRODAJA!L:L,MATCH($A748,PODACI_PRODAJA!$A:$A,0)),0)</f>
        <v>0</v>
      </c>
      <c r="AD748" s="23" t="n">
        <f aca="false">IFERROR(INDEX(PODACI_PRODAJA!M:M,MATCH($A748,PODACI_PRODAJA!$A:$A,0)),0)</f>
        <v>0</v>
      </c>
    </row>
    <row r="749" customFormat="false" ht="15" hidden="false" customHeight="false" outlineLevel="0" collapsed="false">
      <c r="A749" s="11" t="str">
        <f aca="false">PODACI_ZALIHE!A746</f>
        <v>15818</v>
      </c>
      <c r="B749" s="8" t="str">
        <f aca="false">PODACI_ZALIHE!B746</f>
        <v>BOLD LUX 90140 MINERALSOLID TUŠ KADA BIJELA SJAJNA</v>
      </c>
      <c r="C749" s="9" t="str">
        <f aca="false">PODACI_ZALIHE!C746</f>
        <v>5082</v>
      </c>
      <c r="D749" s="8" t="str">
        <f aca="false">PODACI_ZALIHE!D746</f>
        <v>AQUAESTIL PLUS d.o.o.</v>
      </c>
      <c r="E749" s="19" t="n">
        <f aca="false">IF(PODACI_ZALIHE!E746="","",PODACI_ZALIHE!E746)</f>
        <v>0</v>
      </c>
      <c r="F749" s="20" t="n">
        <f aca="false">PODACI_ZALIHE!F746</f>
        <v>0</v>
      </c>
      <c r="G749" s="19" t="n">
        <f aca="false">IF(E749="","",E749-F749)</f>
        <v>0</v>
      </c>
      <c r="H749" s="9" t="n">
        <f aca="false">PODACI_PRODAJA!N537</f>
        <v>1.25</v>
      </c>
      <c r="I749" s="21" t="n">
        <f aca="false">IF(H749&lt;=0,999,ROUND(F749/H749,1))</f>
        <v>0</v>
      </c>
      <c r="J749" s="9" t="n">
        <f aca="false">SUMIFS(ROBA_U_DOLASKU!$C$6:$C$95,ROBA_U_DOLASKU!$A$6:$A$95,A749,ROBA_U_DOLASKU!$H$6:$H$95,1)</f>
        <v>0</v>
      </c>
      <c r="K749" s="9" t="n">
        <f aca="false">SUMIFS(ROBA_U_DOLASKU!$B$6:$B$95,ROBA_U_DOLASKU!$A$6:$A$95,A749,ROBA_U_DOLASKU!$H$6:$H$95,1)</f>
        <v>0</v>
      </c>
      <c r="L749" s="9" t="n">
        <f aca="false">SUMIFS(ROBA_U_DOLASKU!$C$6:$C$95,ROBA_U_DOLASKU!$A$6:$A$95,A749,ROBA_U_DOLASKU!$H$6:$H$95,2)</f>
        <v>0</v>
      </c>
      <c r="M749" s="9" t="n">
        <f aca="false">SUMIFS(ROBA_U_DOLASKU!$B$6:$B$95,ROBA_U_DOLASKU!$A$6:$A$95,A749,ROBA_U_DOLASKU!$H$6:$H$95,2)</f>
        <v>0</v>
      </c>
      <c r="N749" s="9" t="n">
        <f aca="false">SUMIFS(ROBA_U_DOLASKU!$C$6:$C$95,ROBA_U_DOLASKU!$A$6:$A$95,A749,ROBA_U_DOLASKU!$H$6:$H$95,3)</f>
        <v>0</v>
      </c>
      <c r="O749" s="9" t="n">
        <f aca="false">SUMIFS(ROBA_U_DOLASKU!$B$6:$B$95,ROBA_U_DOLASKU!$A$6:$A$95,A749,ROBA_U_DOLASKU!$H$6:$H$95,3)</f>
        <v>0</v>
      </c>
      <c r="P749" s="9" t="n">
        <f aca="false">IF(H749&lt;=0,999,IF(O749&gt;0,ROUND((F749-H749*N749+K749+M749+O749)/H749,1),IF(M749&gt;0,ROUND((F749-H749*L749+K749+M749)/H749,1),IF(K749&gt;0,ROUND((F749-H749*J749+K749)/H749,1),I749))))</f>
        <v>0</v>
      </c>
      <c r="Q749" s="22" t="str">
        <f aca="false">IF(H749&lt;=0,"Nema prodaje",IF(AND(K749=0,M749=0,O749=0),IF(I749&lt;POSTAVKE!$B$6,"Naruči odmah","Sve u redu"),IF(F749-H749*J749&lt;0,"Rupa za ~"&amp;TEXT(I749,"0.0")&amp;" mj.",IF(AND(M749&gt;0,F749-H749*L749+K749&lt;0),"Rupa nakon 1. dolaska",IF(AND(O749&gt;0,F749-H749*N749+K749+M749&lt;0),"Rupa nakon 2. dolaska",IF(P749&lt;POSTAVKE!$B$6,"Količina nije dovoljna",IF(I749&gt;=POSTAVKE!$B$6,"Sve u redu","Stiže na vrijeme")))))))</f>
        <v>Naruči odmah</v>
      </c>
      <c r="S749" s="23" t="n">
        <f aca="false">IFERROR(INDEX(PODACI_PRODAJA!B:B,MATCH($A749,PODACI_PRODAJA!$A:$A,0)),0)</f>
        <v>0</v>
      </c>
      <c r="T749" s="23" t="n">
        <f aca="false">IFERROR(INDEX(PODACI_PRODAJA!C:C,MATCH($A749,PODACI_PRODAJA!$A:$A,0)),0)</f>
        <v>0</v>
      </c>
      <c r="U749" s="23" t="n">
        <f aca="false">IFERROR(INDEX(PODACI_PRODAJA!D:D,MATCH($A749,PODACI_PRODAJA!$A:$A,0)),0)</f>
        <v>8</v>
      </c>
      <c r="V749" s="23" t="n">
        <f aca="false">IFERROR(INDEX(PODACI_PRODAJA!E:E,MATCH($A749,PODACI_PRODAJA!$A:$A,0)),0)</f>
        <v>0</v>
      </c>
      <c r="W749" s="23" t="n">
        <f aca="false">IFERROR(INDEX(PODACI_PRODAJA!F:F,MATCH($A749,PODACI_PRODAJA!$A:$A,0)),0)</f>
        <v>0</v>
      </c>
      <c r="X749" s="23" t="n">
        <f aca="false">IFERROR(INDEX(PODACI_PRODAJA!G:G,MATCH($A749,PODACI_PRODAJA!$A:$A,0)),0)</f>
        <v>2</v>
      </c>
      <c r="Y749" s="23" t="n">
        <f aca="false">IFERROR(INDEX(PODACI_PRODAJA!H:H,MATCH($A749,PODACI_PRODAJA!$A:$A,0)),0)</f>
        <v>0</v>
      </c>
      <c r="Z749" s="23" t="n">
        <f aca="false">IFERROR(INDEX(PODACI_PRODAJA!I:I,MATCH($A749,PODACI_PRODAJA!$A:$A,0)),0)</f>
        <v>0</v>
      </c>
      <c r="AA749" s="23" t="n">
        <f aca="false">IFERROR(INDEX(PODACI_PRODAJA!J:J,MATCH($A749,PODACI_PRODAJA!$A:$A,0)),0)</f>
        <v>0</v>
      </c>
      <c r="AB749" s="23" t="n">
        <f aca="false">IFERROR(INDEX(PODACI_PRODAJA!K:K,MATCH($A749,PODACI_PRODAJA!$A:$A,0)),0)</f>
        <v>0</v>
      </c>
      <c r="AC749" s="23" t="n">
        <f aca="false">IFERROR(INDEX(PODACI_PRODAJA!L:L,MATCH($A749,PODACI_PRODAJA!$A:$A,0)),0)</f>
        <v>0</v>
      </c>
      <c r="AD749" s="23" t="n">
        <f aca="false">IFERROR(INDEX(PODACI_PRODAJA!M:M,MATCH($A749,PODACI_PRODAJA!$A:$A,0)),0)</f>
        <v>0</v>
      </c>
    </row>
    <row r="750" customFormat="false" ht="15" hidden="false" customHeight="false" outlineLevel="0" collapsed="false">
      <c r="A750" s="11" t="str">
        <f aca="false">PODACI_ZALIHE!A747</f>
        <v>15821</v>
      </c>
      <c r="B750" s="8" t="str">
        <f aca="false">PODACI_ZALIHE!B747</f>
        <v>BOLD LUX 100110 MINERALSOLID TUŠ KADA BIJELA SJAJNA</v>
      </c>
      <c r="C750" s="9" t="str">
        <f aca="false">PODACI_ZALIHE!C747</f>
        <v>5082</v>
      </c>
      <c r="D750" s="8" t="str">
        <f aca="false">PODACI_ZALIHE!D747</f>
        <v>AQUAESTIL PLUS d.o.o.</v>
      </c>
      <c r="E750" s="19" t="n">
        <f aca="false">IF(PODACI_ZALIHE!E747="","",PODACI_ZALIHE!E747)</f>
        <v>0</v>
      </c>
      <c r="F750" s="20" t="n">
        <f aca="false">PODACI_ZALIHE!F747</f>
        <v>0</v>
      </c>
      <c r="G750" s="19" t="n">
        <f aca="false">IF(E750="","",E750-F750)</f>
        <v>0</v>
      </c>
      <c r="H750" s="9" t="n">
        <f aca="false">PODACI_PRODAJA!N539</f>
        <v>1.13</v>
      </c>
      <c r="I750" s="21" t="n">
        <f aca="false">IF(H750&lt;=0,999,ROUND(F750/H750,1))</f>
        <v>0</v>
      </c>
      <c r="J750" s="9" t="n">
        <f aca="false">SUMIFS(ROBA_U_DOLASKU!$C$6:$C$95,ROBA_U_DOLASKU!$A$6:$A$95,A750,ROBA_U_DOLASKU!$H$6:$H$95,1)</f>
        <v>0</v>
      </c>
      <c r="K750" s="9" t="n">
        <f aca="false">SUMIFS(ROBA_U_DOLASKU!$B$6:$B$95,ROBA_U_DOLASKU!$A$6:$A$95,A750,ROBA_U_DOLASKU!$H$6:$H$95,1)</f>
        <v>0</v>
      </c>
      <c r="L750" s="9" t="n">
        <f aca="false">SUMIFS(ROBA_U_DOLASKU!$C$6:$C$95,ROBA_U_DOLASKU!$A$6:$A$95,A750,ROBA_U_DOLASKU!$H$6:$H$95,2)</f>
        <v>0</v>
      </c>
      <c r="M750" s="9" t="n">
        <f aca="false">SUMIFS(ROBA_U_DOLASKU!$B$6:$B$95,ROBA_U_DOLASKU!$A$6:$A$95,A750,ROBA_U_DOLASKU!$H$6:$H$95,2)</f>
        <v>0</v>
      </c>
      <c r="N750" s="9" t="n">
        <f aca="false">SUMIFS(ROBA_U_DOLASKU!$C$6:$C$95,ROBA_U_DOLASKU!$A$6:$A$95,A750,ROBA_U_DOLASKU!$H$6:$H$95,3)</f>
        <v>0</v>
      </c>
      <c r="O750" s="9" t="n">
        <f aca="false">SUMIFS(ROBA_U_DOLASKU!$B$6:$B$95,ROBA_U_DOLASKU!$A$6:$A$95,A750,ROBA_U_DOLASKU!$H$6:$H$95,3)</f>
        <v>0</v>
      </c>
      <c r="P750" s="9" t="n">
        <f aca="false">IF(H750&lt;=0,999,IF(O750&gt;0,ROUND((F750-H750*N750+K750+M750+O750)/H750,1),IF(M750&gt;0,ROUND((F750-H750*L750+K750+M750)/H750,1),IF(K750&gt;0,ROUND((F750-H750*J750+K750)/H750,1),I750))))</f>
        <v>0</v>
      </c>
      <c r="Q750" s="22" t="str">
        <f aca="false">IF(H750&lt;=0,"Nema prodaje",IF(AND(K750=0,M750=0,O750=0),IF(I750&lt;POSTAVKE!$B$6,"Naruči odmah","Sve u redu"),IF(F750-H750*J750&lt;0,"Rupa za ~"&amp;TEXT(I750,"0.0")&amp;" mj.",IF(AND(M750&gt;0,F750-H750*L750+K750&lt;0),"Rupa nakon 1. dolaska",IF(AND(O750&gt;0,F750-H750*N750+K750+M750&lt;0),"Rupa nakon 2. dolaska",IF(P750&lt;POSTAVKE!$B$6,"Količina nije dovoljna",IF(I750&gt;=POSTAVKE!$B$6,"Sve u redu","Stiže na vrijeme")))))))</f>
        <v>Naruči odmah</v>
      </c>
      <c r="S750" s="23" t="n">
        <f aca="false">IFERROR(INDEX(PODACI_PRODAJA!B:B,MATCH($A750,PODACI_PRODAJA!$A:$A,0)),0)</f>
        <v>0</v>
      </c>
      <c r="T750" s="23" t="n">
        <f aca="false">IFERROR(INDEX(PODACI_PRODAJA!C:C,MATCH($A750,PODACI_PRODAJA!$A:$A,0)),0)</f>
        <v>0</v>
      </c>
      <c r="U750" s="23" t="n">
        <f aca="false">IFERROR(INDEX(PODACI_PRODAJA!D:D,MATCH($A750,PODACI_PRODAJA!$A:$A,0)),0)</f>
        <v>4</v>
      </c>
      <c r="V750" s="23" t="n">
        <f aca="false">IFERROR(INDEX(PODACI_PRODAJA!E:E,MATCH($A750,PODACI_PRODAJA!$A:$A,0)),0)</f>
        <v>3</v>
      </c>
      <c r="W750" s="23" t="n">
        <f aca="false">IFERROR(INDEX(PODACI_PRODAJA!F:F,MATCH($A750,PODACI_PRODAJA!$A:$A,0)),0)</f>
        <v>0</v>
      </c>
      <c r="X750" s="23" t="n">
        <f aca="false">IFERROR(INDEX(PODACI_PRODAJA!G:G,MATCH($A750,PODACI_PRODAJA!$A:$A,0)),0)</f>
        <v>2</v>
      </c>
      <c r="Y750" s="23" t="n">
        <f aca="false">IFERROR(INDEX(PODACI_PRODAJA!H:H,MATCH($A750,PODACI_PRODAJA!$A:$A,0)),0)</f>
        <v>0</v>
      </c>
      <c r="Z750" s="23" t="n">
        <f aca="false">IFERROR(INDEX(PODACI_PRODAJA!I:I,MATCH($A750,PODACI_PRODAJA!$A:$A,0)),0)</f>
        <v>0</v>
      </c>
      <c r="AA750" s="23" t="n">
        <f aca="false">IFERROR(INDEX(PODACI_PRODAJA!J:J,MATCH($A750,PODACI_PRODAJA!$A:$A,0)),0)</f>
        <v>0</v>
      </c>
      <c r="AB750" s="23" t="n">
        <f aca="false">IFERROR(INDEX(PODACI_PRODAJA!K:K,MATCH($A750,PODACI_PRODAJA!$A:$A,0)),0)</f>
        <v>0</v>
      </c>
      <c r="AC750" s="23" t="n">
        <f aca="false">IFERROR(INDEX(PODACI_PRODAJA!L:L,MATCH($A750,PODACI_PRODAJA!$A:$A,0)),0)</f>
        <v>0</v>
      </c>
      <c r="AD750" s="23" t="n">
        <f aca="false">IFERROR(INDEX(PODACI_PRODAJA!M:M,MATCH($A750,PODACI_PRODAJA!$A:$A,0)),0)</f>
        <v>0</v>
      </c>
    </row>
    <row r="751" customFormat="false" ht="15" hidden="false" customHeight="false" outlineLevel="0" collapsed="false">
      <c r="A751" s="11" t="str">
        <f aca="false">PODACI_ZALIHE!A748</f>
        <v>15956</v>
      </c>
      <c r="B751" s="8" t="str">
        <f aca="false">PODACI_ZALIHE!B748</f>
        <v>TK NEVA 80 KVADRATNA TUŠ KABINA 80x80x180 cm</v>
      </c>
      <c r="C751" s="9" t="n">
        <f aca="false">PODACI_ZALIHE!C748</f>
        <v>0</v>
      </c>
      <c r="D751" s="8" t="n">
        <f aca="false">PODACI_ZALIHE!D748</f>
        <v>0</v>
      </c>
      <c r="E751" s="19" t="n">
        <f aca="false">IF(PODACI_ZALIHE!E748="","",PODACI_ZALIHE!E748)</f>
        <v>0</v>
      </c>
      <c r="F751" s="20" t="n">
        <f aca="false">PODACI_ZALIHE!F748</f>
        <v>0</v>
      </c>
      <c r="G751" s="19" t="n">
        <f aca="false">IF(E751="","",E751-F751)</f>
        <v>0</v>
      </c>
      <c r="H751" s="9" t="n">
        <f aca="false">PODACI_PRODAJA!N246</f>
        <v>7.38</v>
      </c>
      <c r="I751" s="21" t="n">
        <f aca="false">IF(H751&lt;=0,999,ROUND(F751/H751,1))</f>
        <v>0</v>
      </c>
      <c r="J751" s="9" t="n">
        <f aca="false">SUMIFS(ROBA_U_DOLASKU!$C$6:$C$95,ROBA_U_DOLASKU!$A$6:$A$95,A751,ROBA_U_DOLASKU!$H$6:$H$95,1)</f>
        <v>0</v>
      </c>
      <c r="K751" s="9" t="n">
        <f aca="false">SUMIFS(ROBA_U_DOLASKU!$B$6:$B$95,ROBA_U_DOLASKU!$A$6:$A$95,A751,ROBA_U_DOLASKU!$H$6:$H$95,1)</f>
        <v>0</v>
      </c>
      <c r="L751" s="9" t="n">
        <f aca="false">SUMIFS(ROBA_U_DOLASKU!$C$6:$C$95,ROBA_U_DOLASKU!$A$6:$A$95,A751,ROBA_U_DOLASKU!$H$6:$H$95,2)</f>
        <v>0</v>
      </c>
      <c r="M751" s="9" t="n">
        <f aca="false">SUMIFS(ROBA_U_DOLASKU!$B$6:$B$95,ROBA_U_DOLASKU!$A$6:$A$95,A751,ROBA_U_DOLASKU!$H$6:$H$95,2)</f>
        <v>0</v>
      </c>
      <c r="N751" s="9" t="n">
        <f aca="false">SUMIFS(ROBA_U_DOLASKU!$C$6:$C$95,ROBA_U_DOLASKU!$A$6:$A$95,A751,ROBA_U_DOLASKU!$H$6:$H$95,3)</f>
        <v>0</v>
      </c>
      <c r="O751" s="9" t="n">
        <f aca="false">SUMIFS(ROBA_U_DOLASKU!$B$6:$B$95,ROBA_U_DOLASKU!$A$6:$A$95,A751,ROBA_U_DOLASKU!$H$6:$H$95,3)</f>
        <v>0</v>
      </c>
      <c r="P751" s="9" t="n">
        <f aca="false">IF(H751&lt;=0,999,IF(O751&gt;0,ROUND((F751-H751*N751+K751+M751+O751)/H751,1),IF(M751&gt;0,ROUND((F751-H751*L751+K751+M751)/H751,1),IF(K751&gt;0,ROUND((F751-H751*J751+K751)/H751,1),I751))))</f>
        <v>0</v>
      </c>
      <c r="Q751" s="22" t="str">
        <f aca="false">IF(H751&lt;=0,"Nema prodaje",IF(AND(K751=0,M751=0,O751=0),IF(I751&lt;POSTAVKE!$B$6,"Naruči odmah","Sve u redu"),IF(F751-H751*J751&lt;0,"Rupa za ~"&amp;TEXT(I751,"0.0")&amp;" mj.",IF(AND(M751&gt;0,F751-H751*L751+K751&lt;0),"Rupa nakon 1. dolaska",IF(AND(O751&gt;0,F751-H751*N751+K751+M751&lt;0),"Rupa nakon 2. dolaska",IF(P751&lt;POSTAVKE!$B$6,"Količina nije dovoljna",IF(I751&gt;=POSTAVKE!$B$6,"Sve u redu","Stiže na vrijeme")))))))</f>
        <v>Naruči odmah</v>
      </c>
      <c r="S751" s="23" t="n">
        <f aca="false">IFERROR(INDEX(PODACI_PRODAJA!B:B,MATCH($A751,PODACI_PRODAJA!$A:$A,0)),0)</f>
        <v>1</v>
      </c>
      <c r="T751" s="23" t="n">
        <f aca="false">IFERROR(INDEX(PODACI_PRODAJA!C:C,MATCH($A751,PODACI_PRODAJA!$A:$A,0)),0)</f>
        <v>12</v>
      </c>
      <c r="U751" s="23" t="n">
        <f aca="false">IFERROR(INDEX(PODACI_PRODAJA!D:D,MATCH($A751,PODACI_PRODAJA!$A:$A,0)),0)</f>
        <v>6</v>
      </c>
      <c r="V751" s="23" t="n">
        <f aca="false">IFERROR(INDEX(PODACI_PRODAJA!E:E,MATCH($A751,PODACI_PRODAJA!$A:$A,0)),0)</f>
        <v>18</v>
      </c>
      <c r="W751" s="23" t="n">
        <f aca="false">IFERROR(INDEX(PODACI_PRODAJA!F:F,MATCH($A751,PODACI_PRODAJA!$A:$A,0)),0)</f>
        <v>10</v>
      </c>
      <c r="X751" s="23" t="n">
        <f aca="false">IFERROR(INDEX(PODACI_PRODAJA!G:G,MATCH($A751,PODACI_PRODAJA!$A:$A,0)),0)</f>
        <v>6</v>
      </c>
      <c r="Y751" s="23" t="n">
        <f aca="false">IFERROR(INDEX(PODACI_PRODAJA!H:H,MATCH($A751,PODACI_PRODAJA!$A:$A,0)),0)</f>
        <v>4</v>
      </c>
      <c r="Z751" s="23" t="n">
        <f aca="false">IFERROR(INDEX(PODACI_PRODAJA!I:I,MATCH($A751,PODACI_PRODAJA!$A:$A,0)),0)</f>
        <v>2</v>
      </c>
      <c r="AA751" s="23" t="n">
        <f aca="false">IFERROR(INDEX(PODACI_PRODAJA!J:J,MATCH($A751,PODACI_PRODAJA!$A:$A,0)),0)</f>
        <v>0</v>
      </c>
      <c r="AB751" s="23" t="n">
        <f aca="false">IFERROR(INDEX(PODACI_PRODAJA!K:K,MATCH($A751,PODACI_PRODAJA!$A:$A,0)),0)</f>
        <v>0</v>
      </c>
      <c r="AC751" s="23" t="n">
        <f aca="false">IFERROR(INDEX(PODACI_PRODAJA!L:L,MATCH($A751,PODACI_PRODAJA!$A:$A,0)),0)</f>
        <v>0</v>
      </c>
      <c r="AD751" s="23" t="n">
        <f aca="false">IFERROR(INDEX(PODACI_PRODAJA!M:M,MATCH($A751,PODACI_PRODAJA!$A:$A,0)),0)</f>
        <v>0</v>
      </c>
    </row>
    <row r="752" customFormat="false" ht="15" hidden="false" customHeight="false" outlineLevel="0" collapsed="false">
      <c r="A752" s="11" t="str">
        <f aca="false">PODACI_ZALIHE!A749</f>
        <v>16050</v>
      </c>
      <c r="B752" s="8" t="str">
        <f aca="false">PODACI_ZALIHE!B749</f>
        <v>BIJELI POKROV SIFONA TUŠ KADE BOLD</v>
      </c>
      <c r="C752" s="9" t="str">
        <f aca="false">PODACI_ZALIHE!C749</f>
        <v>5517</v>
      </c>
      <c r="D752" s="8" t="str">
        <f aca="false">PODACI_ZALIHE!D749</f>
        <v>NICOS INTERNATIONAL S.P.A.</v>
      </c>
      <c r="E752" s="19" t="n">
        <f aca="false">IF(PODACI_ZALIHE!E749="","",PODACI_ZALIHE!E749)</f>
        <v>0</v>
      </c>
      <c r="F752" s="20" t="n">
        <f aca="false">PODACI_ZALIHE!F749</f>
        <v>0</v>
      </c>
      <c r="G752" s="19" t="n">
        <f aca="false">IF(E752="","",E752-F752)</f>
        <v>0</v>
      </c>
      <c r="H752" s="9" t="n">
        <f aca="false">PODACI_PRODAJA!N191</f>
        <v>10.25</v>
      </c>
      <c r="I752" s="21" t="n">
        <f aca="false">IF(H752&lt;=0,999,ROUND(F752/H752,1))</f>
        <v>0</v>
      </c>
      <c r="J752" s="9" t="n">
        <f aca="false">SUMIFS(ROBA_U_DOLASKU!$C$6:$C$95,ROBA_U_DOLASKU!$A$6:$A$95,A752,ROBA_U_DOLASKU!$H$6:$H$95,1)</f>
        <v>0</v>
      </c>
      <c r="K752" s="9" t="n">
        <f aca="false">SUMIFS(ROBA_U_DOLASKU!$B$6:$B$95,ROBA_U_DOLASKU!$A$6:$A$95,A752,ROBA_U_DOLASKU!$H$6:$H$95,1)</f>
        <v>0</v>
      </c>
      <c r="L752" s="9" t="n">
        <f aca="false">SUMIFS(ROBA_U_DOLASKU!$C$6:$C$95,ROBA_U_DOLASKU!$A$6:$A$95,A752,ROBA_U_DOLASKU!$H$6:$H$95,2)</f>
        <v>0</v>
      </c>
      <c r="M752" s="9" t="n">
        <f aca="false">SUMIFS(ROBA_U_DOLASKU!$B$6:$B$95,ROBA_U_DOLASKU!$A$6:$A$95,A752,ROBA_U_DOLASKU!$H$6:$H$95,2)</f>
        <v>0</v>
      </c>
      <c r="N752" s="9" t="n">
        <f aca="false">SUMIFS(ROBA_U_DOLASKU!$C$6:$C$95,ROBA_U_DOLASKU!$A$6:$A$95,A752,ROBA_U_DOLASKU!$H$6:$H$95,3)</f>
        <v>0</v>
      </c>
      <c r="O752" s="9" t="n">
        <f aca="false">SUMIFS(ROBA_U_DOLASKU!$B$6:$B$95,ROBA_U_DOLASKU!$A$6:$A$95,A752,ROBA_U_DOLASKU!$H$6:$H$95,3)</f>
        <v>0</v>
      </c>
      <c r="P752" s="9" t="n">
        <f aca="false">IF(H752&lt;=0,999,IF(O752&gt;0,ROUND((F752-H752*N752+K752+M752+O752)/H752,1),IF(M752&gt;0,ROUND((F752-H752*L752+K752+M752)/H752,1),IF(K752&gt;0,ROUND((F752-H752*J752+K752)/H752,1),I752))))</f>
        <v>0</v>
      </c>
      <c r="Q752" s="22" t="str">
        <f aca="false">IF(H752&lt;=0,"Nema prodaje",IF(AND(K752=0,M752=0,O752=0),IF(I752&lt;POSTAVKE!$B$6,"Naruči odmah","Sve u redu"),IF(F752-H752*J752&lt;0,"Rupa za ~"&amp;TEXT(I752,"0.0")&amp;" mj.",IF(AND(M752&gt;0,F752-H752*L752+K752&lt;0),"Rupa nakon 1. dolaska",IF(AND(O752&gt;0,F752-H752*N752+K752+M752&lt;0),"Rupa nakon 2. dolaska",IF(P752&lt;POSTAVKE!$B$6,"Količina nije dovoljna",IF(I752&gt;=POSTAVKE!$B$6,"Sve u redu","Stiže na vrijeme")))))))</f>
        <v>Naruči odmah</v>
      </c>
      <c r="S752" s="23" t="n">
        <f aca="false">IFERROR(INDEX(PODACI_PRODAJA!B:B,MATCH($A752,PODACI_PRODAJA!$A:$A,0)),0)</f>
        <v>2</v>
      </c>
      <c r="T752" s="23" t="n">
        <f aca="false">IFERROR(INDEX(PODACI_PRODAJA!C:C,MATCH($A752,PODACI_PRODAJA!$A:$A,0)),0)</f>
        <v>13</v>
      </c>
      <c r="U752" s="23" t="n">
        <f aca="false">IFERROR(INDEX(PODACI_PRODAJA!D:D,MATCH($A752,PODACI_PRODAJA!$A:$A,0)),0)</f>
        <v>17</v>
      </c>
      <c r="V752" s="23" t="n">
        <f aca="false">IFERROR(INDEX(PODACI_PRODAJA!E:E,MATCH($A752,PODACI_PRODAJA!$A:$A,0)),0)</f>
        <v>8</v>
      </c>
      <c r="W752" s="23" t="n">
        <f aca="false">IFERROR(INDEX(PODACI_PRODAJA!F:F,MATCH($A752,PODACI_PRODAJA!$A:$A,0)),0)</f>
        <v>10</v>
      </c>
      <c r="X752" s="23" t="n">
        <f aca="false">IFERROR(INDEX(PODACI_PRODAJA!G:G,MATCH($A752,PODACI_PRODAJA!$A:$A,0)),0)</f>
        <v>2</v>
      </c>
      <c r="Y752" s="23" t="n">
        <f aca="false">IFERROR(INDEX(PODACI_PRODAJA!H:H,MATCH($A752,PODACI_PRODAJA!$A:$A,0)),0)</f>
        <v>29</v>
      </c>
      <c r="Z752" s="23" t="n">
        <f aca="false">IFERROR(INDEX(PODACI_PRODAJA!I:I,MATCH($A752,PODACI_PRODAJA!$A:$A,0)),0)</f>
        <v>1</v>
      </c>
      <c r="AA752" s="23" t="n">
        <f aca="false">IFERROR(INDEX(PODACI_PRODAJA!J:J,MATCH($A752,PODACI_PRODAJA!$A:$A,0)),0)</f>
        <v>0</v>
      </c>
      <c r="AB752" s="23" t="n">
        <f aca="false">IFERROR(INDEX(PODACI_PRODAJA!K:K,MATCH($A752,PODACI_PRODAJA!$A:$A,0)),0)</f>
        <v>0</v>
      </c>
      <c r="AC752" s="23" t="n">
        <f aca="false">IFERROR(INDEX(PODACI_PRODAJA!L:L,MATCH($A752,PODACI_PRODAJA!$A:$A,0)),0)</f>
        <v>0</v>
      </c>
      <c r="AD752" s="23" t="n">
        <f aca="false">IFERROR(INDEX(PODACI_PRODAJA!M:M,MATCH($A752,PODACI_PRODAJA!$A:$A,0)),0)</f>
        <v>0</v>
      </c>
    </row>
    <row r="753" customFormat="false" ht="15" hidden="false" customHeight="false" outlineLevel="0" collapsed="false">
      <c r="A753" s="11" t="str">
        <f aca="false">PODACI_ZALIHE!A750</f>
        <v>16085</v>
      </c>
      <c r="B753" s="8" t="str">
        <f aca="false">PODACI_ZALIHE!B750</f>
        <v>OGLEDALO GLS4060 40x60 cm</v>
      </c>
      <c r="C753" s="9" t="n">
        <f aca="false">PODACI_ZALIHE!C750</f>
        <v>0</v>
      </c>
      <c r="D753" s="8" t="n">
        <f aca="false">PODACI_ZALIHE!D750</f>
        <v>0</v>
      </c>
      <c r="E753" s="19" t="n">
        <f aca="false">IF(PODACI_ZALIHE!E750="","",PODACI_ZALIHE!E750)</f>
        <v>0</v>
      </c>
      <c r="F753" s="20" t="n">
        <f aca="false">PODACI_ZALIHE!F750</f>
        <v>0</v>
      </c>
      <c r="G753" s="19" t="n">
        <f aca="false">IF(E753="","",E753-F753)</f>
        <v>0</v>
      </c>
      <c r="H753" s="9" t="n">
        <f aca="false">PODACI_PRODAJA!N557</f>
        <v>-0.13</v>
      </c>
      <c r="I753" s="21" t="n">
        <f aca="false">IF(H753&lt;=0,999,ROUND(F753/H753,1))</f>
        <v>999</v>
      </c>
      <c r="J753" s="9" t="n">
        <f aca="false">SUMIFS(ROBA_U_DOLASKU!$C$6:$C$95,ROBA_U_DOLASKU!$A$6:$A$95,A753,ROBA_U_DOLASKU!$H$6:$H$95,1)</f>
        <v>0</v>
      </c>
      <c r="K753" s="9" t="n">
        <f aca="false">SUMIFS(ROBA_U_DOLASKU!$B$6:$B$95,ROBA_U_DOLASKU!$A$6:$A$95,A753,ROBA_U_DOLASKU!$H$6:$H$95,1)</f>
        <v>0</v>
      </c>
      <c r="L753" s="9" t="n">
        <f aca="false">SUMIFS(ROBA_U_DOLASKU!$C$6:$C$95,ROBA_U_DOLASKU!$A$6:$A$95,A753,ROBA_U_DOLASKU!$H$6:$H$95,2)</f>
        <v>0</v>
      </c>
      <c r="M753" s="9" t="n">
        <f aca="false">SUMIFS(ROBA_U_DOLASKU!$B$6:$B$95,ROBA_U_DOLASKU!$A$6:$A$95,A753,ROBA_U_DOLASKU!$H$6:$H$95,2)</f>
        <v>0</v>
      </c>
      <c r="N753" s="9" t="n">
        <f aca="false">SUMIFS(ROBA_U_DOLASKU!$C$6:$C$95,ROBA_U_DOLASKU!$A$6:$A$95,A753,ROBA_U_DOLASKU!$H$6:$H$95,3)</f>
        <v>0</v>
      </c>
      <c r="O753" s="9" t="n">
        <f aca="false">SUMIFS(ROBA_U_DOLASKU!$B$6:$B$95,ROBA_U_DOLASKU!$A$6:$A$95,A753,ROBA_U_DOLASKU!$H$6:$H$95,3)</f>
        <v>0</v>
      </c>
      <c r="P753" s="9" t="n">
        <f aca="false">IF(H753&lt;=0,999,IF(O753&gt;0,ROUND((F753-H753*N753+K753+M753+O753)/H753,1),IF(M753&gt;0,ROUND((F753-H753*L753+K753+M753)/H753,1),IF(K753&gt;0,ROUND((F753-H753*J753+K753)/H753,1),I753))))</f>
        <v>999</v>
      </c>
      <c r="Q753" s="22" t="str">
        <f aca="false">IF(H753&lt;=0,"Nema prodaje",IF(AND(K753=0,M753=0,O753=0),IF(I753&lt;POSTAVKE!$B$6,"Naruči odmah","Sve u redu"),IF(F753-H753*J753&lt;0,"Rupa za ~"&amp;TEXT(I753,"0.0")&amp;" mj.",IF(AND(M753&gt;0,F753-H753*L753+K753&lt;0),"Rupa nakon 1. dolaska",IF(AND(O753&gt;0,F753-H753*N753+K753+M753&lt;0),"Rupa nakon 2. dolaska",IF(P753&lt;POSTAVKE!$B$6,"Količina nije dovoljna",IF(I753&gt;=POSTAVKE!$B$6,"Sve u redu","Stiže na vrijeme")))))))</f>
        <v>Nema prodaje</v>
      </c>
      <c r="S753" s="23" t="n">
        <f aca="false">IFERROR(INDEX(PODACI_PRODAJA!B:B,MATCH($A753,PODACI_PRODAJA!$A:$A,0)),0)</f>
        <v>0</v>
      </c>
      <c r="T753" s="23" t="n">
        <f aca="false">IFERROR(INDEX(PODACI_PRODAJA!C:C,MATCH($A753,PODACI_PRODAJA!$A:$A,0)),0)</f>
        <v>-1</v>
      </c>
      <c r="U753" s="23" t="n">
        <f aca="false">IFERROR(INDEX(PODACI_PRODAJA!D:D,MATCH($A753,PODACI_PRODAJA!$A:$A,0)),0)</f>
        <v>0</v>
      </c>
      <c r="V753" s="23" t="n">
        <f aca="false">IFERROR(INDEX(PODACI_PRODAJA!E:E,MATCH($A753,PODACI_PRODAJA!$A:$A,0)),0)</f>
        <v>0</v>
      </c>
      <c r="W753" s="23" t="n">
        <f aca="false">IFERROR(INDEX(PODACI_PRODAJA!F:F,MATCH($A753,PODACI_PRODAJA!$A:$A,0)),0)</f>
        <v>0</v>
      </c>
      <c r="X753" s="23" t="n">
        <f aca="false">IFERROR(INDEX(PODACI_PRODAJA!G:G,MATCH($A753,PODACI_PRODAJA!$A:$A,0)),0)</f>
        <v>0</v>
      </c>
      <c r="Y753" s="23" t="n">
        <f aca="false">IFERROR(INDEX(PODACI_PRODAJA!H:H,MATCH($A753,PODACI_PRODAJA!$A:$A,0)),0)</f>
        <v>0</v>
      </c>
      <c r="Z753" s="23" t="n">
        <f aca="false">IFERROR(INDEX(PODACI_PRODAJA!I:I,MATCH($A753,PODACI_PRODAJA!$A:$A,0)),0)</f>
        <v>0</v>
      </c>
      <c r="AA753" s="23" t="n">
        <f aca="false">IFERROR(INDEX(PODACI_PRODAJA!J:J,MATCH($A753,PODACI_PRODAJA!$A:$A,0)),0)</f>
        <v>0</v>
      </c>
      <c r="AB753" s="23" t="n">
        <f aca="false">IFERROR(INDEX(PODACI_PRODAJA!K:K,MATCH($A753,PODACI_PRODAJA!$A:$A,0)),0)</f>
        <v>0</v>
      </c>
      <c r="AC753" s="23" t="n">
        <f aca="false">IFERROR(INDEX(PODACI_PRODAJA!L:L,MATCH($A753,PODACI_PRODAJA!$A:$A,0)),0)</f>
        <v>0</v>
      </c>
      <c r="AD753" s="23" t="n">
        <f aca="false">IFERROR(INDEX(PODACI_PRODAJA!M:M,MATCH($A753,PODACI_PRODAJA!$A:$A,0)),0)</f>
        <v>0</v>
      </c>
    </row>
    <row r="754" customFormat="false" ht="15" hidden="false" customHeight="false" outlineLevel="0" collapsed="false">
      <c r="A754" s="11" t="str">
        <f aca="false">PODACI_ZALIHE!A751</f>
        <v>16300</v>
      </c>
      <c r="B754" s="8" t="str">
        <f aca="false">PODACI_ZALIHE!B751</f>
        <v>OLIVIA UGRADBENI KERAMIČKI UMIVAONIK BIJELI 600x455x100 mm</v>
      </c>
      <c r="C754" s="9" t="str">
        <f aca="false">PODACI_ZALIHE!C751</f>
        <v>6053</v>
      </c>
      <c r="D754" s="8" t="str">
        <f aca="false">PODACI_ZALIHE!D751</f>
        <v>AYVA MAKINE INŞAAT SANAYI TICARET LTD.ŞTI.</v>
      </c>
      <c r="E754" s="19" t="n">
        <f aca="false">IF(PODACI_ZALIHE!E751="","",PODACI_ZALIHE!E751)</f>
        <v>0</v>
      </c>
      <c r="F754" s="20" t="n">
        <f aca="false">PODACI_ZALIHE!F751</f>
        <v>0</v>
      </c>
      <c r="G754" s="19" t="n">
        <f aca="false">IF(E754="","",E754-F754)</f>
        <v>0</v>
      </c>
      <c r="H754" s="9" t="n">
        <v>0</v>
      </c>
      <c r="I754" s="21" t="n">
        <f aca="false">IF(H754&lt;=0,999,ROUND(F754/H754,1))</f>
        <v>999</v>
      </c>
      <c r="J754" s="9" t="n">
        <f aca="false">SUMIFS(ROBA_U_DOLASKU!$C$6:$C$95,ROBA_U_DOLASKU!$A$6:$A$95,A754,ROBA_U_DOLASKU!$H$6:$H$95,1)</f>
        <v>0</v>
      </c>
      <c r="K754" s="9" t="n">
        <f aca="false">SUMIFS(ROBA_U_DOLASKU!$B$6:$B$95,ROBA_U_DOLASKU!$A$6:$A$95,A754,ROBA_U_DOLASKU!$H$6:$H$95,1)</f>
        <v>0</v>
      </c>
      <c r="L754" s="9" t="n">
        <f aca="false">SUMIFS(ROBA_U_DOLASKU!$C$6:$C$95,ROBA_U_DOLASKU!$A$6:$A$95,A754,ROBA_U_DOLASKU!$H$6:$H$95,2)</f>
        <v>0</v>
      </c>
      <c r="M754" s="9" t="n">
        <f aca="false">SUMIFS(ROBA_U_DOLASKU!$B$6:$B$95,ROBA_U_DOLASKU!$A$6:$A$95,A754,ROBA_U_DOLASKU!$H$6:$H$95,2)</f>
        <v>0</v>
      </c>
      <c r="N754" s="9" t="n">
        <f aca="false">SUMIFS(ROBA_U_DOLASKU!$C$6:$C$95,ROBA_U_DOLASKU!$A$6:$A$95,A754,ROBA_U_DOLASKU!$H$6:$H$95,3)</f>
        <v>0</v>
      </c>
      <c r="O754" s="9" t="n">
        <f aca="false">SUMIFS(ROBA_U_DOLASKU!$B$6:$B$95,ROBA_U_DOLASKU!$A$6:$A$95,A754,ROBA_U_DOLASKU!$H$6:$H$95,3)</f>
        <v>0</v>
      </c>
      <c r="P754" s="9" t="n">
        <f aca="false">IF(H754&lt;=0,999,IF(O754&gt;0,ROUND((F754-H754*N754+K754+M754+O754)/H754,1),IF(M754&gt;0,ROUND((F754-H754*L754+K754+M754)/H754,1),IF(K754&gt;0,ROUND((F754-H754*J754+K754)/H754,1),I754))))</f>
        <v>999</v>
      </c>
      <c r="Q754" s="22" t="str">
        <f aca="false">IF(H754&lt;=0,"Nema prodaje",IF(AND(K754=0,M754=0,O754=0),IF(I754&lt;POSTAVKE!$B$6,"Naruči odmah","Sve u redu"),IF(F754-H754*J754&lt;0,"Rupa za ~"&amp;TEXT(I754,"0.0")&amp;" mj.",IF(AND(M754&gt;0,F754-H754*L754+K754&lt;0),"Rupa nakon 1. dolaska",IF(AND(O754&gt;0,F754-H754*N754+K754+M754&lt;0),"Rupa nakon 2. dolaska",IF(P754&lt;POSTAVKE!$B$6,"Količina nije dovoljna",IF(I754&gt;=POSTAVKE!$B$6,"Sve u redu","Stiže na vrijeme")))))))</f>
        <v>Nema prodaje</v>
      </c>
      <c r="S754" s="23" t="n">
        <f aca="false">IFERROR(INDEX(PODACI_PRODAJA!B:B,MATCH($A754,PODACI_PRODAJA!$A:$A,0)),0)</f>
        <v>0</v>
      </c>
      <c r="T754" s="23" t="n">
        <f aca="false">IFERROR(INDEX(PODACI_PRODAJA!C:C,MATCH($A754,PODACI_PRODAJA!$A:$A,0)),0)</f>
        <v>0</v>
      </c>
      <c r="U754" s="23" t="n">
        <f aca="false">IFERROR(INDEX(PODACI_PRODAJA!D:D,MATCH($A754,PODACI_PRODAJA!$A:$A,0)),0)</f>
        <v>0</v>
      </c>
      <c r="V754" s="23" t="n">
        <f aca="false">IFERROR(INDEX(PODACI_PRODAJA!E:E,MATCH($A754,PODACI_PRODAJA!$A:$A,0)),0)</f>
        <v>0</v>
      </c>
      <c r="W754" s="23" t="n">
        <f aca="false">IFERROR(INDEX(PODACI_PRODAJA!F:F,MATCH($A754,PODACI_PRODAJA!$A:$A,0)),0)</f>
        <v>0</v>
      </c>
      <c r="X754" s="23" t="n">
        <f aca="false">IFERROR(INDEX(PODACI_PRODAJA!G:G,MATCH($A754,PODACI_PRODAJA!$A:$A,0)),0)</f>
        <v>0</v>
      </c>
      <c r="Y754" s="23" t="n">
        <f aca="false">IFERROR(INDEX(PODACI_PRODAJA!H:H,MATCH($A754,PODACI_PRODAJA!$A:$A,0)),0)</f>
        <v>0</v>
      </c>
      <c r="Z754" s="23" t="n">
        <f aca="false">IFERROR(INDEX(PODACI_PRODAJA!I:I,MATCH($A754,PODACI_PRODAJA!$A:$A,0)),0)</f>
        <v>0</v>
      </c>
      <c r="AA754" s="23" t="n">
        <f aca="false">IFERROR(INDEX(PODACI_PRODAJA!J:J,MATCH($A754,PODACI_PRODAJA!$A:$A,0)),0)</f>
        <v>0</v>
      </c>
      <c r="AB754" s="23" t="n">
        <f aca="false">IFERROR(INDEX(PODACI_PRODAJA!K:K,MATCH($A754,PODACI_PRODAJA!$A:$A,0)),0)</f>
        <v>0</v>
      </c>
      <c r="AC754" s="23" t="n">
        <f aca="false">IFERROR(INDEX(PODACI_PRODAJA!L:L,MATCH($A754,PODACI_PRODAJA!$A:$A,0)),0)</f>
        <v>0</v>
      </c>
      <c r="AD754" s="23" t="n">
        <f aca="false">IFERROR(INDEX(PODACI_PRODAJA!M:M,MATCH($A754,PODACI_PRODAJA!$A:$A,0)),0)</f>
        <v>0</v>
      </c>
    </row>
    <row r="755" customFormat="false" ht="15" hidden="false" customHeight="false" outlineLevel="0" collapsed="false">
      <c r="A755" s="11" t="str">
        <f aca="false">PODACI_ZALIHE!A752</f>
        <v>16304</v>
      </c>
      <c r="B755" s="8" t="str">
        <f aca="false">PODACI_ZALIHE!B752</f>
        <v>OLIVIA UGRADBENI KERAMIČKI UMIVAONIK BIJELI 850x455x100 mm</v>
      </c>
      <c r="C755" s="9" t="str">
        <f aca="false">PODACI_ZALIHE!C752</f>
        <v>6053</v>
      </c>
      <c r="D755" s="8" t="str">
        <f aca="false">PODACI_ZALIHE!D752</f>
        <v>AYVA MAKINE INŞAAT SANAYI TICARET LTD.ŞTI.</v>
      </c>
      <c r="E755" s="19" t="n">
        <f aca="false">IF(PODACI_ZALIHE!E752="","",PODACI_ZALIHE!E752)</f>
        <v>0</v>
      </c>
      <c r="F755" s="20" t="n">
        <f aca="false">PODACI_ZALIHE!F752</f>
        <v>0</v>
      </c>
      <c r="G755" s="19" t="n">
        <f aca="false">IF(E755="","",E755-F755)</f>
        <v>0</v>
      </c>
      <c r="H755" s="9" t="n">
        <v>0</v>
      </c>
      <c r="I755" s="21" t="n">
        <f aca="false">IF(H755&lt;=0,999,ROUND(F755/H755,1))</f>
        <v>999</v>
      </c>
      <c r="J755" s="9" t="n">
        <f aca="false">SUMIFS(ROBA_U_DOLASKU!$C$6:$C$95,ROBA_U_DOLASKU!$A$6:$A$95,A755,ROBA_U_DOLASKU!$H$6:$H$95,1)</f>
        <v>0</v>
      </c>
      <c r="K755" s="9" t="n">
        <f aca="false">SUMIFS(ROBA_U_DOLASKU!$B$6:$B$95,ROBA_U_DOLASKU!$A$6:$A$95,A755,ROBA_U_DOLASKU!$H$6:$H$95,1)</f>
        <v>0</v>
      </c>
      <c r="L755" s="9" t="n">
        <f aca="false">SUMIFS(ROBA_U_DOLASKU!$C$6:$C$95,ROBA_U_DOLASKU!$A$6:$A$95,A755,ROBA_U_DOLASKU!$H$6:$H$95,2)</f>
        <v>0</v>
      </c>
      <c r="M755" s="9" t="n">
        <f aca="false">SUMIFS(ROBA_U_DOLASKU!$B$6:$B$95,ROBA_U_DOLASKU!$A$6:$A$95,A755,ROBA_U_DOLASKU!$H$6:$H$95,2)</f>
        <v>0</v>
      </c>
      <c r="N755" s="9" t="n">
        <f aca="false">SUMIFS(ROBA_U_DOLASKU!$C$6:$C$95,ROBA_U_DOLASKU!$A$6:$A$95,A755,ROBA_U_DOLASKU!$H$6:$H$95,3)</f>
        <v>0</v>
      </c>
      <c r="O755" s="9" t="n">
        <f aca="false">SUMIFS(ROBA_U_DOLASKU!$B$6:$B$95,ROBA_U_DOLASKU!$A$6:$A$95,A755,ROBA_U_DOLASKU!$H$6:$H$95,3)</f>
        <v>0</v>
      </c>
      <c r="P755" s="9" t="n">
        <f aca="false">IF(H755&lt;=0,999,IF(O755&gt;0,ROUND((F755-H755*N755+K755+M755+O755)/H755,1),IF(M755&gt;0,ROUND((F755-H755*L755+K755+M755)/H755,1),IF(K755&gt;0,ROUND((F755-H755*J755+K755)/H755,1),I755))))</f>
        <v>999</v>
      </c>
      <c r="Q755" s="22" t="str">
        <f aca="false">IF(H755&lt;=0,"Nema prodaje",IF(AND(K755=0,M755=0,O755=0),IF(I755&lt;POSTAVKE!$B$6,"Naruči odmah","Sve u redu"),IF(F755-H755*J755&lt;0,"Rupa za ~"&amp;TEXT(I755,"0.0")&amp;" mj.",IF(AND(M755&gt;0,F755-H755*L755+K755&lt;0),"Rupa nakon 1. dolaska",IF(AND(O755&gt;0,F755-H755*N755+K755+M755&lt;0),"Rupa nakon 2. dolaska",IF(P755&lt;POSTAVKE!$B$6,"Količina nije dovoljna",IF(I755&gt;=POSTAVKE!$B$6,"Sve u redu","Stiže na vrijeme")))))))</f>
        <v>Nema prodaje</v>
      </c>
      <c r="S755" s="23" t="n">
        <f aca="false">IFERROR(INDEX(PODACI_PRODAJA!B:B,MATCH($A755,PODACI_PRODAJA!$A:$A,0)),0)</f>
        <v>0</v>
      </c>
      <c r="T755" s="23" t="n">
        <f aca="false">IFERROR(INDEX(PODACI_PRODAJA!C:C,MATCH($A755,PODACI_PRODAJA!$A:$A,0)),0)</f>
        <v>0</v>
      </c>
      <c r="U755" s="23" t="n">
        <f aca="false">IFERROR(INDEX(PODACI_PRODAJA!D:D,MATCH($A755,PODACI_PRODAJA!$A:$A,0)),0)</f>
        <v>0</v>
      </c>
      <c r="V755" s="23" t="n">
        <f aca="false">IFERROR(INDEX(PODACI_PRODAJA!E:E,MATCH($A755,PODACI_PRODAJA!$A:$A,0)),0)</f>
        <v>0</v>
      </c>
      <c r="W755" s="23" t="n">
        <f aca="false">IFERROR(INDEX(PODACI_PRODAJA!F:F,MATCH($A755,PODACI_PRODAJA!$A:$A,0)),0)</f>
        <v>0</v>
      </c>
      <c r="X755" s="23" t="n">
        <f aca="false">IFERROR(INDEX(PODACI_PRODAJA!G:G,MATCH($A755,PODACI_PRODAJA!$A:$A,0)),0)</f>
        <v>0</v>
      </c>
      <c r="Y755" s="23" t="n">
        <f aca="false">IFERROR(INDEX(PODACI_PRODAJA!H:H,MATCH($A755,PODACI_PRODAJA!$A:$A,0)),0)</f>
        <v>0</v>
      </c>
      <c r="Z755" s="23" t="n">
        <f aca="false">IFERROR(INDEX(PODACI_PRODAJA!I:I,MATCH($A755,PODACI_PRODAJA!$A:$A,0)),0)</f>
        <v>0</v>
      </c>
      <c r="AA755" s="23" t="n">
        <f aca="false">IFERROR(INDEX(PODACI_PRODAJA!J:J,MATCH($A755,PODACI_PRODAJA!$A:$A,0)),0)</f>
        <v>0</v>
      </c>
      <c r="AB755" s="23" t="n">
        <f aca="false">IFERROR(INDEX(PODACI_PRODAJA!K:K,MATCH($A755,PODACI_PRODAJA!$A:$A,0)),0)</f>
        <v>0</v>
      </c>
      <c r="AC755" s="23" t="n">
        <f aca="false">IFERROR(INDEX(PODACI_PRODAJA!L:L,MATCH($A755,PODACI_PRODAJA!$A:$A,0)),0)</f>
        <v>0</v>
      </c>
      <c r="AD755" s="23" t="n">
        <f aca="false">IFERROR(INDEX(PODACI_PRODAJA!M:M,MATCH($A755,PODACI_PRODAJA!$A:$A,0)),0)</f>
        <v>0</v>
      </c>
    </row>
    <row r="756" customFormat="false" ht="15" hidden="false" customHeight="false" outlineLevel="0" collapsed="false">
      <c r="A756" s="11" t="str">
        <f aca="false">PODACI_ZALIHE!A753</f>
        <v>16540</v>
      </c>
      <c r="B756" s="8" t="str">
        <f aca="false">PODACI_ZALIHE!B753</f>
        <v>SIFON ZA SAMOSTOJEĆE I HIDROMASAŽNE KADE</v>
      </c>
      <c r="C756" s="9" t="str">
        <f aca="false">PODACI_ZALIHE!C753</f>
        <v>5808</v>
      </c>
      <c r="D756" s="8" t="str">
        <f aca="false">PODACI_ZALIHE!D753</f>
        <v>TAIZHOU NIXI IMPORT &amp; EXPORT CO., LTD.</v>
      </c>
      <c r="E756" s="19" t="str">
        <f aca="false">IF(PODACI_ZALIHE!E753="","",PODACI_ZALIHE!E753)</f>
        <v/>
      </c>
      <c r="F756" s="20" t="n">
        <f aca="false">PODACI_ZALIHE!F753</f>
        <v>0</v>
      </c>
      <c r="G756" s="19" t="str">
        <f aca="false">IF(E756="","",E756-F756)</f>
        <v/>
      </c>
      <c r="H756" s="9" t="n">
        <f aca="false">PODACI_PRODAJA!N576</f>
        <v>0.25</v>
      </c>
      <c r="I756" s="21" t="n">
        <f aca="false">IF(H756&lt;=0,999,ROUND(F756/H756,1))</f>
        <v>0</v>
      </c>
      <c r="J756" s="9" t="n">
        <f aca="false">SUMIFS(ROBA_U_DOLASKU!$C$6:$C$95,ROBA_U_DOLASKU!$A$6:$A$95,A756,ROBA_U_DOLASKU!$H$6:$H$95,1)</f>
        <v>0</v>
      </c>
      <c r="K756" s="9" t="n">
        <f aca="false">SUMIFS(ROBA_U_DOLASKU!$B$6:$B$95,ROBA_U_DOLASKU!$A$6:$A$95,A756,ROBA_U_DOLASKU!$H$6:$H$95,1)</f>
        <v>0</v>
      </c>
      <c r="L756" s="9" t="n">
        <f aca="false">SUMIFS(ROBA_U_DOLASKU!$C$6:$C$95,ROBA_U_DOLASKU!$A$6:$A$95,A756,ROBA_U_DOLASKU!$H$6:$H$95,2)</f>
        <v>0</v>
      </c>
      <c r="M756" s="9" t="n">
        <f aca="false">SUMIFS(ROBA_U_DOLASKU!$B$6:$B$95,ROBA_U_DOLASKU!$A$6:$A$95,A756,ROBA_U_DOLASKU!$H$6:$H$95,2)</f>
        <v>0</v>
      </c>
      <c r="N756" s="9" t="n">
        <f aca="false">SUMIFS(ROBA_U_DOLASKU!$C$6:$C$95,ROBA_U_DOLASKU!$A$6:$A$95,A756,ROBA_U_DOLASKU!$H$6:$H$95,3)</f>
        <v>0</v>
      </c>
      <c r="O756" s="9" t="n">
        <f aca="false">SUMIFS(ROBA_U_DOLASKU!$B$6:$B$95,ROBA_U_DOLASKU!$A$6:$A$95,A756,ROBA_U_DOLASKU!$H$6:$H$95,3)</f>
        <v>0</v>
      </c>
      <c r="P756" s="9" t="n">
        <f aca="false">IF(H756&lt;=0,999,IF(O756&gt;0,ROUND((F756-H756*N756+K756+M756+O756)/H756,1),IF(M756&gt;0,ROUND((F756-H756*L756+K756+M756)/H756,1),IF(K756&gt;0,ROUND((F756-H756*J756+K756)/H756,1),I756))))</f>
        <v>0</v>
      </c>
      <c r="Q756" s="22" t="str">
        <f aca="false">IF(H756&lt;=0,"Nema prodaje",IF(AND(K756=0,M756=0,O756=0),IF(I756&lt;POSTAVKE!$B$6,"Naruči odmah","Sve u redu"),IF(F756-H756*J756&lt;0,"Rupa za ~"&amp;TEXT(I756,"0.0")&amp;" mj.",IF(AND(M756&gt;0,F756-H756*L756+K756&lt;0),"Rupa nakon 1. dolaska",IF(AND(O756&gt;0,F756-H756*N756+K756+M756&lt;0),"Rupa nakon 2. dolaska",IF(P756&lt;POSTAVKE!$B$6,"Količina nije dovoljna",IF(I756&gt;=POSTAVKE!$B$6,"Sve u redu","Stiže na vrijeme")))))))</f>
        <v>Naruči odmah</v>
      </c>
      <c r="S756" s="23" t="n">
        <f aca="false">IFERROR(INDEX(PODACI_PRODAJA!B:B,MATCH($A756,PODACI_PRODAJA!$A:$A,0)),0)</f>
        <v>0</v>
      </c>
      <c r="T756" s="23" t="n">
        <f aca="false">IFERROR(INDEX(PODACI_PRODAJA!C:C,MATCH($A756,PODACI_PRODAJA!$A:$A,0)),0)</f>
        <v>1</v>
      </c>
      <c r="U756" s="23" t="n">
        <f aca="false">IFERROR(INDEX(PODACI_PRODAJA!D:D,MATCH($A756,PODACI_PRODAJA!$A:$A,0)),0)</f>
        <v>0</v>
      </c>
      <c r="V756" s="23" t="n">
        <f aca="false">IFERROR(INDEX(PODACI_PRODAJA!E:E,MATCH($A756,PODACI_PRODAJA!$A:$A,0)),0)</f>
        <v>1</v>
      </c>
      <c r="W756" s="23" t="n">
        <f aca="false">IFERROR(INDEX(PODACI_PRODAJA!F:F,MATCH($A756,PODACI_PRODAJA!$A:$A,0)),0)</f>
        <v>0</v>
      </c>
      <c r="X756" s="23" t="n">
        <f aca="false">IFERROR(INDEX(PODACI_PRODAJA!G:G,MATCH($A756,PODACI_PRODAJA!$A:$A,0)),0)</f>
        <v>0</v>
      </c>
      <c r="Y756" s="23" t="n">
        <f aca="false">IFERROR(INDEX(PODACI_PRODAJA!H:H,MATCH($A756,PODACI_PRODAJA!$A:$A,0)),0)</f>
        <v>0</v>
      </c>
      <c r="Z756" s="23" t="n">
        <f aca="false">IFERROR(INDEX(PODACI_PRODAJA!I:I,MATCH($A756,PODACI_PRODAJA!$A:$A,0)),0)</f>
        <v>0</v>
      </c>
      <c r="AA756" s="23" t="n">
        <f aca="false">IFERROR(INDEX(PODACI_PRODAJA!J:J,MATCH($A756,PODACI_PRODAJA!$A:$A,0)),0)</f>
        <v>0</v>
      </c>
      <c r="AB756" s="23" t="n">
        <f aca="false">IFERROR(INDEX(PODACI_PRODAJA!K:K,MATCH($A756,PODACI_PRODAJA!$A:$A,0)),0)</f>
        <v>0</v>
      </c>
      <c r="AC756" s="23" t="n">
        <f aca="false">IFERROR(INDEX(PODACI_PRODAJA!L:L,MATCH($A756,PODACI_PRODAJA!$A:$A,0)),0)</f>
        <v>0</v>
      </c>
      <c r="AD756" s="23" t="n">
        <f aca="false">IFERROR(INDEX(PODACI_PRODAJA!M:M,MATCH($A756,PODACI_PRODAJA!$A:$A,0)),0)</f>
        <v>0</v>
      </c>
    </row>
    <row r="757" customFormat="false" ht="15" hidden="false" customHeight="false" outlineLevel="0" collapsed="false">
      <c r="A757" s="11" t="str">
        <f aca="false">PODACI_ZALIHE!A754</f>
        <v>16786</v>
      </c>
      <c r="B757" s="8" t="str">
        <f aca="false">PODACI_ZALIHE!B754</f>
        <v>AMELIA 120L HIDROMASAŽNA TUŠ KABINA 120x80x215cm (L)</v>
      </c>
      <c r="C757" s="9" t="str">
        <f aca="false">PODACI_ZALIHE!C754</f>
        <v>6163</v>
      </c>
      <c r="D757" s="8" t="str">
        <f aca="false">PODACI_ZALIHE!D754</f>
        <v>HANGZHOU TIANMEI INDUSTRY CO.,LTD</v>
      </c>
      <c r="E757" s="19" t="n">
        <f aca="false">IF(PODACI_ZALIHE!E754="","",PODACI_ZALIHE!E754)</f>
        <v>0</v>
      </c>
      <c r="F757" s="20" t="n">
        <f aca="false">PODACI_ZALIHE!F754</f>
        <v>0</v>
      </c>
      <c r="G757" s="19" t="n">
        <f aca="false">IF(E757="","",E757-F757)</f>
        <v>0</v>
      </c>
      <c r="H757" s="9" t="n">
        <f aca="false">PODACI_PRODAJA!N132</f>
        <v>3.13</v>
      </c>
      <c r="I757" s="21" t="n">
        <f aca="false">IF(H757&lt;=0,999,ROUND(F757/H757,1))</f>
        <v>0</v>
      </c>
      <c r="J757" s="9" t="n">
        <f aca="false">SUMIFS(ROBA_U_DOLASKU!$C$6:$C$95,ROBA_U_DOLASKU!$A$6:$A$95,A757,ROBA_U_DOLASKU!$H$6:$H$95,1)</f>
        <v>2.4</v>
      </c>
      <c r="K757" s="9" t="n">
        <f aca="false">SUMIFS(ROBA_U_DOLASKU!$B$6:$B$95,ROBA_U_DOLASKU!$A$6:$A$95,A757,ROBA_U_DOLASKU!$H$6:$H$95,1)</f>
        <v>20</v>
      </c>
      <c r="L757" s="9" t="n">
        <f aca="false">SUMIFS(ROBA_U_DOLASKU!$C$6:$C$95,ROBA_U_DOLASKU!$A$6:$A$95,A757,ROBA_U_DOLASKU!$H$6:$H$95,2)</f>
        <v>0</v>
      </c>
      <c r="M757" s="9" t="n">
        <f aca="false">SUMIFS(ROBA_U_DOLASKU!$B$6:$B$95,ROBA_U_DOLASKU!$A$6:$A$95,A757,ROBA_U_DOLASKU!$H$6:$H$95,2)</f>
        <v>0</v>
      </c>
      <c r="N757" s="9" t="n">
        <f aca="false">SUMIFS(ROBA_U_DOLASKU!$C$6:$C$95,ROBA_U_DOLASKU!$A$6:$A$95,A757,ROBA_U_DOLASKU!$H$6:$H$95,3)</f>
        <v>0</v>
      </c>
      <c r="O757" s="9" t="n">
        <f aca="false">SUMIFS(ROBA_U_DOLASKU!$B$6:$B$95,ROBA_U_DOLASKU!$A$6:$A$95,A757,ROBA_U_DOLASKU!$H$6:$H$95,3)</f>
        <v>0</v>
      </c>
      <c r="P757" s="9" t="n">
        <f aca="false">IF(H757&lt;=0,999,IF(O757&gt;0,ROUND((F757-H757*N757+K757+M757+O757)/H757,1),IF(M757&gt;0,ROUND((F757-H757*L757+K757+M757)/H757,1),IF(K757&gt;0,ROUND((F757-H757*J757+K757)/H757,1),I757))))</f>
        <v>4</v>
      </c>
      <c r="Q757" s="22" t="str">
        <f aca="false">IF(H757&lt;=0,"Nema prodaje",IF(AND(K757=0,M757=0,O757=0),IF(I757&lt;POSTAVKE!$B$6,"Naruči odmah","Sve u redu"),IF(F757-H757*J757&lt;0,"Rupa za ~"&amp;TEXT(I757,"0.0")&amp;" mj.",IF(AND(M757&gt;0,F757-H757*L757+K757&lt;0),"Rupa nakon 1. dolaska",IF(AND(O757&gt;0,F757-H757*N757+K757+M757&lt;0),"Rupa nakon 2. dolaska",IF(P757&lt;POSTAVKE!$B$6,"Količina nije dovoljna",IF(I757&gt;=POSTAVKE!$B$6,"Sve u redu","Stiže na vrijeme")))))))</f>
        <v>Rupa za ~0.0 mj.</v>
      </c>
      <c r="S757" s="23" t="n">
        <f aca="false">IFERROR(INDEX(PODACI_PRODAJA!B:B,MATCH($A757,PODACI_PRODAJA!$A:$A,0)),0)</f>
        <v>4</v>
      </c>
      <c r="T757" s="23" t="n">
        <f aca="false">IFERROR(INDEX(PODACI_PRODAJA!C:C,MATCH($A757,PODACI_PRODAJA!$A:$A,0)),0)</f>
        <v>2</v>
      </c>
      <c r="U757" s="23" t="n">
        <f aca="false">IFERROR(INDEX(PODACI_PRODAJA!D:D,MATCH($A757,PODACI_PRODAJA!$A:$A,0)),0)</f>
        <v>0</v>
      </c>
      <c r="V757" s="23" t="n">
        <f aca="false">IFERROR(INDEX(PODACI_PRODAJA!E:E,MATCH($A757,PODACI_PRODAJA!$A:$A,0)),0)</f>
        <v>8</v>
      </c>
      <c r="W757" s="23" t="n">
        <f aca="false">IFERROR(INDEX(PODACI_PRODAJA!F:F,MATCH($A757,PODACI_PRODAJA!$A:$A,0)),0)</f>
        <v>2</v>
      </c>
      <c r="X757" s="23" t="n">
        <f aca="false">IFERROR(INDEX(PODACI_PRODAJA!G:G,MATCH($A757,PODACI_PRODAJA!$A:$A,0)),0)</f>
        <v>7</v>
      </c>
      <c r="Y757" s="23" t="n">
        <f aca="false">IFERROR(INDEX(PODACI_PRODAJA!H:H,MATCH($A757,PODACI_PRODAJA!$A:$A,0)),0)</f>
        <v>2</v>
      </c>
      <c r="Z757" s="23" t="n">
        <f aca="false">IFERROR(INDEX(PODACI_PRODAJA!I:I,MATCH($A757,PODACI_PRODAJA!$A:$A,0)),0)</f>
        <v>0</v>
      </c>
      <c r="AA757" s="23" t="n">
        <f aca="false">IFERROR(INDEX(PODACI_PRODAJA!J:J,MATCH($A757,PODACI_PRODAJA!$A:$A,0)),0)</f>
        <v>0</v>
      </c>
      <c r="AB757" s="23" t="n">
        <f aca="false">IFERROR(INDEX(PODACI_PRODAJA!K:K,MATCH($A757,PODACI_PRODAJA!$A:$A,0)),0)</f>
        <v>0</v>
      </c>
      <c r="AC757" s="23" t="n">
        <f aca="false">IFERROR(INDEX(PODACI_PRODAJA!L:L,MATCH($A757,PODACI_PRODAJA!$A:$A,0)),0)</f>
        <v>0</v>
      </c>
      <c r="AD757" s="23" t="n">
        <f aca="false">IFERROR(INDEX(PODACI_PRODAJA!M:M,MATCH($A757,PODACI_PRODAJA!$A:$A,0)),0)</f>
        <v>0</v>
      </c>
    </row>
    <row r="758" customFormat="false" ht="15" hidden="false" customHeight="false" outlineLevel="0" collapsed="false">
      <c r="A758" s="11" t="str">
        <f aca="false">PODACI_ZALIHE!A755</f>
        <v>16851</v>
      </c>
      <c r="B758" s="8" t="str">
        <f aca="false">PODACI_ZALIHE!B755</f>
        <v>EVA 80 TUŠ KABINA 80x80x205 cm</v>
      </c>
      <c r="C758" s="9" t="str">
        <f aca="false">PODACI_ZALIHE!C755</f>
        <v>6163</v>
      </c>
      <c r="D758" s="8" t="str">
        <f aca="false">PODACI_ZALIHE!D755</f>
        <v>HANGZHOU TIANMEI INDUSTRY CO.,LTD</v>
      </c>
      <c r="E758" s="19" t="n">
        <f aca="false">IF(PODACI_ZALIHE!E755="","",PODACI_ZALIHE!E755)</f>
        <v>0</v>
      </c>
      <c r="F758" s="20" t="n">
        <f aca="false">PODACI_ZALIHE!F755</f>
        <v>0</v>
      </c>
      <c r="G758" s="19" t="n">
        <f aca="false">IF(E758="","",E758-F758)</f>
        <v>0</v>
      </c>
      <c r="H758" s="9" t="n">
        <f aca="false">PODACI_PRODAJA!N106</f>
        <v>10.25</v>
      </c>
      <c r="I758" s="21" t="n">
        <f aca="false">IF(H758&lt;=0,999,ROUND(F758/H758,1))</f>
        <v>0</v>
      </c>
      <c r="J758" s="9" t="n">
        <f aca="false">SUMIFS(ROBA_U_DOLASKU!$C$6:$C$95,ROBA_U_DOLASKU!$A$6:$A$95,A758,ROBA_U_DOLASKU!$H$6:$H$95,1)</f>
        <v>2.4</v>
      </c>
      <c r="K758" s="9" t="n">
        <f aca="false">SUMIFS(ROBA_U_DOLASKU!$B$6:$B$95,ROBA_U_DOLASKU!$A$6:$A$95,A758,ROBA_U_DOLASKU!$H$6:$H$95,1)</f>
        <v>30</v>
      </c>
      <c r="L758" s="9" t="n">
        <f aca="false">SUMIFS(ROBA_U_DOLASKU!$C$6:$C$95,ROBA_U_DOLASKU!$A$6:$A$95,A758,ROBA_U_DOLASKU!$H$6:$H$95,2)</f>
        <v>0</v>
      </c>
      <c r="M758" s="9" t="n">
        <f aca="false">SUMIFS(ROBA_U_DOLASKU!$B$6:$B$95,ROBA_U_DOLASKU!$A$6:$A$95,A758,ROBA_U_DOLASKU!$H$6:$H$95,2)</f>
        <v>0</v>
      </c>
      <c r="N758" s="9" t="n">
        <f aca="false">SUMIFS(ROBA_U_DOLASKU!$C$6:$C$95,ROBA_U_DOLASKU!$A$6:$A$95,A758,ROBA_U_DOLASKU!$H$6:$H$95,3)</f>
        <v>0</v>
      </c>
      <c r="O758" s="9" t="n">
        <f aca="false">SUMIFS(ROBA_U_DOLASKU!$B$6:$B$95,ROBA_U_DOLASKU!$A$6:$A$95,A758,ROBA_U_DOLASKU!$H$6:$H$95,3)</f>
        <v>0</v>
      </c>
      <c r="P758" s="9" t="n">
        <f aca="false">IF(H758&lt;=0,999,IF(O758&gt;0,ROUND((F758-H758*N758+K758+M758+O758)/H758,1),IF(M758&gt;0,ROUND((F758-H758*L758+K758+M758)/H758,1),IF(K758&gt;0,ROUND((F758-H758*J758+K758)/H758,1),I758))))</f>
        <v>0.5</v>
      </c>
      <c r="Q758" s="22" t="str">
        <f aca="false">IF(H758&lt;=0,"Nema prodaje",IF(AND(K758=0,M758=0,O758=0),IF(I758&lt;POSTAVKE!$B$6,"Naruči odmah","Sve u redu"),IF(F758-H758*J758&lt;0,"Rupa za ~"&amp;TEXT(I758,"0.0")&amp;" mj.",IF(AND(M758&gt;0,F758-H758*L758+K758&lt;0),"Rupa nakon 1. dolaska",IF(AND(O758&gt;0,F758-H758*N758+K758+M758&lt;0),"Rupa nakon 2. dolaska",IF(P758&lt;POSTAVKE!$B$6,"Količina nije dovoljna",IF(I758&gt;=POSTAVKE!$B$6,"Sve u redu","Stiže na vrijeme")))))))</f>
        <v>Rupa za ~0.0 mj.</v>
      </c>
      <c r="S758" s="23" t="n">
        <f aca="false">IFERROR(INDEX(PODACI_PRODAJA!B:B,MATCH($A758,PODACI_PRODAJA!$A:$A,0)),0)</f>
        <v>6</v>
      </c>
      <c r="T758" s="23" t="n">
        <f aca="false">IFERROR(INDEX(PODACI_PRODAJA!C:C,MATCH($A758,PODACI_PRODAJA!$A:$A,0)),0)</f>
        <v>0</v>
      </c>
      <c r="U758" s="23" t="n">
        <f aca="false">IFERROR(INDEX(PODACI_PRODAJA!D:D,MATCH($A758,PODACI_PRODAJA!$A:$A,0)),0)</f>
        <v>14</v>
      </c>
      <c r="V758" s="23" t="n">
        <f aca="false">IFERROR(INDEX(PODACI_PRODAJA!E:E,MATCH($A758,PODACI_PRODAJA!$A:$A,0)),0)</f>
        <v>7</v>
      </c>
      <c r="W758" s="23" t="n">
        <f aca="false">IFERROR(INDEX(PODACI_PRODAJA!F:F,MATCH($A758,PODACI_PRODAJA!$A:$A,0)),0)</f>
        <v>20</v>
      </c>
      <c r="X758" s="23" t="n">
        <f aca="false">IFERROR(INDEX(PODACI_PRODAJA!G:G,MATCH($A758,PODACI_PRODAJA!$A:$A,0)),0)</f>
        <v>10</v>
      </c>
      <c r="Y758" s="23" t="n">
        <f aca="false">IFERROR(INDEX(PODACI_PRODAJA!H:H,MATCH($A758,PODACI_PRODAJA!$A:$A,0)),0)</f>
        <v>15</v>
      </c>
      <c r="Z758" s="23" t="n">
        <f aca="false">IFERROR(INDEX(PODACI_PRODAJA!I:I,MATCH($A758,PODACI_PRODAJA!$A:$A,0)),0)</f>
        <v>10</v>
      </c>
      <c r="AA758" s="23" t="n">
        <f aca="false">IFERROR(INDEX(PODACI_PRODAJA!J:J,MATCH($A758,PODACI_PRODAJA!$A:$A,0)),0)</f>
        <v>0</v>
      </c>
      <c r="AB758" s="23" t="n">
        <f aca="false">IFERROR(INDEX(PODACI_PRODAJA!K:K,MATCH($A758,PODACI_PRODAJA!$A:$A,0)),0)</f>
        <v>0</v>
      </c>
      <c r="AC758" s="23" t="n">
        <f aca="false">IFERROR(INDEX(PODACI_PRODAJA!L:L,MATCH($A758,PODACI_PRODAJA!$A:$A,0)),0)</f>
        <v>0</v>
      </c>
      <c r="AD758" s="23" t="n">
        <f aca="false">IFERROR(INDEX(PODACI_PRODAJA!M:M,MATCH($A758,PODACI_PRODAJA!$A:$A,0)),0)</f>
        <v>0</v>
      </c>
    </row>
    <row r="759" customFormat="false" ht="15" hidden="false" customHeight="false" outlineLevel="0" collapsed="false">
      <c r="A759" s="11" t="str">
        <f aca="false">PODACI_ZALIHE!A756</f>
        <v>16853</v>
      </c>
      <c r="B759" s="8" t="str">
        <f aca="false">PODACI_ZALIHE!B756</f>
        <v>MONDO VISEĆA ŠKOLJKA S DASKOM  RIMLESS 490x370x370 mm</v>
      </c>
      <c r="C759" s="9" t="str">
        <f aca="false">PODACI_ZALIHE!C756</f>
        <v>6376</v>
      </c>
      <c r="D759" s="8" t="str">
        <f aca="false">PODACI_ZALIHE!D756</f>
        <v>CHAOZHOU CHAOAN YALAIER CERAMICS CO.,LTD</v>
      </c>
      <c r="E759" s="19" t="n">
        <f aca="false">IF(PODACI_ZALIHE!E756="","",PODACI_ZALIHE!E756)</f>
        <v>0</v>
      </c>
      <c r="F759" s="20" t="n">
        <f aca="false">PODACI_ZALIHE!F756</f>
        <v>0</v>
      </c>
      <c r="G759" s="19" t="n">
        <f aca="false">IF(E759="","",E759-F759)</f>
        <v>0</v>
      </c>
      <c r="H759" s="9" t="n">
        <f aca="false">PODACI_PRODAJA!N32</f>
        <v>13</v>
      </c>
      <c r="I759" s="21" t="n">
        <f aca="false">IF(H759&lt;=0,999,ROUND(F759/H759,1))</f>
        <v>0</v>
      </c>
      <c r="J759" s="9" t="n">
        <f aca="false">SUMIFS(ROBA_U_DOLASKU!$C$6:$C$95,ROBA_U_DOLASKU!$A$6:$A$95,A759,ROBA_U_DOLASKU!$H$6:$H$95,1)</f>
        <v>0</v>
      </c>
      <c r="K759" s="9" t="n">
        <f aca="false">SUMIFS(ROBA_U_DOLASKU!$B$6:$B$95,ROBA_U_DOLASKU!$A$6:$A$95,A759,ROBA_U_DOLASKU!$H$6:$H$95,1)</f>
        <v>0</v>
      </c>
      <c r="L759" s="9" t="n">
        <f aca="false">SUMIFS(ROBA_U_DOLASKU!$C$6:$C$95,ROBA_U_DOLASKU!$A$6:$A$95,A759,ROBA_U_DOLASKU!$H$6:$H$95,2)</f>
        <v>0</v>
      </c>
      <c r="M759" s="9" t="n">
        <f aca="false">SUMIFS(ROBA_U_DOLASKU!$B$6:$B$95,ROBA_U_DOLASKU!$A$6:$A$95,A759,ROBA_U_DOLASKU!$H$6:$H$95,2)</f>
        <v>0</v>
      </c>
      <c r="N759" s="9" t="n">
        <f aca="false">SUMIFS(ROBA_U_DOLASKU!$C$6:$C$95,ROBA_U_DOLASKU!$A$6:$A$95,A759,ROBA_U_DOLASKU!$H$6:$H$95,3)</f>
        <v>0</v>
      </c>
      <c r="O759" s="9" t="n">
        <f aca="false">SUMIFS(ROBA_U_DOLASKU!$B$6:$B$95,ROBA_U_DOLASKU!$A$6:$A$95,A759,ROBA_U_DOLASKU!$H$6:$H$95,3)</f>
        <v>0</v>
      </c>
      <c r="P759" s="9" t="n">
        <f aca="false">IF(H759&lt;=0,999,IF(O759&gt;0,ROUND((F759-H759*N759+K759+M759+O759)/H759,1),IF(M759&gt;0,ROUND((F759-H759*L759+K759+M759)/H759,1),IF(K759&gt;0,ROUND((F759-H759*J759+K759)/H759,1),I759))))</f>
        <v>0</v>
      </c>
      <c r="Q759" s="22" t="str">
        <f aca="false">IF(H759&lt;=0,"Nema prodaje",IF(AND(K759=0,M759=0,O759=0),IF(I759&lt;POSTAVKE!$B$6,"Naruči odmah","Sve u redu"),IF(F759-H759*J759&lt;0,"Rupa za ~"&amp;TEXT(I759,"0.0")&amp;" mj.",IF(AND(M759&gt;0,F759-H759*L759+K759&lt;0),"Rupa nakon 1. dolaska",IF(AND(O759&gt;0,F759-H759*N759+K759+M759&lt;0),"Rupa nakon 2. dolaska",IF(P759&lt;POSTAVKE!$B$6,"Količina nije dovoljna",IF(I759&gt;=POSTAVKE!$B$6,"Sve u redu","Stiže na vrijeme")))))))</f>
        <v>Naruči odmah</v>
      </c>
      <c r="S759" s="23" t="n">
        <f aca="false">IFERROR(INDEX(PODACI_PRODAJA!B:B,MATCH($A759,PODACI_PRODAJA!$A:$A,0)),0)</f>
        <v>29</v>
      </c>
      <c r="T759" s="23" t="n">
        <f aca="false">IFERROR(INDEX(PODACI_PRODAJA!C:C,MATCH($A759,PODACI_PRODAJA!$A:$A,0)),0)</f>
        <v>23</v>
      </c>
      <c r="U759" s="23" t="n">
        <f aca="false">IFERROR(INDEX(PODACI_PRODAJA!D:D,MATCH($A759,PODACI_PRODAJA!$A:$A,0)),0)</f>
        <v>7</v>
      </c>
      <c r="V759" s="23" t="n">
        <f aca="false">IFERROR(INDEX(PODACI_PRODAJA!E:E,MATCH($A759,PODACI_PRODAJA!$A:$A,0)),0)</f>
        <v>15</v>
      </c>
      <c r="W759" s="23" t="n">
        <f aca="false">IFERROR(INDEX(PODACI_PRODAJA!F:F,MATCH($A759,PODACI_PRODAJA!$A:$A,0)),0)</f>
        <v>5</v>
      </c>
      <c r="X759" s="23" t="n">
        <f aca="false">IFERROR(INDEX(PODACI_PRODAJA!G:G,MATCH($A759,PODACI_PRODAJA!$A:$A,0)),0)</f>
        <v>20</v>
      </c>
      <c r="Y759" s="23" t="n">
        <f aca="false">IFERROR(INDEX(PODACI_PRODAJA!H:H,MATCH($A759,PODACI_PRODAJA!$A:$A,0)),0)</f>
        <v>5</v>
      </c>
      <c r="Z759" s="23" t="n">
        <f aca="false">IFERROR(INDEX(PODACI_PRODAJA!I:I,MATCH($A759,PODACI_PRODAJA!$A:$A,0)),0)</f>
        <v>0</v>
      </c>
      <c r="AA759" s="23" t="n">
        <f aca="false">IFERROR(INDEX(PODACI_PRODAJA!J:J,MATCH($A759,PODACI_PRODAJA!$A:$A,0)),0)</f>
        <v>0</v>
      </c>
      <c r="AB759" s="23" t="n">
        <f aca="false">IFERROR(INDEX(PODACI_PRODAJA!K:K,MATCH($A759,PODACI_PRODAJA!$A:$A,0)),0)</f>
        <v>0</v>
      </c>
      <c r="AC759" s="23" t="n">
        <f aca="false">IFERROR(INDEX(PODACI_PRODAJA!L:L,MATCH($A759,PODACI_PRODAJA!$A:$A,0)),0)</f>
        <v>0</v>
      </c>
      <c r="AD759" s="23" t="n">
        <f aca="false">IFERROR(INDEX(PODACI_PRODAJA!M:M,MATCH($A759,PODACI_PRODAJA!$A:$A,0)),0)</f>
        <v>0</v>
      </c>
    </row>
    <row r="760" customFormat="false" ht="15" hidden="false" customHeight="false" outlineLevel="0" collapsed="false">
      <c r="A760" s="11" t="str">
        <f aca="false">PODACI_ZALIHE!A757</f>
        <v>16859</v>
      </c>
      <c r="B760" s="8" t="str">
        <f aca="false">PODACI_ZALIHE!B757</f>
        <v>EVA 90 BLACK POLUKRUŽNA TUŠ KABINA 90x90x205 cm</v>
      </c>
      <c r="C760" s="9" t="str">
        <f aca="false">PODACI_ZALIHE!C757</f>
        <v>6560</v>
      </c>
      <c r="D760" s="8" t="str">
        <f aca="false">PODACI_ZALIHE!D757</f>
        <v>ANHUI MEISHENG BATHROOM TECHNOLOGY CO., LTD</v>
      </c>
      <c r="E760" s="19" t="n">
        <f aca="false">IF(PODACI_ZALIHE!E757="","",PODACI_ZALIHE!E757)</f>
        <v>0</v>
      </c>
      <c r="F760" s="20" t="n">
        <f aca="false">PODACI_ZALIHE!F757</f>
        <v>0</v>
      </c>
      <c r="G760" s="19" t="n">
        <f aca="false">IF(E760="","",E760-F760)</f>
        <v>0</v>
      </c>
      <c r="H760" s="9" t="n">
        <f aca="false">PODACI_PRODAJA!N158</f>
        <v>12.25</v>
      </c>
      <c r="I760" s="21" t="n">
        <f aca="false">IF(H760&lt;=0,999,ROUND(F760/H760,1))</f>
        <v>0</v>
      </c>
      <c r="J760" s="9" t="n">
        <f aca="false">SUMIFS(ROBA_U_DOLASKU!$C$6:$C$95,ROBA_U_DOLASKU!$A$6:$A$95,A760,ROBA_U_DOLASKU!$H$6:$H$95,1)</f>
        <v>0</v>
      </c>
      <c r="K760" s="9" t="n">
        <f aca="false">SUMIFS(ROBA_U_DOLASKU!$B$6:$B$95,ROBA_U_DOLASKU!$A$6:$A$95,A760,ROBA_U_DOLASKU!$H$6:$H$95,1)</f>
        <v>0</v>
      </c>
      <c r="L760" s="9" t="n">
        <f aca="false">SUMIFS(ROBA_U_DOLASKU!$C$6:$C$95,ROBA_U_DOLASKU!$A$6:$A$95,A760,ROBA_U_DOLASKU!$H$6:$H$95,2)</f>
        <v>0</v>
      </c>
      <c r="M760" s="9" t="n">
        <f aca="false">SUMIFS(ROBA_U_DOLASKU!$B$6:$B$95,ROBA_U_DOLASKU!$A$6:$A$95,A760,ROBA_U_DOLASKU!$H$6:$H$95,2)</f>
        <v>0</v>
      </c>
      <c r="N760" s="9" t="n">
        <f aca="false">SUMIFS(ROBA_U_DOLASKU!$C$6:$C$95,ROBA_U_DOLASKU!$A$6:$A$95,A760,ROBA_U_DOLASKU!$H$6:$H$95,3)</f>
        <v>0</v>
      </c>
      <c r="O760" s="9" t="n">
        <f aca="false">SUMIFS(ROBA_U_DOLASKU!$B$6:$B$95,ROBA_U_DOLASKU!$A$6:$A$95,A760,ROBA_U_DOLASKU!$H$6:$H$95,3)</f>
        <v>0</v>
      </c>
      <c r="P760" s="9" t="n">
        <f aca="false">IF(H760&lt;=0,999,IF(O760&gt;0,ROUND((F760-H760*N760+K760+M760+O760)/H760,1),IF(M760&gt;0,ROUND((F760-H760*L760+K760+M760)/H760,1),IF(K760&gt;0,ROUND((F760-H760*J760+K760)/H760,1),I760))))</f>
        <v>0</v>
      </c>
      <c r="Q760" s="22" t="str">
        <f aca="false">IF(H760&lt;=0,"Nema prodaje",IF(AND(K760=0,M760=0,O760=0),IF(I760&lt;POSTAVKE!$B$6,"Naruči odmah","Sve u redu"),IF(F760-H760*J760&lt;0,"Rupa za ~"&amp;TEXT(I760,"0.0")&amp;" mj.",IF(AND(M760&gt;0,F760-H760*L760+K760&lt;0),"Rupa nakon 1. dolaska",IF(AND(O760&gt;0,F760-H760*N760+K760+M760&lt;0),"Rupa nakon 2. dolaska",IF(P760&lt;POSTAVKE!$B$6,"Količina nije dovoljna",IF(I760&gt;=POSTAVKE!$B$6,"Sve u redu","Stiže na vrijeme")))))))</f>
        <v>Naruči odmah</v>
      </c>
      <c r="S760" s="23" t="n">
        <f aca="false">IFERROR(INDEX(PODACI_PRODAJA!B:B,MATCH($A760,PODACI_PRODAJA!$A:$A,0)),0)</f>
        <v>3</v>
      </c>
      <c r="T760" s="23" t="n">
        <f aca="false">IFERROR(INDEX(PODACI_PRODAJA!C:C,MATCH($A760,PODACI_PRODAJA!$A:$A,0)),0)</f>
        <v>6</v>
      </c>
      <c r="U760" s="23" t="n">
        <f aca="false">IFERROR(INDEX(PODACI_PRODAJA!D:D,MATCH($A760,PODACI_PRODAJA!$A:$A,0)),0)</f>
        <v>7</v>
      </c>
      <c r="V760" s="23" t="n">
        <f aca="false">IFERROR(INDEX(PODACI_PRODAJA!E:E,MATCH($A760,PODACI_PRODAJA!$A:$A,0)),0)</f>
        <v>10</v>
      </c>
      <c r="W760" s="23" t="n">
        <f aca="false">IFERROR(INDEX(PODACI_PRODAJA!F:F,MATCH($A760,PODACI_PRODAJA!$A:$A,0)),0)</f>
        <v>32</v>
      </c>
      <c r="X760" s="23" t="n">
        <f aca="false">IFERROR(INDEX(PODACI_PRODAJA!G:G,MATCH($A760,PODACI_PRODAJA!$A:$A,0)),0)</f>
        <v>20</v>
      </c>
      <c r="Y760" s="23" t="n">
        <f aca="false">IFERROR(INDEX(PODACI_PRODAJA!H:H,MATCH($A760,PODACI_PRODAJA!$A:$A,0)),0)</f>
        <v>14</v>
      </c>
      <c r="Z760" s="23" t="n">
        <f aca="false">IFERROR(INDEX(PODACI_PRODAJA!I:I,MATCH($A760,PODACI_PRODAJA!$A:$A,0)),0)</f>
        <v>6</v>
      </c>
      <c r="AA760" s="23" t="n">
        <f aca="false">IFERROR(INDEX(PODACI_PRODAJA!J:J,MATCH($A760,PODACI_PRODAJA!$A:$A,0)),0)</f>
        <v>0</v>
      </c>
      <c r="AB760" s="23" t="n">
        <f aca="false">IFERROR(INDEX(PODACI_PRODAJA!K:K,MATCH($A760,PODACI_PRODAJA!$A:$A,0)),0)</f>
        <v>0</v>
      </c>
      <c r="AC760" s="23" t="n">
        <f aca="false">IFERROR(INDEX(PODACI_PRODAJA!L:L,MATCH($A760,PODACI_PRODAJA!$A:$A,0)),0)</f>
        <v>0</v>
      </c>
      <c r="AD760" s="23" t="n">
        <f aca="false">IFERROR(INDEX(PODACI_PRODAJA!M:M,MATCH($A760,PODACI_PRODAJA!$A:$A,0)),0)</f>
        <v>0</v>
      </c>
    </row>
    <row r="761" customFormat="false" ht="15" hidden="false" customHeight="false" outlineLevel="0" collapsed="false">
      <c r="A761" s="11" t="str">
        <f aca="false">PODACI_ZALIHE!A758</f>
        <v>16940</v>
      </c>
      <c r="B761" s="8" t="str">
        <f aca="false">PODACI_ZALIHE!B758</f>
        <v>VIS HIDROMASAŽNI BAZEN 200x200x90 cm</v>
      </c>
      <c r="C761" s="9" t="n">
        <f aca="false">PODACI_ZALIHE!C758</f>
        <v>0</v>
      </c>
      <c r="D761" s="8" t="n">
        <f aca="false">PODACI_ZALIHE!D758</f>
        <v>0</v>
      </c>
      <c r="E761" s="19" t="n">
        <f aca="false">IF(PODACI_ZALIHE!E758="","",PODACI_ZALIHE!E758)</f>
        <v>0</v>
      </c>
      <c r="F761" s="20" t="n">
        <f aca="false">PODACI_ZALIHE!F758</f>
        <v>0</v>
      </c>
      <c r="G761" s="19" t="n">
        <f aca="false">IF(E761="","",E761-F761)</f>
        <v>0</v>
      </c>
      <c r="H761" s="9" t="n">
        <f aca="false">PODACI_PRODAJA!N581</f>
        <v>0.38</v>
      </c>
      <c r="I761" s="21" t="n">
        <f aca="false">IF(H761&lt;=0,999,ROUND(F761/H761,1))</f>
        <v>0</v>
      </c>
      <c r="J761" s="9" t="n">
        <f aca="false">SUMIFS(ROBA_U_DOLASKU!$C$6:$C$95,ROBA_U_DOLASKU!$A$6:$A$95,A761,ROBA_U_DOLASKU!$H$6:$H$95,1)</f>
        <v>0</v>
      </c>
      <c r="K761" s="9" t="n">
        <f aca="false">SUMIFS(ROBA_U_DOLASKU!$B$6:$B$95,ROBA_U_DOLASKU!$A$6:$A$95,A761,ROBA_U_DOLASKU!$H$6:$H$95,1)</f>
        <v>0</v>
      </c>
      <c r="L761" s="9" t="n">
        <f aca="false">SUMIFS(ROBA_U_DOLASKU!$C$6:$C$95,ROBA_U_DOLASKU!$A$6:$A$95,A761,ROBA_U_DOLASKU!$H$6:$H$95,2)</f>
        <v>0</v>
      </c>
      <c r="M761" s="9" t="n">
        <f aca="false">SUMIFS(ROBA_U_DOLASKU!$B$6:$B$95,ROBA_U_DOLASKU!$A$6:$A$95,A761,ROBA_U_DOLASKU!$H$6:$H$95,2)</f>
        <v>0</v>
      </c>
      <c r="N761" s="9" t="n">
        <f aca="false">SUMIFS(ROBA_U_DOLASKU!$C$6:$C$95,ROBA_U_DOLASKU!$A$6:$A$95,A761,ROBA_U_DOLASKU!$H$6:$H$95,3)</f>
        <v>0</v>
      </c>
      <c r="O761" s="9" t="n">
        <f aca="false">SUMIFS(ROBA_U_DOLASKU!$B$6:$B$95,ROBA_U_DOLASKU!$A$6:$A$95,A761,ROBA_U_DOLASKU!$H$6:$H$95,3)</f>
        <v>0</v>
      </c>
      <c r="P761" s="9" t="n">
        <f aca="false">IF(H761&lt;=0,999,IF(O761&gt;0,ROUND((F761-H761*N761+K761+M761+O761)/H761,1),IF(M761&gt;0,ROUND((F761-H761*L761+K761+M761)/H761,1),IF(K761&gt;0,ROUND((F761-H761*J761+K761)/H761,1),I761))))</f>
        <v>0</v>
      </c>
      <c r="Q761" s="22" t="str">
        <f aca="false">IF(H761&lt;=0,"Nema prodaje",IF(AND(K761=0,M761=0,O761=0),IF(I761&lt;POSTAVKE!$B$6,"Naruči odmah","Sve u redu"),IF(F761-H761*J761&lt;0,"Rupa za ~"&amp;TEXT(I761,"0.0")&amp;" mj.",IF(AND(M761&gt;0,F761-H761*L761+K761&lt;0),"Rupa nakon 1. dolaska",IF(AND(O761&gt;0,F761-H761*N761+K761+M761&lt;0),"Rupa nakon 2. dolaska",IF(P761&lt;POSTAVKE!$B$6,"Količina nije dovoljna",IF(I761&gt;=POSTAVKE!$B$6,"Sve u redu","Stiže na vrijeme")))))))</f>
        <v>Naruči odmah</v>
      </c>
      <c r="S761" s="23" t="n">
        <f aca="false">IFERROR(INDEX(PODACI_PRODAJA!B:B,MATCH($A761,PODACI_PRODAJA!$A:$A,0)),0)</f>
        <v>0</v>
      </c>
      <c r="T761" s="23" t="n">
        <f aca="false">IFERROR(INDEX(PODACI_PRODAJA!C:C,MATCH($A761,PODACI_PRODAJA!$A:$A,0)),0)</f>
        <v>2</v>
      </c>
      <c r="U761" s="23" t="n">
        <f aca="false">IFERROR(INDEX(PODACI_PRODAJA!D:D,MATCH($A761,PODACI_PRODAJA!$A:$A,0)),0)</f>
        <v>1</v>
      </c>
      <c r="V761" s="23" t="n">
        <f aca="false">IFERROR(INDEX(PODACI_PRODAJA!E:E,MATCH($A761,PODACI_PRODAJA!$A:$A,0)),0)</f>
        <v>0</v>
      </c>
      <c r="W761" s="23" t="n">
        <f aca="false">IFERROR(INDEX(PODACI_PRODAJA!F:F,MATCH($A761,PODACI_PRODAJA!$A:$A,0)),0)</f>
        <v>0</v>
      </c>
      <c r="X761" s="23" t="n">
        <f aca="false">IFERROR(INDEX(PODACI_PRODAJA!G:G,MATCH($A761,PODACI_PRODAJA!$A:$A,0)),0)</f>
        <v>0</v>
      </c>
      <c r="Y761" s="23" t="n">
        <f aca="false">IFERROR(INDEX(PODACI_PRODAJA!H:H,MATCH($A761,PODACI_PRODAJA!$A:$A,0)),0)</f>
        <v>0</v>
      </c>
      <c r="Z761" s="23" t="n">
        <f aca="false">IFERROR(INDEX(PODACI_PRODAJA!I:I,MATCH($A761,PODACI_PRODAJA!$A:$A,0)),0)</f>
        <v>0</v>
      </c>
      <c r="AA761" s="23" t="n">
        <f aca="false">IFERROR(INDEX(PODACI_PRODAJA!J:J,MATCH($A761,PODACI_PRODAJA!$A:$A,0)),0)</f>
        <v>0</v>
      </c>
      <c r="AB761" s="23" t="n">
        <f aca="false">IFERROR(INDEX(PODACI_PRODAJA!K:K,MATCH($A761,PODACI_PRODAJA!$A:$A,0)),0)</f>
        <v>0</v>
      </c>
      <c r="AC761" s="23" t="n">
        <f aca="false">IFERROR(INDEX(PODACI_PRODAJA!L:L,MATCH($A761,PODACI_PRODAJA!$A:$A,0)),0)</f>
        <v>0</v>
      </c>
      <c r="AD761" s="23" t="n">
        <f aca="false">IFERROR(INDEX(PODACI_PRODAJA!M:M,MATCH($A761,PODACI_PRODAJA!$A:$A,0)),0)</f>
        <v>0</v>
      </c>
    </row>
    <row r="762" customFormat="false" ht="15" hidden="false" customHeight="false" outlineLevel="0" collapsed="false">
      <c r="A762" s="11" t="str">
        <f aca="false">PODACI_ZALIHE!A759</f>
        <v>16972</v>
      </c>
      <c r="B762" s="8" t="str">
        <f aca="false">PODACI_ZALIHE!B759</f>
        <v>TK GRANADA 80 POLUKRUŽNA TUŠ KABINA 80x80x195 cm</v>
      </c>
      <c r="C762" s="9" t="str">
        <f aca="false">PODACI_ZALIHE!C759</f>
        <v>4328</v>
      </c>
      <c r="D762" s="8" t="str">
        <f aca="false">PODACI_ZALIHE!D759</f>
        <v>HANGZHOU DUHUI IMPORT AND EXPORT CO.,LTD</v>
      </c>
      <c r="E762" s="19" t="n">
        <f aca="false">IF(PODACI_ZALIHE!E759="","",PODACI_ZALIHE!E759)</f>
        <v>0</v>
      </c>
      <c r="F762" s="20" t="n">
        <f aca="false">PODACI_ZALIHE!F759</f>
        <v>0</v>
      </c>
      <c r="G762" s="19" t="n">
        <f aca="false">IF(E762="","",E762-F762)</f>
        <v>0</v>
      </c>
      <c r="H762" s="9" t="n">
        <f aca="false">PODACI_PRODAJA!N585</f>
        <v>1.13</v>
      </c>
      <c r="I762" s="21" t="n">
        <f aca="false">IF(H762&lt;=0,999,ROUND(F762/H762,1))</f>
        <v>0</v>
      </c>
      <c r="J762" s="9" t="n">
        <f aca="false">SUMIFS(ROBA_U_DOLASKU!$C$6:$C$95,ROBA_U_DOLASKU!$A$6:$A$95,A762,ROBA_U_DOLASKU!$H$6:$H$95,1)</f>
        <v>0</v>
      </c>
      <c r="K762" s="9" t="n">
        <f aca="false">SUMIFS(ROBA_U_DOLASKU!$B$6:$B$95,ROBA_U_DOLASKU!$A$6:$A$95,A762,ROBA_U_DOLASKU!$H$6:$H$95,1)</f>
        <v>0</v>
      </c>
      <c r="L762" s="9" t="n">
        <f aca="false">SUMIFS(ROBA_U_DOLASKU!$C$6:$C$95,ROBA_U_DOLASKU!$A$6:$A$95,A762,ROBA_U_DOLASKU!$H$6:$H$95,2)</f>
        <v>0</v>
      </c>
      <c r="M762" s="9" t="n">
        <f aca="false">SUMIFS(ROBA_U_DOLASKU!$B$6:$B$95,ROBA_U_DOLASKU!$A$6:$A$95,A762,ROBA_U_DOLASKU!$H$6:$H$95,2)</f>
        <v>0</v>
      </c>
      <c r="N762" s="9" t="n">
        <f aca="false">SUMIFS(ROBA_U_DOLASKU!$C$6:$C$95,ROBA_U_DOLASKU!$A$6:$A$95,A762,ROBA_U_DOLASKU!$H$6:$H$95,3)</f>
        <v>0</v>
      </c>
      <c r="O762" s="9" t="n">
        <f aca="false">SUMIFS(ROBA_U_DOLASKU!$B$6:$B$95,ROBA_U_DOLASKU!$A$6:$A$95,A762,ROBA_U_DOLASKU!$H$6:$H$95,3)</f>
        <v>0</v>
      </c>
      <c r="P762" s="9" t="n">
        <f aca="false">IF(H762&lt;=0,999,IF(O762&gt;0,ROUND((F762-H762*N762+K762+M762+O762)/H762,1),IF(M762&gt;0,ROUND((F762-H762*L762+K762+M762)/H762,1),IF(K762&gt;0,ROUND((F762-H762*J762+K762)/H762,1),I762))))</f>
        <v>0</v>
      </c>
      <c r="Q762" s="22" t="str">
        <f aca="false">IF(H762&lt;=0,"Nema prodaje",IF(AND(K762=0,M762=0,O762=0),IF(I762&lt;POSTAVKE!$B$6,"Naruči odmah","Sve u redu"),IF(F762-H762*J762&lt;0,"Rupa za ~"&amp;TEXT(I762,"0.0")&amp;" mj.",IF(AND(M762&gt;0,F762-H762*L762+K762&lt;0),"Rupa nakon 1. dolaska",IF(AND(O762&gt;0,F762-H762*N762+K762+M762&lt;0),"Rupa nakon 2. dolaska",IF(P762&lt;POSTAVKE!$B$6,"Količina nije dovoljna",IF(I762&gt;=POSTAVKE!$B$6,"Sve u redu","Stiže na vrijeme")))))))</f>
        <v>Naruči odmah</v>
      </c>
      <c r="S762" s="23" t="n">
        <f aca="false">IFERROR(INDEX(PODACI_PRODAJA!B:B,MATCH($A762,PODACI_PRODAJA!$A:$A,0)),0)</f>
        <v>0</v>
      </c>
      <c r="T762" s="23" t="n">
        <f aca="false">IFERROR(INDEX(PODACI_PRODAJA!C:C,MATCH($A762,PODACI_PRODAJA!$A:$A,0)),0)</f>
        <v>3</v>
      </c>
      <c r="U762" s="23" t="n">
        <f aca="false">IFERROR(INDEX(PODACI_PRODAJA!D:D,MATCH($A762,PODACI_PRODAJA!$A:$A,0)),0)</f>
        <v>4</v>
      </c>
      <c r="V762" s="23" t="n">
        <f aca="false">IFERROR(INDEX(PODACI_PRODAJA!E:E,MATCH($A762,PODACI_PRODAJA!$A:$A,0)),0)</f>
        <v>0</v>
      </c>
      <c r="W762" s="23" t="n">
        <f aca="false">IFERROR(INDEX(PODACI_PRODAJA!F:F,MATCH($A762,PODACI_PRODAJA!$A:$A,0)),0)</f>
        <v>0</v>
      </c>
      <c r="X762" s="23" t="n">
        <f aca="false">IFERROR(INDEX(PODACI_PRODAJA!G:G,MATCH($A762,PODACI_PRODAJA!$A:$A,0)),0)</f>
        <v>1</v>
      </c>
      <c r="Y762" s="23" t="n">
        <f aca="false">IFERROR(INDEX(PODACI_PRODAJA!H:H,MATCH($A762,PODACI_PRODAJA!$A:$A,0)),0)</f>
        <v>1</v>
      </c>
      <c r="Z762" s="23" t="n">
        <f aca="false">IFERROR(INDEX(PODACI_PRODAJA!I:I,MATCH($A762,PODACI_PRODAJA!$A:$A,0)),0)</f>
        <v>0</v>
      </c>
      <c r="AA762" s="23" t="n">
        <f aca="false">IFERROR(INDEX(PODACI_PRODAJA!J:J,MATCH($A762,PODACI_PRODAJA!$A:$A,0)),0)</f>
        <v>0</v>
      </c>
      <c r="AB762" s="23" t="n">
        <f aca="false">IFERROR(INDEX(PODACI_PRODAJA!K:K,MATCH($A762,PODACI_PRODAJA!$A:$A,0)),0)</f>
        <v>0</v>
      </c>
      <c r="AC762" s="23" t="n">
        <f aca="false">IFERROR(INDEX(PODACI_PRODAJA!L:L,MATCH($A762,PODACI_PRODAJA!$A:$A,0)),0)</f>
        <v>0</v>
      </c>
      <c r="AD762" s="23" t="n">
        <f aca="false">IFERROR(INDEX(PODACI_PRODAJA!M:M,MATCH($A762,PODACI_PRODAJA!$A:$A,0)),0)</f>
        <v>0</v>
      </c>
    </row>
    <row r="763" customFormat="false" ht="15" hidden="false" customHeight="false" outlineLevel="0" collapsed="false">
      <c r="A763" s="11" t="str">
        <f aca="false">PODACI_ZALIHE!A760</f>
        <v>17182</v>
      </c>
      <c r="B763" s="8" t="str">
        <f aca="false">PODACI_ZALIHE!B760</f>
        <v>NERO KUPAONSKA KUKICA ZA TRI RUČNIKA - CRNA</v>
      </c>
      <c r="C763" s="9" t="str">
        <f aca="false">PODACI_ZALIHE!C760</f>
        <v>6458</v>
      </c>
      <c r="D763" s="8" t="str">
        <f aca="false">PODACI_ZALIHE!D760</f>
        <v>BOJIA TRADING LIMITED</v>
      </c>
      <c r="E763" s="19" t="n">
        <f aca="false">IF(PODACI_ZALIHE!E760="","",PODACI_ZALIHE!E760)</f>
        <v>0</v>
      </c>
      <c r="F763" s="20" t="n">
        <f aca="false">PODACI_ZALIHE!F760</f>
        <v>0</v>
      </c>
      <c r="G763" s="19" t="n">
        <f aca="false">IF(E763="","",E763-F763)</f>
        <v>0</v>
      </c>
      <c r="H763" s="9" t="n">
        <f aca="false">PODACI_PRODAJA!N264</f>
        <v>0.13</v>
      </c>
      <c r="I763" s="21" t="n">
        <f aca="false">IF(H763&lt;=0,999,ROUND(F763/H763,1))</f>
        <v>0</v>
      </c>
      <c r="J763" s="9" t="n">
        <f aca="false">SUMIFS(ROBA_U_DOLASKU!$C$6:$C$95,ROBA_U_DOLASKU!$A$6:$A$95,A763,ROBA_U_DOLASKU!$H$6:$H$95,1)</f>
        <v>0</v>
      </c>
      <c r="K763" s="9" t="n">
        <f aca="false">SUMIFS(ROBA_U_DOLASKU!$B$6:$B$95,ROBA_U_DOLASKU!$A$6:$A$95,A763,ROBA_U_DOLASKU!$H$6:$H$95,1)</f>
        <v>0</v>
      </c>
      <c r="L763" s="9" t="n">
        <f aca="false">SUMIFS(ROBA_U_DOLASKU!$C$6:$C$95,ROBA_U_DOLASKU!$A$6:$A$95,A763,ROBA_U_DOLASKU!$H$6:$H$95,2)</f>
        <v>0</v>
      </c>
      <c r="M763" s="9" t="n">
        <f aca="false">SUMIFS(ROBA_U_DOLASKU!$B$6:$B$95,ROBA_U_DOLASKU!$A$6:$A$95,A763,ROBA_U_DOLASKU!$H$6:$H$95,2)</f>
        <v>0</v>
      </c>
      <c r="N763" s="9" t="n">
        <f aca="false">SUMIFS(ROBA_U_DOLASKU!$C$6:$C$95,ROBA_U_DOLASKU!$A$6:$A$95,A763,ROBA_U_DOLASKU!$H$6:$H$95,3)</f>
        <v>0</v>
      </c>
      <c r="O763" s="9" t="n">
        <f aca="false">SUMIFS(ROBA_U_DOLASKU!$B$6:$B$95,ROBA_U_DOLASKU!$A$6:$A$95,A763,ROBA_U_DOLASKU!$H$6:$H$95,3)</f>
        <v>0</v>
      </c>
      <c r="P763" s="9" t="n">
        <f aca="false">IF(H763&lt;=0,999,IF(O763&gt;0,ROUND((F763-H763*N763+K763+M763+O763)/H763,1),IF(M763&gt;0,ROUND((F763-H763*L763+K763+M763)/H763,1),IF(K763&gt;0,ROUND((F763-H763*J763+K763)/H763,1),I763))))</f>
        <v>0</v>
      </c>
      <c r="Q763" s="22" t="str">
        <f aca="false">IF(H763&lt;=0,"Nema prodaje",IF(AND(K763=0,M763=0,O763=0),IF(I763&lt;POSTAVKE!$B$6,"Naruči odmah","Sve u redu"),IF(F763-H763*J763&lt;0,"Rupa za ~"&amp;TEXT(I763,"0.0")&amp;" mj.",IF(AND(M763&gt;0,F763-H763*L763+K763&lt;0),"Rupa nakon 1. dolaska",IF(AND(O763&gt;0,F763-H763*N763+K763+M763&lt;0),"Rupa nakon 2. dolaska",IF(P763&lt;POSTAVKE!$B$6,"Količina nije dovoljna",IF(I763&gt;=POSTAVKE!$B$6,"Sve u redu","Stiže na vrijeme")))))))</f>
        <v>Naruči odmah</v>
      </c>
      <c r="S763" s="23" t="n">
        <f aca="false">IFERROR(INDEX(PODACI_PRODAJA!B:B,MATCH($A763,PODACI_PRODAJA!$A:$A,0)),0)</f>
        <v>1</v>
      </c>
      <c r="T763" s="23" t="n">
        <f aca="false">IFERROR(INDEX(PODACI_PRODAJA!C:C,MATCH($A763,PODACI_PRODAJA!$A:$A,0)),0)</f>
        <v>0</v>
      </c>
      <c r="U763" s="23" t="n">
        <f aca="false">IFERROR(INDEX(PODACI_PRODAJA!D:D,MATCH($A763,PODACI_PRODAJA!$A:$A,0)),0)</f>
        <v>0</v>
      </c>
      <c r="V763" s="23" t="n">
        <f aca="false">IFERROR(INDEX(PODACI_PRODAJA!E:E,MATCH($A763,PODACI_PRODAJA!$A:$A,0)),0)</f>
        <v>0</v>
      </c>
      <c r="W763" s="23" t="n">
        <f aca="false">IFERROR(INDEX(PODACI_PRODAJA!F:F,MATCH($A763,PODACI_PRODAJA!$A:$A,0)),0)</f>
        <v>0</v>
      </c>
      <c r="X763" s="23" t="n">
        <f aca="false">IFERROR(INDEX(PODACI_PRODAJA!G:G,MATCH($A763,PODACI_PRODAJA!$A:$A,0)),0)</f>
        <v>0</v>
      </c>
      <c r="Y763" s="23" t="n">
        <f aca="false">IFERROR(INDEX(PODACI_PRODAJA!H:H,MATCH($A763,PODACI_PRODAJA!$A:$A,0)),0)</f>
        <v>0</v>
      </c>
      <c r="Z763" s="23" t="n">
        <f aca="false">IFERROR(INDEX(PODACI_PRODAJA!I:I,MATCH($A763,PODACI_PRODAJA!$A:$A,0)),0)</f>
        <v>0</v>
      </c>
      <c r="AA763" s="23" t="n">
        <f aca="false">IFERROR(INDEX(PODACI_PRODAJA!J:J,MATCH($A763,PODACI_PRODAJA!$A:$A,0)),0)</f>
        <v>0</v>
      </c>
      <c r="AB763" s="23" t="n">
        <f aca="false">IFERROR(INDEX(PODACI_PRODAJA!K:K,MATCH($A763,PODACI_PRODAJA!$A:$A,0)),0)</f>
        <v>0</v>
      </c>
      <c r="AC763" s="23" t="n">
        <f aca="false">IFERROR(INDEX(PODACI_PRODAJA!L:L,MATCH($A763,PODACI_PRODAJA!$A:$A,0)),0)</f>
        <v>0</v>
      </c>
      <c r="AD763" s="23" t="n">
        <f aca="false">IFERROR(INDEX(PODACI_PRODAJA!M:M,MATCH($A763,PODACI_PRODAJA!$A:$A,0)),0)</f>
        <v>0</v>
      </c>
    </row>
    <row r="764" customFormat="false" ht="15" hidden="false" customHeight="false" outlineLevel="0" collapsed="false">
      <c r="A764" s="11" t="str">
        <f aca="false">PODACI_ZALIHE!A761</f>
        <v>17190</v>
      </c>
      <c r="B764" s="8" t="str">
        <f aca="false">PODACI_ZALIHE!B761</f>
        <v>VIVID VISEĆA ŠKOLJKA S DASKOM  VORTEX 485x370x365 mm</v>
      </c>
      <c r="C764" s="9" t="n">
        <f aca="false">PODACI_ZALIHE!C761</f>
        <v>0</v>
      </c>
      <c r="D764" s="8" t="n">
        <f aca="false">PODACI_ZALIHE!D761</f>
        <v>0</v>
      </c>
      <c r="E764" s="19" t="n">
        <f aca="false">IF(PODACI_ZALIHE!E761="","",PODACI_ZALIHE!E761)</f>
        <v>0</v>
      </c>
      <c r="F764" s="20" t="n">
        <f aca="false">PODACI_ZALIHE!F761</f>
        <v>0</v>
      </c>
      <c r="G764" s="19" t="n">
        <f aca="false">IF(E764="","",E764-F764)</f>
        <v>0</v>
      </c>
      <c r="H764" s="9" t="n">
        <f aca="false">PODACI_PRODAJA!N265</f>
        <v>1.88</v>
      </c>
      <c r="I764" s="21" t="n">
        <f aca="false">IF(H764&lt;=0,999,ROUND(F764/H764,1))</f>
        <v>0</v>
      </c>
      <c r="J764" s="9" t="n">
        <f aca="false">SUMIFS(ROBA_U_DOLASKU!$C$6:$C$95,ROBA_U_DOLASKU!$A$6:$A$95,A764,ROBA_U_DOLASKU!$H$6:$H$95,1)</f>
        <v>0</v>
      </c>
      <c r="K764" s="9" t="n">
        <f aca="false">SUMIFS(ROBA_U_DOLASKU!$B$6:$B$95,ROBA_U_DOLASKU!$A$6:$A$95,A764,ROBA_U_DOLASKU!$H$6:$H$95,1)</f>
        <v>0</v>
      </c>
      <c r="L764" s="9" t="n">
        <f aca="false">SUMIFS(ROBA_U_DOLASKU!$C$6:$C$95,ROBA_U_DOLASKU!$A$6:$A$95,A764,ROBA_U_DOLASKU!$H$6:$H$95,2)</f>
        <v>0</v>
      </c>
      <c r="M764" s="9" t="n">
        <f aca="false">SUMIFS(ROBA_U_DOLASKU!$B$6:$B$95,ROBA_U_DOLASKU!$A$6:$A$95,A764,ROBA_U_DOLASKU!$H$6:$H$95,2)</f>
        <v>0</v>
      </c>
      <c r="N764" s="9" t="n">
        <f aca="false">SUMIFS(ROBA_U_DOLASKU!$C$6:$C$95,ROBA_U_DOLASKU!$A$6:$A$95,A764,ROBA_U_DOLASKU!$H$6:$H$95,3)</f>
        <v>0</v>
      </c>
      <c r="O764" s="9" t="n">
        <f aca="false">SUMIFS(ROBA_U_DOLASKU!$B$6:$B$95,ROBA_U_DOLASKU!$A$6:$A$95,A764,ROBA_U_DOLASKU!$H$6:$H$95,3)</f>
        <v>0</v>
      </c>
      <c r="P764" s="9" t="n">
        <f aca="false">IF(H764&lt;=0,999,IF(O764&gt;0,ROUND((F764-H764*N764+K764+M764+O764)/H764,1),IF(M764&gt;0,ROUND((F764-H764*L764+K764+M764)/H764,1),IF(K764&gt;0,ROUND((F764-H764*J764+K764)/H764,1),I764))))</f>
        <v>0</v>
      </c>
      <c r="Q764" s="22" t="str">
        <f aca="false">IF(H764&lt;=0,"Nema prodaje",IF(AND(K764=0,M764=0,O764=0),IF(I764&lt;POSTAVKE!$B$6,"Naruči odmah","Sve u redu"),IF(F764-H764*J764&lt;0,"Rupa za ~"&amp;TEXT(I764,"0.0")&amp;" mj.",IF(AND(M764&gt;0,F764-H764*L764+K764&lt;0),"Rupa nakon 1. dolaska",IF(AND(O764&gt;0,F764-H764*N764+K764+M764&lt;0),"Rupa nakon 2. dolaska",IF(P764&lt;POSTAVKE!$B$6,"Količina nije dovoljna",IF(I764&gt;=POSTAVKE!$B$6,"Sve u redu","Stiže na vrijeme")))))))</f>
        <v>Naruči odmah</v>
      </c>
      <c r="S764" s="23" t="n">
        <f aca="false">IFERROR(INDEX(PODACI_PRODAJA!B:B,MATCH($A764,PODACI_PRODAJA!$A:$A,0)),0)</f>
        <v>1</v>
      </c>
      <c r="T764" s="23" t="n">
        <f aca="false">IFERROR(INDEX(PODACI_PRODAJA!C:C,MATCH($A764,PODACI_PRODAJA!$A:$A,0)),0)</f>
        <v>14</v>
      </c>
      <c r="U764" s="23" t="n">
        <f aca="false">IFERROR(INDEX(PODACI_PRODAJA!D:D,MATCH($A764,PODACI_PRODAJA!$A:$A,0)),0)</f>
        <v>0</v>
      </c>
      <c r="V764" s="23" t="n">
        <f aca="false">IFERROR(INDEX(PODACI_PRODAJA!E:E,MATCH($A764,PODACI_PRODAJA!$A:$A,0)),0)</f>
        <v>0</v>
      </c>
      <c r="W764" s="23" t="n">
        <f aca="false">IFERROR(INDEX(PODACI_PRODAJA!F:F,MATCH($A764,PODACI_PRODAJA!$A:$A,0)),0)</f>
        <v>0</v>
      </c>
      <c r="X764" s="23" t="n">
        <f aca="false">IFERROR(INDEX(PODACI_PRODAJA!G:G,MATCH($A764,PODACI_PRODAJA!$A:$A,0)),0)</f>
        <v>0</v>
      </c>
      <c r="Y764" s="23" t="n">
        <f aca="false">IFERROR(INDEX(PODACI_PRODAJA!H:H,MATCH($A764,PODACI_PRODAJA!$A:$A,0)),0)</f>
        <v>0</v>
      </c>
      <c r="Z764" s="23" t="n">
        <f aca="false">IFERROR(INDEX(PODACI_PRODAJA!I:I,MATCH($A764,PODACI_PRODAJA!$A:$A,0)),0)</f>
        <v>0</v>
      </c>
      <c r="AA764" s="23" t="n">
        <f aca="false">IFERROR(INDEX(PODACI_PRODAJA!J:J,MATCH($A764,PODACI_PRODAJA!$A:$A,0)),0)</f>
        <v>0</v>
      </c>
      <c r="AB764" s="23" t="n">
        <f aca="false">IFERROR(INDEX(PODACI_PRODAJA!K:K,MATCH($A764,PODACI_PRODAJA!$A:$A,0)),0)</f>
        <v>0</v>
      </c>
      <c r="AC764" s="23" t="n">
        <f aca="false">IFERROR(INDEX(PODACI_PRODAJA!L:L,MATCH($A764,PODACI_PRODAJA!$A:$A,0)),0)</f>
        <v>0</v>
      </c>
      <c r="AD764" s="23" t="n">
        <f aca="false">IFERROR(INDEX(PODACI_PRODAJA!M:M,MATCH($A764,PODACI_PRODAJA!$A:$A,0)),0)</f>
        <v>0</v>
      </c>
    </row>
    <row r="765" customFormat="false" ht="15" hidden="false" customHeight="false" outlineLevel="0" collapsed="false">
      <c r="A765" s="11" t="str">
        <f aca="false">PODACI_ZALIHE!A762</f>
        <v>17205</v>
      </c>
      <c r="B765" s="8" t="str">
        <f aca="false">PODACI_ZALIHE!B762</f>
        <v>MESSINA STOJEĆA MIJEŠALICA ZA SUDOPER</v>
      </c>
      <c r="C765" s="9" t="n">
        <f aca="false">PODACI_ZALIHE!C762</f>
        <v>0</v>
      </c>
      <c r="D765" s="8" t="n">
        <f aca="false">PODACI_ZALIHE!D762</f>
        <v>0</v>
      </c>
      <c r="E765" s="19" t="n">
        <f aca="false">IF(PODACI_ZALIHE!E762="","",PODACI_ZALIHE!E762)</f>
        <v>0</v>
      </c>
      <c r="F765" s="20" t="n">
        <f aca="false">PODACI_ZALIHE!F762</f>
        <v>0</v>
      </c>
      <c r="G765" s="19" t="n">
        <f aca="false">IF(E765="","",E765-F765)</f>
        <v>0</v>
      </c>
      <c r="H765" s="9" t="n">
        <f aca="false">PODACI_PRODAJA!N603</f>
        <v>1.25</v>
      </c>
      <c r="I765" s="21" t="n">
        <f aca="false">IF(H765&lt;=0,999,ROUND(F765/H765,1))</f>
        <v>0</v>
      </c>
      <c r="J765" s="9" t="n">
        <f aca="false">SUMIFS(ROBA_U_DOLASKU!$C$6:$C$95,ROBA_U_DOLASKU!$A$6:$A$95,A765,ROBA_U_DOLASKU!$H$6:$H$95,1)</f>
        <v>0</v>
      </c>
      <c r="K765" s="9" t="n">
        <f aca="false">SUMIFS(ROBA_U_DOLASKU!$B$6:$B$95,ROBA_U_DOLASKU!$A$6:$A$95,A765,ROBA_U_DOLASKU!$H$6:$H$95,1)</f>
        <v>0</v>
      </c>
      <c r="L765" s="9" t="n">
        <f aca="false">SUMIFS(ROBA_U_DOLASKU!$C$6:$C$95,ROBA_U_DOLASKU!$A$6:$A$95,A765,ROBA_U_DOLASKU!$H$6:$H$95,2)</f>
        <v>0</v>
      </c>
      <c r="M765" s="9" t="n">
        <f aca="false">SUMIFS(ROBA_U_DOLASKU!$B$6:$B$95,ROBA_U_DOLASKU!$A$6:$A$95,A765,ROBA_U_DOLASKU!$H$6:$H$95,2)</f>
        <v>0</v>
      </c>
      <c r="N765" s="9" t="n">
        <f aca="false">SUMIFS(ROBA_U_DOLASKU!$C$6:$C$95,ROBA_U_DOLASKU!$A$6:$A$95,A765,ROBA_U_DOLASKU!$H$6:$H$95,3)</f>
        <v>0</v>
      </c>
      <c r="O765" s="9" t="n">
        <f aca="false">SUMIFS(ROBA_U_DOLASKU!$B$6:$B$95,ROBA_U_DOLASKU!$A$6:$A$95,A765,ROBA_U_DOLASKU!$H$6:$H$95,3)</f>
        <v>0</v>
      </c>
      <c r="P765" s="9" t="n">
        <f aca="false">IF(H765&lt;=0,999,IF(O765&gt;0,ROUND((F765-H765*N765+K765+M765+O765)/H765,1),IF(M765&gt;0,ROUND((F765-H765*L765+K765+M765)/H765,1),IF(K765&gt;0,ROUND((F765-H765*J765+K765)/H765,1),I765))))</f>
        <v>0</v>
      </c>
      <c r="Q765" s="22" t="str">
        <f aca="false">IF(H765&lt;=0,"Nema prodaje",IF(AND(K765=0,M765=0,O765=0),IF(I765&lt;POSTAVKE!$B$6,"Naruči odmah","Sve u redu"),IF(F765-H765*J765&lt;0,"Rupa za ~"&amp;TEXT(I765,"0.0")&amp;" mj.",IF(AND(M765&gt;0,F765-H765*L765+K765&lt;0),"Rupa nakon 1. dolaska",IF(AND(O765&gt;0,F765-H765*N765+K765+M765&lt;0),"Rupa nakon 2. dolaska",IF(P765&lt;POSTAVKE!$B$6,"Količina nije dovoljna",IF(I765&gt;=POSTAVKE!$B$6,"Sve u redu","Stiže na vrijeme")))))))</f>
        <v>Naruči odmah</v>
      </c>
      <c r="S765" s="23" t="n">
        <f aca="false">IFERROR(INDEX(PODACI_PRODAJA!B:B,MATCH($A765,PODACI_PRODAJA!$A:$A,0)),0)</f>
        <v>0</v>
      </c>
      <c r="T765" s="23" t="n">
        <f aca="false">IFERROR(INDEX(PODACI_PRODAJA!C:C,MATCH($A765,PODACI_PRODAJA!$A:$A,0)),0)</f>
        <v>10</v>
      </c>
      <c r="U765" s="23" t="n">
        <f aca="false">IFERROR(INDEX(PODACI_PRODAJA!D:D,MATCH($A765,PODACI_PRODAJA!$A:$A,0)),0)</f>
        <v>0</v>
      </c>
      <c r="V765" s="23" t="n">
        <f aca="false">IFERROR(INDEX(PODACI_PRODAJA!E:E,MATCH($A765,PODACI_PRODAJA!$A:$A,0)),0)</f>
        <v>0</v>
      </c>
      <c r="W765" s="23" t="n">
        <f aca="false">IFERROR(INDEX(PODACI_PRODAJA!F:F,MATCH($A765,PODACI_PRODAJA!$A:$A,0)),0)</f>
        <v>0</v>
      </c>
      <c r="X765" s="23" t="n">
        <f aca="false">IFERROR(INDEX(PODACI_PRODAJA!G:G,MATCH($A765,PODACI_PRODAJA!$A:$A,0)),0)</f>
        <v>0</v>
      </c>
      <c r="Y765" s="23" t="n">
        <f aca="false">IFERROR(INDEX(PODACI_PRODAJA!H:H,MATCH($A765,PODACI_PRODAJA!$A:$A,0)),0)</f>
        <v>0</v>
      </c>
      <c r="Z765" s="23" t="n">
        <f aca="false">IFERROR(INDEX(PODACI_PRODAJA!I:I,MATCH($A765,PODACI_PRODAJA!$A:$A,0)),0)</f>
        <v>0</v>
      </c>
      <c r="AA765" s="23" t="n">
        <f aca="false">IFERROR(INDEX(PODACI_PRODAJA!J:J,MATCH($A765,PODACI_PRODAJA!$A:$A,0)),0)</f>
        <v>0</v>
      </c>
      <c r="AB765" s="23" t="n">
        <f aca="false">IFERROR(INDEX(PODACI_PRODAJA!K:K,MATCH($A765,PODACI_PRODAJA!$A:$A,0)),0)</f>
        <v>0</v>
      </c>
      <c r="AC765" s="23" t="n">
        <f aca="false">IFERROR(INDEX(PODACI_PRODAJA!L:L,MATCH($A765,PODACI_PRODAJA!$A:$A,0)),0)</f>
        <v>0</v>
      </c>
      <c r="AD765" s="23" t="n">
        <f aca="false">IFERROR(INDEX(PODACI_PRODAJA!M:M,MATCH($A765,PODACI_PRODAJA!$A:$A,0)),0)</f>
        <v>0</v>
      </c>
    </row>
    <row r="766" customFormat="false" ht="15" hidden="false" customHeight="false" outlineLevel="0" collapsed="false">
      <c r="A766" s="11" t="str">
        <f aca="false">PODACI_ZALIHE!A763</f>
        <v>17239</v>
      </c>
      <c r="B766" s="8" t="str">
        <f aca="false">PODACI_ZALIHE!B763</f>
        <v>TK PARLA 90 CHROME POLUKRUŽNA TUŠ KABINA 90X90X195 cm</v>
      </c>
      <c r="C766" s="9" t="str">
        <f aca="false">PODACI_ZALIHE!C763</f>
        <v>6762</v>
      </c>
      <c r="D766" s="8" t="str">
        <f aca="false">PODACI_ZALIHE!D763</f>
        <v>ZHEJIANG QUICKLINE SHOWERING CO., LTD.</v>
      </c>
      <c r="E766" s="19" t="n">
        <f aca="false">IF(PODACI_ZALIHE!E763="","",PODACI_ZALIHE!E763)</f>
        <v>5</v>
      </c>
      <c r="F766" s="20" t="n">
        <f aca="false">PODACI_ZALIHE!F763</f>
        <v>0</v>
      </c>
      <c r="G766" s="19" t="n">
        <f aca="false">IF(E766="","",E766-F766)</f>
        <v>5</v>
      </c>
      <c r="H766" s="9" t="n">
        <f aca="false">PODACI_PRODAJA!N618</f>
        <v>1.5</v>
      </c>
      <c r="I766" s="21" t="n">
        <f aca="false">IF(H766&lt;=0,999,ROUND(F766/H766,1))</f>
        <v>0</v>
      </c>
      <c r="J766" s="9" t="n">
        <f aca="false">SUMIFS(ROBA_U_DOLASKU!$C$6:$C$95,ROBA_U_DOLASKU!$A$6:$A$95,A766,ROBA_U_DOLASKU!$H$6:$H$95,1)</f>
        <v>0</v>
      </c>
      <c r="K766" s="9" t="n">
        <f aca="false">SUMIFS(ROBA_U_DOLASKU!$B$6:$B$95,ROBA_U_DOLASKU!$A$6:$A$95,A766,ROBA_U_DOLASKU!$H$6:$H$95,1)</f>
        <v>0</v>
      </c>
      <c r="L766" s="9" t="n">
        <f aca="false">SUMIFS(ROBA_U_DOLASKU!$C$6:$C$95,ROBA_U_DOLASKU!$A$6:$A$95,A766,ROBA_U_DOLASKU!$H$6:$H$95,2)</f>
        <v>0</v>
      </c>
      <c r="M766" s="9" t="n">
        <f aca="false">SUMIFS(ROBA_U_DOLASKU!$B$6:$B$95,ROBA_U_DOLASKU!$A$6:$A$95,A766,ROBA_U_DOLASKU!$H$6:$H$95,2)</f>
        <v>0</v>
      </c>
      <c r="N766" s="9" t="n">
        <f aca="false">SUMIFS(ROBA_U_DOLASKU!$C$6:$C$95,ROBA_U_DOLASKU!$A$6:$A$95,A766,ROBA_U_DOLASKU!$H$6:$H$95,3)</f>
        <v>0</v>
      </c>
      <c r="O766" s="9" t="n">
        <f aca="false">SUMIFS(ROBA_U_DOLASKU!$B$6:$B$95,ROBA_U_DOLASKU!$A$6:$A$95,A766,ROBA_U_DOLASKU!$H$6:$H$95,3)</f>
        <v>0</v>
      </c>
      <c r="P766" s="9" t="n">
        <f aca="false">IF(H766&lt;=0,999,IF(O766&gt;0,ROUND((F766-H766*N766+K766+M766+O766)/H766,1),IF(M766&gt;0,ROUND((F766-H766*L766+K766+M766)/H766,1),IF(K766&gt;0,ROUND((F766-H766*J766+K766)/H766,1),I766))))</f>
        <v>0</v>
      </c>
      <c r="Q766" s="22" t="str">
        <f aca="false">IF(H766&lt;=0,"Nema prodaje",IF(AND(K766=0,M766=0,O766=0),IF(I766&lt;POSTAVKE!$B$6,"Naruči odmah","Sve u redu"),IF(F766-H766*J766&lt;0,"Rupa za ~"&amp;TEXT(I766,"0.0")&amp;" mj.",IF(AND(M766&gt;0,F766-H766*L766+K766&lt;0),"Rupa nakon 1. dolaska",IF(AND(O766&gt;0,F766-H766*N766+K766+M766&lt;0),"Rupa nakon 2. dolaska",IF(P766&lt;POSTAVKE!$B$6,"Količina nije dovoljna",IF(I766&gt;=POSTAVKE!$B$6,"Sve u redu","Stiže na vrijeme")))))))</f>
        <v>Naruči odmah</v>
      </c>
      <c r="S766" s="23" t="n">
        <f aca="false">IFERROR(INDEX(PODACI_PRODAJA!B:B,MATCH($A766,PODACI_PRODAJA!$A:$A,0)),0)</f>
        <v>0</v>
      </c>
      <c r="T766" s="23" t="n">
        <f aca="false">IFERROR(INDEX(PODACI_PRODAJA!C:C,MATCH($A766,PODACI_PRODAJA!$A:$A,0)),0)</f>
        <v>1</v>
      </c>
      <c r="U766" s="23" t="n">
        <f aca="false">IFERROR(INDEX(PODACI_PRODAJA!D:D,MATCH($A766,PODACI_PRODAJA!$A:$A,0)),0)</f>
        <v>2</v>
      </c>
      <c r="V766" s="23" t="n">
        <f aca="false">IFERROR(INDEX(PODACI_PRODAJA!E:E,MATCH($A766,PODACI_PRODAJA!$A:$A,0)),0)</f>
        <v>1</v>
      </c>
      <c r="W766" s="23" t="n">
        <f aca="false">IFERROR(INDEX(PODACI_PRODAJA!F:F,MATCH($A766,PODACI_PRODAJA!$A:$A,0)),0)</f>
        <v>3</v>
      </c>
      <c r="X766" s="23" t="n">
        <f aca="false">IFERROR(INDEX(PODACI_PRODAJA!G:G,MATCH($A766,PODACI_PRODAJA!$A:$A,0)),0)</f>
        <v>0</v>
      </c>
      <c r="Y766" s="23" t="n">
        <f aca="false">IFERROR(INDEX(PODACI_PRODAJA!H:H,MATCH($A766,PODACI_PRODAJA!$A:$A,0)),0)</f>
        <v>0</v>
      </c>
      <c r="Z766" s="23" t="n">
        <f aca="false">IFERROR(INDEX(PODACI_PRODAJA!I:I,MATCH($A766,PODACI_PRODAJA!$A:$A,0)),0)</f>
        <v>5</v>
      </c>
      <c r="AA766" s="23" t="n">
        <f aca="false">IFERROR(INDEX(PODACI_PRODAJA!J:J,MATCH($A766,PODACI_PRODAJA!$A:$A,0)),0)</f>
        <v>5</v>
      </c>
      <c r="AB766" s="23" t="n">
        <f aca="false">IFERROR(INDEX(PODACI_PRODAJA!K:K,MATCH($A766,PODACI_PRODAJA!$A:$A,0)),0)</f>
        <v>0</v>
      </c>
      <c r="AC766" s="23" t="n">
        <f aca="false">IFERROR(INDEX(PODACI_PRODAJA!L:L,MATCH($A766,PODACI_PRODAJA!$A:$A,0)),0)</f>
        <v>0</v>
      </c>
      <c r="AD766" s="23" t="n">
        <f aca="false">IFERROR(INDEX(PODACI_PRODAJA!M:M,MATCH($A766,PODACI_PRODAJA!$A:$A,0)),0)</f>
        <v>0</v>
      </c>
    </row>
    <row r="767" customFormat="false" ht="15" hidden="false" customHeight="false" outlineLevel="0" collapsed="false">
      <c r="A767" s="11" t="str">
        <f aca="false">PODACI_ZALIHE!A764</f>
        <v>17247</v>
      </c>
      <c r="B767" s="8" t="str">
        <f aca="false">PODACI_ZALIHE!B764</f>
        <v>ALUMINIJSKI PROFIL ZA VETRO SLIDE BLACK 120X195 cm</v>
      </c>
      <c r="C767" s="9" t="n">
        <f aca="false">PODACI_ZALIHE!C764</f>
        <v>0</v>
      </c>
      <c r="D767" s="8" t="n">
        <f aca="false">PODACI_ZALIHE!D764</f>
        <v>0</v>
      </c>
      <c r="E767" s="19" t="n">
        <f aca="false">IF(PODACI_ZALIHE!E764="","",PODACI_ZALIHE!E764)</f>
        <v>0</v>
      </c>
      <c r="F767" s="20" t="n">
        <f aca="false">PODACI_ZALIHE!F764</f>
        <v>0</v>
      </c>
      <c r="G767" s="19" t="n">
        <f aca="false">IF(E767="","",E767-F767)</f>
        <v>0</v>
      </c>
      <c r="H767" s="9" t="n">
        <f aca="false">PODACI_PRODAJA!N274</f>
        <v>0.5</v>
      </c>
      <c r="I767" s="21" t="n">
        <f aca="false">IF(H767&lt;=0,999,ROUND(F767/H767,1))</f>
        <v>0</v>
      </c>
      <c r="J767" s="9" t="n">
        <f aca="false">SUMIFS(ROBA_U_DOLASKU!$C$6:$C$95,ROBA_U_DOLASKU!$A$6:$A$95,A767,ROBA_U_DOLASKU!$H$6:$H$95,1)</f>
        <v>0</v>
      </c>
      <c r="K767" s="9" t="n">
        <f aca="false">SUMIFS(ROBA_U_DOLASKU!$B$6:$B$95,ROBA_U_DOLASKU!$A$6:$A$95,A767,ROBA_U_DOLASKU!$H$6:$H$95,1)</f>
        <v>0</v>
      </c>
      <c r="L767" s="9" t="n">
        <f aca="false">SUMIFS(ROBA_U_DOLASKU!$C$6:$C$95,ROBA_U_DOLASKU!$A$6:$A$95,A767,ROBA_U_DOLASKU!$H$6:$H$95,2)</f>
        <v>0</v>
      </c>
      <c r="M767" s="9" t="n">
        <f aca="false">SUMIFS(ROBA_U_DOLASKU!$B$6:$B$95,ROBA_U_DOLASKU!$A$6:$A$95,A767,ROBA_U_DOLASKU!$H$6:$H$95,2)</f>
        <v>0</v>
      </c>
      <c r="N767" s="9" t="n">
        <f aca="false">SUMIFS(ROBA_U_DOLASKU!$C$6:$C$95,ROBA_U_DOLASKU!$A$6:$A$95,A767,ROBA_U_DOLASKU!$H$6:$H$95,3)</f>
        <v>0</v>
      </c>
      <c r="O767" s="9" t="n">
        <f aca="false">SUMIFS(ROBA_U_DOLASKU!$B$6:$B$95,ROBA_U_DOLASKU!$A$6:$A$95,A767,ROBA_U_DOLASKU!$H$6:$H$95,3)</f>
        <v>0</v>
      </c>
      <c r="P767" s="9" t="n">
        <f aca="false">IF(H767&lt;=0,999,IF(O767&gt;0,ROUND((F767-H767*N767+K767+M767+O767)/H767,1),IF(M767&gt;0,ROUND((F767-H767*L767+K767+M767)/H767,1),IF(K767&gt;0,ROUND((F767-H767*J767+K767)/H767,1),I767))))</f>
        <v>0</v>
      </c>
      <c r="Q767" s="22" t="str">
        <f aca="false">IF(H767&lt;=0,"Nema prodaje",IF(AND(K767=0,M767=0,O767=0),IF(I767&lt;POSTAVKE!$B$6,"Naruči odmah","Sve u redu"),IF(F767-H767*J767&lt;0,"Rupa za ~"&amp;TEXT(I767,"0.0")&amp;" mj.",IF(AND(M767&gt;0,F767-H767*L767+K767&lt;0),"Rupa nakon 1. dolaska",IF(AND(O767&gt;0,F767-H767*N767+K767+M767&lt;0),"Rupa nakon 2. dolaska",IF(P767&lt;POSTAVKE!$B$6,"Količina nije dovoljna",IF(I767&gt;=POSTAVKE!$B$6,"Sve u redu","Stiže na vrijeme")))))))</f>
        <v>Naruči odmah</v>
      </c>
      <c r="S767" s="23" t="n">
        <f aca="false">IFERROR(INDEX(PODACI_PRODAJA!B:B,MATCH($A767,PODACI_PRODAJA!$A:$A,0)),0)</f>
        <v>1</v>
      </c>
      <c r="T767" s="23" t="n">
        <f aca="false">IFERROR(INDEX(PODACI_PRODAJA!C:C,MATCH($A767,PODACI_PRODAJA!$A:$A,0)),0)</f>
        <v>2</v>
      </c>
      <c r="U767" s="23" t="n">
        <f aca="false">IFERROR(INDEX(PODACI_PRODAJA!D:D,MATCH($A767,PODACI_PRODAJA!$A:$A,0)),0)</f>
        <v>1</v>
      </c>
      <c r="V767" s="23" t="n">
        <f aca="false">IFERROR(INDEX(PODACI_PRODAJA!E:E,MATCH($A767,PODACI_PRODAJA!$A:$A,0)),0)</f>
        <v>0</v>
      </c>
      <c r="W767" s="23" t="n">
        <f aca="false">IFERROR(INDEX(PODACI_PRODAJA!F:F,MATCH($A767,PODACI_PRODAJA!$A:$A,0)),0)</f>
        <v>0</v>
      </c>
      <c r="X767" s="23" t="n">
        <f aca="false">IFERROR(INDEX(PODACI_PRODAJA!G:G,MATCH($A767,PODACI_PRODAJA!$A:$A,0)),0)</f>
        <v>0</v>
      </c>
      <c r="Y767" s="23" t="n">
        <f aca="false">IFERROR(INDEX(PODACI_PRODAJA!H:H,MATCH($A767,PODACI_PRODAJA!$A:$A,0)),0)</f>
        <v>0</v>
      </c>
      <c r="Z767" s="23" t="n">
        <f aca="false">IFERROR(INDEX(PODACI_PRODAJA!I:I,MATCH($A767,PODACI_PRODAJA!$A:$A,0)),0)</f>
        <v>0</v>
      </c>
      <c r="AA767" s="23" t="n">
        <f aca="false">IFERROR(INDEX(PODACI_PRODAJA!J:J,MATCH($A767,PODACI_PRODAJA!$A:$A,0)),0)</f>
        <v>0</v>
      </c>
      <c r="AB767" s="23" t="n">
        <f aca="false">IFERROR(INDEX(PODACI_PRODAJA!K:K,MATCH($A767,PODACI_PRODAJA!$A:$A,0)),0)</f>
        <v>0</v>
      </c>
      <c r="AC767" s="23" t="n">
        <f aca="false">IFERROR(INDEX(PODACI_PRODAJA!L:L,MATCH($A767,PODACI_PRODAJA!$A:$A,0)),0)</f>
        <v>0</v>
      </c>
      <c r="AD767" s="23" t="n">
        <f aca="false">IFERROR(INDEX(PODACI_PRODAJA!M:M,MATCH($A767,PODACI_PRODAJA!$A:$A,0)),0)</f>
        <v>0</v>
      </c>
    </row>
    <row r="768" customFormat="false" ht="15" hidden="false" customHeight="false" outlineLevel="0" collapsed="false">
      <c r="A768" s="11" t="str">
        <f aca="false">PODACI_ZALIHE!A765</f>
        <v>17260</v>
      </c>
      <c r="B768" s="8" t="str">
        <f aca="false">PODACI_ZALIHE!B765</f>
        <v>TK VIGO 7890 CHROME PRAVOKUTNA TUŠ KABINA 78-90X195 cm</v>
      </c>
      <c r="C768" s="9" t="str">
        <f aca="false">PODACI_ZALIHE!C765</f>
        <v>6762</v>
      </c>
      <c r="D768" s="8" t="str">
        <f aca="false">PODACI_ZALIHE!D765</f>
        <v>ZHEJIANG QUICKLINE SHOWERING CO., LTD.</v>
      </c>
      <c r="E768" s="19" t="n">
        <f aca="false">IF(PODACI_ZALIHE!E765="","",PODACI_ZALIHE!E765)</f>
        <v>0</v>
      </c>
      <c r="F768" s="20" t="n">
        <f aca="false">PODACI_ZALIHE!F765</f>
        <v>0</v>
      </c>
      <c r="G768" s="19" t="n">
        <f aca="false">IF(E768="","",E768-F768)</f>
        <v>0</v>
      </c>
      <c r="H768" s="9" t="n">
        <f aca="false">PODACI_PRODAJA!N277</f>
        <v>0.75</v>
      </c>
      <c r="I768" s="21" t="n">
        <f aca="false">IF(H768&lt;=0,999,ROUND(F768/H768,1))</f>
        <v>0</v>
      </c>
      <c r="J768" s="9" t="n">
        <f aca="false">SUMIFS(ROBA_U_DOLASKU!$C$6:$C$95,ROBA_U_DOLASKU!$A$6:$A$95,A768,ROBA_U_DOLASKU!$H$6:$H$95,1)</f>
        <v>0</v>
      </c>
      <c r="K768" s="9" t="n">
        <f aca="false">SUMIFS(ROBA_U_DOLASKU!$B$6:$B$95,ROBA_U_DOLASKU!$A$6:$A$95,A768,ROBA_U_DOLASKU!$H$6:$H$95,1)</f>
        <v>0</v>
      </c>
      <c r="L768" s="9" t="n">
        <f aca="false">SUMIFS(ROBA_U_DOLASKU!$C$6:$C$95,ROBA_U_DOLASKU!$A$6:$A$95,A768,ROBA_U_DOLASKU!$H$6:$H$95,2)</f>
        <v>0</v>
      </c>
      <c r="M768" s="9" t="n">
        <f aca="false">SUMIFS(ROBA_U_DOLASKU!$B$6:$B$95,ROBA_U_DOLASKU!$A$6:$A$95,A768,ROBA_U_DOLASKU!$H$6:$H$95,2)</f>
        <v>0</v>
      </c>
      <c r="N768" s="9" t="n">
        <f aca="false">SUMIFS(ROBA_U_DOLASKU!$C$6:$C$95,ROBA_U_DOLASKU!$A$6:$A$95,A768,ROBA_U_DOLASKU!$H$6:$H$95,3)</f>
        <v>0</v>
      </c>
      <c r="O768" s="9" t="n">
        <f aca="false">SUMIFS(ROBA_U_DOLASKU!$B$6:$B$95,ROBA_U_DOLASKU!$A$6:$A$95,A768,ROBA_U_DOLASKU!$H$6:$H$95,3)</f>
        <v>0</v>
      </c>
      <c r="P768" s="9" t="n">
        <f aca="false">IF(H768&lt;=0,999,IF(O768&gt;0,ROUND((F768-H768*N768+K768+M768+O768)/H768,1),IF(M768&gt;0,ROUND((F768-H768*L768+K768+M768)/H768,1),IF(K768&gt;0,ROUND((F768-H768*J768+K768)/H768,1),I768))))</f>
        <v>0</v>
      </c>
      <c r="Q768" s="22" t="str">
        <f aca="false">IF(H768&lt;=0,"Nema prodaje",IF(AND(K768=0,M768=0,O768=0),IF(I768&lt;POSTAVKE!$B$6,"Naruči odmah","Sve u redu"),IF(F768-H768*J768&lt;0,"Rupa za ~"&amp;TEXT(I768,"0.0")&amp;" mj.",IF(AND(M768&gt;0,F768-H768*L768+K768&lt;0),"Rupa nakon 1. dolaska",IF(AND(O768&gt;0,F768-H768*N768+K768+M768&lt;0),"Rupa nakon 2. dolaska",IF(P768&lt;POSTAVKE!$B$6,"Količina nije dovoljna",IF(I768&gt;=POSTAVKE!$B$6,"Sve u redu","Stiže na vrijeme")))))))</f>
        <v>Naruči odmah</v>
      </c>
      <c r="S768" s="23" t="n">
        <f aca="false">IFERROR(INDEX(PODACI_PRODAJA!B:B,MATCH($A768,PODACI_PRODAJA!$A:$A,0)),0)</f>
        <v>1</v>
      </c>
      <c r="T768" s="23" t="n">
        <f aca="false">IFERROR(INDEX(PODACI_PRODAJA!C:C,MATCH($A768,PODACI_PRODAJA!$A:$A,0)),0)</f>
        <v>1</v>
      </c>
      <c r="U768" s="23" t="n">
        <f aca="false">IFERROR(INDEX(PODACI_PRODAJA!D:D,MATCH($A768,PODACI_PRODAJA!$A:$A,0)),0)</f>
        <v>1</v>
      </c>
      <c r="V768" s="23" t="n">
        <f aca="false">IFERROR(INDEX(PODACI_PRODAJA!E:E,MATCH($A768,PODACI_PRODAJA!$A:$A,0)),0)</f>
        <v>1</v>
      </c>
      <c r="W768" s="23" t="n">
        <f aca="false">IFERROR(INDEX(PODACI_PRODAJA!F:F,MATCH($A768,PODACI_PRODAJA!$A:$A,0)),0)</f>
        <v>0</v>
      </c>
      <c r="X768" s="23" t="n">
        <f aca="false">IFERROR(INDEX(PODACI_PRODAJA!G:G,MATCH($A768,PODACI_PRODAJA!$A:$A,0)),0)</f>
        <v>1</v>
      </c>
      <c r="Y768" s="23" t="n">
        <f aca="false">IFERROR(INDEX(PODACI_PRODAJA!H:H,MATCH($A768,PODACI_PRODAJA!$A:$A,0)),0)</f>
        <v>1</v>
      </c>
      <c r="Z768" s="23" t="n">
        <f aca="false">IFERROR(INDEX(PODACI_PRODAJA!I:I,MATCH($A768,PODACI_PRODAJA!$A:$A,0)),0)</f>
        <v>0</v>
      </c>
      <c r="AA768" s="23" t="n">
        <f aca="false">IFERROR(INDEX(PODACI_PRODAJA!J:J,MATCH($A768,PODACI_PRODAJA!$A:$A,0)),0)</f>
        <v>0</v>
      </c>
      <c r="AB768" s="23" t="n">
        <f aca="false">IFERROR(INDEX(PODACI_PRODAJA!K:K,MATCH($A768,PODACI_PRODAJA!$A:$A,0)),0)</f>
        <v>0</v>
      </c>
      <c r="AC768" s="23" t="n">
        <f aca="false">IFERROR(INDEX(PODACI_PRODAJA!L:L,MATCH($A768,PODACI_PRODAJA!$A:$A,0)),0)</f>
        <v>0</v>
      </c>
      <c r="AD768" s="23" t="n">
        <f aca="false">IFERROR(INDEX(PODACI_PRODAJA!M:M,MATCH($A768,PODACI_PRODAJA!$A:$A,0)),0)</f>
        <v>0</v>
      </c>
    </row>
    <row r="769" customFormat="false" ht="15" hidden="false" customHeight="false" outlineLevel="0" collapsed="false">
      <c r="A769" s="11" t="str">
        <f aca="false">PODACI_ZALIHE!A766</f>
        <v>17269</v>
      </c>
      <c r="B769" s="8" t="str">
        <f aca="false">PODACI_ZALIHE!B766</f>
        <v>NEROLA TUŠ SET S MIJEŠALICOM GUN GRAY</v>
      </c>
      <c r="C769" s="9" t="n">
        <f aca="false">PODACI_ZALIHE!C766</f>
        <v>0</v>
      </c>
      <c r="D769" s="8" t="n">
        <f aca="false">PODACI_ZALIHE!D766</f>
        <v>0</v>
      </c>
      <c r="E769" s="19" t="n">
        <f aca="false">IF(PODACI_ZALIHE!E766="","",PODACI_ZALIHE!E766)</f>
        <v>0</v>
      </c>
      <c r="F769" s="20" t="n">
        <f aca="false">PODACI_ZALIHE!F766</f>
        <v>0</v>
      </c>
      <c r="G769" s="19" t="n">
        <f aca="false">IF(E769="","",E769-F769)</f>
        <v>0</v>
      </c>
      <c r="H769" s="9" t="n">
        <f aca="false">PODACI_PRODAJA!N78</f>
        <v>13.25</v>
      </c>
      <c r="I769" s="21" t="n">
        <f aca="false">IF(H769&lt;=0,999,ROUND(F769/H769,1))</f>
        <v>0</v>
      </c>
      <c r="J769" s="9" t="n">
        <f aca="false">SUMIFS(ROBA_U_DOLASKU!$C$6:$C$95,ROBA_U_DOLASKU!$A$6:$A$95,A769,ROBA_U_DOLASKU!$H$6:$H$95,1)</f>
        <v>0</v>
      </c>
      <c r="K769" s="9" t="n">
        <f aca="false">SUMIFS(ROBA_U_DOLASKU!$B$6:$B$95,ROBA_U_DOLASKU!$A$6:$A$95,A769,ROBA_U_DOLASKU!$H$6:$H$95,1)</f>
        <v>0</v>
      </c>
      <c r="L769" s="9" t="n">
        <f aca="false">SUMIFS(ROBA_U_DOLASKU!$C$6:$C$95,ROBA_U_DOLASKU!$A$6:$A$95,A769,ROBA_U_DOLASKU!$H$6:$H$95,2)</f>
        <v>0</v>
      </c>
      <c r="M769" s="9" t="n">
        <f aca="false">SUMIFS(ROBA_U_DOLASKU!$B$6:$B$95,ROBA_U_DOLASKU!$A$6:$A$95,A769,ROBA_U_DOLASKU!$H$6:$H$95,2)</f>
        <v>0</v>
      </c>
      <c r="N769" s="9" t="n">
        <f aca="false">SUMIFS(ROBA_U_DOLASKU!$C$6:$C$95,ROBA_U_DOLASKU!$A$6:$A$95,A769,ROBA_U_DOLASKU!$H$6:$H$95,3)</f>
        <v>0</v>
      </c>
      <c r="O769" s="9" t="n">
        <f aca="false">SUMIFS(ROBA_U_DOLASKU!$B$6:$B$95,ROBA_U_DOLASKU!$A$6:$A$95,A769,ROBA_U_DOLASKU!$H$6:$H$95,3)</f>
        <v>0</v>
      </c>
      <c r="P769" s="9" t="n">
        <f aca="false">IF(H769&lt;=0,999,IF(O769&gt;0,ROUND((F769-H769*N769+K769+M769+O769)/H769,1),IF(M769&gt;0,ROUND((F769-H769*L769+K769+M769)/H769,1),IF(K769&gt;0,ROUND((F769-H769*J769+K769)/H769,1),I769))))</f>
        <v>0</v>
      </c>
      <c r="Q769" s="22" t="str">
        <f aca="false">IF(H769&lt;=0,"Nema prodaje",IF(AND(K769=0,M769=0,O769=0),IF(I769&lt;POSTAVKE!$B$6,"Naruči odmah","Sve u redu"),IF(F769-H769*J769&lt;0,"Rupa za ~"&amp;TEXT(I769,"0.0")&amp;" mj.",IF(AND(M769&gt;0,F769-H769*L769+K769&lt;0),"Rupa nakon 1. dolaska",IF(AND(O769&gt;0,F769-H769*N769+K769+M769&lt;0),"Rupa nakon 2. dolaska",IF(P769&lt;POSTAVKE!$B$6,"Količina nije dovoljna",IF(I769&gt;=POSTAVKE!$B$6,"Sve u redu","Stiže na vrijeme")))))))</f>
        <v>Naruči odmah</v>
      </c>
      <c r="S769" s="23" t="n">
        <f aca="false">IFERROR(INDEX(PODACI_PRODAJA!B:B,MATCH($A769,PODACI_PRODAJA!$A:$A,0)),0)</f>
        <v>9</v>
      </c>
      <c r="T769" s="23" t="n">
        <f aca="false">IFERROR(INDEX(PODACI_PRODAJA!C:C,MATCH($A769,PODACI_PRODAJA!$A:$A,0)),0)</f>
        <v>1</v>
      </c>
      <c r="U769" s="23" t="n">
        <f aca="false">IFERROR(INDEX(PODACI_PRODAJA!D:D,MATCH($A769,PODACI_PRODAJA!$A:$A,0)),0)</f>
        <v>15</v>
      </c>
      <c r="V769" s="23" t="n">
        <f aca="false">IFERROR(INDEX(PODACI_PRODAJA!E:E,MATCH($A769,PODACI_PRODAJA!$A:$A,0)),0)</f>
        <v>14</v>
      </c>
      <c r="W769" s="23" t="n">
        <f aca="false">IFERROR(INDEX(PODACI_PRODAJA!F:F,MATCH($A769,PODACI_PRODAJA!$A:$A,0)),0)</f>
        <v>15</v>
      </c>
      <c r="X769" s="23" t="n">
        <f aca="false">IFERROR(INDEX(PODACI_PRODAJA!G:G,MATCH($A769,PODACI_PRODAJA!$A:$A,0)),0)</f>
        <v>13</v>
      </c>
      <c r="Y769" s="23" t="n">
        <f aca="false">IFERROR(INDEX(PODACI_PRODAJA!H:H,MATCH($A769,PODACI_PRODAJA!$A:$A,0)),0)</f>
        <v>21</v>
      </c>
      <c r="Z769" s="23" t="n">
        <f aca="false">IFERROR(INDEX(PODACI_PRODAJA!I:I,MATCH($A769,PODACI_PRODAJA!$A:$A,0)),0)</f>
        <v>18</v>
      </c>
      <c r="AA769" s="23" t="n">
        <f aca="false">IFERROR(INDEX(PODACI_PRODAJA!J:J,MATCH($A769,PODACI_PRODAJA!$A:$A,0)),0)</f>
        <v>0</v>
      </c>
      <c r="AB769" s="23" t="n">
        <f aca="false">IFERROR(INDEX(PODACI_PRODAJA!K:K,MATCH($A769,PODACI_PRODAJA!$A:$A,0)),0)</f>
        <v>0</v>
      </c>
      <c r="AC769" s="23" t="n">
        <f aca="false">IFERROR(INDEX(PODACI_PRODAJA!L:L,MATCH($A769,PODACI_PRODAJA!$A:$A,0)),0)</f>
        <v>0</v>
      </c>
      <c r="AD769" s="23" t="n">
        <f aca="false">IFERROR(INDEX(PODACI_PRODAJA!M:M,MATCH($A769,PODACI_PRODAJA!$A:$A,0)),0)</f>
        <v>0</v>
      </c>
    </row>
    <row r="770" customFormat="false" ht="15" hidden="false" customHeight="false" outlineLevel="0" collapsed="false">
      <c r="A770" s="11" t="str">
        <f aca="false">PODACI_ZALIHE!A767</f>
        <v>17270</v>
      </c>
      <c r="B770" s="8" t="str">
        <f aca="false">PODACI_ZALIHE!B767</f>
        <v>NEROLA MIJEŠALICA ZA UMIVAONIK GUN GRAY</v>
      </c>
      <c r="C770" s="9" t="n">
        <f aca="false">PODACI_ZALIHE!C767</f>
        <v>0</v>
      </c>
      <c r="D770" s="8" t="n">
        <f aca="false">PODACI_ZALIHE!D767</f>
        <v>0</v>
      </c>
      <c r="E770" s="19" t="n">
        <f aca="false">IF(PODACI_ZALIHE!E767="","",PODACI_ZALIHE!E767)</f>
        <v>0</v>
      </c>
      <c r="F770" s="20" t="n">
        <f aca="false">PODACI_ZALIHE!F767</f>
        <v>0</v>
      </c>
      <c r="G770" s="19" t="n">
        <f aca="false">IF(E770="","",E770-F770)</f>
        <v>0</v>
      </c>
      <c r="H770" s="9" t="n">
        <f aca="false">PODACI_PRODAJA!N125</f>
        <v>3.75</v>
      </c>
      <c r="I770" s="21" t="n">
        <f aca="false">IF(H770&lt;=0,999,ROUND(F770/H770,1))</f>
        <v>0</v>
      </c>
      <c r="J770" s="9" t="n">
        <f aca="false">SUMIFS(ROBA_U_DOLASKU!$C$6:$C$95,ROBA_U_DOLASKU!$A$6:$A$95,A770,ROBA_U_DOLASKU!$H$6:$H$95,1)</f>
        <v>0</v>
      </c>
      <c r="K770" s="9" t="n">
        <f aca="false">SUMIFS(ROBA_U_DOLASKU!$B$6:$B$95,ROBA_U_DOLASKU!$A$6:$A$95,A770,ROBA_U_DOLASKU!$H$6:$H$95,1)</f>
        <v>0</v>
      </c>
      <c r="L770" s="9" t="n">
        <f aca="false">SUMIFS(ROBA_U_DOLASKU!$C$6:$C$95,ROBA_U_DOLASKU!$A$6:$A$95,A770,ROBA_U_DOLASKU!$H$6:$H$95,2)</f>
        <v>0</v>
      </c>
      <c r="M770" s="9" t="n">
        <f aca="false">SUMIFS(ROBA_U_DOLASKU!$B$6:$B$95,ROBA_U_DOLASKU!$A$6:$A$95,A770,ROBA_U_DOLASKU!$H$6:$H$95,2)</f>
        <v>0</v>
      </c>
      <c r="N770" s="9" t="n">
        <f aca="false">SUMIFS(ROBA_U_DOLASKU!$C$6:$C$95,ROBA_U_DOLASKU!$A$6:$A$95,A770,ROBA_U_DOLASKU!$H$6:$H$95,3)</f>
        <v>0</v>
      </c>
      <c r="O770" s="9" t="n">
        <f aca="false">SUMIFS(ROBA_U_DOLASKU!$B$6:$B$95,ROBA_U_DOLASKU!$A$6:$A$95,A770,ROBA_U_DOLASKU!$H$6:$H$95,3)</f>
        <v>0</v>
      </c>
      <c r="P770" s="9" t="n">
        <f aca="false">IF(H770&lt;=0,999,IF(O770&gt;0,ROUND((F770-H770*N770+K770+M770+O770)/H770,1),IF(M770&gt;0,ROUND((F770-H770*L770+K770+M770)/H770,1),IF(K770&gt;0,ROUND((F770-H770*J770+K770)/H770,1),I770))))</f>
        <v>0</v>
      </c>
      <c r="Q770" s="22" t="str">
        <f aca="false">IF(H770&lt;=0,"Nema prodaje",IF(AND(K770=0,M770=0,O770=0),IF(I770&lt;POSTAVKE!$B$6,"Naruči odmah","Sve u redu"),IF(F770-H770*J770&lt;0,"Rupa za ~"&amp;TEXT(I770,"0.0")&amp;" mj.",IF(AND(M770&gt;0,F770-H770*L770+K770&lt;0),"Rupa nakon 1. dolaska",IF(AND(O770&gt;0,F770-H770*N770+K770+M770&lt;0),"Rupa nakon 2. dolaska",IF(P770&lt;POSTAVKE!$B$6,"Količina nije dovoljna",IF(I770&gt;=POSTAVKE!$B$6,"Sve u redu","Stiže na vrijeme")))))))</f>
        <v>Naruči odmah</v>
      </c>
      <c r="S770" s="23" t="n">
        <f aca="false">IFERROR(INDEX(PODACI_PRODAJA!B:B,MATCH($A770,PODACI_PRODAJA!$A:$A,0)),0)</f>
        <v>5</v>
      </c>
      <c r="T770" s="23" t="n">
        <f aca="false">IFERROR(INDEX(PODACI_PRODAJA!C:C,MATCH($A770,PODACI_PRODAJA!$A:$A,0)),0)</f>
        <v>2</v>
      </c>
      <c r="U770" s="23" t="n">
        <f aca="false">IFERROR(INDEX(PODACI_PRODAJA!D:D,MATCH($A770,PODACI_PRODAJA!$A:$A,0)),0)</f>
        <v>6</v>
      </c>
      <c r="V770" s="23" t="n">
        <f aca="false">IFERROR(INDEX(PODACI_PRODAJA!E:E,MATCH($A770,PODACI_PRODAJA!$A:$A,0)),0)</f>
        <v>7</v>
      </c>
      <c r="W770" s="23" t="n">
        <f aca="false">IFERROR(INDEX(PODACI_PRODAJA!F:F,MATCH($A770,PODACI_PRODAJA!$A:$A,0)),0)</f>
        <v>5</v>
      </c>
      <c r="X770" s="23" t="n">
        <f aca="false">IFERROR(INDEX(PODACI_PRODAJA!G:G,MATCH($A770,PODACI_PRODAJA!$A:$A,0)),0)</f>
        <v>4</v>
      </c>
      <c r="Y770" s="23" t="n">
        <f aca="false">IFERROR(INDEX(PODACI_PRODAJA!H:H,MATCH($A770,PODACI_PRODAJA!$A:$A,0)),0)</f>
        <v>1</v>
      </c>
      <c r="Z770" s="23" t="n">
        <f aca="false">IFERROR(INDEX(PODACI_PRODAJA!I:I,MATCH($A770,PODACI_PRODAJA!$A:$A,0)),0)</f>
        <v>0</v>
      </c>
      <c r="AA770" s="23" t="n">
        <f aca="false">IFERROR(INDEX(PODACI_PRODAJA!J:J,MATCH($A770,PODACI_PRODAJA!$A:$A,0)),0)</f>
        <v>0</v>
      </c>
      <c r="AB770" s="23" t="n">
        <f aca="false">IFERROR(INDEX(PODACI_PRODAJA!K:K,MATCH($A770,PODACI_PRODAJA!$A:$A,0)),0)</f>
        <v>0</v>
      </c>
      <c r="AC770" s="23" t="n">
        <f aca="false">IFERROR(INDEX(PODACI_PRODAJA!L:L,MATCH($A770,PODACI_PRODAJA!$A:$A,0)),0)</f>
        <v>0</v>
      </c>
      <c r="AD770" s="23" t="n">
        <f aca="false">IFERROR(INDEX(PODACI_PRODAJA!M:M,MATCH($A770,PODACI_PRODAJA!$A:$A,0)),0)</f>
        <v>0</v>
      </c>
    </row>
    <row r="771" customFormat="false" ht="15" hidden="false" customHeight="false" outlineLevel="0" collapsed="false">
      <c r="A771" s="11" t="str">
        <f aca="false">PODACI_ZALIHE!A768</f>
        <v>17271</v>
      </c>
      <c r="B771" s="8" t="str">
        <f aca="false">PODACI_ZALIHE!B768</f>
        <v>NEROLA MIJEŠALICA ZA UMIVAONIK GUN GRAYVISOKA</v>
      </c>
      <c r="C771" s="9" t="n">
        <f aca="false">PODACI_ZALIHE!C768</f>
        <v>0</v>
      </c>
      <c r="D771" s="8" t="n">
        <f aca="false">PODACI_ZALIHE!D768</f>
        <v>0</v>
      </c>
      <c r="E771" s="19" t="n">
        <f aca="false">IF(PODACI_ZALIHE!E768="","",PODACI_ZALIHE!E768)</f>
        <v>0</v>
      </c>
      <c r="F771" s="20" t="n">
        <f aca="false">PODACI_ZALIHE!F768</f>
        <v>0</v>
      </c>
      <c r="G771" s="19" t="n">
        <f aca="false">IF(E771="","",E771-F771)</f>
        <v>0</v>
      </c>
      <c r="H771" s="9" t="n">
        <f aca="false">PODACI_PRODAJA!N280</f>
        <v>5.63</v>
      </c>
      <c r="I771" s="21" t="n">
        <f aca="false">IF(H771&lt;=0,999,ROUND(F771/H771,1))</f>
        <v>0</v>
      </c>
      <c r="J771" s="9" t="n">
        <f aca="false">SUMIFS(ROBA_U_DOLASKU!$C$6:$C$95,ROBA_U_DOLASKU!$A$6:$A$95,A771,ROBA_U_DOLASKU!$H$6:$H$95,1)</f>
        <v>0</v>
      </c>
      <c r="K771" s="9" t="n">
        <f aca="false">SUMIFS(ROBA_U_DOLASKU!$B$6:$B$95,ROBA_U_DOLASKU!$A$6:$A$95,A771,ROBA_U_DOLASKU!$H$6:$H$95,1)</f>
        <v>0</v>
      </c>
      <c r="L771" s="9" t="n">
        <f aca="false">SUMIFS(ROBA_U_DOLASKU!$C$6:$C$95,ROBA_U_DOLASKU!$A$6:$A$95,A771,ROBA_U_DOLASKU!$H$6:$H$95,2)</f>
        <v>0</v>
      </c>
      <c r="M771" s="9" t="n">
        <f aca="false">SUMIFS(ROBA_U_DOLASKU!$B$6:$B$95,ROBA_U_DOLASKU!$A$6:$A$95,A771,ROBA_U_DOLASKU!$H$6:$H$95,2)</f>
        <v>0</v>
      </c>
      <c r="N771" s="9" t="n">
        <f aca="false">SUMIFS(ROBA_U_DOLASKU!$C$6:$C$95,ROBA_U_DOLASKU!$A$6:$A$95,A771,ROBA_U_DOLASKU!$H$6:$H$95,3)</f>
        <v>0</v>
      </c>
      <c r="O771" s="9" t="n">
        <f aca="false">SUMIFS(ROBA_U_DOLASKU!$B$6:$B$95,ROBA_U_DOLASKU!$A$6:$A$95,A771,ROBA_U_DOLASKU!$H$6:$H$95,3)</f>
        <v>0</v>
      </c>
      <c r="P771" s="9" t="n">
        <f aca="false">IF(H771&lt;=0,999,IF(O771&gt;0,ROUND((F771-H771*N771+K771+M771+O771)/H771,1),IF(M771&gt;0,ROUND((F771-H771*L771+K771+M771)/H771,1),IF(K771&gt;0,ROUND((F771-H771*J771+K771)/H771,1),I771))))</f>
        <v>0</v>
      </c>
      <c r="Q771" s="22" t="str">
        <f aca="false">IF(H771&lt;=0,"Nema prodaje",IF(AND(K771=0,M771=0,O771=0),IF(I771&lt;POSTAVKE!$B$6,"Naruči odmah","Sve u redu"),IF(F771-H771*J771&lt;0,"Rupa za ~"&amp;TEXT(I771,"0.0")&amp;" mj.",IF(AND(M771&gt;0,F771-H771*L771+K771&lt;0),"Rupa nakon 1. dolaska",IF(AND(O771&gt;0,F771-H771*N771+K771+M771&lt;0),"Rupa nakon 2. dolaska",IF(P771&lt;POSTAVKE!$B$6,"Količina nije dovoljna",IF(I771&gt;=POSTAVKE!$B$6,"Sve u redu","Stiže na vrijeme")))))))</f>
        <v>Naruči odmah</v>
      </c>
      <c r="S771" s="23" t="n">
        <f aca="false">IFERROR(INDEX(PODACI_PRODAJA!B:B,MATCH($A771,PODACI_PRODAJA!$A:$A,0)),0)</f>
        <v>1</v>
      </c>
      <c r="T771" s="23" t="n">
        <f aca="false">IFERROR(INDEX(PODACI_PRODAJA!C:C,MATCH($A771,PODACI_PRODAJA!$A:$A,0)),0)</f>
        <v>3</v>
      </c>
      <c r="U771" s="23" t="n">
        <f aca="false">IFERROR(INDEX(PODACI_PRODAJA!D:D,MATCH($A771,PODACI_PRODAJA!$A:$A,0)),0)</f>
        <v>6</v>
      </c>
      <c r="V771" s="23" t="n">
        <f aca="false">IFERROR(INDEX(PODACI_PRODAJA!E:E,MATCH($A771,PODACI_PRODAJA!$A:$A,0)),0)</f>
        <v>4</v>
      </c>
      <c r="W771" s="23" t="n">
        <f aca="false">IFERROR(INDEX(PODACI_PRODAJA!F:F,MATCH($A771,PODACI_PRODAJA!$A:$A,0)),0)</f>
        <v>6</v>
      </c>
      <c r="X771" s="23" t="n">
        <f aca="false">IFERROR(INDEX(PODACI_PRODAJA!G:G,MATCH($A771,PODACI_PRODAJA!$A:$A,0)),0)</f>
        <v>8</v>
      </c>
      <c r="Y771" s="23" t="n">
        <f aca="false">IFERROR(INDEX(PODACI_PRODAJA!H:H,MATCH($A771,PODACI_PRODAJA!$A:$A,0)),0)</f>
        <v>14</v>
      </c>
      <c r="Z771" s="23" t="n">
        <f aca="false">IFERROR(INDEX(PODACI_PRODAJA!I:I,MATCH($A771,PODACI_PRODAJA!$A:$A,0)),0)</f>
        <v>3</v>
      </c>
      <c r="AA771" s="23" t="n">
        <f aca="false">IFERROR(INDEX(PODACI_PRODAJA!J:J,MATCH($A771,PODACI_PRODAJA!$A:$A,0)),0)</f>
        <v>0</v>
      </c>
      <c r="AB771" s="23" t="n">
        <f aca="false">IFERROR(INDEX(PODACI_PRODAJA!K:K,MATCH($A771,PODACI_PRODAJA!$A:$A,0)),0)</f>
        <v>0</v>
      </c>
      <c r="AC771" s="23" t="n">
        <f aca="false">IFERROR(INDEX(PODACI_PRODAJA!L:L,MATCH($A771,PODACI_PRODAJA!$A:$A,0)),0)</f>
        <v>0</v>
      </c>
      <c r="AD771" s="23" t="n">
        <f aca="false">IFERROR(INDEX(PODACI_PRODAJA!M:M,MATCH($A771,PODACI_PRODAJA!$A:$A,0)),0)</f>
        <v>0</v>
      </c>
    </row>
    <row r="772" customFormat="false" ht="15" hidden="false" customHeight="false" outlineLevel="0" collapsed="false">
      <c r="A772" s="11" t="str">
        <f aca="false">PODACI_ZALIHE!A769</f>
        <v>17274</v>
      </c>
      <c r="B772" s="8" t="str">
        <f aca="false">PODACI_ZALIHE!B769</f>
        <v>CALM 150 SAMOSTOJEĆA KUPAONSKA KADA 1500X700X580 MM</v>
      </c>
      <c r="C772" s="9" t="n">
        <f aca="false">PODACI_ZALIHE!C769</f>
        <v>0</v>
      </c>
      <c r="D772" s="8" t="n">
        <f aca="false">PODACI_ZALIHE!D769</f>
        <v>0</v>
      </c>
      <c r="E772" s="19" t="n">
        <f aca="false">IF(PODACI_ZALIHE!E769="","",PODACI_ZALIHE!E769)</f>
        <v>0</v>
      </c>
      <c r="F772" s="20" t="n">
        <f aca="false">PODACI_ZALIHE!F769</f>
        <v>0</v>
      </c>
      <c r="G772" s="19" t="n">
        <f aca="false">IF(E772="","",E772-F772)</f>
        <v>0</v>
      </c>
      <c r="H772" s="9" t="n">
        <f aca="false">PODACI_PRODAJA!N637</f>
        <v>0.13</v>
      </c>
      <c r="I772" s="21" t="n">
        <f aca="false">IF(H772&lt;=0,999,ROUND(F772/H772,1))</f>
        <v>0</v>
      </c>
      <c r="J772" s="9" t="n">
        <f aca="false">SUMIFS(ROBA_U_DOLASKU!$C$6:$C$95,ROBA_U_DOLASKU!$A$6:$A$95,A772,ROBA_U_DOLASKU!$H$6:$H$95,1)</f>
        <v>0</v>
      </c>
      <c r="K772" s="9" t="n">
        <f aca="false">SUMIFS(ROBA_U_DOLASKU!$B$6:$B$95,ROBA_U_DOLASKU!$A$6:$A$95,A772,ROBA_U_DOLASKU!$H$6:$H$95,1)</f>
        <v>0</v>
      </c>
      <c r="L772" s="9" t="n">
        <f aca="false">SUMIFS(ROBA_U_DOLASKU!$C$6:$C$95,ROBA_U_DOLASKU!$A$6:$A$95,A772,ROBA_U_DOLASKU!$H$6:$H$95,2)</f>
        <v>0</v>
      </c>
      <c r="M772" s="9" t="n">
        <f aca="false">SUMIFS(ROBA_U_DOLASKU!$B$6:$B$95,ROBA_U_DOLASKU!$A$6:$A$95,A772,ROBA_U_DOLASKU!$H$6:$H$95,2)</f>
        <v>0</v>
      </c>
      <c r="N772" s="9" t="n">
        <f aca="false">SUMIFS(ROBA_U_DOLASKU!$C$6:$C$95,ROBA_U_DOLASKU!$A$6:$A$95,A772,ROBA_U_DOLASKU!$H$6:$H$95,3)</f>
        <v>0</v>
      </c>
      <c r="O772" s="9" t="n">
        <f aca="false">SUMIFS(ROBA_U_DOLASKU!$B$6:$B$95,ROBA_U_DOLASKU!$A$6:$A$95,A772,ROBA_U_DOLASKU!$H$6:$H$95,3)</f>
        <v>0</v>
      </c>
      <c r="P772" s="9" t="n">
        <f aca="false">IF(H772&lt;=0,999,IF(O772&gt;0,ROUND((F772-H772*N772+K772+M772+O772)/H772,1),IF(M772&gt;0,ROUND((F772-H772*L772+K772+M772)/H772,1),IF(K772&gt;0,ROUND((F772-H772*J772+K772)/H772,1),I772))))</f>
        <v>0</v>
      </c>
      <c r="Q772" s="22" t="str">
        <f aca="false">IF(H772&lt;=0,"Nema prodaje",IF(AND(K772=0,M772=0,O772=0),IF(I772&lt;POSTAVKE!$B$6,"Naruči odmah","Sve u redu"),IF(F772-H772*J772&lt;0,"Rupa za ~"&amp;TEXT(I772,"0.0")&amp;" mj.",IF(AND(M772&gt;0,F772-H772*L772+K772&lt;0),"Rupa nakon 1. dolaska",IF(AND(O772&gt;0,F772-H772*N772+K772+M772&lt;0),"Rupa nakon 2. dolaska",IF(P772&lt;POSTAVKE!$B$6,"Količina nije dovoljna",IF(I772&gt;=POSTAVKE!$B$6,"Sve u redu","Stiže na vrijeme")))))))</f>
        <v>Naruči odmah</v>
      </c>
      <c r="S772" s="23" t="n">
        <f aca="false">IFERROR(INDEX(PODACI_PRODAJA!B:B,MATCH($A772,PODACI_PRODAJA!$A:$A,0)),0)</f>
        <v>0</v>
      </c>
      <c r="T772" s="23" t="n">
        <f aca="false">IFERROR(INDEX(PODACI_PRODAJA!C:C,MATCH($A772,PODACI_PRODAJA!$A:$A,0)),0)</f>
        <v>1</v>
      </c>
      <c r="U772" s="23" t="n">
        <f aca="false">IFERROR(INDEX(PODACI_PRODAJA!D:D,MATCH($A772,PODACI_PRODAJA!$A:$A,0)),0)</f>
        <v>0</v>
      </c>
      <c r="V772" s="23" t="n">
        <f aca="false">IFERROR(INDEX(PODACI_PRODAJA!E:E,MATCH($A772,PODACI_PRODAJA!$A:$A,0)),0)</f>
        <v>0</v>
      </c>
      <c r="W772" s="23" t="n">
        <f aca="false">IFERROR(INDEX(PODACI_PRODAJA!F:F,MATCH($A772,PODACI_PRODAJA!$A:$A,0)),0)</f>
        <v>0</v>
      </c>
      <c r="X772" s="23" t="n">
        <f aca="false">IFERROR(INDEX(PODACI_PRODAJA!G:G,MATCH($A772,PODACI_PRODAJA!$A:$A,0)),0)</f>
        <v>0</v>
      </c>
      <c r="Y772" s="23" t="n">
        <f aca="false">IFERROR(INDEX(PODACI_PRODAJA!H:H,MATCH($A772,PODACI_PRODAJA!$A:$A,0)),0)</f>
        <v>0</v>
      </c>
      <c r="Z772" s="23" t="n">
        <f aca="false">IFERROR(INDEX(PODACI_PRODAJA!I:I,MATCH($A772,PODACI_PRODAJA!$A:$A,0)),0)</f>
        <v>0</v>
      </c>
      <c r="AA772" s="23" t="n">
        <f aca="false">IFERROR(INDEX(PODACI_PRODAJA!J:J,MATCH($A772,PODACI_PRODAJA!$A:$A,0)),0)</f>
        <v>0</v>
      </c>
      <c r="AB772" s="23" t="n">
        <f aca="false">IFERROR(INDEX(PODACI_PRODAJA!K:K,MATCH($A772,PODACI_PRODAJA!$A:$A,0)),0)</f>
        <v>0</v>
      </c>
      <c r="AC772" s="23" t="n">
        <f aca="false">IFERROR(INDEX(PODACI_PRODAJA!L:L,MATCH($A772,PODACI_PRODAJA!$A:$A,0)),0)</f>
        <v>0</v>
      </c>
      <c r="AD772" s="23" t="n">
        <f aca="false">IFERROR(INDEX(PODACI_PRODAJA!M:M,MATCH($A772,PODACI_PRODAJA!$A:$A,0)),0)</f>
        <v>0</v>
      </c>
    </row>
    <row r="773" customFormat="false" ht="15" hidden="false" customHeight="false" outlineLevel="0" collapsed="false">
      <c r="A773" s="11" t="str">
        <f aca="false">PODACI_ZALIHE!A770</f>
        <v>17275</v>
      </c>
      <c r="B773" s="8" t="str">
        <f aca="false">PODACI_ZALIHE!B770</f>
        <v>CALM 170 SAMOSTOJEĆA KUPAONSKA KADA 1700X800X580 MM</v>
      </c>
      <c r="C773" s="9" t="n">
        <f aca="false">PODACI_ZALIHE!C770</f>
        <v>0</v>
      </c>
      <c r="D773" s="8" t="n">
        <f aca="false">PODACI_ZALIHE!D770</f>
        <v>0</v>
      </c>
      <c r="E773" s="19" t="n">
        <f aca="false">IF(PODACI_ZALIHE!E770="","",PODACI_ZALIHE!E770)</f>
        <v>0</v>
      </c>
      <c r="F773" s="20" t="n">
        <f aca="false">PODACI_ZALIHE!F770</f>
        <v>0</v>
      </c>
      <c r="G773" s="19" t="n">
        <f aca="false">IF(E773="","",E773-F773)</f>
        <v>0</v>
      </c>
      <c r="H773" s="9" t="n">
        <f aca="false">PODACI_PRODAJA!N638</f>
        <v>0.5</v>
      </c>
      <c r="I773" s="21" t="n">
        <f aca="false">IF(H773&lt;=0,999,ROUND(F773/H773,1))</f>
        <v>0</v>
      </c>
      <c r="J773" s="9" t="n">
        <f aca="false">SUMIFS(ROBA_U_DOLASKU!$C$6:$C$95,ROBA_U_DOLASKU!$A$6:$A$95,A773,ROBA_U_DOLASKU!$H$6:$H$95,1)</f>
        <v>0</v>
      </c>
      <c r="K773" s="9" t="n">
        <f aca="false">SUMIFS(ROBA_U_DOLASKU!$B$6:$B$95,ROBA_U_DOLASKU!$A$6:$A$95,A773,ROBA_U_DOLASKU!$H$6:$H$95,1)</f>
        <v>0</v>
      </c>
      <c r="L773" s="9" t="n">
        <f aca="false">SUMIFS(ROBA_U_DOLASKU!$C$6:$C$95,ROBA_U_DOLASKU!$A$6:$A$95,A773,ROBA_U_DOLASKU!$H$6:$H$95,2)</f>
        <v>0</v>
      </c>
      <c r="M773" s="9" t="n">
        <f aca="false">SUMIFS(ROBA_U_DOLASKU!$B$6:$B$95,ROBA_U_DOLASKU!$A$6:$A$95,A773,ROBA_U_DOLASKU!$H$6:$H$95,2)</f>
        <v>0</v>
      </c>
      <c r="N773" s="9" t="n">
        <f aca="false">SUMIFS(ROBA_U_DOLASKU!$C$6:$C$95,ROBA_U_DOLASKU!$A$6:$A$95,A773,ROBA_U_DOLASKU!$H$6:$H$95,3)</f>
        <v>0</v>
      </c>
      <c r="O773" s="9" t="n">
        <f aca="false">SUMIFS(ROBA_U_DOLASKU!$B$6:$B$95,ROBA_U_DOLASKU!$A$6:$A$95,A773,ROBA_U_DOLASKU!$H$6:$H$95,3)</f>
        <v>0</v>
      </c>
      <c r="P773" s="9" t="n">
        <f aca="false">IF(H773&lt;=0,999,IF(O773&gt;0,ROUND((F773-H773*N773+K773+M773+O773)/H773,1),IF(M773&gt;0,ROUND((F773-H773*L773+K773+M773)/H773,1),IF(K773&gt;0,ROUND((F773-H773*J773+K773)/H773,1),I773))))</f>
        <v>0</v>
      </c>
      <c r="Q773" s="22" t="str">
        <f aca="false">IF(H773&lt;=0,"Nema prodaje",IF(AND(K773=0,M773=0,O773=0),IF(I773&lt;POSTAVKE!$B$6,"Naruči odmah","Sve u redu"),IF(F773-H773*J773&lt;0,"Rupa za ~"&amp;TEXT(I773,"0.0")&amp;" mj.",IF(AND(M773&gt;0,F773-H773*L773+K773&lt;0),"Rupa nakon 1. dolaska",IF(AND(O773&gt;0,F773-H773*N773+K773+M773&lt;0),"Rupa nakon 2. dolaska",IF(P773&lt;POSTAVKE!$B$6,"Količina nije dovoljna",IF(I773&gt;=POSTAVKE!$B$6,"Sve u redu","Stiže na vrijeme")))))))</f>
        <v>Naruči odmah</v>
      </c>
      <c r="S773" s="23" t="n">
        <f aca="false">IFERROR(INDEX(PODACI_PRODAJA!B:B,MATCH($A773,PODACI_PRODAJA!$A:$A,0)),0)</f>
        <v>0</v>
      </c>
      <c r="T773" s="23" t="n">
        <f aca="false">IFERROR(INDEX(PODACI_PRODAJA!C:C,MATCH($A773,PODACI_PRODAJA!$A:$A,0)),0)</f>
        <v>1</v>
      </c>
      <c r="U773" s="23" t="n">
        <f aca="false">IFERROR(INDEX(PODACI_PRODAJA!D:D,MATCH($A773,PODACI_PRODAJA!$A:$A,0)),0)</f>
        <v>1</v>
      </c>
      <c r="V773" s="23" t="n">
        <f aca="false">IFERROR(INDEX(PODACI_PRODAJA!E:E,MATCH($A773,PODACI_PRODAJA!$A:$A,0)),0)</f>
        <v>2</v>
      </c>
      <c r="W773" s="23" t="n">
        <f aca="false">IFERROR(INDEX(PODACI_PRODAJA!F:F,MATCH($A773,PODACI_PRODAJA!$A:$A,0)),0)</f>
        <v>0</v>
      </c>
      <c r="X773" s="23" t="n">
        <f aca="false">IFERROR(INDEX(PODACI_PRODAJA!G:G,MATCH($A773,PODACI_PRODAJA!$A:$A,0)),0)</f>
        <v>0</v>
      </c>
      <c r="Y773" s="23" t="n">
        <f aca="false">IFERROR(INDEX(PODACI_PRODAJA!H:H,MATCH($A773,PODACI_PRODAJA!$A:$A,0)),0)</f>
        <v>0</v>
      </c>
      <c r="Z773" s="23" t="n">
        <f aca="false">IFERROR(INDEX(PODACI_PRODAJA!I:I,MATCH($A773,PODACI_PRODAJA!$A:$A,0)),0)</f>
        <v>0</v>
      </c>
      <c r="AA773" s="23" t="n">
        <f aca="false">IFERROR(INDEX(PODACI_PRODAJA!J:J,MATCH($A773,PODACI_PRODAJA!$A:$A,0)),0)</f>
        <v>0</v>
      </c>
      <c r="AB773" s="23" t="n">
        <f aca="false">IFERROR(INDEX(PODACI_PRODAJA!K:K,MATCH($A773,PODACI_PRODAJA!$A:$A,0)),0)</f>
        <v>0</v>
      </c>
      <c r="AC773" s="23" t="n">
        <f aca="false">IFERROR(INDEX(PODACI_PRODAJA!L:L,MATCH($A773,PODACI_PRODAJA!$A:$A,0)),0)</f>
        <v>0</v>
      </c>
      <c r="AD773" s="23" t="n">
        <f aca="false">IFERROR(INDEX(PODACI_PRODAJA!M:M,MATCH($A773,PODACI_PRODAJA!$A:$A,0)),0)</f>
        <v>0</v>
      </c>
    </row>
    <row r="774" customFormat="false" ht="15" hidden="false" customHeight="false" outlineLevel="0" collapsed="false">
      <c r="A774" s="11" t="str">
        <f aca="false">PODACI_ZALIHE!A771</f>
        <v>18251</v>
      </c>
      <c r="B774" s="8" t="str">
        <f aca="false">PODACI_ZALIHE!B771</f>
        <v>ATENA OGLEDALO S LED RASVJETOM D60 cm</v>
      </c>
      <c r="C774" s="9" t="str">
        <f aca="false">PODACI_ZALIHE!C771</f>
        <v>6032</v>
      </c>
      <c r="D774" s="8" t="str">
        <f aca="false">PODACI_ZALIHE!D771</f>
        <v>HANGZHOU ZIHAN MIRROR INDUSTRY CO., LTD.</v>
      </c>
      <c r="E774" s="19" t="n">
        <f aca="false">IF(PODACI_ZALIHE!E771="","",PODACI_ZALIHE!E771)</f>
        <v>0</v>
      </c>
      <c r="F774" s="20" t="n">
        <f aca="false">PODACI_ZALIHE!F771</f>
        <v>0</v>
      </c>
      <c r="G774" s="19" t="n">
        <f aca="false">IF(E774="","",E774-F774)</f>
        <v>0</v>
      </c>
      <c r="H774" s="9" t="n">
        <f aca="false">PODACI_PRODAJA!N111</f>
        <v>25.13</v>
      </c>
      <c r="I774" s="21" t="n">
        <f aca="false">IF(H774&lt;=0,999,ROUND(F774/H774,1))</f>
        <v>0</v>
      </c>
      <c r="J774" s="9" t="n">
        <f aca="false">SUMIFS(ROBA_U_DOLASKU!$C$6:$C$95,ROBA_U_DOLASKU!$A$6:$A$95,A774,ROBA_U_DOLASKU!$H$6:$H$95,1)</f>
        <v>2.2</v>
      </c>
      <c r="K774" s="9" t="n">
        <f aca="false">SUMIFS(ROBA_U_DOLASKU!$B$6:$B$95,ROBA_U_DOLASKU!$A$6:$A$95,A774,ROBA_U_DOLASKU!$H$6:$H$95,1)</f>
        <v>80</v>
      </c>
      <c r="L774" s="9" t="n">
        <f aca="false">SUMIFS(ROBA_U_DOLASKU!$C$6:$C$95,ROBA_U_DOLASKU!$A$6:$A$95,A774,ROBA_U_DOLASKU!$H$6:$H$95,2)</f>
        <v>0</v>
      </c>
      <c r="M774" s="9" t="n">
        <f aca="false">SUMIFS(ROBA_U_DOLASKU!$B$6:$B$95,ROBA_U_DOLASKU!$A$6:$A$95,A774,ROBA_U_DOLASKU!$H$6:$H$95,2)</f>
        <v>0</v>
      </c>
      <c r="N774" s="9" t="n">
        <f aca="false">SUMIFS(ROBA_U_DOLASKU!$C$6:$C$95,ROBA_U_DOLASKU!$A$6:$A$95,A774,ROBA_U_DOLASKU!$H$6:$H$95,3)</f>
        <v>0</v>
      </c>
      <c r="O774" s="9" t="n">
        <f aca="false">SUMIFS(ROBA_U_DOLASKU!$B$6:$B$95,ROBA_U_DOLASKU!$A$6:$A$95,A774,ROBA_U_DOLASKU!$H$6:$H$95,3)</f>
        <v>0</v>
      </c>
      <c r="P774" s="9" t="n">
        <f aca="false">IF(H774&lt;=0,999,IF(O774&gt;0,ROUND((F774-H774*N774+K774+M774+O774)/H774,1),IF(M774&gt;0,ROUND((F774-H774*L774+K774+M774)/H774,1),IF(K774&gt;0,ROUND((F774-H774*J774+K774)/H774,1),I774))))</f>
        <v>1</v>
      </c>
      <c r="Q774" s="22" t="str">
        <f aca="false">IF(H774&lt;=0,"Nema prodaje",IF(AND(K774=0,M774=0,O774=0),IF(I774&lt;POSTAVKE!$B$6,"Naruči odmah","Sve u redu"),IF(F774-H774*J774&lt;0,"Rupa za ~"&amp;TEXT(I774,"0.0")&amp;" mj.",IF(AND(M774&gt;0,F774-H774*L774+K774&lt;0),"Rupa nakon 1. dolaska",IF(AND(O774&gt;0,F774-H774*N774+K774+M774&lt;0),"Rupa nakon 2. dolaska",IF(P774&lt;POSTAVKE!$B$6,"Količina nije dovoljna",IF(I774&gt;=POSTAVKE!$B$6,"Sve u redu","Stiže na vrijeme")))))))</f>
        <v>Rupa za ~0.0 mj.</v>
      </c>
      <c r="S774" s="23" t="n">
        <f aca="false">IFERROR(INDEX(PODACI_PRODAJA!B:B,MATCH($A774,PODACI_PRODAJA!$A:$A,0)),0)</f>
        <v>6</v>
      </c>
      <c r="T774" s="23" t="n">
        <f aca="false">IFERROR(INDEX(PODACI_PRODAJA!C:C,MATCH($A774,PODACI_PRODAJA!$A:$A,0)),0)</f>
        <v>1</v>
      </c>
      <c r="U774" s="23" t="n">
        <f aca="false">IFERROR(INDEX(PODACI_PRODAJA!D:D,MATCH($A774,PODACI_PRODAJA!$A:$A,0)),0)</f>
        <v>28</v>
      </c>
      <c r="V774" s="23" t="n">
        <f aca="false">IFERROR(INDEX(PODACI_PRODAJA!E:E,MATCH($A774,PODACI_PRODAJA!$A:$A,0)),0)</f>
        <v>23</v>
      </c>
      <c r="W774" s="23" t="n">
        <f aca="false">IFERROR(INDEX(PODACI_PRODAJA!F:F,MATCH($A774,PODACI_PRODAJA!$A:$A,0)),0)</f>
        <v>42</v>
      </c>
      <c r="X774" s="23" t="n">
        <f aca="false">IFERROR(INDEX(PODACI_PRODAJA!G:G,MATCH($A774,PODACI_PRODAJA!$A:$A,0)),0)</f>
        <v>27</v>
      </c>
      <c r="Y774" s="23" t="n">
        <f aca="false">IFERROR(INDEX(PODACI_PRODAJA!H:H,MATCH($A774,PODACI_PRODAJA!$A:$A,0)),0)</f>
        <v>37</v>
      </c>
      <c r="Z774" s="23" t="n">
        <f aca="false">IFERROR(INDEX(PODACI_PRODAJA!I:I,MATCH($A774,PODACI_PRODAJA!$A:$A,0)),0)</f>
        <v>37</v>
      </c>
      <c r="AA774" s="23" t="n">
        <f aca="false">IFERROR(INDEX(PODACI_PRODAJA!J:J,MATCH($A774,PODACI_PRODAJA!$A:$A,0)),0)</f>
        <v>0</v>
      </c>
      <c r="AB774" s="23" t="n">
        <f aca="false">IFERROR(INDEX(PODACI_PRODAJA!K:K,MATCH($A774,PODACI_PRODAJA!$A:$A,0)),0)</f>
        <v>0</v>
      </c>
      <c r="AC774" s="23" t="n">
        <f aca="false">IFERROR(INDEX(PODACI_PRODAJA!L:L,MATCH($A774,PODACI_PRODAJA!$A:$A,0)),0)</f>
        <v>0</v>
      </c>
      <c r="AD774" s="23" t="n">
        <f aca="false">IFERROR(INDEX(PODACI_PRODAJA!M:M,MATCH($A774,PODACI_PRODAJA!$A:$A,0)),0)</f>
        <v>0</v>
      </c>
    </row>
    <row r="775" customFormat="false" ht="15" hidden="false" customHeight="false" outlineLevel="0" collapsed="false">
      <c r="A775" s="11" t="str">
        <f aca="false">PODACI_ZALIHE!A772</f>
        <v>18433</v>
      </c>
      <c r="B775" s="8" t="str">
        <f aca="false">PODACI_ZALIHE!B772</f>
        <v>AUREA LED OGLEDALO 40x90cm CCT 3000/4000/5000K</v>
      </c>
      <c r="C775" s="9" t="str">
        <f aca="false">PODACI_ZALIHE!C772</f>
        <v>6032</v>
      </c>
      <c r="D775" s="8" t="str">
        <f aca="false">PODACI_ZALIHE!D772</f>
        <v>HANGZHOU ZIHAN MIRROR INDUSTRY CO., LTD.</v>
      </c>
      <c r="E775" s="19" t="n">
        <f aca="false">IF(PODACI_ZALIHE!E772="","",PODACI_ZALIHE!E772)</f>
        <v>0</v>
      </c>
      <c r="F775" s="20" t="n">
        <f aca="false">PODACI_ZALIHE!F772</f>
        <v>0</v>
      </c>
      <c r="G775" s="19" t="n">
        <f aca="false">IF(E775="","",E775-F775)</f>
        <v>0</v>
      </c>
      <c r="H775" s="9" t="n">
        <f aca="false">PODACI_PRODAJA!N166</f>
        <v>7.38</v>
      </c>
      <c r="I775" s="21" t="n">
        <f aca="false">IF(H775&lt;=0,999,ROUND(F775/H775,1))</f>
        <v>0</v>
      </c>
      <c r="J775" s="9" t="n">
        <f aca="false">SUMIFS(ROBA_U_DOLASKU!$C$6:$C$95,ROBA_U_DOLASKU!$A$6:$A$95,A775,ROBA_U_DOLASKU!$H$6:$H$95,1)</f>
        <v>2.2</v>
      </c>
      <c r="K775" s="9" t="n">
        <f aca="false">SUMIFS(ROBA_U_DOLASKU!$B$6:$B$95,ROBA_U_DOLASKU!$A$6:$A$95,A775,ROBA_U_DOLASKU!$H$6:$H$95,1)</f>
        <v>100</v>
      </c>
      <c r="L775" s="9" t="n">
        <f aca="false">SUMIFS(ROBA_U_DOLASKU!$C$6:$C$95,ROBA_U_DOLASKU!$A$6:$A$95,A775,ROBA_U_DOLASKU!$H$6:$H$95,2)</f>
        <v>0</v>
      </c>
      <c r="M775" s="9" t="n">
        <f aca="false">SUMIFS(ROBA_U_DOLASKU!$B$6:$B$95,ROBA_U_DOLASKU!$A$6:$A$95,A775,ROBA_U_DOLASKU!$H$6:$H$95,2)</f>
        <v>0</v>
      </c>
      <c r="N775" s="9" t="n">
        <f aca="false">SUMIFS(ROBA_U_DOLASKU!$C$6:$C$95,ROBA_U_DOLASKU!$A$6:$A$95,A775,ROBA_U_DOLASKU!$H$6:$H$95,3)</f>
        <v>0</v>
      </c>
      <c r="O775" s="9" t="n">
        <f aca="false">SUMIFS(ROBA_U_DOLASKU!$B$6:$B$95,ROBA_U_DOLASKU!$A$6:$A$95,A775,ROBA_U_DOLASKU!$H$6:$H$95,3)</f>
        <v>0</v>
      </c>
      <c r="P775" s="9" t="n">
        <f aca="false">IF(H775&lt;=0,999,IF(O775&gt;0,ROUND((F775-H775*N775+K775+M775+O775)/H775,1),IF(M775&gt;0,ROUND((F775-H775*L775+K775+M775)/H775,1),IF(K775&gt;0,ROUND((F775-H775*J775+K775)/H775,1),I775))))</f>
        <v>11.4</v>
      </c>
      <c r="Q775" s="22" t="str">
        <f aca="false">IF(H775&lt;=0,"Nema prodaje",IF(AND(K775=0,M775=0,O775=0),IF(I775&lt;POSTAVKE!$B$6,"Naruči odmah","Sve u redu"),IF(F775-H775*J775&lt;0,"Rupa za ~"&amp;TEXT(I775,"0.0")&amp;" mj.",IF(AND(M775&gt;0,F775-H775*L775+K775&lt;0),"Rupa nakon 1. dolaska",IF(AND(O775&gt;0,F775-H775*N775+K775+M775&lt;0),"Rupa nakon 2. dolaska",IF(P775&lt;POSTAVKE!$B$6,"Količina nije dovoljna",IF(I775&gt;=POSTAVKE!$B$6,"Sve u redu","Stiže na vrijeme")))))))</f>
        <v>Rupa za ~0.0 mj.</v>
      </c>
      <c r="S775" s="23" t="n">
        <f aca="false">IFERROR(INDEX(PODACI_PRODAJA!B:B,MATCH($A775,PODACI_PRODAJA!$A:$A,0)),0)</f>
        <v>3</v>
      </c>
      <c r="T775" s="23" t="n">
        <f aca="false">IFERROR(INDEX(PODACI_PRODAJA!C:C,MATCH($A775,PODACI_PRODAJA!$A:$A,0)),0)</f>
        <v>3</v>
      </c>
      <c r="U775" s="23" t="n">
        <f aca="false">IFERROR(INDEX(PODACI_PRODAJA!D:D,MATCH($A775,PODACI_PRODAJA!$A:$A,0)),0)</f>
        <v>23</v>
      </c>
      <c r="V775" s="23" t="n">
        <f aca="false">IFERROR(INDEX(PODACI_PRODAJA!E:E,MATCH($A775,PODACI_PRODAJA!$A:$A,0)),0)</f>
        <v>17</v>
      </c>
      <c r="W775" s="23" t="n">
        <f aca="false">IFERROR(INDEX(PODACI_PRODAJA!F:F,MATCH($A775,PODACI_PRODAJA!$A:$A,0)),0)</f>
        <v>13</v>
      </c>
      <c r="X775" s="23" t="n">
        <f aca="false">IFERROR(INDEX(PODACI_PRODAJA!G:G,MATCH($A775,PODACI_PRODAJA!$A:$A,0)),0)</f>
        <v>0</v>
      </c>
      <c r="Y775" s="23" t="n">
        <f aca="false">IFERROR(INDEX(PODACI_PRODAJA!H:H,MATCH($A775,PODACI_PRODAJA!$A:$A,0)),0)</f>
        <v>0</v>
      </c>
      <c r="Z775" s="23" t="n">
        <f aca="false">IFERROR(INDEX(PODACI_PRODAJA!I:I,MATCH($A775,PODACI_PRODAJA!$A:$A,0)),0)</f>
        <v>0</v>
      </c>
      <c r="AA775" s="23" t="n">
        <f aca="false">IFERROR(INDEX(PODACI_PRODAJA!J:J,MATCH($A775,PODACI_PRODAJA!$A:$A,0)),0)</f>
        <v>0</v>
      </c>
      <c r="AB775" s="23" t="n">
        <f aca="false">IFERROR(INDEX(PODACI_PRODAJA!K:K,MATCH($A775,PODACI_PRODAJA!$A:$A,0)),0)</f>
        <v>0</v>
      </c>
      <c r="AC775" s="23" t="n">
        <f aca="false">IFERROR(INDEX(PODACI_PRODAJA!L:L,MATCH($A775,PODACI_PRODAJA!$A:$A,0)),0)</f>
        <v>0</v>
      </c>
      <c r="AD775" s="23" t="n">
        <f aca="false">IFERROR(INDEX(PODACI_PRODAJA!M:M,MATCH($A775,PODACI_PRODAJA!$A:$A,0)),0)</f>
        <v>0</v>
      </c>
    </row>
    <row r="776" customFormat="false" ht="15" hidden="false" customHeight="false" outlineLevel="0" collapsed="false">
      <c r="A776" s="11" t="str">
        <f aca="false">PODACI_ZALIHE!A773</f>
        <v>771</v>
      </c>
      <c r="B776" s="8" t="n">
        <f aca="false">PODACI_ZALIHE!B773</f>
        <v>0</v>
      </c>
      <c r="C776" s="9" t="n">
        <f aca="false">PODACI_ZALIHE!C773</f>
        <v>0</v>
      </c>
      <c r="D776" s="8" t="n">
        <f aca="false">PODACI_ZALIHE!D773</f>
        <v>0</v>
      </c>
      <c r="E776" s="19" t="str">
        <f aca="false">IF(PODACI_ZALIHE!E773="","",PODACI_ZALIHE!E773)</f>
        <v/>
      </c>
      <c r="F776" s="20" t="n">
        <f aca="false">PODACI_ZALIHE!F773</f>
        <v>33178.5</v>
      </c>
      <c r="G776" s="19" t="str">
        <f aca="false">IF(E776="","",E776-F776)</f>
        <v/>
      </c>
      <c r="H776" s="9" t="n">
        <v>0</v>
      </c>
      <c r="I776" s="21" t="n">
        <f aca="false">IF(H776&lt;=0,999,ROUND(F776/H776,1))</f>
        <v>999</v>
      </c>
      <c r="J776" s="9" t="n">
        <f aca="false">SUMIFS(ROBA_U_DOLASKU!$C$6:$C$95,ROBA_U_DOLASKU!$A$6:$A$95,A776,ROBA_U_DOLASKU!$H$6:$H$95,1)</f>
        <v>0</v>
      </c>
      <c r="K776" s="9" t="n">
        <f aca="false">SUMIFS(ROBA_U_DOLASKU!$B$6:$B$95,ROBA_U_DOLASKU!$A$6:$A$95,A776,ROBA_U_DOLASKU!$H$6:$H$95,1)</f>
        <v>0</v>
      </c>
      <c r="L776" s="9" t="n">
        <f aca="false">SUMIFS(ROBA_U_DOLASKU!$C$6:$C$95,ROBA_U_DOLASKU!$A$6:$A$95,A776,ROBA_U_DOLASKU!$H$6:$H$95,2)</f>
        <v>0</v>
      </c>
      <c r="M776" s="9" t="n">
        <f aca="false">SUMIFS(ROBA_U_DOLASKU!$B$6:$B$95,ROBA_U_DOLASKU!$A$6:$A$95,A776,ROBA_U_DOLASKU!$H$6:$H$95,2)</f>
        <v>0</v>
      </c>
      <c r="N776" s="9" t="n">
        <f aca="false">SUMIFS(ROBA_U_DOLASKU!$C$6:$C$95,ROBA_U_DOLASKU!$A$6:$A$95,A776,ROBA_U_DOLASKU!$H$6:$H$95,3)</f>
        <v>0</v>
      </c>
      <c r="O776" s="9" t="n">
        <f aca="false">SUMIFS(ROBA_U_DOLASKU!$B$6:$B$95,ROBA_U_DOLASKU!$A$6:$A$95,A776,ROBA_U_DOLASKU!$H$6:$H$95,3)</f>
        <v>0</v>
      </c>
      <c r="P776" s="9" t="n">
        <f aca="false">IF(H776&lt;=0,999,IF(O776&gt;0,ROUND((F776-H776*N776+K776+M776+O776)/H776,1),IF(M776&gt;0,ROUND((F776-H776*L776+K776+M776)/H776,1),IF(K776&gt;0,ROUND((F776-H776*J776+K776)/H776,1),I776))))</f>
        <v>999</v>
      </c>
      <c r="Q776" s="22" t="str">
        <f aca="false">IF(H776&lt;=0,"Nema prodaje",IF(AND(K776=0,M776=0,O776=0),IF(I776&lt;POSTAVKE!$B$6,"Naruči odmah","Sve u redu"),IF(F776-H776*J776&lt;0,"Rupa za ~"&amp;TEXT(I776,"0.0")&amp;" mj.",IF(AND(M776&gt;0,F776-H776*L776+K776&lt;0),"Rupa nakon 1. dolaska",IF(AND(O776&gt;0,F776-H776*N776+K776+M776&lt;0),"Rupa nakon 2. dolaska",IF(P776&lt;POSTAVKE!$B$6,"Količina nije dovoljna",IF(I776&gt;=POSTAVKE!$B$6,"Sve u redu","Stiže na vrijeme")))))))</f>
        <v>Nema prodaje</v>
      </c>
      <c r="S776" s="23" t="n">
        <f aca="false">IFERROR(INDEX(PODACI_PRODAJA!B:B,MATCH($A776,PODACI_PRODAJA!$A:$A,0)),0)</f>
        <v>0</v>
      </c>
      <c r="T776" s="23" t="n">
        <f aca="false">IFERROR(INDEX(PODACI_PRODAJA!C:C,MATCH($A776,PODACI_PRODAJA!$A:$A,0)),0)</f>
        <v>0</v>
      </c>
      <c r="U776" s="23" t="n">
        <f aca="false">IFERROR(INDEX(PODACI_PRODAJA!D:D,MATCH($A776,PODACI_PRODAJA!$A:$A,0)),0)</f>
        <v>0</v>
      </c>
      <c r="V776" s="23" t="n">
        <f aca="false">IFERROR(INDEX(PODACI_PRODAJA!E:E,MATCH($A776,PODACI_PRODAJA!$A:$A,0)),0)</f>
        <v>0</v>
      </c>
      <c r="W776" s="23" t="n">
        <f aca="false">IFERROR(INDEX(PODACI_PRODAJA!F:F,MATCH($A776,PODACI_PRODAJA!$A:$A,0)),0)</f>
        <v>0</v>
      </c>
      <c r="X776" s="23" t="n">
        <f aca="false">IFERROR(INDEX(PODACI_PRODAJA!G:G,MATCH($A776,PODACI_PRODAJA!$A:$A,0)),0)</f>
        <v>0</v>
      </c>
      <c r="Y776" s="23" t="n">
        <f aca="false">IFERROR(INDEX(PODACI_PRODAJA!H:H,MATCH($A776,PODACI_PRODAJA!$A:$A,0)),0)</f>
        <v>0</v>
      </c>
      <c r="Z776" s="23" t="n">
        <f aca="false">IFERROR(INDEX(PODACI_PRODAJA!I:I,MATCH($A776,PODACI_PRODAJA!$A:$A,0)),0)</f>
        <v>0</v>
      </c>
      <c r="AA776" s="23" t="n">
        <f aca="false">IFERROR(INDEX(PODACI_PRODAJA!J:J,MATCH($A776,PODACI_PRODAJA!$A:$A,0)),0)</f>
        <v>0</v>
      </c>
      <c r="AB776" s="23" t="n">
        <f aca="false">IFERROR(INDEX(PODACI_PRODAJA!K:K,MATCH($A776,PODACI_PRODAJA!$A:$A,0)),0)</f>
        <v>0</v>
      </c>
      <c r="AC776" s="23" t="n">
        <f aca="false">IFERROR(INDEX(PODACI_PRODAJA!L:L,MATCH($A776,PODACI_PRODAJA!$A:$A,0)),0)</f>
        <v>0</v>
      </c>
      <c r="AD776" s="23" t="n">
        <f aca="false">IFERROR(INDEX(PODACI_PRODAJA!M:M,MATCH($A776,PODACI_PRODAJA!$A:$A,0)),0)</f>
        <v>0</v>
      </c>
    </row>
    <row r="777" customFormat="false" ht="15" hidden="false" customHeight="false" outlineLevel="0" collapsed="false">
      <c r="A777" s="11" t="str">
        <f aca="false">PODACI_ZALIHE!A774</f>
        <v>156720</v>
      </c>
      <c r="B777" s="8" t="str">
        <f aca="false">PODACI_ZALIHE!B774</f>
        <v>BOLD S BIJELA 90100 MINERALSOLID TUŠ KADA 900x1000x30 mm</v>
      </c>
      <c r="C777" s="9" t="n">
        <f aca="false">PODACI_ZALIHE!C774</f>
        <v>0</v>
      </c>
      <c r="D777" s="8" t="n">
        <f aca="false">PODACI_ZALIHE!D774</f>
        <v>0</v>
      </c>
      <c r="E777" s="19" t="str">
        <f aca="false">IF(PODACI_ZALIHE!E774="","",PODACI_ZALIHE!E774)</f>
        <v/>
      </c>
      <c r="F777" s="20" t="n">
        <f aca="false">PODACI_ZALIHE!F774</f>
        <v>0</v>
      </c>
      <c r="G777" s="19" t="str">
        <f aca="false">IF(E777="","",E777-F777)</f>
        <v/>
      </c>
      <c r="H777" s="9" t="n">
        <f aca="false">PODACI_PRODAJA!N86</f>
        <v>2</v>
      </c>
      <c r="I777" s="21" t="n">
        <f aca="false">IF(H777&lt;=0,999,ROUND(F777/H777,1))</f>
        <v>0</v>
      </c>
      <c r="J777" s="9" t="n">
        <f aca="false">SUMIFS(ROBA_U_DOLASKU!$C$6:$C$95,ROBA_U_DOLASKU!$A$6:$A$95,A777,ROBA_U_DOLASKU!$H$6:$H$95,1)</f>
        <v>0</v>
      </c>
      <c r="K777" s="9" t="n">
        <f aca="false">SUMIFS(ROBA_U_DOLASKU!$B$6:$B$95,ROBA_U_DOLASKU!$A$6:$A$95,A777,ROBA_U_DOLASKU!$H$6:$H$95,1)</f>
        <v>0</v>
      </c>
      <c r="L777" s="9" t="n">
        <f aca="false">SUMIFS(ROBA_U_DOLASKU!$C$6:$C$95,ROBA_U_DOLASKU!$A$6:$A$95,A777,ROBA_U_DOLASKU!$H$6:$H$95,2)</f>
        <v>0</v>
      </c>
      <c r="M777" s="9" t="n">
        <f aca="false">SUMIFS(ROBA_U_DOLASKU!$B$6:$B$95,ROBA_U_DOLASKU!$A$6:$A$95,A777,ROBA_U_DOLASKU!$H$6:$H$95,2)</f>
        <v>0</v>
      </c>
      <c r="N777" s="9" t="n">
        <f aca="false">SUMIFS(ROBA_U_DOLASKU!$C$6:$C$95,ROBA_U_DOLASKU!$A$6:$A$95,A777,ROBA_U_DOLASKU!$H$6:$H$95,3)</f>
        <v>0</v>
      </c>
      <c r="O777" s="9" t="n">
        <f aca="false">SUMIFS(ROBA_U_DOLASKU!$B$6:$B$95,ROBA_U_DOLASKU!$A$6:$A$95,A777,ROBA_U_DOLASKU!$H$6:$H$95,3)</f>
        <v>0</v>
      </c>
      <c r="P777" s="9" t="n">
        <f aca="false">IF(H777&lt;=0,999,IF(O777&gt;0,ROUND((F777-H777*N777+K777+M777+O777)/H777,1),IF(M777&gt;0,ROUND((F777-H777*L777+K777+M777)/H777,1),IF(K777&gt;0,ROUND((F777-H777*J777+K777)/H777,1),I777))))</f>
        <v>0</v>
      </c>
      <c r="Q777" s="22" t="str">
        <f aca="false">IF(H777&lt;=0,"Nema prodaje",IF(AND(K777=0,M777=0,O777=0),IF(I777&lt;POSTAVKE!$B$6,"Naruči odmah","Sve u redu"),IF(F777-H777*J777&lt;0,"Rupa za ~"&amp;TEXT(I777,"0.0")&amp;" mj.",IF(AND(M777&gt;0,F777-H777*L777+K777&lt;0),"Rupa nakon 1. dolaska",IF(AND(O777&gt;0,F777-H777*N777+K777+M777&lt;0),"Rupa nakon 2. dolaska",IF(P777&lt;POSTAVKE!$B$6,"Količina nije dovoljna",IF(I777&gt;=POSTAVKE!$B$6,"Sve u redu","Stiže na vrijeme")))))))</f>
        <v>Naruči odmah</v>
      </c>
      <c r="S777" s="23" t="n">
        <f aca="false">IFERROR(INDEX(PODACI_PRODAJA!B:B,MATCH($A777,PODACI_PRODAJA!$A:$A,0)),0)</f>
        <v>8</v>
      </c>
      <c r="T777" s="23" t="n">
        <f aca="false">IFERROR(INDEX(PODACI_PRODAJA!C:C,MATCH($A777,PODACI_PRODAJA!$A:$A,0)),0)</f>
        <v>8</v>
      </c>
      <c r="U777" s="23" t="n">
        <f aca="false">IFERROR(INDEX(PODACI_PRODAJA!D:D,MATCH($A777,PODACI_PRODAJA!$A:$A,0)),0)</f>
        <v>0</v>
      </c>
      <c r="V777" s="23" t="n">
        <f aca="false">IFERROR(INDEX(PODACI_PRODAJA!E:E,MATCH($A777,PODACI_PRODAJA!$A:$A,0)),0)</f>
        <v>0</v>
      </c>
      <c r="W777" s="23" t="n">
        <f aca="false">IFERROR(INDEX(PODACI_PRODAJA!F:F,MATCH($A777,PODACI_PRODAJA!$A:$A,0)),0)</f>
        <v>0</v>
      </c>
      <c r="X777" s="23" t="n">
        <f aca="false">IFERROR(INDEX(PODACI_PRODAJA!G:G,MATCH($A777,PODACI_PRODAJA!$A:$A,0)),0)</f>
        <v>0</v>
      </c>
      <c r="Y777" s="23" t="n">
        <f aca="false">IFERROR(INDEX(PODACI_PRODAJA!H:H,MATCH($A777,PODACI_PRODAJA!$A:$A,0)),0)</f>
        <v>0</v>
      </c>
      <c r="Z777" s="23" t="n">
        <f aca="false">IFERROR(INDEX(PODACI_PRODAJA!I:I,MATCH($A777,PODACI_PRODAJA!$A:$A,0)),0)</f>
        <v>0</v>
      </c>
      <c r="AA777" s="23" t="n">
        <f aca="false">IFERROR(INDEX(PODACI_PRODAJA!J:J,MATCH($A777,PODACI_PRODAJA!$A:$A,0)),0)</f>
        <v>0</v>
      </c>
      <c r="AB777" s="23" t="n">
        <f aca="false">IFERROR(INDEX(PODACI_PRODAJA!K:K,MATCH($A777,PODACI_PRODAJA!$A:$A,0)),0)</f>
        <v>0</v>
      </c>
      <c r="AC777" s="23" t="n">
        <f aca="false">IFERROR(INDEX(PODACI_PRODAJA!L:L,MATCH($A777,PODACI_PRODAJA!$A:$A,0)),0)</f>
        <v>0</v>
      </c>
      <c r="AD777" s="23" t="n">
        <f aca="false">IFERROR(INDEX(PODACI_PRODAJA!M:M,MATCH($A777,PODACI_PRODAJA!$A:$A,0)),0)</f>
        <v>0</v>
      </c>
    </row>
    <row r="778" customFormat="false" ht="15" hidden="false" customHeight="false" outlineLevel="0" collapsed="false">
      <c r="A778" s="11" t="str">
        <f aca="false">PODACI_ZALIHE!A775</f>
        <v>15816</v>
      </c>
      <c r="B778" s="8" t="str">
        <f aca="false">PODACI_ZALIHE!B775</f>
        <v>BOLD LUX 90100 MINERALSOLID TUŠ KADA BIJELA SJAJNA</v>
      </c>
      <c r="C778" s="9" t="n">
        <f aca="false">PODACI_ZALIHE!C775</f>
        <v>0</v>
      </c>
      <c r="D778" s="8" t="n">
        <f aca="false">PODACI_ZALIHE!D775</f>
        <v>0</v>
      </c>
      <c r="E778" s="19" t="str">
        <f aca="false">IF(PODACI_ZALIHE!E775="","",PODACI_ZALIHE!E775)</f>
        <v/>
      </c>
      <c r="F778" s="20" t="n">
        <f aca="false">PODACI_ZALIHE!F775</f>
        <v>0</v>
      </c>
      <c r="G778" s="19" t="str">
        <f aca="false">IF(E778="","",E778-F778)</f>
        <v/>
      </c>
      <c r="H778" s="9" t="n">
        <f aca="false">PODACI_PRODAJA!N102</f>
        <v>1.63</v>
      </c>
      <c r="I778" s="21" t="n">
        <f aca="false">IF(H778&lt;=0,999,ROUND(F778/H778,1))</f>
        <v>0</v>
      </c>
      <c r="J778" s="9" t="n">
        <f aca="false">SUMIFS(ROBA_U_DOLASKU!$C$6:$C$95,ROBA_U_DOLASKU!$A$6:$A$95,A778,ROBA_U_DOLASKU!$H$6:$H$95,1)</f>
        <v>0</v>
      </c>
      <c r="K778" s="9" t="n">
        <f aca="false">SUMIFS(ROBA_U_DOLASKU!$B$6:$B$95,ROBA_U_DOLASKU!$A$6:$A$95,A778,ROBA_U_DOLASKU!$H$6:$H$95,1)</f>
        <v>0</v>
      </c>
      <c r="L778" s="9" t="n">
        <f aca="false">SUMIFS(ROBA_U_DOLASKU!$C$6:$C$95,ROBA_U_DOLASKU!$A$6:$A$95,A778,ROBA_U_DOLASKU!$H$6:$H$95,2)</f>
        <v>0</v>
      </c>
      <c r="M778" s="9" t="n">
        <f aca="false">SUMIFS(ROBA_U_DOLASKU!$B$6:$B$95,ROBA_U_DOLASKU!$A$6:$A$95,A778,ROBA_U_DOLASKU!$H$6:$H$95,2)</f>
        <v>0</v>
      </c>
      <c r="N778" s="9" t="n">
        <f aca="false">SUMIFS(ROBA_U_DOLASKU!$C$6:$C$95,ROBA_U_DOLASKU!$A$6:$A$95,A778,ROBA_U_DOLASKU!$H$6:$H$95,3)</f>
        <v>0</v>
      </c>
      <c r="O778" s="9" t="n">
        <f aca="false">SUMIFS(ROBA_U_DOLASKU!$B$6:$B$95,ROBA_U_DOLASKU!$A$6:$A$95,A778,ROBA_U_DOLASKU!$H$6:$H$95,3)</f>
        <v>0</v>
      </c>
      <c r="P778" s="9" t="n">
        <f aca="false">IF(H778&lt;=0,999,IF(O778&gt;0,ROUND((F778-H778*N778+K778+M778+O778)/H778,1),IF(M778&gt;0,ROUND((F778-H778*L778+K778+M778)/H778,1),IF(K778&gt;0,ROUND((F778-H778*J778+K778)/H778,1),I778))))</f>
        <v>0</v>
      </c>
      <c r="Q778" s="22" t="str">
        <f aca="false">IF(H778&lt;=0,"Nema prodaje",IF(AND(K778=0,M778=0,O778=0),IF(I778&lt;POSTAVKE!$B$6,"Naruči odmah","Sve u redu"),IF(F778-H778*J778&lt;0,"Rupa za ~"&amp;TEXT(I778,"0.0")&amp;" mj.",IF(AND(M778&gt;0,F778-H778*L778+K778&lt;0),"Rupa nakon 1. dolaska",IF(AND(O778&gt;0,F778-H778*N778+K778+M778&lt;0),"Rupa nakon 2. dolaska",IF(P778&lt;POSTAVKE!$B$6,"Količina nije dovoljna",IF(I778&gt;=POSTAVKE!$B$6,"Sve u redu","Stiže na vrijeme")))))))</f>
        <v>Naruči odmah</v>
      </c>
      <c r="S778" s="23" t="n">
        <f aca="false">IFERROR(INDEX(PODACI_PRODAJA!B:B,MATCH($A778,PODACI_PRODAJA!$A:$A,0)),0)</f>
        <v>6</v>
      </c>
      <c r="T778" s="23" t="n">
        <f aca="false">IFERROR(INDEX(PODACI_PRODAJA!C:C,MATCH($A778,PODACI_PRODAJA!$A:$A,0)),0)</f>
        <v>0</v>
      </c>
      <c r="U778" s="23" t="n">
        <f aca="false">IFERROR(INDEX(PODACI_PRODAJA!D:D,MATCH($A778,PODACI_PRODAJA!$A:$A,0)),0)</f>
        <v>0</v>
      </c>
      <c r="V778" s="23" t="n">
        <f aca="false">IFERROR(INDEX(PODACI_PRODAJA!E:E,MATCH($A778,PODACI_PRODAJA!$A:$A,0)),0)</f>
        <v>0</v>
      </c>
      <c r="W778" s="23" t="n">
        <f aca="false">IFERROR(INDEX(PODACI_PRODAJA!F:F,MATCH($A778,PODACI_PRODAJA!$A:$A,0)),0)</f>
        <v>0</v>
      </c>
      <c r="X778" s="23" t="n">
        <f aca="false">IFERROR(INDEX(PODACI_PRODAJA!G:G,MATCH($A778,PODACI_PRODAJA!$A:$A,0)),0)</f>
        <v>7</v>
      </c>
      <c r="Y778" s="23" t="n">
        <f aca="false">IFERROR(INDEX(PODACI_PRODAJA!H:H,MATCH($A778,PODACI_PRODAJA!$A:$A,0)),0)</f>
        <v>0</v>
      </c>
      <c r="Z778" s="23" t="n">
        <f aca="false">IFERROR(INDEX(PODACI_PRODAJA!I:I,MATCH($A778,PODACI_PRODAJA!$A:$A,0)),0)</f>
        <v>0</v>
      </c>
      <c r="AA778" s="23" t="n">
        <f aca="false">IFERROR(INDEX(PODACI_PRODAJA!J:J,MATCH($A778,PODACI_PRODAJA!$A:$A,0)),0)</f>
        <v>0</v>
      </c>
      <c r="AB778" s="23" t="n">
        <f aca="false">IFERROR(INDEX(PODACI_PRODAJA!K:K,MATCH($A778,PODACI_PRODAJA!$A:$A,0)),0)</f>
        <v>0</v>
      </c>
      <c r="AC778" s="23" t="n">
        <f aca="false">IFERROR(INDEX(PODACI_PRODAJA!L:L,MATCH($A778,PODACI_PRODAJA!$A:$A,0)),0)</f>
        <v>0</v>
      </c>
      <c r="AD778" s="23" t="n">
        <f aca="false">IFERROR(INDEX(PODACI_PRODAJA!M:M,MATCH($A778,PODACI_PRODAJA!$A:$A,0)),0)</f>
        <v>0</v>
      </c>
    </row>
    <row r="779" customFormat="false" ht="15" hidden="false" customHeight="false" outlineLevel="0" collapsed="false">
      <c r="A779" s="11" t="str">
        <f aca="false">PODACI_ZALIHE!A776</f>
        <v>043830</v>
      </c>
      <c r="B779" s="8" t="str">
        <f aca="false">PODACI_ZALIHE!B776</f>
        <v>TOSKANA TUŠ SET S MIJEŠALICOM</v>
      </c>
      <c r="C779" s="9" t="n">
        <f aca="false">PODACI_ZALIHE!C776</f>
        <v>0</v>
      </c>
      <c r="D779" s="8" t="n">
        <f aca="false">PODACI_ZALIHE!D776</f>
        <v>0</v>
      </c>
      <c r="E779" s="19" t="str">
        <f aca="false">IF(PODACI_ZALIHE!E776="","",PODACI_ZALIHE!E776)</f>
        <v/>
      </c>
      <c r="F779" s="20" t="n">
        <f aca="false">PODACI_ZALIHE!F776</f>
        <v>0</v>
      </c>
      <c r="G779" s="19" t="str">
        <f aca="false">IF(E779="","",E779-F779)</f>
        <v/>
      </c>
      <c r="H779" s="9" t="n">
        <f aca="false">PODACI_PRODAJA!N128</f>
        <v>5.63</v>
      </c>
      <c r="I779" s="21" t="n">
        <f aca="false">IF(H779&lt;=0,999,ROUND(F779/H779,1))</f>
        <v>0</v>
      </c>
      <c r="J779" s="9" t="n">
        <f aca="false">SUMIFS(ROBA_U_DOLASKU!$C$6:$C$95,ROBA_U_DOLASKU!$A$6:$A$95,A779,ROBA_U_DOLASKU!$H$6:$H$95,1)</f>
        <v>0</v>
      </c>
      <c r="K779" s="9" t="n">
        <f aca="false">SUMIFS(ROBA_U_DOLASKU!$B$6:$B$95,ROBA_U_DOLASKU!$A$6:$A$95,A779,ROBA_U_DOLASKU!$H$6:$H$95,1)</f>
        <v>0</v>
      </c>
      <c r="L779" s="9" t="n">
        <f aca="false">SUMIFS(ROBA_U_DOLASKU!$C$6:$C$95,ROBA_U_DOLASKU!$A$6:$A$95,A779,ROBA_U_DOLASKU!$H$6:$H$95,2)</f>
        <v>0</v>
      </c>
      <c r="M779" s="9" t="n">
        <f aca="false">SUMIFS(ROBA_U_DOLASKU!$B$6:$B$95,ROBA_U_DOLASKU!$A$6:$A$95,A779,ROBA_U_DOLASKU!$H$6:$H$95,2)</f>
        <v>0</v>
      </c>
      <c r="N779" s="9" t="n">
        <f aca="false">SUMIFS(ROBA_U_DOLASKU!$C$6:$C$95,ROBA_U_DOLASKU!$A$6:$A$95,A779,ROBA_U_DOLASKU!$H$6:$H$95,3)</f>
        <v>0</v>
      </c>
      <c r="O779" s="9" t="n">
        <f aca="false">SUMIFS(ROBA_U_DOLASKU!$B$6:$B$95,ROBA_U_DOLASKU!$A$6:$A$95,A779,ROBA_U_DOLASKU!$H$6:$H$95,3)</f>
        <v>0</v>
      </c>
      <c r="P779" s="9" t="n">
        <f aca="false">IF(H779&lt;=0,999,IF(O779&gt;0,ROUND((F779-H779*N779+K779+M779+O779)/H779,1),IF(M779&gt;0,ROUND((F779-H779*L779+K779+M779)/H779,1),IF(K779&gt;0,ROUND((F779-H779*J779+K779)/H779,1),I779))))</f>
        <v>0</v>
      </c>
      <c r="Q779" s="22" t="str">
        <f aca="false">IF(H779&lt;=0,"Nema prodaje",IF(AND(K779=0,M779=0,O779=0),IF(I779&lt;POSTAVKE!$B$6,"Naruči odmah","Sve u redu"),IF(F779-H779*J779&lt;0,"Rupa za ~"&amp;TEXT(I779,"0.0")&amp;" mj.",IF(AND(M779&gt;0,F779-H779*L779+K779&lt;0),"Rupa nakon 1. dolaska",IF(AND(O779&gt;0,F779-H779*N779+K779+M779&lt;0),"Rupa nakon 2. dolaska",IF(P779&lt;POSTAVKE!$B$6,"Količina nije dovoljna",IF(I779&gt;=POSTAVKE!$B$6,"Sve u redu","Stiže na vrijeme")))))))</f>
        <v>Naruči odmah</v>
      </c>
      <c r="S779" s="23" t="n">
        <f aca="false">IFERROR(INDEX(PODACI_PRODAJA!B:B,MATCH($A779,PODACI_PRODAJA!$A:$A,0)),0)</f>
        <v>4</v>
      </c>
      <c r="T779" s="23" t="n">
        <f aca="false">IFERROR(INDEX(PODACI_PRODAJA!C:C,MATCH($A779,PODACI_PRODAJA!$A:$A,0)),0)</f>
        <v>1</v>
      </c>
      <c r="U779" s="23" t="n">
        <f aca="false">IFERROR(INDEX(PODACI_PRODAJA!D:D,MATCH($A779,PODACI_PRODAJA!$A:$A,0)),0)</f>
        <v>9</v>
      </c>
      <c r="V779" s="23" t="n">
        <f aca="false">IFERROR(INDEX(PODACI_PRODAJA!E:E,MATCH($A779,PODACI_PRODAJA!$A:$A,0)),0)</f>
        <v>8</v>
      </c>
      <c r="W779" s="23" t="n">
        <f aca="false">IFERROR(INDEX(PODACI_PRODAJA!F:F,MATCH($A779,PODACI_PRODAJA!$A:$A,0)),0)</f>
        <v>9</v>
      </c>
      <c r="X779" s="23" t="n">
        <f aca="false">IFERROR(INDEX(PODACI_PRODAJA!G:G,MATCH($A779,PODACI_PRODAJA!$A:$A,0)),0)</f>
        <v>5</v>
      </c>
      <c r="Y779" s="23" t="n">
        <f aca="false">IFERROR(INDEX(PODACI_PRODAJA!H:H,MATCH($A779,PODACI_PRODAJA!$A:$A,0)),0)</f>
        <v>9</v>
      </c>
      <c r="Z779" s="23" t="n">
        <f aca="false">IFERROR(INDEX(PODACI_PRODAJA!I:I,MATCH($A779,PODACI_PRODAJA!$A:$A,0)),0)</f>
        <v>0</v>
      </c>
      <c r="AA779" s="23" t="n">
        <f aca="false">IFERROR(INDEX(PODACI_PRODAJA!J:J,MATCH($A779,PODACI_PRODAJA!$A:$A,0)),0)</f>
        <v>0</v>
      </c>
      <c r="AB779" s="23" t="n">
        <f aca="false">IFERROR(INDEX(PODACI_PRODAJA!K:K,MATCH($A779,PODACI_PRODAJA!$A:$A,0)),0)</f>
        <v>0</v>
      </c>
      <c r="AC779" s="23" t="n">
        <f aca="false">IFERROR(INDEX(PODACI_PRODAJA!L:L,MATCH($A779,PODACI_PRODAJA!$A:$A,0)),0)</f>
        <v>0</v>
      </c>
      <c r="AD779" s="23" t="n">
        <f aca="false">IFERROR(INDEX(PODACI_PRODAJA!M:M,MATCH($A779,PODACI_PRODAJA!$A:$A,0)),0)</f>
        <v>0</v>
      </c>
    </row>
    <row r="780" customFormat="false" ht="15" hidden="false" customHeight="false" outlineLevel="0" collapsed="false">
      <c r="A780" s="11" t="str">
        <f aca="false">PODACI_ZALIHE!A777</f>
        <v>036140</v>
      </c>
      <c r="B780" s="8" t="str">
        <f aca="false">PODACI_ZALIHE!B777</f>
        <v>PORTO 120 TUŠ VRATA 120x195 cm</v>
      </c>
      <c r="C780" s="9" t="n">
        <f aca="false">PODACI_ZALIHE!C777</f>
        <v>0</v>
      </c>
      <c r="D780" s="8" t="n">
        <f aca="false">PODACI_ZALIHE!D777</f>
        <v>0</v>
      </c>
      <c r="E780" s="19" t="str">
        <f aca="false">IF(PODACI_ZALIHE!E777="","",PODACI_ZALIHE!E777)</f>
        <v/>
      </c>
      <c r="F780" s="20" t="n">
        <f aca="false">PODACI_ZALIHE!F777</f>
        <v>0</v>
      </c>
      <c r="G780" s="19" t="str">
        <f aca="false">IF(E780="","",E780-F780)</f>
        <v/>
      </c>
      <c r="H780" s="9" t="n">
        <f aca="false">PODACI_PRODAJA!N173</f>
        <v>0.25</v>
      </c>
      <c r="I780" s="21" t="n">
        <f aca="false">IF(H780&lt;=0,999,ROUND(F780/H780,1))</f>
        <v>0</v>
      </c>
      <c r="J780" s="9" t="n">
        <f aca="false">SUMIFS(ROBA_U_DOLASKU!$C$6:$C$95,ROBA_U_DOLASKU!$A$6:$A$95,A780,ROBA_U_DOLASKU!$H$6:$H$95,1)</f>
        <v>0</v>
      </c>
      <c r="K780" s="9" t="n">
        <f aca="false">SUMIFS(ROBA_U_DOLASKU!$B$6:$B$95,ROBA_U_DOLASKU!$A$6:$A$95,A780,ROBA_U_DOLASKU!$H$6:$H$95,1)</f>
        <v>0</v>
      </c>
      <c r="L780" s="9" t="n">
        <f aca="false">SUMIFS(ROBA_U_DOLASKU!$C$6:$C$95,ROBA_U_DOLASKU!$A$6:$A$95,A780,ROBA_U_DOLASKU!$H$6:$H$95,2)</f>
        <v>0</v>
      </c>
      <c r="M780" s="9" t="n">
        <f aca="false">SUMIFS(ROBA_U_DOLASKU!$B$6:$B$95,ROBA_U_DOLASKU!$A$6:$A$95,A780,ROBA_U_DOLASKU!$H$6:$H$95,2)</f>
        <v>0</v>
      </c>
      <c r="N780" s="9" t="n">
        <f aca="false">SUMIFS(ROBA_U_DOLASKU!$C$6:$C$95,ROBA_U_DOLASKU!$A$6:$A$95,A780,ROBA_U_DOLASKU!$H$6:$H$95,3)</f>
        <v>0</v>
      </c>
      <c r="O780" s="9" t="n">
        <f aca="false">SUMIFS(ROBA_U_DOLASKU!$B$6:$B$95,ROBA_U_DOLASKU!$A$6:$A$95,A780,ROBA_U_DOLASKU!$H$6:$H$95,3)</f>
        <v>0</v>
      </c>
      <c r="P780" s="9" t="n">
        <f aca="false">IF(H780&lt;=0,999,IF(O780&gt;0,ROUND((F780-H780*N780+K780+M780+O780)/H780,1),IF(M780&gt;0,ROUND((F780-H780*L780+K780+M780)/H780,1),IF(K780&gt;0,ROUND((F780-H780*J780+K780)/H780,1),I780))))</f>
        <v>0</v>
      </c>
      <c r="Q780" s="22" t="str">
        <f aca="false">IF(H780&lt;=0,"Nema prodaje",IF(AND(K780=0,M780=0,O780=0),IF(I780&lt;POSTAVKE!$B$6,"Naruči odmah","Sve u redu"),IF(F780-H780*J780&lt;0,"Rupa za ~"&amp;TEXT(I780,"0.0")&amp;" mj.",IF(AND(M780&gt;0,F780-H780*L780+K780&lt;0),"Rupa nakon 1. dolaska",IF(AND(O780&gt;0,F780-H780*N780+K780+M780&lt;0),"Rupa nakon 2. dolaska",IF(P780&lt;POSTAVKE!$B$6,"Količina nije dovoljna",IF(I780&gt;=POSTAVKE!$B$6,"Sve u redu","Stiže na vrijeme")))))))</f>
        <v>Naruči odmah</v>
      </c>
      <c r="S780" s="23" t="n">
        <f aca="false">IFERROR(INDEX(PODACI_PRODAJA!B:B,MATCH($A780,PODACI_PRODAJA!$A:$A,0)),0)</f>
        <v>2</v>
      </c>
      <c r="T780" s="23" t="n">
        <f aca="false">IFERROR(INDEX(PODACI_PRODAJA!C:C,MATCH($A780,PODACI_PRODAJA!$A:$A,0)),0)</f>
        <v>0</v>
      </c>
      <c r="U780" s="23" t="n">
        <f aca="false">IFERROR(INDEX(PODACI_PRODAJA!D:D,MATCH($A780,PODACI_PRODAJA!$A:$A,0)),0)</f>
        <v>0</v>
      </c>
      <c r="V780" s="23" t="n">
        <f aca="false">IFERROR(INDEX(PODACI_PRODAJA!E:E,MATCH($A780,PODACI_PRODAJA!$A:$A,0)),0)</f>
        <v>0</v>
      </c>
      <c r="W780" s="23" t="n">
        <f aca="false">IFERROR(INDEX(PODACI_PRODAJA!F:F,MATCH($A780,PODACI_PRODAJA!$A:$A,0)),0)</f>
        <v>0</v>
      </c>
      <c r="X780" s="23" t="n">
        <f aca="false">IFERROR(INDEX(PODACI_PRODAJA!G:G,MATCH($A780,PODACI_PRODAJA!$A:$A,0)),0)</f>
        <v>0</v>
      </c>
      <c r="Y780" s="23" t="n">
        <f aca="false">IFERROR(INDEX(PODACI_PRODAJA!H:H,MATCH($A780,PODACI_PRODAJA!$A:$A,0)),0)</f>
        <v>0</v>
      </c>
      <c r="Z780" s="23" t="n">
        <f aca="false">IFERROR(INDEX(PODACI_PRODAJA!I:I,MATCH($A780,PODACI_PRODAJA!$A:$A,0)),0)</f>
        <v>0</v>
      </c>
      <c r="AA780" s="23" t="n">
        <f aca="false">IFERROR(INDEX(PODACI_PRODAJA!J:J,MATCH($A780,PODACI_PRODAJA!$A:$A,0)),0)</f>
        <v>0</v>
      </c>
      <c r="AB780" s="23" t="n">
        <f aca="false">IFERROR(INDEX(PODACI_PRODAJA!K:K,MATCH($A780,PODACI_PRODAJA!$A:$A,0)),0)</f>
        <v>0</v>
      </c>
      <c r="AC780" s="23" t="n">
        <f aca="false">IFERROR(INDEX(PODACI_PRODAJA!L:L,MATCH($A780,PODACI_PRODAJA!$A:$A,0)),0)</f>
        <v>0</v>
      </c>
      <c r="AD780" s="23" t="n">
        <f aca="false">IFERROR(INDEX(PODACI_PRODAJA!M:M,MATCH($A780,PODACI_PRODAJA!$A:$A,0)),0)</f>
        <v>0</v>
      </c>
    </row>
    <row r="781" customFormat="false" ht="15" hidden="false" customHeight="false" outlineLevel="0" collapsed="false">
      <c r="A781" s="11" t="str">
        <f aca="false">PODACI_ZALIHE!A778</f>
        <v>156820</v>
      </c>
      <c r="B781" s="8" t="str">
        <f aca="false">PODACI_ZALIHE!B778</f>
        <v>BOLD S BIJELA 100110 MINERALSOLID TUŠ KADA 1000x1100x30 mm</v>
      </c>
      <c r="C781" s="9" t="n">
        <f aca="false">PODACI_ZALIHE!C778</f>
        <v>0</v>
      </c>
      <c r="D781" s="8" t="n">
        <f aca="false">PODACI_ZALIHE!D778</f>
        <v>0</v>
      </c>
      <c r="E781" s="19" t="str">
        <f aca="false">IF(PODACI_ZALIHE!E778="","",PODACI_ZALIHE!E778)</f>
        <v/>
      </c>
      <c r="F781" s="20" t="n">
        <f aca="false">PODACI_ZALIHE!F778</f>
        <v>0</v>
      </c>
      <c r="G781" s="19" t="str">
        <f aca="false">IF(E781="","",E781-F781)</f>
        <v/>
      </c>
      <c r="H781" s="9" t="n">
        <f aca="false">PODACI_PRODAJA!N187</f>
        <v>1.63</v>
      </c>
      <c r="I781" s="21" t="n">
        <f aca="false">IF(H781&lt;=0,999,ROUND(F781/H781,1))</f>
        <v>0</v>
      </c>
      <c r="J781" s="9" t="n">
        <f aca="false">SUMIFS(ROBA_U_DOLASKU!$C$6:$C$95,ROBA_U_DOLASKU!$A$6:$A$95,A781,ROBA_U_DOLASKU!$H$6:$H$95,1)</f>
        <v>0</v>
      </c>
      <c r="K781" s="9" t="n">
        <f aca="false">SUMIFS(ROBA_U_DOLASKU!$B$6:$B$95,ROBA_U_DOLASKU!$A$6:$A$95,A781,ROBA_U_DOLASKU!$H$6:$H$95,1)</f>
        <v>0</v>
      </c>
      <c r="L781" s="9" t="n">
        <f aca="false">SUMIFS(ROBA_U_DOLASKU!$C$6:$C$95,ROBA_U_DOLASKU!$A$6:$A$95,A781,ROBA_U_DOLASKU!$H$6:$H$95,2)</f>
        <v>0</v>
      </c>
      <c r="M781" s="9" t="n">
        <f aca="false">SUMIFS(ROBA_U_DOLASKU!$B$6:$B$95,ROBA_U_DOLASKU!$A$6:$A$95,A781,ROBA_U_DOLASKU!$H$6:$H$95,2)</f>
        <v>0</v>
      </c>
      <c r="N781" s="9" t="n">
        <f aca="false">SUMIFS(ROBA_U_DOLASKU!$C$6:$C$95,ROBA_U_DOLASKU!$A$6:$A$95,A781,ROBA_U_DOLASKU!$H$6:$H$95,3)</f>
        <v>0</v>
      </c>
      <c r="O781" s="9" t="n">
        <f aca="false">SUMIFS(ROBA_U_DOLASKU!$B$6:$B$95,ROBA_U_DOLASKU!$A$6:$A$95,A781,ROBA_U_DOLASKU!$H$6:$H$95,3)</f>
        <v>0</v>
      </c>
      <c r="P781" s="9" t="n">
        <f aca="false">IF(H781&lt;=0,999,IF(O781&gt;0,ROUND((F781-H781*N781+K781+M781+O781)/H781,1),IF(M781&gt;0,ROUND((F781-H781*L781+K781+M781)/H781,1),IF(K781&gt;0,ROUND((F781-H781*J781+K781)/H781,1),I781))))</f>
        <v>0</v>
      </c>
      <c r="Q781" s="22" t="str">
        <f aca="false">IF(H781&lt;=0,"Nema prodaje",IF(AND(K781=0,M781=0,O781=0),IF(I781&lt;POSTAVKE!$B$6,"Naruči odmah","Sve u redu"),IF(F781-H781*J781&lt;0,"Rupa za ~"&amp;TEXT(I781,"0.0")&amp;" mj.",IF(AND(M781&gt;0,F781-H781*L781+K781&lt;0),"Rupa nakon 1. dolaska",IF(AND(O781&gt;0,F781-H781*N781+K781+M781&lt;0),"Rupa nakon 2. dolaska",IF(P781&lt;POSTAVKE!$B$6,"Količina nije dovoljna",IF(I781&gt;=POSTAVKE!$B$6,"Sve u redu","Stiže na vrijeme")))))))</f>
        <v>Naruči odmah</v>
      </c>
      <c r="S781" s="23" t="n">
        <f aca="false">IFERROR(INDEX(PODACI_PRODAJA!B:B,MATCH($A781,PODACI_PRODAJA!$A:$A,0)),0)</f>
        <v>2</v>
      </c>
      <c r="T781" s="23" t="n">
        <f aca="false">IFERROR(INDEX(PODACI_PRODAJA!C:C,MATCH($A781,PODACI_PRODAJA!$A:$A,0)),0)</f>
        <v>3</v>
      </c>
      <c r="U781" s="23" t="n">
        <f aca="false">IFERROR(INDEX(PODACI_PRODAJA!D:D,MATCH($A781,PODACI_PRODAJA!$A:$A,0)),0)</f>
        <v>0</v>
      </c>
      <c r="V781" s="23" t="n">
        <f aca="false">IFERROR(INDEX(PODACI_PRODAJA!E:E,MATCH($A781,PODACI_PRODAJA!$A:$A,0)),0)</f>
        <v>7</v>
      </c>
      <c r="W781" s="23" t="n">
        <f aca="false">IFERROR(INDEX(PODACI_PRODAJA!F:F,MATCH($A781,PODACI_PRODAJA!$A:$A,0)),0)</f>
        <v>1</v>
      </c>
      <c r="X781" s="23" t="n">
        <f aca="false">IFERROR(INDEX(PODACI_PRODAJA!G:G,MATCH($A781,PODACI_PRODAJA!$A:$A,0)),0)</f>
        <v>0</v>
      </c>
      <c r="Y781" s="23" t="n">
        <f aca="false">IFERROR(INDEX(PODACI_PRODAJA!H:H,MATCH($A781,PODACI_PRODAJA!$A:$A,0)),0)</f>
        <v>0</v>
      </c>
      <c r="Z781" s="23" t="n">
        <f aca="false">IFERROR(INDEX(PODACI_PRODAJA!I:I,MATCH($A781,PODACI_PRODAJA!$A:$A,0)),0)</f>
        <v>0</v>
      </c>
      <c r="AA781" s="23" t="n">
        <f aca="false">IFERROR(INDEX(PODACI_PRODAJA!J:J,MATCH($A781,PODACI_PRODAJA!$A:$A,0)),0)</f>
        <v>0</v>
      </c>
      <c r="AB781" s="23" t="n">
        <f aca="false">IFERROR(INDEX(PODACI_PRODAJA!K:K,MATCH($A781,PODACI_PRODAJA!$A:$A,0)),0)</f>
        <v>0</v>
      </c>
      <c r="AC781" s="23" t="n">
        <f aca="false">IFERROR(INDEX(PODACI_PRODAJA!L:L,MATCH($A781,PODACI_PRODAJA!$A:$A,0)),0)</f>
        <v>0</v>
      </c>
      <c r="AD781" s="23" t="n">
        <f aca="false">IFERROR(INDEX(PODACI_PRODAJA!M:M,MATCH($A781,PODACI_PRODAJA!$A:$A,0)),0)</f>
        <v>0</v>
      </c>
    </row>
    <row r="782" customFormat="false" ht="15" hidden="false" customHeight="false" outlineLevel="0" collapsed="false">
      <c r="A782" s="11" t="str">
        <f aca="false">PODACI_ZALIHE!A779</f>
        <v>002556</v>
      </c>
      <c r="B782" s="8" t="str">
        <f aca="false">PODACI_ZALIHE!B779</f>
        <v>CLICKCLACK SIFONSKA ČAŠICA S PILETOM ZA SAMOSTOJEĆE KADE HOPE BIJELA</v>
      </c>
      <c r="C782" s="9" t="n">
        <f aca="false">PODACI_ZALIHE!C779</f>
        <v>0</v>
      </c>
      <c r="D782" s="8" t="n">
        <f aca="false">PODACI_ZALIHE!D779</f>
        <v>0</v>
      </c>
      <c r="E782" s="19" t="str">
        <f aca="false">IF(PODACI_ZALIHE!E779="","",PODACI_ZALIHE!E779)</f>
        <v/>
      </c>
      <c r="F782" s="20" t="n">
        <f aca="false">PODACI_ZALIHE!F779</f>
        <v>0</v>
      </c>
      <c r="G782" s="19" t="str">
        <f aca="false">IF(E782="","",E782-F782)</f>
        <v/>
      </c>
      <c r="H782" s="9" t="n">
        <f aca="false">PODACI_PRODAJA!N223</f>
        <v>0.13</v>
      </c>
      <c r="I782" s="21" t="n">
        <f aca="false">IF(H782&lt;=0,999,ROUND(F782/H782,1))</f>
        <v>0</v>
      </c>
      <c r="J782" s="9" t="n">
        <f aca="false">SUMIFS(ROBA_U_DOLASKU!$C$6:$C$95,ROBA_U_DOLASKU!$A$6:$A$95,A782,ROBA_U_DOLASKU!$H$6:$H$95,1)</f>
        <v>0</v>
      </c>
      <c r="K782" s="9" t="n">
        <f aca="false">SUMIFS(ROBA_U_DOLASKU!$B$6:$B$95,ROBA_U_DOLASKU!$A$6:$A$95,A782,ROBA_U_DOLASKU!$H$6:$H$95,1)</f>
        <v>0</v>
      </c>
      <c r="L782" s="9" t="n">
        <f aca="false">SUMIFS(ROBA_U_DOLASKU!$C$6:$C$95,ROBA_U_DOLASKU!$A$6:$A$95,A782,ROBA_U_DOLASKU!$H$6:$H$95,2)</f>
        <v>0</v>
      </c>
      <c r="M782" s="9" t="n">
        <f aca="false">SUMIFS(ROBA_U_DOLASKU!$B$6:$B$95,ROBA_U_DOLASKU!$A$6:$A$95,A782,ROBA_U_DOLASKU!$H$6:$H$95,2)</f>
        <v>0</v>
      </c>
      <c r="N782" s="9" t="n">
        <f aca="false">SUMIFS(ROBA_U_DOLASKU!$C$6:$C$95,ROBA_U_DOLASKU!$A$6:$A$95,A782,ROBA_U_DOLASKU!$H$6:$H$95,3)</f>
        <v>0</v>
      </c>
      <c r="O782" s="9" t="n">
        <f aca="false">SUMIFS(ROBA_U_DOLASKU!$B$6:$B$95,ROBA_U_DOLASKU!$A$6:$A$95,A782,ROBA_U_DOLASKU!$H$6:$H$95,3)</f>
        <v>0</v>
      </c>
      <c r="P782" s="9" t="n">
        <f aca="false">IF(H782&lt;=0,999,IF(O782&gt;0,ROUND((F782-H782*N782+K782+M782+O782)/H782,1),IF(M782&gt;0,ROUND((F782-H782*L782+K782+M782)/H782,1),IF(K782&gt;0,ROUND((F782-H782*J782+K782)/H782,1),I782))))</f>
        <v>0</v>
      </c>
      <c r="Q782" s="22" t="str">
        <f aca="false">IF(H782&lt;=0,"Nema prodaje",IF(AND(K782=0,M782=0,O782=0),IF(I782&lt;POSTAVKE!$B$6,"Naruči odmah","Sve u redu"),IF(F782-H782*J782&lt;0,"Rupa za ~"&amp;TEXT(I782,"0.0")&amp;" mj.",IF(AND(M782&gt;0,F782-H782*L782+K782&lt;0),"Rupa nakon 1. dolaska",IF(AND(O782&gt;0,F782-H782*N782+K782+M782&lt;0),"Rupa nakon 2. dolaska",IF(P782&lt;POSTAVKE!$B$6,"Količina nije dovoljna",IF(I782&gt;=POSTAVKE!$B$6,"Sve u redu","Stiže na vrijeme")))))))</f>
        <v>Naruči odmah</v>
      </c>
      <c r="S782" s="23" t="n">
        <f aca="false">IFERROR(INDEX(PODACI_PRODAJA!B:B,MATCH($A782,PODACI_PRODAJA!$A:$A,0)),0)</f>
        <v>1</v>
      </c>
      <c r="T782" s="23" t="n">
        <f aca="false">IFERROR(INDEX(PODACI_PRODAJA!C:C,MATCH($A782,PODACI_PRODAJA!$A:$A,0)),0)</f>
        <v>0</v>
      </c>
      <c r="U782" s="23" t="n">
        <f aca="false">IFERROR(INDEX(PODACI_PRODAJA!D:D,MATCH($A782,PODACI_PRODAJA!$A:$A,0)),0)</f>
        <v>0</v>
      </c>
      <c r="V782" s="23" t="n">
        <f aca="false">IFERROR(INDEX(PODACI_PRODAJA!E:E,MATCH($A782,PODACI_PRODAJA!$A:$A,0)),0)</f>
        <v>0</v>
      </c>
      <c r="W782" s="23" t="n">
        <f aca="false">IFERROR(INDEX(PODACI_PRODAJA!F:F,MATCH($A782,PODACI_PRODAJA!$A:$A,0)),0)</f>
        <v>0</v>
      </c>
      <c r="X782" s="23" t="n">
        <f aca="false">IFERROR(INDEX(PODACI_PRODAJA!G:G,MATCH($A782,PODACI_PRODAJA!$A:$A,0)),0)</f>
        <v>0</v>
      </c>
      <c r="Y782" s="23" t="n">
        <f aca="false">IFERROR(INDEX(PODACI_PRODAJA!H:H,MATCH($A782,PODACI_PRODAJA!$A:$A,0)),0)</f>
        <v>0</v>
      </c>
      <c r="Z782" s="23" t="n">
        <f aca="false">IFERROR(INDEX(PODACI_PRODAJA!I:I,MATCH($A782,PODACI_PRODAJA!$A:$A,0)),0)</f>
        <v>0</v>
      </c>
      <c r="AA782" s="23" t="n">
        <f aca="false">IFERROR(INDEX(PODACI_PRODAJA!J:J,MATCH($A782,PODACI_PRODAJA!$A:$A,0)),0)</f>
        <v>0</v>
      </c>
      <c r="AB782" s="23" t="n">
        <f aca="false">IFERROR(INDEX(PODACI_PRODAJA!K:K,MATCH($A782,PODACI_PRODAJA!$A:$A,0)),0)</f>
        <v>0</v>
      </c>
      <c r="AC782" s="23" t="n">
        <f aca="false">IFERROR(INDEX(PODACI_PRODAJA!L:L,MATCH($A782,PODACI_PRODAJA!$A:$A,0)),0)</f>
        <v>0</v>
      </c>
      <c r="AD782" s="23" t="n">
        <f aca="false">IFERROR(INDEX(PODACI_PRODAJA!M:M,MATCH($A782,PODACI_PRODAJA!$A:$A,0)),0)</f>
        <v>0</v>
      </c>
    </row>
    <row r="783" customFormat="false" ht="15" hidden="false" customHeight="false" outlineLevel="0" collapsed="false">
      <c r="A783" s="11" t="str">
        <f aca="false">PODACI_ZALIHE!A780</f>
        <v>042131</v>
      </c>
      <c r="B783" s="8" t="str">
        <f aca="false">PODACI_ZALIHE!B780</f>
        <v>SHINE DOT D80 LED OGLEDALO SA SENZOROM POKRETA D 80 cm</v>
      </c>
      <c r="C783" s="9" t="n">
        <f aca="false">PODACI_ZALIHE!C780</f>
        <v>0</v>
      </c>
      <c r="D783" s="8" t="n">
        <f aca="false">PODACI_ZALIHE!D780</f>
        <v>0</v>
      </c>
      <c r="E783" s="19" t="str">
        <f aca="false">IF(PODACI_ZALIHE!E780="","",PODACI_ZALIHE!E780)</f>
        <v/>
      </c>
      <c r="F783" s="20" t="n">
        <f aca="false">PODACI_ZALIHE!F780</f>
        <v>0</v>
      </c>
      <c r="G783" s="19" t="str">
        <f aca="false">IF(E783="","",E783-F783)</f>
        <v/>
      </c>
      <c r="H783" s="9" t="n">
        <f aca="false">PODACI_PRODAJA!N226</f>
        <v>0</v>
      </c>
      <c r="I783" s="21" t="n">
        <f aca="false">IF(H783&lt;=0,999,ROUND(F783/H783,1))</f>
        <v>999</v>
      </c>
      <c r="J783" s="9" t="n">
        <f aca="false">SUMIFS(ROBA_U_DOLASKU!$C$6:$C$95,ROBA_U_DOLASKU!$A$6:$A$95,A783,ROBA_U_DOLASKU!$H$6:$H$95,1)</f>
        <v>0</v>
      </c>
      <c r="K783" s="9" t="n">
        <f aca="false">SUMIFS(ROBA_U_DOLASKU!$B$6:$B$95,ROBA_U_DOLASKU!$A$6:$A$95,A783,ROBA_U_DOLASKU!$H$6:$H$95,1)</f>
        <v>0</v>
      </c>
      <c r="L783" s="9" t="n">
        <f aca="false">SUMIFS(ROBA_U_DOLASKU!$C$6:$C$95,ROBA_U_DOLASKU!$A$6:$A$95,A783,ROBA_U_DOLASKU!$H$6:$H$95,2)</f>
        <v>0</v>
      </c>
      <c r="M783" s="9" t="n">
        <f aca="false">SUMIFS(ROBA_U_DOLASKU!$B$6:$B$95,ROBA_U_DOLASKU!$A$6:$A$95,A783,ROBA_U_DOLASKU!$H$6:$H$95,2)</f>
        <v>0</v>
      </c>
      <c r="N783" s="9" t="n">
        <f aca="false">SUMIFS(ROBA_U_DOLASKU!$C$6:$C$95,ROBA_U_DOLASKU!$A$6:$A$95,A783,ROBA_U_DOLASKU!$H$6:$H$95,3)</f>
        <v>0</v>
      </c>
      <c r="O783" s="9" t="n">
        <f aca="false">SUMIFS(ROBA_U_DOLASKU!$B$6:$B$95,ROBA_U_DOLASKU!$A$6:$A$95,A783,ROBA_U_DOLASKU!$H$6:$H$95,3)</f>
        <v>0</v>
      </c>
      <c r="P783" s="9" t="n">
        <f aca="false">IF(H783&lt;=0,999,IF(O783&gt;0,ROUND((F783-H783*N783+K783+M783+O783)/H783,1),IF(M783&gt;0,ROUND((F783-H783*L783+K783+M783)/H783,1),IF(K783&gt;0,ROUND((F783-H783*J783+K783)/H783,1),I783))))</f>
        <v>999</v>
      </c>
      <c r="Q783" s="22" t="str">
        <f aca="false">IF(H783&lt;=0,"Nema prodaje",IF(AND(K783=0,M783=0,O783=0),IF(I783&lt;POSTAVKE!$B$6,"Naruči odmah","Sve u redu"),IF(F783-H783*J783&lt;0,"Rupa za ~"&amp;TEXT(I783,"0.0")&amp;" mj.",IF(AND(M783&gt;0,F783-H783*L783+K783&lt;0),"Rupa nakon 1. dolaska",IF(AND(O783&gt;0,F783-H783*N783+K783+M783&lt;0),"Rupa nakon 2. dolaska",IF(P783&lt;POSTAVKE!$B$6,"Količina nije dovoljna",IF(I783&gt;=POSTAVKE!$B$6,"Sve u redu","Stiže na vrijeme")))))))</f>
        <v>Nema prodaje</v>
      </c>
      <c r="S783" s="23" t="n">
        <f aca="false">IFERROR(INDEX(PODACI_PRODAJA!B:B,MATCH($A783,PODACI_PRODAJA!$A:$A,0)),0)</f>
        <v>1</v>
      </c>
      <c r="T783" s="23" t="n">
        <f aca="false">IFERROR(INDEX(PODACI_PRODAJA!C:C,MATCH($A783,PODACI_PRODAJA!$A:$A,0)),0)</f>
        <v>-1</v>
      </c>
      <c r="U783" s="23" t="n">
        <f aca="false">IFERROR(INDEX(PODACI_PRODAJA!D:D,MATCH($A783,PODACI_PRODAJA!$A:$A,0)),0)</f>
        <v>0</v>
      </c>
      <c r="V783" s="23" t="n">
        <f aca="false">IFERROR(INDEX(PODACI_PRODAJA!E:E,MATCH($A783,PODACI_PRODAJA!$A:$A,0)),0)</f>
        <v>0</v>
      </c>
      <c r="W783" s="23" t="n">
        <f aca="false">IFERROR(INDEX(PODACI_PRODAJA!F:F,MATCH($A783,PODACI_PRODAJA!$A:$A,0)),0)</f>
        <v>0</v>
      </c>
      <c r="X783" s="23" t="n">
        <f aca="false">IFERROR(INDEX(PODACI_PRODAJA!G:G,MATCH($A783,PODACI_PRODAJA!$A:$A,0)),0)</f>
        <v>0</v>
      </c>
      <c r="Y783" s="23" t="n">
        <f aca="false">IFERROR(INDEX(PODACI_PRODAJA!H:H,MATCH($A783,PODACI_PRODAJA!$A:$A,0)),0)</f>
        <v>0</v>
      </c>
      <c r="Z783" s="23" t="n">
        <f aca="false">IFERROR(INDEX(PODACI_PRODAJA!I:I,MATCH($A783,PODACI_PRODAJA!$A:$A,0)),0)</f>
        <v>0</v>
      </c>
      <c r="AA783" s="23" t="n">
        <f aca="false">IFERROR(INDEX(PODACI_PRODAJA!J:J,MATCH($A783,PODACI_PRODAJA!$A:$A,0)),0)</f>
        <v>0</v>
      </c>
      <c r="AB783" s="23" t="n">
        <f aca="false">IFERROR(INDEX(PODACI_PRODAJA!K:K,MATCH($A783,PODACI_PRODAJA!$A:$A,0)),0)</f>
        <v>0</v>
      </c>
      <c r="AC783" s="23" t="n">
        <f aca="false">IFERROR(INDEX(PODACI_PRODAJA!L:L,MATCH($A783,PODACI_PRODAJA!$A:$A,0)),0)</f>
        <v>0</v>
      </c>
      <c r="AD783" s="23" t="n">
        <f aca="false">IFERROR(INDEX(PODACI_PRODAJA!M:M,MATCH($A783,PODACI_PRODAJA!$A:$A,0)),0)</f>
        <v>0</v>
      </c>
    </row>
    <row r="784" customFormat="false" ht="15" hidden="false" customHeight="false" outlineLevel="0" collapsed="false">
      <c r="A784" s="11" t="str">
        <f aca="false">PODACI_ZALIHE!A781</f>
        <v>155350</v>
      </c>
      <c r="B784" s="8" t="str">
        <f aca="false">PODACI_ZALIHE!B781</f>
        <v>BOLD BIJELA 100160 MINERALSOLID TUŠ KADA 1000x1600x30 mm</v>
      </c>
      <c r="C784" s="9" t="n">
        <f aca="false">PODACI_ZALIHE!C781</f>
        <v>0</v>
      </c>
      <c r="D784" s="8" t="n">
        <f aca="false">PODACI_ZALIHE!D781</f>
        <v>0</v>
      </c>
      <c r="E784" s="19" t="str">
        <f aca="false">IF(PODACI_ZALIHE!E781="","",PODACI_ZALIHE!E781)</f>
        <v/>
      </c>
      <c r="F784" s="20" t="n">
        <f aca="false">PODACI_ZALIHE!F781</f>
        <v>0</v>
      </c>
      <c r="G784" s="19" t="str">
        <f aca="false">IF(E784="","",E784-F784)</f>
        <v/>
      </c>
      <c r="H784" s="9" t="n">
        <f aca="false">PODACI_PRODAJA!N238</f>
        <v>1.63</v>
      </c>
      <c r="I784" s="21" t="n">
        <f aca="false">IF(H784&lt;=0,999,ROUND(F784/H784,1))</f>
        <v>0</v>
      </c>
      <c r="J784" s="9" t="n">
        <f aca="false">SUMIFS(ROBA_U_DOLASKU!$C$6:$C$95,ROBA_U_DOLASKU!$A$6:$A$95,A784,ROBA_U_DOLASKU!$H$6:$H$95,1)</f>
        <v>0</v>
      </c>
      <c r="K784" s="9" t="n">
        <f aca="false">SUMIFS(ROBA_U_DOLASKU!$B$6:$B$95,ROBA_U_DOLASKU!$A$6:$A$95,A784,ROBA_U_DOLASKU!$H$6:$H$95,1)</f>
        <v>0</v>
      </c>
      <c r="L784" s="9" t="n">
        <f aca="false">SUMIFS(ROBA_U_DOLASKU!$C$6:$C$95,ROBA_U_DOLASKU!$A$6:$A$95,A784,ROBA_U_DOLASKU!$H$6:$H$95,2)</f>
        <v>0</v>
      </c>
      <c r="M784" s="9" t="n">
        <f aca="false">SUMIFS(ROBA_U_DOLASKU!$B$6:$B$95,ROBA_U_DOLASKU!$A$6:$A$95,A784,ROBA_U_DOLASKU!$H$6:$H$95,2)</f>
        <v>0</v>
      </c>
      <c r="N784" s="9" t="n">
        <f aca="false">SUMIFS(ROBA_U_DOLASKU!$C$6:$C$95,ROBA_U_DOLASKU!$A$6:$A$95,A784,ROBA_U_DOLASKU!$H$6:$H$95,3)</f>
        <v>0</v>
      </c>
      <c r="O784" s="9" t="n">
        <f aca="false">SUMIFS(ROBA_U_DOLASKU!$B$6:$B$95,ROBA_U_DOLASKU!$A$6:$A$95,A784,ROBA_U_DOLASKU!$H$6:$H$95,3)</f>
        <v>0</v>
      </c>
      <c r="P784" s="9" t="n">
        <f aca="false">IF(H784&lt;=0,999,IF(O784&gt;0,ROUND((F784-H784*N784+K784+M784+O784)/H784,1),IF(M784&gt;0,ROUND((F784-H784*L784+K784+M784)/H784,1),IF(K784&gt;0,ROUND((F784-H784*J784+K784)/H784,1),I784))))</f>
        <v>0</v>
      </c>
      <c r="Q784" s="22" t="str">
        <f aca="false">IF(H784&lt;=0,"Nema prodaje",IF(AND(K784=0,M784=0,O784=0),IF(I784&lt;POSTAVKE!$B$6,"Naruči odmah","Sve u redu"),IF(F784-H784*J784&lt;0,"Rupa za ~"&amp;TEXT(I784,"0.0")&amp;" mj.",IF(AND(M784&gt;0,F784-H784*L784+K784&lt;0),"Rupa nakon 1. dolaska",IF(AND(O784&gt;0,F784-H784*N784+K784+M784&lt;0),"Rupa nakon 2. dolaska",IF(P784&lt;POSTAVKE!$B$6,"Količina nije dovoljna",IF(I784&gt;=POSTAVKE!$B$6,"Sve u redu","Stiže na vrijeme")))))))</f>
        <v>Naruči odmah</v>
      </c>
      <c r="S784" s="23" t="n">
        <f aca="false">IFERROR(INDEX(PODACI_PRODAJA!B:B,MATCH($A784,PODACI_PRODAJA!$A:$A,0)),0)</f>
        <v>1</v>
      </c>
      <c r="T784" s="23" t="n">
        <f aca="false">IFERROR(INDEX(PODACI_PRODAJA!C:C,MATCH($A784,PODACI_PRODAJA!$A:$A,0)),0)</f>
        <v>0</v>
      </c>
      <c r="U784" s="23" t="n">
        <f aca="false">IFERROR(INDEX(PODACI_PRODAJA!D:D,MATCH($A784,PODACI_PRODAJA!$A:$A,0)),0)</f>
        <v>2</v>
      </c>
      <c r="V784" s="23" t="n">
        <f aca="false">IFERROR(INDEX(PODACI_PRODAJA!E:E,MATCH($A784,PODACI_PRODAJA!$A:$A,0)),0)</f>
        <v>0</v>
      </c>
      <c r="W784" s="23" t="n">
        <f aca="false">IFERROR(INDEX(PODACI_PRODAJA!F:F,MATCH($A784,PODACI_PRODAJA!$A:$A,0)),0)</f>
        <v>10</v>
      </c>
      <c r="X784" s="23" t="n">
        <f aca="false">IFERROR(INDEX(PODACI_PRODAJA!G:G,MATCH($A784,PODACI_PRODAJA!$A:$A,0)),0)</f>
        <v>0</v>
      </c>
      <c r="Y784" s="23" t="n">
        <f aca="false">IFERROR(INDEX(PODACI_PRODAJA!H:H,MATCH($A784,PODACI_PRODAJA!$A:$A,0)),0)</f>
        <v>0</v>
      </c>
      <c r="Z784" s="23" t="n">
        <f aca="false">IFERROR(INDEX(PODACI_PRODAJA!I:I,MATCH($A784,PODACI_PRODAJA!$A:$A,0)),0)</f>
        <v>0</v>
      </c>
      <c r="AA784" s="23" t="n">
        <f aca="false">IFERROR(INDEX(PODACI_PRODAJA!J:J,MATCH($A784,PODACI_PRODAJA!$A:$A,0)),0)</f>
        <v>0</v>
      </c>
      <c r="AB784" s="23" t="n">
        <f aca="false">IFERROR(INDEX(PODACI_PRODAJA!K:K,MATCH($A784,PODACI_PRODAJA!$A:$A,0)),0)</f>
        <v>0</v>
      </c>
      <c r="AC784" s="23" t="n">
        <f aca="false">IFERROR(INDEX(PODACI_PRODAJA!L:L,MATCH($A784,PODACI_PRODAJA!$A:$A,0)),0)</f>
        <v>0</v>
      </c>
      <c r="AD784" s="23" t="n">
        <f aca="false">IFERROR(INDEX(PODACI_PRODAJA!M:M,MATCH($A784,PODACI_PRODAJA!$A:$A,0)),0)</f>
        <v>0</v>
      </c>
    </row>
    <row r="785" customFormat="false" ht="15" hidden="false" customHeight="false" outlineLevel="0" collapsed="false">
      <c r="A785" s="11" t="str">
        <f aca="false">PODACI_ZALIHE!A782</f>
        <v>156760</v>
      </c>
      <c r="B785" s="8" t="str">
        <f aca="false">PODACI_ZALIHE!B782</f>
        <v>BOLD S BIJELA 90140 MINERALSOLID TUŠ KADA 900x1400x30 mm</v>
      </c>
      <c r="C785" s="9" t="n">
        <f aca="false">PODACI_ZALIHE!C782</f>
        <v>0</v>
      </c>
      <c r="D785" s="8" t="n">
        <f aca="false">PODACI_ZALIHE!D782</f>
        <v>0</v>
      </c>
      <c r="E785" s="19" t="str">
        <f aca="false">IF(PODACI_ZALIHE!E782="","",PODACI_ZALIHE!E782)</f>
        <v/>
      </c>
      <c r="F785" s="20" t="n">
        <f aca="false">PODACI_ZALIHE!F782</f>
        <v>0</v>
      </c>
      <c r="G785" s="19" t="str">
        <f aca="false">IF(E785="","",E785-F785)</f>
        <v/>
      </c>
      <c r="H785" s="9" t="n">
        <f aca="false">PODACI_PRODAJA!N242</f>
        <v>4.75</v>
      </c>
      <c r="I785" s="21" t="n">
        <f aca="false">IF(H785&lt;=0,999,ROUND(F785/H785,1))</f>
        <v>0</v>
      </c>
      <c r="J785" s="9" t="n">
        <f aca="false">SUMIFS(ROBA_U_DOLASKU!$C$6:$C$95,ROBA_U_DOLASKU!$A$6:$A$95,A785,ROBA_U_DOLASKU!$H$6:$H$95,1)</f>
        <v>0</v>
      </c>
      <c r="K785" s="9" t="n">
        <f aca="false">SUMIFS(ROBA_U_DOLASKU!$B$6:$B$95,ROBA_U_DOLASKU!$A$6:$A$95,A785,ROBA_U_DOLASKU!$H$6:$H$95,1)</f>
        <v>0</v>
      </c>
      <c r="L785" s="9" t="n">
        <f aca="false">SUMIFS(ROBA_U_DOLASKU!$C$6:$C$95,ROBA_U_DOLASKU!$A$6:$A$95,A785,ROBA_U_DOLASKU!$H$6:$H$95,2)</f>
        <v>0</v>
      </c>
      <c r="M785" s="9" t="n">
        <f aca="false">SUMIFS(ROBA_U_DOLASKU!$B$6:$B$95,ROBA_U_DOLASKU!$A$6:$A$95,A785,ROBA_U_DOLASKU!$H$6:$H$95,2)</f>
        <v>0</v>
      </c>
      <c r="N785" s="9" t="n">
        <f aca="false">SUMIFS(ROBA_U_DOLASKU!$C$6:$C$95,ROBA_U_DOLASKU!$A$6:$A$95,A785,ROBA_U_DOLASKU!$H$6:$H$95,3)</f>
        <v>0</v>
      </c>
      <c r="O785" s="9" t="n">
        <f aca="false">SUMIFS(ROBA_U_DOLASKU!$B$6:$B$95,ROBA_U_DOLASKU!$A$6:$A$95,A785,ROBA_U_DOLASKU!$H$6:$H$95,3)</f>
        <v>0</v>
      </c>
      <c r="P785" s="9" t="n">
        <f aca="false">IF(H785&lt;=0,999,IF(O785&gt;0,ROUND((F785-H785*N785+K785+M785+O785)/H785,1),IF(M785&gt;0,ROUND((F785-H785*L785+K785+M785)/H785,1),IF(K785&gt;0,ROUND((F785-H785*J785+K785)/H785,1),I785))))</f>
        <v>0</v>
      </c>
      <c r="Q785" s="22" t="str">
        <f aca="false">IF(H785&lt;=0,"Nema prodaje",IF(AND(K785=0,M785=0,O785=0),IF(I785&lt;POSTAVKE!$B$6,"Naruči odmah","Sve u redu"),IF(F785-H785*J785&lt;0,"Rupa za ~"&amp;TEXT(I785,"0.0")&amp;" mj.",IF(AND(M785&gt;0,F785-H785*L785+K785&lt;0),"Rupa nakon 1. dolaska",IF(AND(O785&gt;0,F785-H785*N785+K785+M785&lt;0),"Rupa nakon 2. dolaska",IF(P785&lt;POSTAVKE!$B$6,"Količina nije dovoljna",IF(I785&gt;=POSTAVKE!$B$6,"Sve u redu","Stiže na vrijeme")))))))</f>
        <v>Naruči odmah</v>
      </c>
      <c r="S785" s="23" t="n">
        <f aca="false">IFERROR(INDEX(PODACI_PRODAJA!B:B,MATCH($A785,PODACI_PRODAJA!$A:$A,0)),0)</f>
        <v>1</v>
      </c>
      <c r="T785" s="23" t="n">
        <f aca="false">IFERROR(INDEX(PODACI_PRODAJA!C:C,MATCH($A785,PODACI_PRODAJA!$A:$A,0)),0)</f>
        <v>7</v>
      </c>
      <c r="U785" s="23" t="n">
        <f aca="false">IFERROR(INDEX(PODACI_PRODAJA!D:D,MATCH($A785,PODACI_PRODAJA!$A:$A,0)),0)</f>
        <v>-1</v>
      </c>
      <c r="V785" s="23" t="n">
        <f aca="false">IFERROR(INDEX(PODACI_PRODAJA!E:E,MATCH($A785,PODACI_PRODAJA!$A:$A,0)),0)</f>
        <v>14</v>
      </c>
      <c r="W785" s="23" t="n">
        <f aca="false">IFERROR(INDEX(PODACI_PRODAJA!F:F,MATCH($A785,PODACI_PRODAJA!$A:$A,0)),0)</f>
        <v>7</v>
      </c>
      <c r="X785" s="23" t="n">
        <f aca="false">IFERROR(INDEX(PODACI_PRODAJA!G:G,MATCH($A785,PODACI_PRODAJA!$A:$A,0)),0)</f>
        <v>10</v>
      </c>
      <c r="Y785" s="23" t="n">
        <f aca="false">IFERROR(INDEX(PODACI_PRODAJA!H:H,MATCH($A785,PODACI_PRODAJA!$A:$A,0)),0)</f>
        <v>0</v>
      </c>
      <c r="Z785" s="23" t="n">
        <f aca="false">IFERROR(INDEX(PODACI_PRODAJA!I:I,MATCH($A785,PODACI_PRODAJA!$A:$A,0)),0)</f>
        <v>0</v>
      </c>
      <c r="AA785" s="23" t="n">
        <f aca="false">IFERROR(INDEX(PODACI_PRODAJA!J:J,MATCH($A785,PODACI_PRODAJA!$A:$A,0)),0)</f>
        <v>0</v>
      </c>
      <c r="AB785" s="23" t="n">
        <f aca="false">IFERROR(INDEX(PODACI_PRODAJA!K:K,MATCH($A785,PODACI_PRODAJA!$A:$A,0)),0)</f>
        <v>0</v>
      </c>
      <c r="AC785" s="23" t="n">
        <f aca="false">IFERROR(INDEX(PODACI_PRODAJA!L:L,MATCH($A785,PODACI_PRODAJA!$A:$A,0)),0)</f>
        <v>0</v>
      </c>
      <c r="AD785" s="23" t="n">
        <f aca="false">IFERROR(INDEX(PODACI_PRODAJA!M:M,MATCH($A785,PODACI_PRODAJA!$A:$A,0)),0)</f>
        <v>0</v>
      </c>
    </row>
    <row r="786" customFormat="false" ht="15" hidden="false" customHeight="false" outlineLevel="0" collapsed="false">
      <c r="A786" s="11" t="str">
        <f aca="false">PODACI_ZALIHE!A783</f>
        <v>A374123000</v>
      </c>
      <c r="B786" s="8" t="str">
        <f aca="false">PODACI_ZALIHE!B783</f>
        <v>ROCA TUŠ KADA ROMA KV 90X90, h=55mm, PORCULAN</v>
      </c>
      <c r="C786" s="9" t="n">
        <f aca="false">PODACI_ZALIHE!C783</f>
        <v>0</v>
      </c>
      <c r="D786" s="8" t="n">
        <f aca="false">PODACI_ZALIHE!D783</f>
        <v>0</v>
      </c>
      <c r="E786" s="19" t="str">
        <f aca="false">IF(PODACI_ZALIHE!E783="","",PODACI_ZALIHE!E783)</f>
        <v/>
      </c>
      <c r="F786" s="20" t="n">
        <f aca="false">PODACI_ZALIHE!F783</f>
        <v>0</v>
      </c>
      <c r="G786" s="19" t="str">
        <f aca="false">IF(E786="","",E786-F786)</f>
        <v/>
      </c>
      <c r="H786" s="9" t="n">
        <f aca="false">PODACI_PRODAJA!N293</f>
        <v>0.75</v>
      </c>
      <c r="I786" s="21" t="n">
        <f aca="false">IF(H786&lt;=0,999,ROUND(F786/H786,1))</f>
        <v>0</v>
      </c>
      <c r="J786" s="9" t="n">
        <f aca="false">SUMIFS(ROBA_U_DOLASKU!$C$6:$C$95,ROBA_U_DOLASKU!$A$6:$A$95,A786,ROBA_U_DOLASKU!$H$6:$H$95,1)</f>
        <v>0</v>
      </c>
      <c r="K786" s="9" t="n">
        <f aca="false">SUMIFS(ROBA_U_DOLASKU!$B$6:$B$95,ROBA_U_DOLASKU!$A$6:$A$95,A786,ROBA_U_DOLASKU!$H$6:$H$95,1)</f>
        <v>0</v>
      </c>
      <c r="L786" s="9" t="n">
        <f aca="false">SUMIFS(ROBA_U_DOLASKU!$C$6:$C$95,ROBA_U_DOLASKU!$A$6:$A$95,A786,ROBA_U_DOLASKU!$H$6:$H$95,2)</f>
        <v>0</v>
      </c>
      <c r="M786" s="9" t="n">
        <f aca="false">SUMIFS(ROBA_U_DOLASKU!$B$6:$B$95,ROBA_U_DOLASKU!$A$6:$A$95,A786,ROBA_U_DOLASKU!$H$6:$H$95,2)</f>
        <v>0</v>
      </c>
      <c r="N786" s="9" t="n">
        <f aca="false">SUMIFS(ROBA_U_DOLASKU!$C$6:$C$95,ROBA_U_DOLASKU!$A$6:$A$95,A786,ROBA_U_DOLASKU!$H$6:$H$95,3)</f>
        <v>0</v>
      </c>
      <c r="O786" s="9" t="n">
        <f aca="false">SUMIFS(ROBA_U_DOLASKU!$B$6:$B$95,ROBA_U_DOLASKU!$A$6:$A$95,A786,ROBA_U_DOLASKU!$H$6:$H$95,3)</f>
        <v>0</v>
      </c>
      <c r="P786" s="9" t="n">
        <f aca="false">IF(H786&lt;=0,999,IF(O786&gt;0,ROUND((F786-H786*N786+K786+M786+O786)/H786,1),IF(M786&gt;0,ROUND((F786-H786*L786+K786+M786)/H786,1),IF(K786&gt;0,ROUND((F786-H786*J786+K786)/H786,1),I786))))</f>
        <v>0</v>
      </c>
      <c r="Q786" s="22" t="str">
        <f aca="false">IF(H786&lt;=0,"Nema prodaje",IF(AND(K786=0,M786=0,O786=0),IF(I786&lt;POSTAVKE!$B$6,"Naruči odmah","Sve u redu"),IF(F786-H786*J786&lt;0,"Rupa za ~"&amp;TEXT(I786,"0.0")&amp;" mj.",IF(AND(M786&gt;0,F786-H786*L786+K786&lt;0),"Rupa nakon 1. dolaska",IF(AND(O786&gt;0,F786-H786*N786+K786+M786&lt;0),"Rupa nakon 2. dolaska",IF(P786&lt;POSTAVKE!$B$6,"Količina nije dovoljna",IF(I786&gt;=POSTAVKE!$B$6,"Sve u redu","Stiže na vrijeme")))))))</f>
        <v>Naruči odmah</v>
      </c>
      <c r="S786" s="23" t="n">
        <f aca="false">IFERROR(INDEX(PODACI_PRODAJA!B:B,MATCH($A786,PODACI_PRODAJA!$A:$A,0)),0)</f>
        <v>0</v>
      </c>
      <c r="T786" s="23" t="n">
        <f aca="false">IFERROR(INDEX(PODACI_PRODAJA!C:C,MATCH($A786,PODACI_PRODAJA!$A:$A,0)),0)</f>
        <v>0</v>
      </c>
      <c r="U786" s="23" t="n">
        <f aca="false">IFERROR(INDEX(PODACI_PRODAJA!D:D,MATCH($A786,PODACI_PRODAJA!$A:$A,0)),0)</f>
        <v>0</v>
      </c>
      <c r="V786" s="23" t="n">
        <f aca="false">IFERROR(INDEX(PODACI_PRODAJA!E:E,MATCH($A786,PODACI_PRODAJA!$A:$A,0)),0)</f>
        <v>4</v>
      </c>
      <c r="W786" s="23" t="n">
        <f aca="false">IFERROR(INDEX(PODACI_PRODAJA!F:F,MATCH($A786,PODACI_PRODAJA!$A:$A,0)),0)</f>
        <v>0</v>
      </c>
      <c r="X786" s="23" t="n">
        <f aca="false">IFERROR(INDEX(PODACI_PRODAJA!G:G,MATCH($A786,PODACI_PRODAJA!$A:$A,0)),0)</f>
        <v>0</v>
      </c>
      <c r="Y786" s="23" t="n">
        <f aca="false">IFERROR(INDEX(PODACI_PRODAJA!H:H,MATCH($A786,PODACI_PRODAJA!$A:$A,0)),0)</f>
        <v>2</v>
      </c>
      <c r="Z786" s="23" t="n">
        <f aca="false">IFERROR(INDEX(PODACI_PRODAJA!I:I,MATCH($A786,PODACI_PRODAJA!$A:$A,0)),0)</f>
        <v>0</v>
      </c>
      <c r="AA786" s="23" t="n">
        <f aca="false">IFERROR(INDEX(PODACI_PRODAJA!J:J,MATCH($A786,PODACI_PRODAJA!$A:$A,0)),0)</f>
        <v>0</v>
      </c>
      <c r="AB786" s="23" t="n">
        <f aca="false">IFERROR(INDEX(PODACI_PRODAJA!K:K,MATCH($A786,PODACI_PRODAJA!$A:$A,0)),0)</f>
        <v>0</v>
      </c>
      <c r="AC786" s="23" t="n">
        <f aca="false">IFERROR(INDEX(PODACI_PRODAJA!L:L,MATCH($A786,PODACI_PRODAJA!$A:$A,0)),0)</f>
        <v>0</v>
      </c>
      <c r="AD786" s="23" t="n">
        <f aca="false">IFERROR(INDEX(PODACI_PRODAJA!M:M,MATCH($A786,PODACI_PRODAJA!$A:$A,0)),0)</f>
        <v>0</v>
      </c>
    </row>
    <row r="787" customFormat="false" ht="15" hidden="false" customHeight="false" outlineLevel="0" collapsed="false">
      <c r="A787" s="11" t="str">
        <f aca="false">PODACI_ZALIHE!A784</f>
        <v>A374124000</v>
      </c>
      <c r="B787" s="8" t="str">
        <f aca="false">PODACI_ZALIHE!B784</f>
        <v>ROCA TUŠ KADA ROMA R900, h=55mm, PORCULAN</v>
      </c>
      <c r="C787" s="9" t="n">
        <f aca="false">PODACI_ZALIHE!C784</f>
        <v>0</v>
      </c>
      <c r="D787" s="8" t="n">
        <f aca="false">PODACI_ZALIHE!D784</f>
        <v>0</v>
      </c>
      <c r="E787" s="19" t="str">
        <f aca="false">IF(PODACI_ZALIHE!E784="","",PODACI_ZALIHE!E784)</f>
        <v/>
      </c>
      <c r="F787" s="20" t="n">
        <f aca="false">PODACI_ZALIHE!F784</f>
        <v>0</v>
      </c>
      <c r="G787" s="19" t="str">
        <f aca="false">IF(E787="","",E787-F787)</f>
        <v/>
      </c>
      <c r="H787" s="9" t="n">
        <f aca="false">PODACI_PRODAJA!N294</f>
        <v>0.13</v>
      </c>
      <c r="I787" s="21" t="n">
        <f aca="false">IF(H787&lt;=0,999,ROUND(F787/H787,1))</f>
        <v>0</v>
      </c>
      <c r="J787" s="9" t="n">
        <f aca="false">SUMIFS(ROBA_U_DOLASKU!$C$6:$C$95,ROBA_U_DOLASKU!$A$6:$A$95,A787,ROBA_U_DOLASKU!$H$6:$H$95,1)</f>
        <v>0</v>
      </c>
      <c r="K787" s="9" t="n">
        <f aca="false">SUMIFS(ROBA_U_DOLASKU!$B$6:$B$95,ROBA_U_DOLASKU!$A$6:$A$95,A787,ROBA_U_DOLASKU!$H$6:$H$95,1)</f>
        <v>0</v>
      </c>
      <c r="L787" s="9" t="n">
        <f aca="false">SUMIFS(ROBA_U_DOLASKU!$C$6:$C$95,ROBA_U_DOLASKU!$A$6:$A$95,A787,ROBA_U_DOLASKU!$H$6:$H$95,2)</f>
        <v>0</v>
      </c>
      <c r="M787" s="9" t="n">
        <f aca="false">SUMIFS(ROBA_U_DOLASKU!$B$6:$B$95,ROBA_U_DOLASKU!$A$6:$A$95,A787,ROBA_U_DOLASKU!$H$6:$H$95,2)</f>
        <v>0</v>
      </c>
      <c r="N787" s="9" t="n">
        <f aca="false">SUMIFS(ROBA_U_DOLASKU!$C$6:$C$95,ROBA_U_DOLASKU!$A$6:$A$95,A787,ROBA_U_DOLASKU!$H$6:$H$95,3)</f>
        <v>0</v>
      </c>
      <c r="O787" s="9" t="n">
        <f aca="false">SUMIFS(ROBA_U_DOLASKU!$B$6:$B$95,ROBA_U_DOLASKU!$A$6:$A$95,A787,ROBA_U_DOLASKU!$H$6:$H$95,3)</f>
        <v>0</v>
      </c>
      <c r="P787" s="9" t="n">
        <f aca="false">IF(H787&lt;=0,999,IF(O787&gt;0,ROUND((F787-H787*N787+K787+M787+O787)/H787,1),IF(M787&gt;0,ROUND((F787-H787*L787+K787+M787)/H787,1),IF(K787&gt;0,ROUND((F787-H787*J787+K787)/H787,1),I787))))</f>
        <v>0</v>
      </c>
      <c r="Q787" s="22" t="str">
        <f aca="false">IF(H787&lt;=0,"Nema prodaje",IF(AND(K787=0,M787=0,O787=0),IF(I787&lt;POSTAVKE!$B$6,"Naruči odmah","Sve u redu"),IF(F787-H787*J787&lt;0,"Rupa za ~"&amp;TEXT(I787,"0.0")&amp;" mj.",IF(AND(M787&gt;0,F787-H787*L787+K787&lt;0),"Rupa nakon 1. dolaska",IF(AND(O787&gt;0,F787-H787*N787+K787+M787&lt;0),"Rupa nakon 2. dolaska",IF(P787&lt;POSTAVKE!$B$6,"Količina nije dovoljna",IF(I787&gt;=POSTAVKE!$B$6,"Sve u redu","Stiže na vrijeme")))))))</f>
        <v>Naruči odmah</v>
      </c>
      <c r="S787" s="23" t="n">
        <f aca="false">IFERROR(INDEX(PODACI_PRODAJA!B:B,MATCH($A787,PODACI_PRODAJA!$A:$A,0)),0)</f>
        <v>0</v>
      </c>
      <c r="T787" s="23" t="n">
        <f aca="false">IFERROR(INDEX(PODACI_PRODAJA!C:C,MATCH($A787,PODACI_PRODAJA!$A:$A,0)),0)</f>
        <v>0</v>
      </c>
      <c r="U787" s="23" t="n">
        <f aca="false">IFERROR(INDEX(PODACI_PRODAJA!D:D,MATCH($A787,PODACI_PRODAJA!$A:$A,0)),0)</f>
        <v>0</v>
      </c>
      <c r="V787" s="23" t="n">
        <f aca="false">IFERROR(INDEX(PODACI_PRODAJA!E:E,MATCH($A787,PODACI_PRODAJA!$A:$A,0)),0)</f>
        <v>1</v>
      </c>
      <c r="W787" s="23" t="n">
        <f aca="false">IFERROR(INDEX(PODACI_PRODAJA!F:F,MATCH($A787,PODACI_PRODAJA!$A:$A,0)),0)</f>
        <v>0</v>
      </c>
      <c r="X787" s="23" t="n">
        <f aca="false">IFERROR(INDEX(PODACI_PRODAJA!G:G,MATCH($A787,PODACI_PRODAJA!$A:$A,0)),0)</f>
        <v>0</v>
      </c>
      <c r="Y787" s="23" t="n">
        <f aca="false">IFERROR(INDEX(PODACI_PRODAJA!H:H,MATCH($A787,PODACI_PRODAJA!$A:$A,0)),0)</f>
        <v>0</v>
      </c>
      <c r="Z787" s="23" t="n">
        <f aca="false">IFERROR(INDEX(PODACI_PRODAJA!I:I,MATCH($A787,PODACI_PRODAJA!$A:$A,0)),0)</f>
        <v>0</v>
      </c>
      <c r="AA787" s="23" t="n">
        <f aca="false">IFERROR(INDEX(PODACI_PRODAJA!J:J,MATCH($A787,PODACI_PRODAJA!$A:$A,0)),0)</f>
        <v>0</v>
      </c>
      <c r="AB787" s="23" t="n">
        <f aca="false">IFERROR(INDEX(PODACI_PRODAJA!K:K,MATCH($A787,PODACI_PRODAJA!$A:$A,0)),0)</f>
        <v>0</v>
      </c>
      <c r="AC787" s="23" t="n">
        <f aca="false">IFERROR(INDEX(PODACI_PRODAJA!L:L,MATCH($A787,PODACI_PRODAJA!$A:$A,0)),0)</f>
        <v>0</v>
      </c>
      <c r="AD787" s="23" t="n">
        <f aca="false">IFERROR(INDEX(PODACI_PRODAJA!M:M,MATCH($A787,PODACI_PRODAJA!$A:$A,0)),0)</f>
        <v>0</v>
      </c>
    </row>
    <row r="788" customFormat="false" ht="15" hidden="false" customHeight="false" outlineLevel="0" collapsed="false">
      <c r="A788" s="11" t="str">
        <f aca="false">PODACI_ZALIHE!A785</f>
        <v>PK00003</v>
      </c>
      <c r="B788" s="8" t="str">
        <f aca="false">PODACI_ZALIHE!B785</f>
        <v>ROVING NITI- 2400 TEX / 58,36 %</v>
      </c>
      <c r="C788" s="9" t="n">
        <f aca="false">PODACI_ZALIHE!C785</f>
        <v>0</v>
      </c>
      <c r="D788" s="8" t="n">
        <f aca="false">PODACI_ZALIHE!D785</f>
        <v>0</v>
      </c>
      <c r="E788" s="19" t="str">
        <f aca="false">IF(PODACI_ZALIHE!E785="","",PODACI_ZALIHE!E785)</f>
        <v/>
      </c>
      <c r="F788" s="20" t="n">
        <f aca="false">PODACI_ZALIHE!F785</f>
        <v>0</v>
      </c>
      <c r="G788" s="19" t="str">
        <f aca="false">IF(E788="","",E788-F788)</f>
        <v/>
      </c>
      <c r="H788" s="9" t="n">
        <f aca="false">PODACI_PRODAJA!N296</f>
        <v>0</v>
      </c>
      <c r="I788" s="21" t="n">
        <f aca="false">IF(H788&lt;=0,999,ROUND(F788/H788,1))</f>
        <v>999</v>
      </c>
      <c r="J788" s="9" t="n">
        <f aca="false">SUMIFS(ROBA_U_DOLASKU!$C$6:$C$95,ROBA_U_DOLASKU!$A$6:$A$95,A788,ROBA_U_DOLASKU!$H$6:$H$95,1)</f>
        <v>0</v>
      </c>
      <c r="K788" s="9" t="n">
        <f aca="false">SUMIFS(ROBA_U_DOLASKU!$B$6:$B$95,ROBA_U_DOLASKU!$A$6:$A$95,A788,ROBA_U_DOLASKU!$H$6:$H$95,1)</f>
        <v>0</v>
      </c>
      <c r="L788" s="9" t="n">
        <f aca="false">SUMIFS(ROBA_U_DOLASKU!$C$6:$C$95,ROBA_U_DOLASKU!$A$6:$A$95,A788,ROBA_U_DOLASKU!$H$6:$H$95,2)</f>
        <v>0</v>
      </c>
      <c r="M788" s="9" t="n">
        <f aca="false">SUMIFS(ROBA_U_DOLASKU!$B$6:$B$95,ROBA_U_DOLASKU!$A$6:$A$95,A788,ROBA_U_DOLASKU!$H$6:$H$95,2)</f>
        <v>0</v>
      </c>
      <c r="N788" s="9" t="n">
        <f aca="false">SUMIFS(ROBA_U_DOLASKU!$C$6:$C$95,ROBA_U_DOLASKU!$A$6:$A$95,A788,ROBA_U_DOLASKU!$H$6:$H$95,3)</f>
        <v>0</v>
      </c>
      <c r="O788" s="9" t="n">
        <f aca="false">SUMIFS(ROBA_U_DOLASKU!$B$6:$B$95,ROBA_U_DOLASKU!$A$6:$A$95,A788,ROBA_U_DOLASKU!$H$6:$H$95,3)</f>
        <v>0</v>
      </c>
      <c r="P788" s="9" t="n">
        <f aca="false">IF(H788&lt;=0,999,IF(O788&gt;0,ROUND((F788-H788*N788+K788+M788+O788)/H788,1),IF(M788&gt;0,ROUND((F788-H788*L788+K788+M788)/H788,1),IF(K788&gt;0,ROUND((F788-H788*J788+K788)/H788,1),I788))))</f>
        <v>999</v>
      </c>
      <c r="Q788" s="22" t="str">
        <f aca="false">IF(H788&lt;=0,"Nema prodaje",IF(AND(K788=0,M788=0,O788=0),IF(I788&lt;POSTAVKE!$B$6,"Naruči odmah","Sve u redu"),IF(F788-H788*J788&lt;0,"Rupa za ~"&amp;TEXT(I788,"0.0")&amp;" mj.",IF(AND(M788&gt;0,F788-H788*L788+K788&lt;0),"Rupa nakon 1. dolaska",IF(AND(O788&gt;0,F788-H788*N788+K788+M788&lt;0),"Rupa nakon 2. dolaska",IF(P788&lt;POSTAVKE!$B$6,"Količina nije dovoljna",IF(I788&gt;=POSTAVKE!$B$6,"Sve u redu","Stiže na vrijeme")))))))</f>
        <v>Nema prodaje</v>
      </c>
      <c r="S788" s="23" t="n">
        <f aca="false">IFERROR(INDEX(PODACI_PRODAJA!B:B,MATCH($A788,PODACI_PRODAJA!$A:$A,0)),0)</f>
        <v>0</v>
      </c>
      <c r="T788" s="23" t="n">
        <f aca="false">IFERROR(INDEX(PODACI_PRODAJA!C:C,MATCH($A788,PODACI_PRODAJA!$A:$A,0)),0)</f>
        <v>0</v>
      </c>
      <c r="U788" s="23" t="n">
        <f aca="false">IFERROR(INDEX(PODACI_PRODAJA!D:D,MATCH($A788,PODACI_PRODAJA!$A:$A,0)),0)</f>
        <v>0</v>
      </c>
      <c r="V788" s="23" t="n">
        <f aca="false">IFERROR(INDEX(PODACI_PRODAJA!E:E,MATCH($A788,PODACI_PRODAJA!$A:$A,0)),0)</f>
        <v>0</v>
      </c>
      <c r="W788" s="23" t="n">
        <f aca="false">IFERROR(INDEX(PODACI_PRODAJA!F:F,MATCH($A788,PODACI_PRODAJA!$A:$A,0)),0)</f>
        <v>0</v>
      </c>
      <c r="X788" s="23" t="n">
        <f aca="false">IFERROR(INDEX(PODACI_PRODAJA!G:G,MATCH($A788,PODACI_PRODAJA!$A:$A,0)),0)</f>
        <v>0</v>
      </c>
      <c r="Y788" s="23" t="n">
        <f aca="false">IFERROR(INDEX(PODACI_PRODAJA!H:H,MATCH($A788,PODACI_PRODAJA!$A:$A,0)),0)</f>
        <v>0</v>
      </c>
      <c r="Z788" s="23" t="n">
        <f aca="false">IFERROR(INDEX(PODACI_PRODAJA!I:I,MATCH($A788,PODACI_PRODAJA!$A:$A,0)),0)</f>
        <v>0</v>
      </c>
      <c r="AA788" s="23" t="n">
        <f aca="false">IFERROR(INDEX(PODACI_PRODAJA!J:J,MATCH($A788,PODACI_PRODAJA!$A:$A,0)),0)</f>
        <v>0</v>
      </c>
      <c r="AB788" s="23" t="n">
        <f aca="false">IFERROR(INDEX(PODACI_PRODAJA!K:K,MATCH($A788,PODACI_PRODAJA!$A:$A,0)),0)</f>
        <v>0</v>
      </c>
      <c r="AC788" s="23" t="n">
        <f aca="false">IFERROR(INDEX(PODACI_PRODAJA!L:L,MATCH($A788,PODACI_PRODAJA!$A:$A,0)),0)</f>
        <v>0</v>
      </c>
      <c r="AD788" s="23" t="n">
        <f aca="false">IFERROR(INDEX(PODACI_PRODAJA!M:M,MATCH($A788,PODACI_PRODAJA!$A:$A,0)),0)</f>
        <v>0</v>
      </c>
    </row>
    <row r="789" customFormat="false" ht="15" hidden="false" customHeight="false" outlineLevel="0" collapsed="false">
      <c r="A789" s="11" t="str">
        <f aca="false">PODACI_ZALIHE!A786</f>
        <v>PTK000090</v>
      </c>
      <c r="B789" s="8" t="str">
        <f aca="false">PODACI_ZALIHE!B786</f>
        <v>MAGNETNA BRTVA ZA STAKLO VRATA- BL 2200mm</v>
      </c>
      <c r="C789" s="9" t="n">
        <f aca="false">PODACI_ZALIHE!C786</f>
        <v>0</v>
      </c>
      <c r="D789" s="8" t="n">
        <f aca="false">PODACI_ZALIHE!D786</f>
        <v>0</v>
      </c>
      <c r="E789" s="19" t="str">
        <f aca="false">IF(PODACI_ZALIHE!E786="","",PODACI_ZALIHE!E786)</f>
        <v/>
      </c>
      <c r="F789" s="20" t="n">
        <f aca="false">PODACI_ZALIHE!F786</f>
        <v>0</v>
      </c>
      <c r="G789" s="19" t="str">
        <f aca="false">IF(E789="","",E789-F789)</f>
        <v/>
      </c>
      <c r="H789" s="9" t="n">
        <f aca="false">PODACI_PRODAJA!N298</f>
        <v>16.25</v>
      </c>
      <c r="I789" s="21" t="n">
        <f aca="false">IF(H789&lt;=0,999,ROUND(F789/H789,1))</f>
        <v>0</v>
      </c>
      <c r="J789" s="9" t="n">
        <f aca="false">SUMIFS(ROBA_U_DOLASKU!$C$6:$C$95,ROBA_U_DOLASKU!$A$6:$A$95,A789,ROBA_U_DOLASKU!$H$6:$H$95,1)</f>
        <v>0</v>
      </c>
      <c r="K789" s="9" t="n">
        <f aca="false">SUMIFS(ROBA_U_DOLASKU!$B$6:$B$95,ROBA_U_DOLASKU!$A$6:$A$95,A789,ROBA_U_DOLASKU!$H$6:$H$95,1)</f>
        <v>0</v>
      </c>
      <c r="L789" s="9" t="n">
        <f aca="false">SUMIFS(ROBA_U_DOLASKU!$C$6:$C$95,ROBA_U_DOLASKU!$A$6:$A$95,A789,ROBA_U_DOLASKU!$H$6:$H$95,2)</f>
        <v>0</v>
      </c>
      <c r="M789" s="9" t="n">
        <f aca="false">SUMIFS(ROBA_U_DOLASKU!$B$6:$B$95,ROBA_U_DOLASKU!$A$6:$A$95,A789,ROBA_U_DOLASKU!$H$6:$H$95,2)</f>
        <v>0</v>
      </c>
      <c r="N789" s="9" t="n">
        <f aca="false">SUMIFS(ROBA_U_DOLASKU!$C$6:$C$95,ROBA_U_DOLASKU!$A$6:$A$95,A789,ROBA_U_DOLASKU!$H$6:$H$95,3)</f>
        <v>0</v>
      </c>
      <c r="O789" s="9" t="n">
        <f aca="false">SUMIFS(ROBA_U_DOLASKU!$B$6:$B$95,ROBA_U_DOLASKU!$A$6:$A$95,A789,ROBA_U_DOLASKU!$H$6:$H$95,3)</f>
        <v>0</v>
      </c>
      <c r="P789" s="9" t="n">
        <f aca="false">IF(H789&lt;=0,999,IF(O789&gt;0,ROUND((F789-H789*N789+K789+M789+O789)/H789,1),IF(M789&gt;0,ROUND((F789-H789*L789+K789+M789)/H789,1),IF(K789&gt;0,ROUND((F789-H789*J789+K789)/H789,1),I789))))</f>
        <v>0</v>
      </c>
      <c r="Q789" s="22" t="str">
        <f aca="false">IF(H789&lt;=0,"Nema prodaje",IF(AND(K789=0,M789=0,O789=0),IF(I789&lt;POSTAVKE!$B$6,"Naruči odmah","Sve u redu"),IF(F789-H789*J789&lt;0,"Rupa za ~"&amp;TEXT(I789,"0.0")&amp;" mj.",IF(AND(M789&gt;0,F789-H789*L789+K789&lt;0),"Rupa nakon 1. dolaska",IF(AND(O789&gt;0,F789-H789*N789+K789+M789&lt;0),"Rupa nakon 2. dolaska",IF(P789&lt;POSTAVKE!$B$6,"Količina nije dovoljna",IF(I789&gt;=POSTAVKE!$B$6,"Sve u redu","Stiže na vrijeme")))))))</f>
        <v>Naruči odmah</v>
      </c>
      <c r="S789" s="23" t="n">
        <f aca="false">IFERROR(INDEX(PODACI_PRODAJA!B:B,MATCH($A789,PODACI_PRODAJA!$A:$A,0)),0)</f>
        <v>0</v>
      </c>
      <c r="T789" s="23" t="n">
        <f aca="false">IFERROR(INDEX(PODACI_PRODAJA!C:C,MATCH($A789,PODACI_PRODAJA!$A:$A,0)),0)</f>
        <v>0</v>
      </c>
      <c r="U789" s="23" t="n">
        <f aca="false">IFERROR(INDEX(PODACI_PRODAJA!D:D,MATCH($A789,PODACI_PRODAJA!$A:$A,0)),0)</f>
        <v>130</v>
      </c>
      <c r="V789" s="23" t="n">
        <f aca="false">IFERROR(INDEX(PODACI_PRODAJA!E:E,MATCH($A789,PODACI_PRODAJA!$A:$A,0)),0)</f>
        <v>0</v>
      </c>
      <c r="W789" s="23" t="n">
        <f aca="false">IFERROR(INDEX(PODACI_PRODAJA!F:F,MATCH($A789,PODACI_PRODAJA!$A:$A,0)),0)</f>
        <v>0</v>
      </c>
      <c r="X789" s="23" t="n">
        <f aca="false">IFERROR(INDEX(PODACI_PRODAJA!G:G,MATCH($A789,PODACI_PRODAJA!$A:$A,0)),0)</f>
        <v>0</v>
      </c>
      <c r="Y789" s="23" t="n">
        <f aca="false">IFERROR(INDEX(PODACI_PRODAJA!H:H,MATCH($A789,PODACI_PRODAJA!$A:$A,0)),0)</f>
        <v>0</v>
      </c>
      <c r="Z789" s="23" t="n">
        <f aca="false">IFERROR(INDEX(PODACI_PRODAJA!I:I,MATCH($A789,PODACI_PRODAJA!$A:$A,0)),0)</f>
        <v>0</v>
      </c>
      <c r="AA789" s="23" t="n">
        <f aca="false">IFERROR(INDEX(PODACI_PRODAJA!J:J,MATCH($A789,PODACI_PRODAJA!$A:$A,0)),0)</f>
        <v>0</v>
      </c>
      <c r="AB789" s="23" t="n">
        <f aca="false">IFERROR(INDEX(PODACI_PRODAJA!K:K,MATCH($A789,PODACI_PRODAJA!$A:$A,0)),0)</f>
        <v>0</v>
      </c>
      <c r="AC789" s="23" t="n">
        <f aca="false">IFERROR(INDEX(PODACI_PRODAJA!L:L,MATCH($A789,PODACI_PRODAJA!$A:$A,0)),0)</f>
        <v>0</v>
      </c>
      <c r="AD789" s="23" t="n">
        <f aca="false">IFERROR(INDEX(PODACI_PRODAJA!M:M,MATCH($A789,PODACI_PRODAJA!$A:$A,0)),0)</f>
        <v>0</v>
      </c>
    </row>
    <row r="790" customFormat="false" ht="15" hidden="false" customHeight="false" outlineLevel="0" collapsed="false">
      <c r="A790" s="11" t="str">
        <f aca="false">PODACI_ZALIHE!A787</f>
        <v>PTK00188</v>
      </c>
      <c r="B790" s="8" t="str">
        <f aca="false">PODACI_ZALIHE!B787</f>
        <v>ALUMINIJSKI PROFIL ZA VETRO 6-8MM</v>
      </c>
      <c r="C790" s="9" t="n">
        <f aca="false">PODACI_ZALIHE!C787</f>
        <v>0</v>
      </c>
      <c r="D790" s="8" t="n">
        <f aca="false">PODACI_ZALIHE!D787</f>
        <v>0</v>
      </c>
      <c r="E790" s="19" t="str">
        <f aca="false">IF(PODACI_ZALIHE!E787="","",PODACI_ZALIHE!E787)</f>
        <v/>
      </c>
      <c r="F790" s="20" t="n">
        <f aca="false">PODACI_ZALIHE!F787</f>
        <v>0</v>
      </c>
      <c r="G790" s="19" t="str">
        <f aca="false">IF(E790="","",E790-F790)</f>
        <v/>
      </c>
      <c r="H790" s="9" t="n">
        <f aca="false">PODACI_PRODAJA!N299</f>
        <v>0</v>
      </c>
      <c r="I790" s="21" t="n">
        <f aca="false">IF(H790&lt;=0,999,ROUND(F790/H790,1))</f>
        <v>999</v>
      </c>
      <c r="J790" s="9" t="n">
        <f aca="false">SUMIFS(ROBA_U_DOLASKU!$C$6:$C$95,ROBA_U_DOLASKU!$A$6:$A$95,A790,ROBA_U_DOLASKU!$H$6:$H$95,1)</f>
        <v>0</v>
      </c>
      <c r="K790" s="9" t="n">
        <f aca="false">SUMIFS(ROBA_U_DOLASKU!$B$6:$B$95,ROBA_U_DOLASKU!$A$6:$A$95,A790,ROBA_U_DOLASKU!$H$6:$H$95,1)</f>
        <v>0</v>
      </c>
      <c r="L790" s="9" t="n">
        <f aca="false">SUMIFS(ROBA_U_DOLASKU!$C$6:$C$95,ROBA_U_DOLASKU!$A$6:$A$95,A790,ROBA_U_DOLASKU!$H$6:$H$95,2)</f>
        <v>0</v>
      </c>
      <c r="M790" s="9" t="n">
        <f aca="false">SUMIFS(ROBA_U_DOLASKU!$B$6:$B$95,ROBA_U_DOLASKU!$A$6:$A$95,A790,ROBA_U_DOLASKU!$H$6:$H$95,2)</f>
        <v>0</v>
      </c>
      <c r="N790" s="9" t="n">
        <f aca="false">SUMIFS(ROBA_U_DOLASKU!$C$6:$C$95,ROBA_U_DOLASKU!$A$6:$A$95,A790,ROBA_U_DOLASKU!$H$6:$H$95,3)</f>
        <v>0</v>
      </c>
      <c r="O790" s="9" t="n">
        <f aca="false">SUMIFS(ROBA_U_DOLASKU!$B$6:$B$95,ROBA_U_DOLASKU!$A$6:$A$95,A790,ROBA_U_DOLASKU!$H$6:$H$95,3)</f>
        <v>0</v>
      </c>
      <c r="P790" s="9" t="n">
        <f aca="false">IF(H790&lt;=0,999,IF(O790&gt;0,ROUND((F790-H790*N790+K790+M790+O790)/H790,1),IF(M790&gt;0,ROUND((F790-H790*L790+K790+M790)/H790,1),IF(K790&gt;0,ROUND((F790-H790*J790+K790)/H790,1),I790))))</f>
        <v>999</v>
      </c>
      <c r="Q790" s="22" t="str">
        <f aca="false">IF(H790&lt;=0,"Nema prodaje",IF(AND(K790=0,M790=0,O790=0),IF(I790&lt;POSTAVKE!$B$6,"Naruči odmah","Sve u redu"),IF(F790-H790*J790&lt;0,"Rupa za ~"&amp;TEXT(I790,"0.0")&amp;" mj.",IF(AND(M790&gt;0,F790-H790*L790+K790&lt;0),"Rupa nakon 1. dolaska",IF(AND(O790&gt;0,F790-H790*N790+K790+M790&lt;0),"Rupa nakon 2. dolaska",IF(P790&lt;POSTAVKE!$B$6,"Količina nije dovoljna",IF(I790&gt;=POSTAVKE!$B$6,"Sve u redu","Stiže na vrijeme")))))))</f>
        <v>Nema prodaje</v>
      </c>
      <c r="S790" s="23" t="n">
        <f aca="false">IFERROR(INDEX(PODACI_PRODAJA!B:B,MATCH($A790,PODACI_PRODAJA!$A:$A,0)),0)</f>
        <v>0</v>
      </c>
      <c r="T790" s="23" t="n">
        <f aca="false">IFERROR(INDEX(PODACI_PRODAJA!C:C,MATCH($A790,PODACI_PRODAJA!$A:$A,0)),0)</f>
        <v>0</v>
      </c>
      <c r="U790" s="23" t="n">
        <f aca="false">IFERROR(INDEX(PODACI_PRODAJA!D:D,MATCH($A790,PODACI_PRODAJA!$A:$A,0)),0)</f>
        <v>0</v>
      </c>
      <c r="V790" s="23" t="n">
        <f aca="false">IFERROR(INDEX(PODACI_PRODAJA!E:E,MATCH($A790,PODACI_PRODAJA!$A:$A,0)),0)</f>
        <v>0</v>
      </c>
      <c r="W790" s="23" t="n">
        <f aca="false">IFERROR(INDEX(PODACI_PRODAJA!F:F,MATCH($A790,PODACI_PRODAJA!$A:$A,0)),0)</f>
        <v>0</v>
      </c>
      <c r="X790" s="23" t="n">
        <f aca="false">IFERROR(INDEX(PODACI_PRODAJA!G:G,MATCH($A790,PODACI_PRODAJA!$A:$A,0)),0)</f>
        <v>0</v>
      </c>
      <c r="Y790" s="23" t="n">
        <f aca="false">IFERROR(INDEX(PODACI_PRODAJA!H:H,MATCH($A790,PODACI_PRODAJA!$A:$A,0)),0)</f>
        <v>0</v>
      </c>
      <c r="Z790" s="23" t="n">
        <f aca="false">IFERROR(INDEX(PODACI_PRODAJA!I:I,MATCH($A790,PODACI_PRODAJA!$A:$A,0)),0)</f>
        <v>0</v>
      </c>
      <c r="AA790" s="23" t="n">
        <f aca="false">IFERROR(INDEX(PODACI_PRODAJA!J:J,MATCH($A790,PODACI_PRODAJA!$A:$A,0)),0)</f>
        <v>0</v>
      </c>
      <c r="AB790" s="23" t="n">
        <f aca="false">IFERROR(INDEX(PODACI_PRODAJA!K:K,MATCH($A790,PODACI_PRODAJA!$A:$A,0)),0)</f>
        <v>0</v>
      </c>
      <c r="AC790" s="23" t="n">
        <f aca="false">IFERROR(INDEX(PODACI_PRODAJA!L:L,MATCH($A790,PODACI_PRODAJA!$A:$A,0)),0)</f>
        <v>0</v>
      </c>
      <c r="AD790" s="23" t="n">
        <f aca="false">IFERROR(INDEX(PODACI_PRODAJA!M:M,MATCH($A790,PODACI_PRODAJA!$A:$A,0)),0)</f>
        <v>0</v>
      </c>
    </row>
    <row r="791" customFormat="false" ht="15" hidden="false" customHeight="false" outlineLevel="0" collapsed="false">
      <c r="A791" s="11" t="str">
        <f aca="false">PODACI_ZALIHE!A788</f>
        <v>PTK00188B</v>
      </c>
      <c r="B791" s="8" t="str">
        <f aca="false">PODACI_ZALIHE!B788</f>
        <v>ALUMINIJSKI PROFIL ZA VETRO 6-8MM - CRNI MAT</v>
      </c>
      <c r="C791" s="9" t="n">
        <f aca="false">PODACI_ZALIHE!C788</f>
        <v>0</v>
      </c>
      <c r="D791" s="8" t="n">
        <f aca="false">PODACI_ZALIHE!D788</f>
        <v>0</v>
      </c>
      <c r="E791" s="19" t="str">
        <f aca="false">IF(PODACI_ZALIHE!E788="","",PODACI_ZALIHE!E788)</f>
        <v/>
      </c>
      <c r="F791" s="20" t="n">
        <f aca="false">PODACI_ZALIHE!F788</f>
        <v>0</v>
      </c>
      <c r="G791" s="19" t="str">
        <f aca="false">IF(E791="","",E791-F791)</f>
        <v/>
      </c>
      <c r="H791" s="9" t="n">
        <f aca="false">PODACI_PRODAJA!N300</f>
        <v>0</v>
      </c>
      <c r="I791" s="21" t="n">
        <f aca="false">IF(H791&lt;=0,999,ROUND(F791/H791,1))</f>
        <v>999</v>
      </c>
      <c r="J791" s="9" t="n">
        <f aca="false">SUMIFS(ROBA_U_DOLASKU!$C$6:$C$95,ROBA_U_DOLASKU!$A$6:$A$95,A791,ROBA_U_DOLASKU!$H$6:$H$95,1)</f>
        <v>0</v>
      </c>
      <c r="K791" s="9" t="n">
        <f aca="false">SUMIFS(ROBA_U_DOLASKU!$B$6:$B$95,ROBA_U_DOLASKU!$A$6:$A$95,A791,ROBA_U_DOLASKU!$H$6:$H$95,1)</f>
        <v>0</v>
      </c>
      <c r="L791" s="9" t="n">
        <f aca="false">SUMIFS(ROBA_U_DOLASKU!$C$6:$C$95,ROBA_U_DOLASKU!$A$6:$A$95,A791,ROBA_U_DOLASKU!$H$6:$H$95,2)</f>
        <v>0</v>
      </c>
      <c r="M791" s="9" t="n">
        <f aca="false">SUMIFS(ROBA_U_DOLASKU!$B$6:$B$95,ROBA_U_DOLASKU!$A$6:$A$95,A791,ROBA_U_DOLASKU!$H$6:$H$95,2)</f>
        <v>0</v>
      </c>
      <c r="N791" s="9" t="n">
        <f aca="false">SUMIFS(ROBA_U_DOLASKU!$C$6:$C$95,ROBA_U_DOLASKU!$A$6:$A$95,A791,ROBA_U_DOLASKU!$H$6:$H$95,3)</f>
        <v>0</v>
      </c>
      <c r="O791" s="9" t="n">
        <f aca="false">SUMIFS(ROBA_U_DOLASKU!$B$6:$B$95,ROBA_U_DOLASKU!$A$6:$A$95,A791,ROBA_U_DOLASKU!$H$6:$H$95,3)</f>
        <v>0</v>
      </c>
      <c r="P791" s="9" t="n">
        <f aca="false">IF(H791&lt;=0,999,IF(O791&gt;0,ROUND((F791-H791*N791+K791+M791+O791)/H791,1),IF(M791&gt;0,ROUND((F791-H791*L791+K791+M791)/H791,1),IF(K791&gt;0,ROUND((F791-H791*J791+K791)/H791,1),I791))))</f>
        <v>999</v>
      </c>
      <c r="Q791" s="22" t="str">
        <f aca="false">IF(H791&lt;=0,"Nema prodaje",IF(AND(K791=0,M791=0,O791=0),IF(I791&lt;POSTAVKE!$B$6,"Naruči odmah","Sve u redu"),IF(F791-H791*J791&lt;0,"Rupa za ~"&amp;TEXT(I791,"0.0")&amp;" mj.",IF(AND(M791&gt;0,F791-H791*L791+K791&lt;0),"Rupa nakon 1. dolaska",IF(AND(O791&gt;0,F791-H791*N791+K791+M791&lt;0),"Rupa nakon 2. dolaska",IF(P791&lt;POSTAVKE!$B$6,"Količina nije dovoljna",IF(I791&gt;=POSTAVKE!$B$6,"Sve u redu","Stiže na vrijeme")))))))</f>
        <v>Nema prodaje</v>
      </c>
      <c r="S791" s="23" t="n">
        <f aca="false">IFERROR(INDEX(PODACI_PRODAJA!B:B,MATCH($A791,PODACI_PRODAJA!$A:$A,0)),0)</f>
        <v>0</v>
      </c>
      <c r="T791" s="23" t="n">
        <f aca="false">IFERROR(INDEX(PODACI_PRODAJA!C:C,MATCH($A791,PODACI_PRODAJA!$A:$A,0)),0)</f>
        <v>0</v>
      </c>
      <c r="U791" s="23" t="n">
        <f aca="false">IFERROR(INDEX(PODACI_PRODAJA!D:D,MATCH($A791,PODACI_PRODAJA!$A:$A,0)),0)</f>
        <v>0</v>
      </c>
      <c r="V791" s="23" t="n">
        <f aca="false">IFERROR(INDEX(PODACI_PRODAJA!E:E,MATCH($A791,PODACI_PRODAJA!$A:$A,0)),0)</f>
        <v>0</v>
      </c>
      <c r="W791" s="23" t="n">
        <f aca="false">IFERROR(INDEX(PODACI_PRODAJA!F:F,MATCH($A791,PODACI_PRODAJA!$A:$A,0)),0)</f>
        <v>0</v>
      </c>
      <c r="X791" s="23" t="n">
        <f aca="false">IFERROR(INDEX(PODACI_PRODAJA!G:G,MATCH($A791,PODACI_PRODAJA!$A:$A,0)),0)</f>
        <v>0</v>
      </c>
      <c r="Y791" s="23" t="n">
        <f aca="false">IFERROR(INDEX(PODACI_PRODAJA!H:H,MATCH($A791,PODACI_PRODAJA!$A:$A,0)),0)</f>
        <v>0</v>
      </c>
      <c r="Z791" s="23" t="n">
        <f aca="false">IFERROR(INDEX(PODACI_PRODAJA!I:I,MATCH($A791,PODACI_PRODAJA!$A:$A,0)),0)</f>
        <v>0</v>
      </c>
      <c r="AA791" s="23" t="n">
        <f aca="false">IFERROR(INDEX(PODACI_PRODAJA!J:J,MATCH($A791,PODACI_PRODAJA!$A:$A,0)),0)</f>
        <v>0</v>
      </c>
      <c r="AB791" s="23" t="n">
        <f aca="false">IFERROR(INDEX(PODACI_PRODAJA!K:K,MATCH($A791,PODACI_PRODAJA!$A:$A,0)),0)</f>
        <v>0</v>
      </c>
      <c r="AC791" s="23" t="n">
        <f aca="false">IFERROR(INDEX(PODACI_PRODAJA!L:L,MATCH($A791,PODACI_PRODAJA!$A:$A,0)),0)</f>
        <v>0</v>
      </c>
      <c r="AD791" s="23" t="n">
        <f aca="false">IFERROR(INDEX(PODACI_PRODAJA!M:M,MATCH($A791,PODACI_PRODAJA!$A:$A,0)),0)</f>
        <v>0</v>
      </c>
    </row>
    <row r="792" customFormat="false" ht="15" hidden="false" customHeight="false" outlineLevel="0" collapsed="false">
      <c r="A792" s="11" t="str">
        <f aca="false">PODACI_ZALIHE!A789</f>
        <v>PTK00189</v>
      </c>
      <c r="B792" s="8" t="str">
        <f aca="false">PODACI_ZALIHE!B789</f>
        <v>ALUMINIJSKI U PROFIL ZA VETRO 6-8MM</v>
      </c>
      <c r="C792" s="9" t="n">
        <f aca="false">PODACI_ZALIHE!C789</f>
        <v>0</v>
      </c>
      <c r="D792" s="8" t="n">
        <f aca="false">PODACI_ZALIHE!D789</f>
        <v>0</v>
      </c>
      <c r="E792" s="19" t="str">
        <f aca="false">IF(PODACI_ZALIHE!E789="","",PODACI_ZALIHE!E789)</f>
        <v/>
      </c>
      <c r="F792" s="20" t="n">
        <f aca="false">PODACI_ZALIHE!F789</f>
        <v>0</v>
      </c>
      <c r="G792" s="19" t="str">
        <f aca="false">IF(E792="","",E792-F792)</f>
        <v/>
      </c>
      <c r="H792" s="9" t="n">
        <f aca="false">PODACI_PRODAJA!N301</f>
        <v>0</v>
      </c>
      <c r="I792" s="21" t="n">
        <f aca="false">IF(H792&lt;=0,999,ROUND(F792/H792,1))</f>
        <v>999</v>
      </c>
      <c r="J792" s="9" t="n">
        <f aca="false">SUMIFS(ROBA_U_DOLASKU!$C$6:$C$95,ROBA_U_DOLASKU!$A$6:$A$95,A792,ROBA_U_DOLASKU!$H$6:$H$95,1)</f>
        <v>0</v>
      </c>
      <c r="K792" s="9" t="n">
        <f aca="false">SUMIFS(ROBA_U_DOLASKU!$B$6:$B$95,ROBA_U_DOLASKU!$A$6:$A$95,A792,ROBA_U_DOLASKU!$H$6:$H$95,1)</f>
        <v>0</v>
      </c>
      <c r="L792" s="9" t="n">
        <f aca="false">SUMIFS(ROBA_U_DOLASKU!$C$6:$C$95,ROBA_U_DOLASKU!$A$6:$A$95,A792,ROBA_U_DOLASKU!$H$6:$H$95,2)</f>
        <v>0</v>
      </c>
      <c r="M792" s="9" t="n">
        <f aca="false">SUMIFS(ROBA_U_DOLASKU!$B$6:$B$95,ROBA_U_DOLASKU!$A$6:$A$95,A792,ROBA_U_DOLASKU!$H$6:$H$95,2)</f>
        <v>0</v>
      </c>
      <c r="N792" s="9" t="n">
        <f aca="false">SUMIFS(ROBA_U_DOLASKU!$C$6:$C$95,ROBA_U_DOLASKU!$A$6:$A$95,A792,ROBA_U_DOLASKU!$H$6:$H$95,3)</f>
        <v>0</v>
      </c>
      <c r="O792" s="9" t="n">
        <f aca="false">SUMIFS(ROBA_U_DOLASKU!$B$6:$B$95,ROBA_U_DOLASKU!$A$6:$A$95,A792,ROBA_U_DOLASKU!$H$6:$H$95,3)</f>
        <v>0</v>
      </c>
      <c r="P792" s="9" t="n">
        <f aca="false">IF(H792&lt;=0,999,IF(O792&gt;0,ROUND((F792-H792*N792+K792+M792+O792)/H792,1),IF(M792&gt;0,ROUND((F792-H792*L792+K792+M792)/H792,1),IF(K792&gt;0,ROUND((F792-H792*J792+K792)/H792,1),I792))))</f>
        <v>999</v>
      </c>
      <c r="Q792" s="22" t="str">
        <f aca="false">IF(H792&lt;=0,"Nema prodaje",IF(AND(K792=0,M792=0,O792=0),IF(I792&lt;POSTAVKE!$B$6,"Naruči odmah","Sve u redu"),IF(F792-H792*J792&lt;0,"Rupa za ~"&amp;TEXT(I792,"0.0")&amp;" mj.",IF(AND(M792&gt;0,F792-H792*L792+K792&lt;0),"Rupa nakon 1. dolaska",IF(AND(O792&gt;0,F792-H792*N792+K792+M792&lt;0),"Rupa nakon 2. dolaska",IF(P792&lt;POSTAVKE!$B$6,"Količina nije dovoljna",IF(I792&gt;=POSTAVKE!$B$6,"Sve u redu","Stiže na vrijeme")))))))</f>
        <v>Nema prodaje</v>
      </c>
      <c r="S792" s="23" t="n">
        <f aca="false">IFERROR(INDEX(PODACI_PRODAJA!B:B,MATCH($A792,PODACI_PRODAJA!$A:$A,0)),0)</f>
        <v>0</v>
      </c>
      <c r="T792" s="23" t="n">
        <f aca="false">IFERROR(INDEX(PODACI_PRODAJA!C:C,MATCH($A792,PODACI_PRODAJA!$A:$A,0)),0)</f>
        <v>0</v>
      </c>
      <c r="U792" s="23" t="n">
        <f aca="false">IFERROR(INDEX(PODACI_PRODAJA!D:D,MATCH($A792,PODACI_PRODAJA!$A:$A,0)),0)</f>
        <v>0</v>
      </c>
      <c r="V792" s="23" t="n">
        <f aca="false">IFERROR(INDEX(PODACI_PRODAJA!E:E,MATCH($A792,PODACI_PRODAJA!$A:$A,0)),0)</f>
        <v>0</v>
      </c>
      <c r="W792" s="23" t="n">
        <f aca="false">IFERROR(INDEX(PODACI_PRODAJA!F:F,MATCH($A792,PODACI_PRODAJA!$A:$A,0)),0)</f>
        <v>0</v>
      </c>
      <c r="X792" s="23" t="n">
        <f aca="false">IFERROR(INDEX(PODACI_PRODAJA!G:G,MATCH($A792,PODACI_PRODAJA!$A:$A,0)),0)</f>
        <v>0</v>
      </c>
      <c r="Y792" s="23" t="n">
        <f aca="false">IFERROR(INDEX(PODACI_PRODAJA!H:H,MATCH($A792,PODACI_PRODAJA!$A:$A,0)),0)</f>
        <v>0</v>
      </c>
      <c r="Z792" s="23" t="n">
        <f aca="false">IFERROR(INDEX(PODACI_PRODAJA!I:I,MATCH($A792,PODACI_PRODAJA!$A:$A,0)),0)</f>
        <v>0</v>
      </c>
      <c r="AA792" s="23" t="n">
        <f aca="false">IFERROR(INDEX(PODACI_PRODAJA!J:J,MATCH($A792,PODACI_PRODAJA!$A:$A,0)),0)</f>
        <v>0</v>
      </c>
      <c r="AB792" s="23" t="n">
        <f aca="false">IFERROR(INDEX(PODACI_PRODAJA!K:K,MATCH($A792,PODACI_PRODAJA!$A:$A,0)),0)</f>
        <v>0</v>
      </c>
      <c r="AC792" s="23" t="n">
        <f aca="false">IFERROR(INDEX(PODACI_PRODAJA!L:L,MATCH($A792,PODACI_PRODAJA!$A:$A,0)),0)</f>
        <v>0</v>
      </c>
      <c r="AD792" s="23" t="n">
        <f aca="false">IFERROR(INDEX(PODACI_PRODAJA!M:M,MATCH($A792,PODACI_PRODAJA!$A:$A,0)),0)</f>
        <v>0</v>
      </c>
    </row>
    <row r="793" customFormat="false" ht="15" hidden="false" customHeight="false" outlineLevel="0" collapsed="false">
      <c r="A793" s="11" t="str">
        <f aca="false">PODACI_ZALIHE!A790</f>
        <v>PTK00189B</v>
      </c>
      <c r="B793" s="8" t="str">
        <f aca="false">PODACI_ZALIHE!B790</f>
        <v>ALUMINIJSKI U PROFIL ZA VETRO 6-8MM - CRNI MAT</v>
      </c>
      <c r="C793" s="9" t="n">
        <f aca="false">PODACI_ZALIHE!C790</f>
        <v>0</v>
      </c>
      <c r="D793" s="8" t="n">
        <f aca="false">PODACI_ZALIHE!D790</f>
        <v>0</v>
      </c>
      <c r="E793" s="19" t="str">
        <f aca="false">IF(PODACI_ZALIHE!E790="","",PODACI_ZALIHE!E790)</f>
        <v/>
      </c>
      <c r="F793" s="20" t="n">
        <f aca="false">PODACI_ZALIHE!F790</f>
        <v>0</v>
      </c>
      <c r="G793" s="19" t="str">
        <f aca="false">IF(E793="","",E793-F793)</f>
        <v/>
      </c>
      <c r="H793" s="9" t="n">
        <f aca="false">PODACI_PRODAJA!N302</f>
        <v>0</v>
      </c>
      <c r="I793" s="21" t="n">
        <f aca="false">IF(H793&lt;=0,999,ROUND(F793/H793,1))</f>
        <v>999</v>
      </c>
      <c r="J793" s="9" t="n">
        <f aca="false">SUMIFS(ROBA_U_DOLASKU!$C$6:$C$95,ROBA_U_DOLASKU!$A$6:$A$95,A793,ROBA_U_DOLASKU!$H$6:$H$95,1)</f>
        <v>0</v>
      </c>
      <c r="K793" s="9" t="n">
        <f aca="false">SUMIFS(ROBA_U_DOLASKU!$B$6:$B$95,ROBA_U_DOLASKU!$A$6:$A$95,A793,ROBA_U_DOLASKU!$H$6:$H$95,1)</f>
        <v>0</v>
      </c>
      <c r="L793" s="9" t="n">
        <f aca="false">SUMIFS(ROBA_U_DOLASKU!$C$6:$C$95,ROBA_U_DOLASKU!$A$6:$A$95,A793,ROBA_U_DOLASKU!$H$6:$H$95,2)</f>
        <v>0</v>
      </c>
      <c r="M793" s="9" t="n">
        <f aca="false">SUMIFS(ROBA_U_DOLASKU!$B$6:$B$95,ROBA_U_DOLASKU!$A$6:$A$95,A793,ROBA_U_DOLASKU!$H$6:$H$95,2)</f>
        <v>0</v>
      </c>
      <c r="N793" s="9" t="n">
        <f aca="false">SUMIFS(ROBA_U_DOLASKU!$C$6:$C$95,ROBA_U_DOLASKU!$A$6:$A$95,A793,ROBA_U_DOLASKU!$H$6:$H$95,3)</f>
        <v>0</v>
      </c>
      <c r="O793" s="9" t="n">
        <f aca="false">SUMIFS(ROBA_U_DOLASKU!$B$6:$B$95,ROBA_U_DOLASKU!$A$6:$A$95,A793,ROBA_U_DOLASKU!$H$6:$H$95,3)</f>
        <v>0</v>
      </c>
      <c r="P793" s="9" t="n">
        <f aca="false">IF(H793&lt;=0,999,IF(O793&gt;0,ROUND((F793-H793*N793+K793+M793+O793)/H793,1),IF(M793&gt;0,ROUND((F793-H793*L793+K793+M793)/H793,1),IF(K793&gt;0,ROUND((F793-H793*J793+K793)/H793,1),I793))))</f>
        <v>999</v>
      </c>
      <c r="Q793" s="22" t="str">
        <f aca="false">IF(H793&lt;=0,"Nema prodaje",IF(AND(K793=0,M793=0,O793=0),IF(I793&lt;POSTAVKE!$B$6,"Naruči odmah","Sve u redu"),IF(F793-H793*J793&lt;0,"Rupa za ~"&amp;TEXT(I793,"0.0")&amp;" mj.",IF(AND(M793&gt;0,F793-H793*L793+K793&lt;0),"Rupa nakon 1. dolaska",IF(AND(O793&gt;0,F793-H793*N793+K793+M793&lt;0),"Rupa nakon 2. dolaska",IF(P793&lt;POSTAVKE!$B$6,"Količina nije dovoljna",IF(I793&gt;=POSTAVKE!$B$6,"Sve u redu","Stiže na vrijeme")))))))</f>
        <v>Nema prodaje</v>
      </c>
      <c r="S793" s="23" t="n">
        <f aca="false">IFERROR(INDEX(PODACI_PRODAJA!B:B,MATCH($A793,PODACI_PRODAJA!$A:$A,0)),0)</f>
        <v>0</v>
      </c>
      <c r="T793" s="23" t="n">
        <f aca="false">IFERROR(INDEX(PODACI_PRODAJA!C:C,MATCH($A793,PODACI_PRODAJA!$A:$A,0)),0)</f>
        <v>0</v>
      </c>
      <c r="U793" s="23" t="n">
        <f aca="false">IFERROR(INDEX(PODACI_PRODAJA!D:D,MATCH($A793,PODACI_PRODAJA!$A:$A,0)),0)</f>
        <v>0</v>
      </c>
      <c r="V793" s="23" t="n">
        <f aca="false">IFERROR(INDEX(PODACI_PRODAJA!E:E,MATCH($A793,PODACI_PRODAJA!$A:$A,0)),0)</f>
        <v>0</v>
      </c>
      <c r="W793" s="23" t="n">
        <f aca="false">IFERROR(INDEX(PODACI_PRODAJA!F:F,MATCH($A793,PODACI_PRODAJA!$A:$A,0)),0)</f>
        <v>0</v>
      </c>
      <c r="X793" s="23" t="n">
        <f aca="false">IFERROR(INDEX(PODACI_PRODAJA!G:G,MATCH($A793,PODACI_PRODAJA!$A:$A,0)),0)</f>
        <v>0</v>
      </c>
      <c r="Y793" s="23" t="n">
        <f aca="false">IFERROR(INDEX(PODACI_PRODAJA!H:H,MATCH($A793,PODACI_PRODAJA!$A:$A,0)),0)</f>
        <v>0</v>
      </c>
      <c r="Z793" s="23" t="n">
        <f aca="false">IFERROR(INDEX(PODACI_PRODAJA!I:I,MATCH($A793,PODACI_PRODAJA!$A:$A,0)),0)</f>
        <v>0</v>
      </c>
      <c r="AA793" s="23" t="n">
        <f aca="false">IFERROR(INDEX(PODACI_PRODAJA!J:J,MATCH($A793,PODACI_PRODAJA!$A:$A,0)),0)</f>
        <v>0</v>
      </c>
      <c r="AB793" s="23" t="n">
        <f aca="false">IFERROR(INDEX(PODACI_PRODAJA!K:K,MATCH($A793,PODACI_PRODAJA!$A:$A,0)),0)</f>
        <v>0</v>
      </c>
      <c r="AC793" s="23" t="n">
        <f aca="false">IFERROR(INDEX(PODACI_PRODAJA!L:L,MATCH($A793,PODACI_PRODAJA!$A:$A,0)),0)</f>
        <v>0</v>
      </c>
      <c r="AD793" s="23" t="n">
        <f aca="false">IFERROR(INDEX(PODACI_PRODAJA!M:M,MATCH($A793,PODACI_PRODAJA!$A:$A,0)),0)</f>
        <v>0</v>
      </c>
    </row>
    <row r="794" customFormat="false" ht="15" hidden="false" customHeight="false" outlineLevel="0" collapsed="false">
      <c r="A794" s="11" t="str">
        <f aca="false">PODACI_ZALIHE!A791</f>
        <v>PTK00434</v>
      </c>
      <c r="B794" s="8" t="str">
        <f aca="false">PODACI_ZALIHE!B791</f>
        <v>STAKLO ZA VETRO REBRASTO 80x200cm</v>
      </c>
      <c r="C794" s="9" t="n">
        <f aca="false">PODACI_ZALIHE!C791</f>
        <v>0</v>
      </c>
      <c r="D794" s="8" t="n">
        <f aca="false">PODACI_ZALIHE!D791</f>
        <v>0</v>
      </c>
      <c r="E794" s="19" t="str">
        <f aca="false">IF(PODACI_ZALIHE!E791="","",PODACI_ZALIHE!E791)</f>
        <v/>
      </c>
      <c r="F794" s="20" t="n">
        <f aca="false">PODACI_ZALIHE!F791</f>
        <v>0</v>
      </c>
      <c r="G794" s="19" t="str">
        <f aca="false">IF(E794="","",E794-F794)</f>
        <v/>
      </c>
      <c r="H794" s="9" t="n">
        <f aca="false">PODACI_PRODAJA!N303</f>
        <v>0</v>
      </c>
      <c r="I794" s="21" t="n">
        <f aca="false">IF(H794&lt;=0,999,ROUND(F794/H794,1))</f>
        <v>999</v>
      </c>
      <c r="J794" s="9" t="n">
        <f aca="false">SUMIFS(ROBA_U_DOLASKU!$C$6:$C$95,ROBA_U_DOLASKU!$A$6:$A$95,A794,ROBA_U_DOLASKU!$H$6:$H$95,1)</f>
        <v>0</v>
      </c>
      <c r="K794" s="9" t="n">
        <f aca="false">SUMIFS(ROBA_U_DOLASKU!$B$6:$B$95,ROBA_U_DOLASKU!$A$6:$A$95,A794,ROBA_U_DOLASKU!$H$6:$H$95,1)</f>
        <v>0</v>
      </c>
      <c r="L794" s="9" t="n">
        <f aca="false">SUMIFS(ROBA_U_DOLASKU!$C$6:$C$95,ROBA_U_DOLASKU!$A$6:$A$95,A794,ROBA_U_DOLASKU!$H$6:$H$95,2)</f>
        <v>0</v>
      </c>
      <c r="M794" s="9" t="n">
        <f aca="false">SUMIFS(ROBA_U_DOLASKU!$B$6:$B$95,ROBA_U_DOLASKU!$A$6:$A$95,A794,ROBA_U_DOLASKU!$H$6:$H$95,2)</f>
        <v>0</v>
      </c>
      <c r="N794" s="9" t="n">
        <f aca="false">SUMIFS(ROBA_U_DOLASKU!$C$6:$C$95,ROBA_U_DOLASKU!$A$6:$A$95,A794,ROBA_U_DOLASKU!$H$6:$H$95,3)</f>
        <v>0</v>
      </c>
      <c r="O794" s="9" t="n">
        <f aca="false">SUMIFS(ROBA_U_DOLASKU!$B$6:$B$95,ROBA_U_DOLASKU!$A$6:$A$95,A794,ROBA_U_DOLASKU!$H$6:$H$95,3)</f>
        <v>0</v>
      </c>
      <c r="P794" s="9" t="n">
        <f aca="false">IF(H794&lt;=0,999,IF(O794&gt;0,ROUND((F794-H794*N794+K794+M794+O794)/H794,1),IF(M794&gt;0,ROUND((F794-H794*L794+K794+M794)/H794,1),IF(K794&gt;0,ROUND((F794-H794*J794+K794)/H794,1),I794))))</f>
        <v>999</v>
      </c>
      <c r="Q794" s="22" t="str">
        <f aca="false">IF(H794&lt;=0,"Nema prodaje",IF(AND(K794=0,M794=0,O794=0),IF(I794&lt;POSTAVKE!$B$6,"Naruči odmah","Sve u redu"),IF(F794-H794*J794&lt;0,"Rupa za ~"&amp;TEXT(I794,"0.0")&amp;" mj.",IF(AND(M794&gt;0,F794-H794*L794+K794&lt;0),"Rupa nakon 1. dolaska",IF(AND(O794&gt;0,F794-H794*N794+K794+M794&lt;0),"Rupa nakon 2. dolaska",IF(P794&lt;POSTAVKE!$B$6,"Količina nije dovoljna",IF(I794&gt;=POSTAVKE!$B$6,"Sve u redu","Stiže na vrijeme")))))))</f>
        <v>Nema prodaje</v>
      </c>
      <c r="S794" s="23" t="n">
        <f aca="false">IFERROR(INDEX(PODACI_PRODAJA!B:B,MATCH($A794,PODACI_PRODAJA!$A:$A,0)),0)</f>
        <v>0</v>
      </c>
      <c r="T794" s="23" t="n">
        <f aca="false">IFERROR(INDEX(PODACI_PRODAJA!C:C,MATCH($A794,PODACI_PRODAJA!$A:$A,0)),0)</f>
        <v>0</v>
      </c>
      <c r="U794" s="23" t="n">
        <f aca="false">IFERROR(INDEX(PODACI_PRODAJA!D:D,MATCH($A794,PODACI_PRODAJA!$A:$A,0)),0)</f>
        <v>0</v>
      </c>
      <c r="V794" s="23" t="n">
        <f aca="false">IFERROR(INDEX(PODACI_PRODAJA!E:E,MATCH($A794,PODACI_PRODAJA!$A:$A,0)),0)</f>
        <v>0</v>
      </c>
      <c r="W794" s="23" t="n">
        <f aca="false">IFERROR(INDEX(PODACI_PRODAJA!F:F,MATCH($A794,PODACI_PRODAJA!$A:$A,0)),0)</f>
        <v>0</v>
      </c>
      <c r="X794" s="23" t="n">
        <f aca="false">IFERROR(INDEX(PODACI_PRODAJA!G:G,MATCH($A794,PODACI_PRODAJA!$A:$A,0)),0)</f>
        <v>0</v>
      </c>
      <c r="Y794" s="23" t="n">
        <f aca="false">IFERROR(INDEX(PODACI_PRODAJA!H:H,MATCH($A794,PODACI_PRODAJA!$A:$A,0)),0)</f>
        <v>0</v>
      </c>
      <c r="Z794" s="23" t="n">
        <f aca="false">IFERROR(INDEX(PODACI_PRODAJA!I:I,MATCH($A794,PODACI_PRODAJA!$A:$A,0)),0)</f>
        <v>0</v>
      </c>
      <c r="AA794" s="23" t="n">
        <f aca="false">IFERROR(INDEX(PODACI_PRODAJA!J:J,MATCH($A794,PODACI_PRODAJA!$A:$A,0)),0)</f>
        <v>0</v>
      </c>
      <c r="AB794" s="23" t="n">
        <f aca="false">IFERROR(INDEX(PODACI_PRODAJA!K:K,MATCH($A794,PODACI_PRODAJA!$A:$A,0)),0)</f>
        <v>0</v>
      </c>
      <c r="AC794" s="23" t="n">
        <f aca="false">IFERROR(INDEX(PODACI_PRODAJA!L:L,MATCH($A794,PODACI_PRODAJA!$A:$A,0)),0)</f>
        <v>0</v>
      </c>
      <c r="AD794" s="23" t="n">
        <f aca="false">IFERROR(INDEX(PODACI_PRODAJA!M:M,MATCH($A794,PODACI_PRODAJA!$A:$A,0)),0)</f>
        <v>0</v>
      </c>
    </row>
    <row r="795" customFormat="false" ht="15" hidden="false" customHeight="false" outlineLevel="0" collapsed="false">
      <c r="A795" s="11" t="str">
        <f aca="false">PODACI_ZALIHE!A792</f>
        <v>PTK00437</v>
      </c>
      <c r="B795" s="8" t="str">
        <f aca="false">PODACI_ZALIHE!B792</f>
        <v>STAKLO ZA VETRO REBRASTO 120x200cm</v>
      </c>
      <c r="C795" s="9" t="n">
        <f aca="false">PODACI_ZALIHE!C792</f>
        <v>0</v>
      </c>
      <c r="D795" s="8" t="n">
        <f aca="false">PODACI_ZALIHE!D792</f>
        <v>0</v>
      </c>
      <c r="E795" s="19" t="str">
        <f aca="false">IF(PODACI_ZALIHE!E792="","",PODACI_ZALIHE!E792)</f>
        <v/>
      </c>
      <c r="F795" s="20" t="n">
        <f aca="false">PODACI_ZALIHE!F792</f>
        <v>0</v>
      </c>
      <c r="G795" s="19" t="str">
        <f aca="false">IF(E795="","",E795-F795)</f>
        <v/>
      </c>
      <c r="H795" s="9" t="n">
        <f aca="false">PODACI_PRODAJA!N306</f>
        <v>0</v>
      </c>
      <c r="I795" s="21" t="n">
        <f aca="false">IF(H795&lt;=0,999,ROUND(F795/H795,1))</f>
        <v>999</v>
      </c>
      <c r="J795" s="9" t="n">
        <f aca="false">SUMIFS(ROBA_U_DOLASKU!$C$6:$C$95,ROBA_U_DOLASKU!$A$6:$A$95,A795,ROBA_U_DOLASKU!$H$6:$H$95,1)</f>
        <v>0</v>
      </c>
      <c r="K795" s="9" t="n">
        <f aca="false">SUMIFS(ROBA_U_DOLASKU!$B$6:$B$95,ROBA_U_DOLASKU!$A$6:$A$95,A795,ROBA_U_DOLASKU!$H$6:$H$95,1)</f>
        <v>0</v>
      </c>
      <c r="L795" s="9" t="n">
        <f aca="false">SUMIFS(ROBA_U_DOLASKU!$C$6:$C$95,ROBA_U_DOLASKU!$A$6:$A$95,A795,ROBA_U_DOLASKU!$H$6:$H$95,2)</f>
        <v>0</v>
      </c>
      <c r="M795" s="9" t="n">
        <f aca="false">SUMIFS(ROBA_U_DOLASKU!$B$6:$B$95,ROBA_U_DOLASKU!$A$6:$A$95,A795,ROBA_U_DOLASKU!$H$6:$H$95,2)</f>
        <v>0</v>
      </c>
      <c r="N795" s="9" t="n">
        <f aca="false">SUMIFS(ROBA_U_DOLASKU!$C$6:$C$95,ROBA_U_DOLASKU!$A$6:$A$95,A795,ROBA_U_DOLASKU!$H$6:$H$95,3)</f>
        <v>0</v>
      </c>
      <c r="O795" s="9" t="n">
        <f aca="false">SUMIFS(ROBA_U_DOLASKU!$B$6:$B$95,ROBA_U_DOLASKU!$A$6:$A$95,A795,ROBA_U_DOLASKU!$H$6:$H$95,3)</f>
        <v>0</v>
      </c>
      <c r="P795" s="9" t="n">
        <f aca="false">IF(H795&lt;=0,999,IF(O795&gt;0,ROUND((F795-H795*N795+K795+M795+O795)/H795,1),IF(M795&gt;0,ROUND((F795-H795*L795+K795+M795)/H795,1),IF(K795&gt;0,ROUND((F795-H795*J795+K795)/H795,1),I795))))</f>
        <v>999</v>
      </c>
      <c r="Q795" s="22" t="str">
        <f aca="false">IF(H795&lt;=0,"Nema prodaje",IF(AND(K795=0,M795=0,O795=0),IF(I795&lt;POSTAVKE!$B$6,"Naruči odmah","Sve u redu"),IF(F795-H795*J795&lt;0,"Rupa za ~"&amp;TEXT(I795,"0.0")&amp;" mj.",IF(AND(M795&gt;0,F795-H795*L795+K795&lt;0),"Rupa nakon 1. dolaska",IF(AND(O795&gt;0,F795-H795*N795+K795+M795&lt;0),"Rupa nakon 2. dolaska",IF(P795&lt;POSTAVKE!$B$6,"Količina nije dovoljna",IF(I795&gt;=POSTAVKE!$B$6,"Sve u redu","Stiže na vrijeme")))))))</f>
        <v>Nema prodaje</v>
      </c>
      <c r="S795" s="23" t="n">
        <f aca="false">IFERROR(INDEX(PODACI_PRODAJA!B:B,MATCH($A795,PODACI_PRODAJA!$A:$A,0)),0)</f>
        <v>0</v>
      </c>
      <c r="T795" s="23" t="n">
        <f aca="false">IFERROR(INDEX(PODACI_PRODAJA!C:C,MATCH($A795,PODACI_PRODAJA!$A:$A,0)),0)</f>
        <v>0</v>
      </c>
      <c r="U795" s="23" t="n">
        <f aca="false">IFERROR(INDEX(PODACI_PRODAJA!D:D,MATCH($A795,PODACI_PRODAJA!$A:$A,0)),0)</f>
        <v>0</v>
      </c>
      <c r="V795" s="23" t="n">
        <f aca="false">IFERROR(INDEX(PODACI_PRODAJA!E:E,MATCH($A795,PODACI_PRODAJA!$A:$A,0)),0)</f>
        <v>0</v>
      </c>
      <c r="W795" s="23" t="n">
        <f aca="false">IFERROR(INDEX(PODACI_PRODAJA!F:F,MATCH($A795,PODACI_PRODAJA!$A:$A,0)),0)</f>
        <v>0</v>
      </c>
      <c r="X795" s="23" t="n">
        <f aca="false">IFERROR(INDEX(PODACI_PRODAJA!G:G,MATCH($A795,PODACI_PRODAJA!$A:$A,0)),0)</f>
        <v>0</v>
      </c>
      <c r="Y795" s="23" t="n">
        <f aca="false">IFERROR(INDEX(PODACI_PRODAJA!H:H,MATCH($A795,PODACI_PRODAJA!$A:$A,0)),0)</f>
        <v>0</v>
      </c>
      <c r="Z795" s="23" t="n">
        <f aca="false">IFERROR(INDEX(PODACI_PRODAJA!I:I,MATCH($A795,PODACI_PRODAJA!$A:$A,0)),0)</f>
        <v>0</v>
      </c>
      <c r="AA795" s="23" t="n">
        <f aca="false">IFERROR(INDEX(PODACI_PRODAJA!J:J,MATCH($A795,PODACI_PRODAJA!$A:$A,0)),0)</f>
        <v>0</v>
      </c>
      <c r="AB795" s="23" t="n">
        <f aca="false">IFERROR(INDEX(PODACI_PRODAJA!K:K,MATCH($A795,PODACI_PRODAJA!$A:$A,0)),0)</f>
        <v>0</v>
      </c>
      <c r="AC795" s="23" t="n">
        <f aca="false">IFERROR(INDEX(PODACI_PRODAJA!L:L,MATCH($A795,PODACI_PRODAJA!$A:$A,0)),0)</f>
        <v>0</v>
      </c>
      <c r="AD795" s="23" t="n">
        <f aca="false">IFERROR(INDEX(PODACI_PRODAJA!M:M,MATCH($A795,PODACI_PRODAJA!$A:$A,0)),0)</f>
        <v>0</v>
      </c>
    </row>
    <row r="796" customFormat="false" ht="15" hidden="false" customHeight="false" outlineLevel="0" collapsed="false">
      <c r="A796" s="11" t="str">
        <f aca="false">PODACI_ZALIHE!A793</f>
        <v>PTK00438</v>
      </c>
      <c r="B796" s="8" t="str">
        <f aca="false">PODACI_ZALIHE!B793</f>
        <v>STAKLO ZA VETRO ZAMAGLJENO 90x200cm</v>
      </c>
      <c r="C796" s="9" t="n">
        <f aca="false">PODACI_ZALIHE!C793</f>
        <v>0</v>
      </c>
      <c r="D796" s="8" t="n">
        <f aca="false">PODACI_ZALIHE!D793</f>
        <v>0</v>
      </c>
      <c r="E796" s="19" t="str">
        <f aca="false">IF(PODACI_ZALIHE!E793="","",PODACI_ZALIHE!E793)</f>
        <v/>
      </c>
      <c r="F796" s="20" t="n">
        <f aca="false">PODACI_ZALIHE!F793</f>
        <v>0</v>
      </c>
      <c r="G796" s="19" t="str">
        <f aca="false">IF(E796="","",E796-F796)</f>
        <v/>
      </c>
      <c r="H796" s="9" t="n">
        <f aca="false">PODACI_PRODAJA!N307</f>
        <v>0</v>
      </c>
      <c r="I796" s="21" t="n">
        <f aca="false">IF(H796&lt;=0,999,ROUND(F796/H796,1))</f>
        <v>999</v>
      </c>
      <c r="J796" s="9" t="n">
        <f aca="false">SUMIFS(ROBA_U_DOLASKU!$C$6:$C$95,ROBA_U_DOLASKU!$A$6:$A$95,A796,ROBA_U_DOLASKU!$H$6:$H$95,1)</f>
        <v>0</v>
      </c>
      <c r="K796" s="9" t="n">
        <f aca="false">SUMIFS(ROBA_U_DOLASKU!$B$6:$B$95,ROBA_U_DOLASKU!$A$6:$A$95,A796,ROBA_U_DOLASKU!$H$6:$H$95,1)</f>
        <v>0</v>
      </c>
      <c r="L796" s="9" t="n">
        <f aca="false">SUMIFS(ROBA_U_DOLASKU!$C$6:$C$95,ROBA_U_DOLASKU!$A$6:$A$95,A796,ROBA_U_DOLASKU!$H$6:$H$95,2)</f>
        <v>0</v>
      </c>
      <c r="M796" s="9" t="n">
        <f aca="false">SUMIFS(ROBA_U_DOLASKU!$B$6:$B$95,ROBA_U_DOLASKU!$A$6:$A$95,A796,ROBA_U_DOLASKU!$H$6:$H$95,2)</f>
        <v>0</v>
      </c>
      <c r="N796" s="9" t="n">
        <f aca="false">SUMIFS(ROBA_U_DOLASKU!$C$6:$C$95,ROBA_U_DOLASKU!$A$6:$A$95,A796,ROBA_U_DOLASKU!$H$6:$H$95,3)</f>
        <v>0</v>
      </c>
      <c r="O796" s="9" t="n">
        <f aca="false">SUMIFS(ROBA_U_DOLASKU!$B$6:$B$95,ROBA_U_DOLASKU!$A$6:$A$95,A796,ROBA_U_DOLASKU!$H$6:$H$95,3)</f>
        <v>0</v>
      </c>
      <c r="P796" s="9" t="n">
        <f aca="false">IF(H796&lt;=0,999,IF(O796&gt;0,ROUND((F796-H796*N796+K796+M796+O796)/H796,1),IF(M796&gt;0,ROUND((F796-H796*L796+K796+M796)/H796,1),IF(K796&gt;0,ROUND((F796-H796*J796+K796)/H796,1),I796))))</f>
        <v>999</v>
      </c>
      <c r="Q796" s="22" t="str">
        <f aca="false">IF(H796&lt;=0,"Nema prodaje",IF(AND(K796=0,M796=0,O796=0),IF(I796&lt;POSTAVKE!$B$6,"Naruči odmah","Sve u redu"),IF(F796-H796*J796&lt;0,"Rupa za ~"&amp;TEXT(I796,"0.0")&amp;" mj.",IF(AND(M796&gt;0,F796-H796*L796+K796&lt;0),"Rupa nakon 1. dolaska",IF(AND(O796&gt;0,F796-H796*N796+K796+M796&lt;0),"Rupa nakon 2. dolaska",IF(P796&lt;POSTAVKE!$B$6,"Količina nije dovoljna",IF(I796&gt;=POSTAVKE!$B$6,"Sve u redu","Stiže na vrijeme")))))))</f>
        <v>Nema prodaje</v>
      </c>
      <c r="S796" s="23" t="n">
        <f aca="false">IFERROR(INDEX(PODACI_PRODAJA!B:B,MATCH($A796,PODACI_PRODAJA!$A:$A,0)),0)</f>
        <v>0</v>
      </c>
      <c r="T796" s="23" t="n">
        <f aca="false">IFERROR(INDEX(PODACI_PRODAJA!C:C,MATCH($A796,PODACI_PRODAJA!$A:$A,0)),0)</f>
        <v>0</v>
      </c>
      <c r="U796" s="23" t="n">
        <f aca="false">IFERROR(INDEX(PODACI_PRODAJA!D:D,MATCH($A796,PODACI_PRODAJA!$A:$A,0)),0)</f>
        <v>0</v>
      </c>
      <c r="V796" s="23" t="n">
        <f aca="false">IFERROR(INDEX(PODACI_PRODAJA!E:E,MATCH($A796,PODACI_PRODAJA!$A:$A,0)),0)</f>
        <v>0</v>
      </c>
      <c r="W796" s="23" t="n">
        <f aca="false">IFERROR(INDEX(PODACI_PRODAJA!F:F,MATCH($A796,PODACI_PRODAJA!$A:$A,0)),0)</f>
        <v>0</v>
      </c>
      <c r="X796" s="23" t="n">
        <f aca="false">IFERROR(INDEX(PODACI_PRODAJA!G:G,MATCH($A796,PODACI_PRODAJA!$A:$A,0)),0)</f>
        <v>0</v>
      </c>
      <c r="Y796" s="23" t="n">
        <f aca="false">IFERROR(INDEX(PODACI_PRODAJA!H:H,MATCH($A796,PODACI_PRODAJA!$A:$A,0)),0)</f>
        <v>0</v>
      </c>
      <c r="Z796" s="23" t="n">
        <f aca="false">IFERROR(INDEX(PODACI_PRODAJA!I:I,MATCH($A796,PODACI_PRODAJA!$A:$A,0)),0)</f>
        <v>0</v>
      </c>
      <c r="AA796" s="23" t="n">
        <f aca="false">IFERROR(INDEX(PODACI_PRODAJA!J:J,MATCH($A796,PODACI_PRODAJA!$A:$A,0)),0)</f>
        <v>0</v>
      </c>
      <c r="AB796" s="23" t="n">
        <f aca="false">IFERROR(INDEX(PODACI_PRODAJA!K:K,MATCH($A796,PODACI_PRODAJA!$A:$A,0)),0)</f>
        <v>0</v>
      </c>
      <c r="AC796" s="23" t="n">
        <f aca="false">IFERROR(INDEX(PODACI_PRODAJA!L:L,MATCH($A796,PODACI_PRODAJA!$A:$A,0)),0)</f>
        <v>0</v>
      </c>
      <c r="AD796" s="23" t="n">
        <f aca="false">IFERROR(INDEX(PODACI_PRODAJA!M:M,MATCH($A796,PODACI_PRODAJA!$A:$A,0)),0)</f>
        <v>0</v>
      </c>
    </row>
    <row r="797" customFormat="false" ht="15" hidden="false" customHeight="false" outlineLevel="0" collapsed="false">
      <c r="A797" s="11" t="str">
        <f aca="false">PODACI_ZALIHE!A794</f>
        <v>PTK00439</v>
      </c>
      <c r="B797" s="8" t="str">
        <f aca="false">PODACI_ZALIHE!B794</f>
        <v>STAKLO ZA VETRO ZAMAGLJENO 100x200cm</v>
      </c>
      <c r="C797" s="9" t="n">
        <f aca="false">PODACI_ZALIHE!C794</f>
        <v>0</v>
      </c>
      <c r="D797" s="8" t="n">
        <f aca="false">PODACI_ZALIHE!D794</f>
        <v>0</v>
      </c>
      <c r="E797" s="19" t="str">
        <f aca="false">IF(PODACI_ZALIHE!E794="","",PODACI_ZALIHE!E794)</f>
        <v/>
      </c>
      <c r="F797" s="20" t="n">
        <f aca="false">PODACI_ZALIHE!F794</f>
        <v>0</v>
      </c>
      <c r="G797" s="19" t="str">
        <f aca="false">IF(E797="","",E797-F797)</f>
        <v/>
      </c>
      <c r="H797" s="9" t="n">
        <f aca="false">PODACI_PRODAJA!N308</f>
        <v>0</v>
      </c>
      <c r="I797" s="21" t="n">
        <f aca="false">IF(H797&lt;=0,999,ROUND(F797/H797,1))</f>
        <v>999</v>
      </c>
      <c r="J797" s="9" t="n">
        <f aca="false">SUMIFS(ROBA_U_DOLASKU!$C$6:$C$95,ROBA_U_DOLASKU!$A$6:$A$95,A797,ROBA_U_DOLASKU!$H$6:$H$95,1)</f>
        <v>0</v>
      </c>
      <c r="K797" s="9" t="n">
        <f aca="false">SUMIFS(ROBA_U_DOLASKU!$B$6:$B$95,ROBA_U_DOLASKU!$A$6:$A$95,A797,ROBA_U_DOLASKU!$H$6:$H$95,1)</f>
        <v>0</v>
      </c>
      <c r="L797" s="9" t="n">
        <f aca="false">SUMIFS(ROBA_U_DOLASKU!$C$6:$C$95,ROBA_U_DOLASKU!$A$6:$A$95,A797,ROBA_U_DOLASKU!$H$6:$H$95,2)</f>
        <v>0</v>
      </c>
      <c r="M797" s="9" t="n">
        <f aca="false">SUMIFS(ROBA_U_DOLASKU!$B$6:$B$95,ROBA_U_DOLASKU!$A$6:$A$95,A797,ROBA_U_DOLASKU!$H$6:$H$95,2)</f>
        <v>0</v>
      </c>
      <c r="N797" s="9" t="n">
        <f aca="false">SUMIFS(ROBA_U_DOLASKU!$C$6:$C$95,ROBA_U_DOLASKU!$A$6:$A$95,A797,ROBA_U_DOLASKU!$H$6:$H$95,3)</f>
        <v>0</v>
      </c>
      <c r="O797" s="9" t="n">
        <f aca="false">SUMIFS(ROBA_U_DOLASKU!$B$6:$B$95,ROBA_U_DOLASKU!$A$6:$A$95,A797,ROBA_U_DOLASKU!$H$6:$H$95,3)</f>
        <v>0</v>
      </c>
      <c r="P797" s="9" t="n">
        <f aca="false">IF(H797&lt;=0,999,IF(O797&gt;0,ROUND((F797-H797*N797+K797+M797+O797)/H797,1),IF(M797&gt;0,ROUND((F797-H797*L797+K797+M797)/H797,1),IF(K797&gt;0,ROUND((F797-H797*J797+K797)/H797,1),I797))))</f>
        <v>999</v>
      </c>
      <c r="Q797" s="22" t="str">
        <f aca="false">IF(H797&lt;=0,"Nema prodaje",IF(AND(K797=0,M797=0,O797=0),IF(I797&lt;POSTAVKE!$B$6,"Naruči odmah","Sve u redu"),IF(F797-H797*J797&lt;0,"Rupa za ~"&amp;TEXT(I797,"0.0")&amp;" mj.",IF(AND(M797&gt;0,F797-H797*L797+K797&lt;0),"Rupa nakon 1. dolaska",IF(AND(O797&gt;0,F797-H797*N797+K797+M797&lt;0),"Rupa nakon 2. dolaska",IF(P797&lt;POSTAVKE!$B$6,"Količina nije dovoljna",IF(I797&gt;=POSTAVKE!$B$6,"Sve u redu","Stiže na vrijeme")))))))</f>
        <v>Nema prodaje</v>
      </c>
      <c r="S797" s="23" t="n">
        <f aca="false">IFERROR(INDEX(PODACI_PRODAJA!B:B,MATCH($A797,PODACI_PRODAJA!$A:$A,0)),0)</f>
        <v>0</v>
      </c>
      <c r="T797" s="23" t="n">
        <f aca="false">IFERROR(INDEX(PODACI_PRODAJA!C:C,MATCH($A797,PODACI_PRODAJA!$A:$A,0)),0)</f>
        <v>0</v>
      </c>
      <c r="U797" s="23" t="n">
        <f aca="false">IFERROR(INDEX(PODACI_PRODAJA!D:D,MATCH($A797,PODACI_PRODAJA!$A:$A,0)),0)</f>
        <v>0</v>
      </c>
      <c r="V797" s="23" t="n">
        <f aca="false">IFERROR(INDEX(PODACI_PRODAJA!E:E,MATCH($A797,PODACI_PRODAJA!$A:$A,0)),0)</f>
        <v>0</v>
      </c>
      <c r="W797" s="23" t="n">
        <f aca="false">IFERROR(INDEX(PODACI_PRODAJA!F:F,MATCH($A797,PODACI_PRODAJA!$A:$A,0)),0)</f>
        <v>0</v>
      </c>
      <c r="X797" s="23" t="n">
        <f aca="false">IFERROR(INDEX(PODACI_PRODAJA!G:G,MATCH($A797,PODACI_PRODAJA!$A:$A,0)),0)</f>
        <v>0</v>
      </c>
      <c r="Y797" s="23" t="n">
        <f aca="false">IFERROR(INDEX(PODACI_PRODAJA!H:H,MATCH($A797,PODACI_PRODAJA!$A:$A,0)),0)</f>
        <v>0</v>
      </c>
      <c r="Z797" s="23" t="n">
        <f aca="false">IFERROR(INDEX(PODACI_PRODAJA!I:I,MATCH($A797,PODACI_PRODAJA!$A:$A,0)),0)</f>
        <v>0</v>
      </c>
      <c r="AA797" s="23" t="n">
        <f aca="false">IFERROR(INDEX(PODACI_PRODAJA!J:J,MATCH($A797,PODACI_PRODAJA!$A:$A,0)),0)</f>
        <v>0</v>
      </c>
      <c r="AB797" s="23" t="n">
        <f aca="false">IFERROR(INDEX(PODACI_PRODAJA!K:K,MATCH($A797,PODACI_PRODAJA!$A:$A,0)),0)</f>
        <v>0</v>
      </c>
      <c r="AC797" s="23" t="n">
        <f aca="false">IFERROR(INDEX(PODACI_PRODAJA!L:L,MATCH($A797,PODACI_PRODAJA!$A:$A,0)),0)</f>
        <v>0</v>
      </c>
      <c r="AD797" s="23" t="n">
        <f aca="false">IFERROR(INDEX(PODACI_PRODAJA!M:M,MATCH($A797,PODACI_PRODAJA!$A:$A,0)),0)</f>
        <v>0</v>
      </c>
    </row>
    <row r="798" customFormat="false" ht="15" hidden="false" customHeight="false" outlineLevel="0" collapsed="false">
      <c r="A798" s="11" t="str">
        <f aca="false">PODACI_ZALIHE!A795</f>
        <v>PTK00440</v>
      </c>
      <c r="B798" s="8" t="str">
        <f aca="false">PODACI_ZALIHE!B795</f>
        <v>STAKLO ZA VETRO ZAMAGLJENO 120x200cm</v>
      </c>
      <c r="C798" s="9" t="n">
        <f aca="false">PODACI_ZALIHE!C795</f>
        <v>0</v>
      </c>
      <c r="D798" s="8" t="n">
        <f aca="false">PODACI_ZALIHE!D795</f>
        <v>0</v>
      </c>
      <c r="E798" s="19" t="str">
        <f aca="false">IF(PODACI_ZALIHE!E795="","",PODACI_ZALIHE!E795)</f>
        <v/>
      </c>
      <c r="F798" s="20" t="n">
        <f aca="false">PODACI_ZALIHE!F795</f>
        <v>0</v>
      </c>
      <c r="G798" s="19" t="str">
        <f aca="false">IF(E798="","",E798-F798)</f>
        <v/>
      </c>
      <c r="H798" s="9" t="n">
        <f aca="false">PODACI_PRODAJA!N309</f>
        <v>0</v>
      </c>
      <c r="I798" s="21" t="n">
        <f aca="false">IF(H798&lt;=0,999,ROUND(F798/H798,1))</f>
        <v>999</v>
      </c>
      <c r="J798" s="9" t="n">
        <f aca="false">SUMIFS(ROBA_U_DOLASKU!$C$6:$C$95,ROBA_U_DOLASKU!$A$6:$A$95,A798,ROBA_U_DOLASKU!$H$6:$H$95,1)</f>
        <v>0</v>
      </c>
      <c r="K798" s="9" t="n">
        <f aca="false">SUMIFS(ROBA_U_DOLASKU!$B$6:$B$95,ROBA_U_DOLASKU!$A$6:$A$95,A798,ROBA_U_DOLASKU!$H$6:$H$95,1)</f>
        <v>0</v>
      </c>
      <c r="L798" s="9" t="n">
        <f aca="false">SUMIFS(ROBA_U_DOLASKU!$C$6:$C$95,ROBA_U_DOLASKU!$A$6:$A$95,A798,ROBA_U_DOLASKU!$H$6:$H$95,2)</f>
        <v>0</v>
      </c>
      <c r="M798" s="9" t="n">
        <f aca="false">SUMIFS(ROBA_U_DOLASKU!$B$6:$B$95,ROBA_U_DOLASKU!$A$6:$A$95,A798,ROBA_U_DOLASKU!$H$6:$H$95,2)</f>
        <v>0</v>
      </c>
      <c r="N798" s="9" t="n">
        <f aca="false">SUMIFS(ROBA_U_DOLASKU!$C$6:$C$95,ROBA_U_DOLASKU!$A$6:$A$95,A798,ROBA_U_DOLASKU!$H$6:$H$95,3)</f>
        <v>0</v>
      </c>
      <c r="O798" s="9" t="n">
        <f aca="false">SUMIFS(ROBA_U_DOLASKU!$B$6:$B$95,ROBA_U_DOLASKU!$A$6:$A$95,A798,ROBA_U_DOLASKU!$H$6:$H$95,3)</f>
        <v>0</v>
      </c>
      <c r="P798" s="9" t="n">
        <f aca="false">IF(H798&lt;=0,999,IF(O798&gt;0,ROUND((F798-H798*N798+K798+M798+O798)/H798,1),IF(M798&gt;0,ROUND((F798-H798*L798+K798+M798)/H798,1),IF(K798&gt;0,ROUND((F798-H798*J798+K798)/H798,1),I798))))</f>
        <v>999</v>
      </c>
      <c r="Q798" s="22" t="str">
        <f aca="false">IF(H798&lt;=0,"Nema prodaje",IF(AND(K798=0,M798=0,O798=0),IF(I798&lt;POSTAVKE!$B$6,"Naruči odmah","Sve u redu"),IF(F798-H798*J798&lt;0,"Rupa za ~"&amp;TEXT(I798,"0.0")&amp;" mj.",IF(AND(M798&gt;0,F798-H798*L798+K798&lt;0),"Rupa nakon 1. dolaska",IF(AND(O798&gt;0,F798-H798*N798+K798+M798&lt;0),"Rupa nakon 2. dolaska",IF(P798&lt;POSTAVKE!$B$6,"Količina nije dovoljna",IF(I798&gt;=POSTAVKE!$B$6,"Sve u redu","Stiže na vrijeme")))))))</f>
        <v>Nema prodaje</v>
      </c>
      <c r="S798" s="23" t="n">
        <f aca="false">IFERROR(INDEX(PODACI_PRODAJA!B:B,MATCH($A798,PODACI_PRODAJA!$A:$A,0)),0)</f>
        <v>0</v>
      </c>
      <c r="T798" s="23" t="n">
        <f aca="false">IFERROR(INDEX(PODACI_PRODAJA!C:C,MATCH($A798,PODACI_PRODAJA!$A:$A,0)),0)</f>
        <v>0</v>
      </c>
      <c r="U798" s="23" t="n">
        <f aca="false">IFERROR(INDEX(PODACI_PRODAJA!D:D,MATCH($A798,PODACI_PRODAJA!$A:$A,0)),0)</f>
        <v>0</v>
      </c>
      <c r="V798" s="23" t="n">
        <f aca="false">IFERROR(INDEX(PODACI_PRODAJA!E:E,MATCH($A798,PODACI_PRODAJA!$A:$A,0)),0)</f>
        <v>0</v>
      </c>
      <c r="W798" s="23" t="n">
        <f aca="false">IFERROR(INDEX(PODACI_PRODAJA!F:F,MATCH($A798,PODACI_PRODAJA!$A:$A,0)),0)</f>
        <v>0</v>
      </c>
      <c r="X798" s="23" t="n">
        <f aca="false">IFERROR(INDEX(PODACI_PRODAJA!G:G,MATCH($A798,PODACI_PRODAJA!$A:$A,0)),0)</f>
        <v>0</v>
      </c>
      <c r="Y798" s="23" t="n">
        <f aca="false">IFERROR(INDEX(PODACI_PRODAJA!H:H,MATCH($A798,PODACI_PRODAJA!$A:$A,0)),0)</f>
        <v>0</v>
      </c>
      <c r="Z798" s="23" t="n">
        <f aca="false">IFERROR(INDEX(PODACI_PRODAJA!I:I,MATCH($A798,PODACI_PRODAJA!$A:$A,0)),0)</f>
        <v>0</v>
      </c>
      <c r="AA798" s="23" t="n">
        <f aca="false">IFERROR(INDEX(PODACI_PRODAJA!J:J,MATCH($A798,PODACI_PRODAJA!$A:$A,0)),0)</f>
        <v>0</v>
      </c>
      <c r="AB798" s="23" t="n">
        <f aca="false">IFERROR(INDEX(PODACI_PRODAJA!K:K,MATCH($A798,PODACI_PRODAJA!$A:$A,0)),0)</f>
        <v>0</v>
      </c>
      <c r="AC798" s="23" t="n">
        <f aca="false">IFERROR(INDEX(PODACI_PRODAJA!L:L,MATCH($A798,PODACI_PRODAJA!$A:$A,0)),0)</f>
        <v>0</v>
      </c>
      <c r="AD798" s="23" t="n">
        <f aca="false">IFERROR(INDEX(PODACI_PRODAJA!M:M,MATCH($A798,PODACI_PRODAJA!$A:$A,0)),0)</f>
        <v>0</v>
      </c>
    </row>
    <row r="799" customFormat="false" ht="15" hidden="false" customHeight="false" outlineLevel="0" collapsed="false">
      <c r="A799" s="11" t="str">
        <f aca="false">PODACI_ZALIHE!A796</f>
        <v>PTK00441</v>
      </c>
      <c r="B799" s="8" t="str">
        <f aca="false">PODACI_ZALIHE!B796</f>
        <v>STAKLO ZA VETRO MIRROR  80x200cm</v>
      </c>
      <c r="C799" s="9" t="n">
        <f aca="false">PODACI_ZALIHE!C796</f>
        <v>0</v>
      </c>
      <c r="D799" s="8" t="n">
        <f aca="false">PODACI_ZALIHE!D796</f>
        <v>0</v>
      </c>
      <c r="E799" s="19" t="str">
        <f aca="false">IF(PODACI_ZALIHE!E796="","",PODACI_ZALIHE!E796)</f>
        <v/>
      </c>
      <c r="F799" s="20" t="n">
        <f aca="false">PODACI_ZALIHE!F796</f>
        <v>0</v>
      </c>
      <c r="G799" s="19" t="str">
        <f aca="false">IF(E799="","",E799-F799)</f>
        <v/>
      </c>
      <c r="H799" s="9" t="n">
        <f aca="false">PODACI_PRODAJA!N310</f>
        <v>0</v>
      </c>
      <c r="I799" s="21" t="n">
        <f aca="false">IF(H799&lt;=0,999,ROUND(F799/H799,1))</f>
        <v>999</v>
      </c>
      <c r="J799" s="9" t="n">
        <f aca="false">SUMIFS(ROBA_U_DOLASKU!$C$6:$C$95,ROBA_U_DOLASKU!$A$6:$A$95,A799,ROBA_U_DOLASKU!$H$6:$H$95,1)</f>
        <v>0</v>
      </c>
      <c r="K799" s="9" t="n">
        <f aca="false">SUMIFS(ROBA_U_DOLASKU!$B$6:$B$95,ROBA_U_DOLASKU!$A$6:$A$95,A799,ROBA_U_DOLASKU!$H$6:$H$95,1)</f>
        <v>0</v>
      </c>
      <c r="L799" s="9" t="n">
        <f aca="false">SUMIFS(ROBA_U_DOLASKU!$C$6:$C$95,ROBA_U_DOLASKU!$A$6:$A$95,A799,ROBA_U_DOLASKU!$H$6:$H$95,2)</f>
        <v>0</v>
      </c>
      <c r="M799" s="9" t="n">
        <f aca="false">SUMIFS(ROBA_U_DOLASKU!$B$6:$B$95,ROBA_U_DOLASKU!$A$6:$A$95,A799,ROBA_U_DOLASKU!$H$6:$H$95,2)</f>
        <v>0</v>
      </c>
      <c r="N799" s="9" t="n">
        <f aca="false">SUMIFS(ROBA_U_DOLASKU!$C$6:$C$95,ROBA_U_DOLASKU!$A$6:$A$95,A799,ROBA_U_DOLASKU!$H$6:$H$95,3)</f>
        <v>0</v>
      </c>
      <c r="O799" s="9" t="n">
        <f aca="false">SUMIFS(ROBA_U_DOLASKU!$B$6:$B$95,ROBA_U_DOLASKU!$A$6:$A$95,A799,ROBA_U_DOLASKU!$H$6:$H$95,3)</f>
        <v>0</v>
      </c>
      <c r="P799" s="9" t="n">
        <f aca="false">IF(H799&lt;=0,999,IF(O799&gt;0,ROUND((F799-H799*N799+K799+M799+O799)/H799,1),IF(M799&gt;0,ROUND((F799-H799*L799+K799+M799)/H799,1),IF(K799&gt;0,ROUND((F799-H799*J799+K799)/H799,1),I799))))</f>
        <v>999</v>
      </c>
      <c r="Q799" s="22" t="str">
        <f aca="false">IF(H799&lt;=0,"Nema prodaje",IF(AND(K799=0,M799=0,O799=0),IF(I799&lt;POSTAVKE!$B$6,"Naruči odmah","Sve u redu"),IF(F799-H799*J799&lt;0,"Rupa za ~"&amp;TEXT(I799,"0.0")&amp;" mj.",IF(AND(M799&gt;0,F799-H799*L799+K799&lt;0),"Rupa nakon 1. dolaska",IF(AND(O799&gt;0,F799-H799*N799+K799+M799&lt;0),"Rupa nakon 2. dolaska",IF(P799&lt;POSTAVKE!$B$6,"Količina nije dovoljna",IF(I799&gt;=POSTAVKE!$B$6,"Sve u redu","Stiže na vrijeme")))))))</f>
        <v>Nema prodaje</v>
      </c>
      <c r="S799" s="23" t="n">
        <f aca="false">IFERROR(INDEX(PODACI_PRODAJA!B:B,MATCH($A799,PODACI_PRODAJA!$A:$A,0)),0)</f>
        <v>0</v>
      </c>
      <c r="T799" s="23" t="n">
        <f aca="false">IFERROR(INDEX(PODACI_PRODAJA!C:C,MATCH($A799,PODACI_PRODAJA!$A:$A,0)),0)</f>
        <v>0</v>
      </c>
      <c r="U799" s="23" t="n">
        <f aca="false">IFERROR(INDEX(PODACI_PRODAJA!D:D,MATCH($A799,PODACI_PRODAJA!$A:$A,0)),0)</f>
        <v>0</v>
      </c>
      <c r="V799" s="23" t="n">
        <f aca="false">IFERROR(INDEX(PODACI_PRODAJA!E:E,MATCH($A799,PODACI_PRODAJA!$A:$A,0)),0)</f>
        <v>0</v>
      </c>
      <c r="W799" s="23" t="n">
        <f aca="false">IFERROR(INDEX(PODACI_PRODAJA!F:F,MATCH($A799,PODACI_PRODAJA!$A:$A,0)),0)</f>
        <v>0</v>
      </c>
      <c r="X799" s="23" t="n">
        <f aca="false">IFERROR(INDEX(PODACI_PRODAJA!G:G,MATCH($A799,PODACI_PRODAJA!$A:$A,0)),0)</f>
        <v>0</v>
      </c>
      <c r="Y799" s="23" t="n">
        <f aca="false">IFERROR(INDEX(PODACI_PRODAJA!H:H,MATCH($A799,PODACI_PRODAJA!$A:$A,0)),0)</f>
        <v>0</v>
      </c>
      <c r="Z799" s="23" t="n">
        <f aca="false">IFERROR(INDEX(PODACI_PRODAJA!I:I,MATCH($A799,PODACI_PRODAJA!$A:$A,0)),0)</f>
        <v>0</v>
      </c>
      <c r="AA799" s="23" t="n">
        <f aca="false">IFERROR(INDEX(PODACI_PRODAJA!J:J,MATCH($A799,PODACI_PRODAJA!$A:$A,0)),0)</f>
        <v>0</v>
      </c>
      <c r="AB799" s="23" t="n">
        <f aca="false">IFERROR(INDEX(PODACI_PRODAJA!K:K,MATCH($A799,PODACI_PRODAJA!$A:$A,0)),0)</f>
        <v>0</v>
      </c>
      <c r="AC799" s="23" t="n">
        <f aca="false">IFERROR(INDEX(PODACI_PRODAJA!L:L,MATCH($A799,PODACI_PRODAJA!$A:$A,0)),0)</f>
        <v>0</v>
      </c>
      <c r="AD799" s="23" t="n">
        <f aca="false">IFERROR(INDEX(PODACI_PRODAJA!M:M,MATCH($A799,PODACI_PRODAJA!$A:$A,0)),0)</f>
        <v>0</v>
      </c>
    </row>
    <row r="800" customFormat="false" ht="15" hidden="false" customHeight="false" outlineLevel="0" collapsed="false">
      <c r="A800" s="11" t="str">
        <f aca="false">PODACI_ZALIHE!A797</f>
        <v>PTK00442</v>
      </c>
      <c r="B800" s="8" t="str">
        <f aca="false">PODACI_ZALIHE!B797</f>
        <v>STAKLO ZA VETRO MIRROR  90x200cm</v>
      </c>
      <c r="C800" s="9" t="n">
        <f aca="false">PODACI_ZALIHE!C797</f>
        <v>0</v>
      </c>
      <c r="D800" s="8" t="n">
        <f aca="false">PODACI_ZALIHE!D797</f>
        <v>0</v>
      </c>
      <c r="E800" s="19" t="str">
        <f aca="false">IF(PODACI_ZALIHE!E797="","",PODACI_ZALIHE!E797)</f>
        <v/>
      </c>
      <c r="F800" s="20" t="n">
        <f aca="false">PODACI_ZALIHE!F797</f>
        <v>0</v>
      </c>
      <c r="G800" s="19" t="str">
        <f aca="false">IF(E800="","",E800-F800)</f>
        <v/>
      </c>
      <c r="H800" s="9" t="n">
        <f aca="false">PODACI_PRODAJA!N311</f>
        <v>0</v>
      </c>
      <c r="I800" s="21" t="n">
        <f aca="false">IF(H800&lt;=0,999,ROUND(F800/H800,1))</f>
        <v>999</v>
      </c>
      <c r="J800" s="9" t="n">
        <f aca="false">SUMIFS(ROBA_U_DOLASKU!$C$6:$C$95,ROBA_U_DOLASKU!$A$6:$A$95,A800,ROBA_U_DOLASKU!$H$6:$H$95,1)</f>
        <v>0</v>
      </c>
      <c r="K800" s="9" t="n">
        <f aca="false">SUMIFS(ROBA_U_DOLASKU!$B$6:$B$95,ROBA_U_DOLASKU!$A$6:$A$95,A800,ROBA_U_DOLASKU!$H$6:$H$95,1)</f>
        <v>0</v>
      </c>
      <c r="L800" s="9" t="n">
        <f aca="false">SUMIFS(ROBA_U_DOLASKU!$C$6:$C$95,ROBA_U_DOLASKU!$A$6:$A$95,A800,ROBA_U_DOLASKU!$H$6:$H$95,2)</f>
        <v>0</v>
      </c>
      <c r="M800" s="9" t="n">
        <f aca="false">SUMIFS(ROBA_U_DOLASKU!$B$6:$B$95,ROBA_U_DOLASKU!$A$6:$A$95,A800,ROBA_U_DOLASKU!$H$6:$H$95,2)</f>
        <v>0</v>
      </c>
      <c r="N800" s="9" t="n">
        <f aca="false">SUMIFS(ROBA_U_DOLASKU!$C$6:$C$95,ROBA_U_DOLASKU!$A$6:$A$95,A800,ROBA_U_DOLASKU!$H$6:$H$95,3)</f>
        <v>0</v>
      </c>
      <c r="O800" s="9" t="n">
        <f aca="false">SUMIFS(ROBA_U_DOLASKU!$B$6:$B$95,ROBA_U_DOLASKU!$A$6:$A$95,A800,ROBA_U_DOLASKU!$H$6:$H$95,3)</f>
        <v>0</v>
      </c>
      <c r="P800" s="9" t="n">
        <f aca="false">IF(H800&lt;=0,999,IF(O800&gt;0,ROUND((F800-H800*N800+K800+M800+O800)/H800,1),IF(M800&gt;0,ROUND((F800-H800*L800+K800+M800)/H800,1),IF(K800&gt;0,ROUND((F800-H800*J800+K800)/H800,1),I800))))</f>
        <v>999</v>
      </c>
      <c r="Q800" s="22" t="str">
        <f aca="false">IF(H800&lt;=0,"Nema prodaje",IF(AND(K800=0,M800=0,O800=0),IF(I800&lt;POSTAVKE!$B$6,"Naruči odmah","Sve u redu"),IF(F800-H800*J800&lt;0,"Rupa za ~"&amp;TEXT(I800,"0.0")&amp;" mj.",IF(AND(M800&gt;0,F800-H800*L800+K800&lt;0),"Rupa nakon 1. dolaska",IF(AND(O800&gt;0,F800-H800*N800+K800+M800&lt;0),"Rupa nakon 2. dolaska",IF(P800&lt;POSTAVKE!$B$6,"Količina nije dovoljna",IF(I800&gt;=POSTAVKE!$B$6,"Sve u redu","Stiže na vrijeme")))))))</f>
        <v>Nema prodaje</v>
      </c>
      <c r="S800" s="23" t="n">
        <f aca="false">IFERROR(INDEX(PODACI_PRODAJA!B:B,MATCH($A800,PODACI_PRODAJA!$A:$A,0)),0)</f>
        <v>0</v>
      </c>
      <c r="T800" s="23" t="n">
        <f aca="false">IFERROR(INDEX(PODACI_PRODAJA!C:C,MATCH($A800,PODACI_PRODAJA!$A:$A,0)),0)</f>
        <v>0</v>
      </c>
      <c r="U800" s="23" t="n">
        <f aca="false">IFERROR(INDEX(PODACI_PRODAJA!D:D,MATCH($A800,PODACI_PRODAJA!$A:$A,0)),0)</f>
        <v>0</v>
      </c>
      <c r="V800" s="23" t="n">
        <f aca="false">IFERROR(INDEX(PODACI_PRODAJA!E:E,MATCH($A800,PODACI_PRODAJA!$A:$A,0)),0)</f>
        <v>0</v>
      </c>
      <c r="W800" s="23" t="n">
        <f aca="false">IFERROR(INDEX(PODACI_PRODAJA!F:F,MATCH($A800,PODACI_PRODAJA!$A:$A,0)),0)</f>
        <v>0</v>
      </c>
      <c r="X800" s="23" t="n">
        <f aca="false">IFERROR(INDEX(PODACI_PRODAJA!G:G,MATCH($A800,PODACI_PRODAJA!$A:$A,0)),0)</f>
        <v>0</v>
      </c>
      <c r="Y800" s="23" t="n">
        <f aca="false">IFERROR(INDEX(PODACI_PRODAJA!H:H,MATCH($A800,PODACI_PRODAJA!$A:$A,0)),0)</f>
        <v>0</v>
      </c>
      <c r="Z800" s="23" t="n">
        <f aca="false">IFERROR(INDEX(PODACI_PRODAJA!I:I,MATCH($A800,PODACI_PRODAJA!$A:$A,0)),0)</f>
        <v>0</v>
      </c>
      <c r="AA800" s="23" t="n">
        <f aca="false">IFERROR(INDEX(PODACI_PRODAJA!J:J,MATCH($A800,PODACI_PRODAJA!$A:$A,0)),0)</f>
        <v>0</v>
      </c>
      <c r="AB800" s="23" t="n">
        <f aca="false">IFERROR(INDEX(PODACI_PRODAJA!K:K,MATCH($A800,PODACI_PRODAJA!$A:$A,0)),0)</f>
        <v>0</v>
      </c>
      <c r="AC800" s="23" t="n">
        <f aca="false">IFERROR(INDEX(PODACI_PRODAJA!L:L,MATCH($A800,PODACI_PRODAJA!$A:$A,0)),0)</f>
        <v>0</v>
      </c>
      <c r="AD800" s="23" t="n">
        <f aca="false">IFERROR(INDEX(PODACI_PRODAJA!M:M,MATCH($A800,PODACI_PRODAJA!$A:$A,0)),0)</f>
        <v>0</v>
      </c>
    </row>
    <row r="801" customFormat="false" ht="15" hidden="false" customHeight="false" outlineLevel="0" collapsed="false">
      <c r="A801" s="11" t="str">
        <f aca="false">PODACI_ZALIHE!A798</f>
        <v>PTK00443</v>
      </c>
      <c r="B801" s="8" t="str">
        <f aca="false">PODACI_ZALIHE!B798</f>
        <v>STAKLO ZA VETRO MIRROR  100x200cm</v>
      </c>
      <c r="C801" s="9" t="n">
        <f aca="false">PODACI_ZALIHE!C798</f>
        <v>0</v>
      </c>
      <c r="D801" s="8" t="n">
        <f aca="false">PODACI_ZALIHE!D798</f>
        <v>0</v>
      </c>
      <c r="E801" s="19" t="str">
        <f aca="false">IF(PODACI_ZALIHE!E798="","",PODACI_ZALIHE!E798)</f>
        <v/>
      </c>
      <c r="F801" s="20" t="n">
        <f aca="false">PODACI_ZALIHE!F798</f>
        <v>0</v>
      </c>
      <c r="G801" s="19" t="str">
        <f aca="false">IF(E801="","",E801-F801)</f>
        <v/>
      </c>
      <c r="H801" s="9" t="n">
        <f aca="false">PODACI_PRODAJA!N312</f>
        <v>0</v>
      </c>
      <c r="I801" s="21" t="n">
        <f aca="false">IF(H801&lt;=0,999,ROUND(F801/H801,1))</f>
        <v>999</v>
      </c>
      <c r="J801" s="9" t="n">
        <f aca="false">SUMIFS(ROBA_U_DOLASKU!$C$6:$C$95,ROBA_U_DOLASKU!$A$6:$A$95,A801,ROBA_U_DOLASKU!$H$6:$H$95,1)</f>
        <v>0</v>
      </c>
      <c r="K801" s="9" t="n">
        <f aca="false">SUMIFS(ROBA_U_DOLASKU!$B$6:$B$95,ROBA_U_DOLASKU!$A$6:$A$95,A801,ROBA_U_DOLASKU!$H$6:$H$95,1)</f>
        <v>0</v>
      </c>
      <c r="L801" s="9" t="n">
        <f aca="false">SUMIFS(ROBA_U_DOLASKU!$C$6:$C$95,ROBA_U_DOLASKU!$A$6:$A$95,A801,ROBA_U_DOLASKU!$H$6:$H$95,2)</f>
        <v>0</v>
      </c>
      <c r="M801" s="9" t="n">
        <f aca="false">SUMIFS(ROBA_U_DOLASKU!$B$6:$B$95,ROBA_U_DOLASKU!$A$6:$A$95,A801,ROBA_U_DOLASKU!$H$6:$H$95,2)</f>
        <v>0</v>
      </c>
      <c r="N801" s="9" t="n">
        <f aca="false">SUMIFS(ROBA_U_DOLASKU!$C$6:$C$95,ROBA_U_DOLASKU!$A$6:$A$95,A801,ROBA_U_DOLASKU!$H$6:$H$95,3)</f>
        <v>0</v>
      </c>
      <c r="O801" s="9" t="n">
        <f aca="false">SUMIFS(ROBA_U_DOLASKU!$B$6:$B$95,ROBA_U_DOLASKU!$A$6:$A$95,A801,ROBA_U_DOLASKU!$H$6:$H$95,3)</f>
        <v>0</v>
      </c>
      <c r="P801" s="9" t="n">
        <f aca="false">IF(H801&lt;=0,999,IF(O801&gt;0,ROUND((F801-H801*N801+K801+M801+O801)/H801,1),IF(M801&gt;0,ROUND((F801-H801*L801+K801+M801)/H801,1),IF(K801&gt;0,ROUND((F801-H801*J801+K801)/H801,1),I801))))</f>
        <v>999</v>
      </c>
      <c r="Q801" s="22" t="str">
        <f aca="false">IF(H801&lt;=0,"Nema prodaje",IF(AND(K801=0,M801=0,O801=0),IF(I801&lt;POSTAVKE!$B$6,"Naruči odmah","Sve u redu"),IF(F801-H801*J801&lt;0,"Rupa za ~"&amp;TEXT(I801,"0.0")&amp;" mj.",IF(AND(M801&gt;0,F801-H801*L801+K801&lt;0),"Rupa nakon 1. dolaska",IF(AND(O801&gt;0,F801-H801*N801+K801+M801&lt;0),"Rupa nakon 2. dolaska",IF(P801&lt;POSTAVKE!$B$6,"Količina nije dovoljna",IF(I801&gt;=POSTAVKE!$B$6,"Sve u redu","Stiže na vrijeme")))))))</f>
        <v>Nema prodaje</v>
      </c>
      <c r="S801" s="23" t="n">
        <f aca="false">IFERROR(INDEX(PODACI_PRODAJA!B:B,MATCH($A801,PODACI_PRODAJA!$A:$A,0)),0)</f>
        <v>0</v>
      </c>
      <c r="T801" s="23" t="n">
        <f aca="false">IFERROR(INDEX(PODACI_PRODAJA!C:C,MATCH($A801,PODACI_PRODAJA!$A:$A,0)),0)</f>
        <v>0</v>
      </c>
      <c r="U801" s="23" t="n">
        <f aca="false">IFERROR(INDEX(PODACI_PRODAJA!D:D,MATCH($A801,PODACI_PRODAJA!$A:$A,0)),0)</f>
        <v>0</v>
      </c>
      <c r="V801" s="23" t="n">
        <f aca="false">IFERROR(INDEX(PODACI_PRODAJA!E:E,MATCH($A801,PODACI_PRODAJA!$A:$A,0)),0)</f>
        <v>0</v>
      </c>
      <c r="W801" s="23" t="n">
        <f aca="false">IFERROR(INDEX(PODACI_PRODAJA!F:F,MATCH($A801,PODACI_PRODAJA!$A:$A,0)),0)</f>
        <v>0</v>
      </c>
      <c r="X801" s="23" t="n">
        <f aca="false">IFERROR(INDEX(PODACI_PRODAJA!G:G,MATCH($A801,PODACI_PRODAJA!$A:$A,0)),0)</f>
        <v>0</v>
      </c>
      <c r="Y801" s="23" t="n">
        <f aca="false">IFERROR(INDEX(PODACI_PRODAJA!H:H,MATCH($A801,PODACI_PRODAJA!$A:$A,0)),0)</f>
        <v>0</v>
      </c>
      <c r="Z801" s="23" t="n">
        <f aca="false">IFERROR(INDEX(PODACI_PRODAJA!I:I,MATCH($A801,PODACI_PRODAJA!$A:$A,0)),0)</f>
        <v>0</v>
      </c>
      <c r="AA801" s="23" t="n">
        <f aca="false">IFERROR(INDEX(PODACI_PRODAJA!J:J,MATCH($A801,PODACI_PRODAJA!$A:$A,0)),0)</f>
        <v>0</v>
      </c>
      <c r="AB801" s="23" t="n">
        <f aca="false">IFERROR(INDEX(PODACI_PRODAJA!K:K,MATCH($A801,PODACI_PRODAJA!$A:$A,0)),0)</f>
        <v>0</v>
      </c>
      <c r="AC801" s="23" t="n">
        <f aca="false">IFERROR(INDEX(PODACI_PRODAJA!L:L,MATCH($A801,PODACI_PRODAJA!$A:$A,0)),0)</f>
        <v>0</v>
      </c>
      <c r="AD801" s="23" t="n">
        <f aca="false">IFERROR(INDEX(PODACI_PRODAJA!M:M,MATCH($A801,PODACI_PRODAJA!$A:$A,0)),0)</f>
        <v>0</v>
      </c>
    </row>
    <row r="802" customFormat="false" ht="15" hidden="false" customHeight="false" outlineLevel="0" collapsed="false">
      <c r="A802" s="11" t="str">
        <f aca="false">PODACI_ZALIHE!A799</f>
        <v>PTK00444</v>
      </c>
      <c r="B802" s="8" t="str">
        <f aca="false">PODACI_ZALIHE!B799</f>
        <v>STAKLO ZA VETRO MIRROR 120x200cm</v>
      </c>
      <c r="C802" s="9" t="n">
        <f aca="false">PODACI_ZALIHE!C799</f>
        <v>0</v>
      </c>
      <c r="D802" s="8" t="n">
        <f aca="false">PODACI_ZALIHE!D799</f>
        <v>0</v>
      </c>
      <c r="E802" s="19" t="str">
        <f aca="false">IF(PODACI_ZALIHE!E799="","",PODACI_ZALIHE!E799)</f>
        <v/>
      </c>
      <c r="F802" s="20" t="n">
        <f aca="false">PODACI_ZALIHE!F799</f>
        <v>0</v>
      </c>
      <c r="G802" s="19" t="str">
        <f aca="false">IF(E802="","",E802-F802)</f>
        <v/>
      </c>
      <c r="H802" s="9" t="n">
        <f aca="false">PODACI_PRODAJA!N313</f>
        <v>0</v>
      </c>
      <c r="I802" s="21" t="n">
        <f aca="false">IF(H802&lt;=0,999,ROUND(F802/H802,1))</f>
        <v>999</v>
      </c>
      <c r="J802" s="9" t="n">
        <f aca="false">SUMIFS(ROBA_U_DOLASKU!$C$6:$C$95,ROBA_U_DOLASKU!$A$6:$A$95,A802,ROBA_U_DOLASKU!$H$6:$H$95,1)</f>
        <v>0</v>
      </c>
      <c r="K802" s="9" t="n">
        <f aca="false">SUMIFS(ROBA_U_DOLASKU!$B$6:$B$95,ROBA_U_DOLASKU!$A$6:$A$95,A802,ROBA_U_DOLASKU!$H$6:$H$95,1)</f>
        <v>0</v>
      </c>
      <c r="L802" s="9" t="n">
        <f aca="false">SUMIFS(ROBA_U_DOLASKU!$C$6:$C$95,ROBA_U_DOLASKU!$A$6:$A$95,A802,ROBA_U_DOLASKU!$H$6:$H$95,2)</f>
        <v>0</v>
      </c>
      <c r="M802" s="9" t="n">
        <f aca="false">SUMIFS(ROBA_U_DOLASKU!$B$6:$B$95,ROBA_U_DOLASKU!$A$6:$A$95,A802,ROBA_U_DOLASKU!$H$6:$H$95,2)</f>
        <v>0</v>
      </c>
      <c r="N802" s="9" t="n">
        <f aca="false">SUMIFS(ROBA_U_DOLASKU!$C$6:$C$95,ROBA_U_DOLASKU!$A$6:$A$95,A802,ROBA_U_DOLASKU!$H$6:$H$95,3)</f>
        <v>0</v>
      </c>
      <c r="O802" s="9" t="n">
        <f aca="false">SUMIFS(ROBA_U_DOLASKU!$B$6:$B$95,ROBA_U_DOLASKU!$A$6:$A$95,A802,ROBA_U_DOLASKU!$H$6:$H$95,3)</f>
        <v>0</v>
      </c>
      <c r="P802" s="9" t="n">
        <f aca="false">IF(H802&lt;=0,999,IF(O802&gt;0,ROUND((F802-H802*N802+K802+M802+O802)/H802,1),IF(M802&gt;0,ROUND((F802-H802*L802+K802+M802)/H802,1),IF(K802&gt;0,ROUND((F802-H802*J802+K802)/H802,1),I802))))</f>
        <v>999</v>
      </c>
      <c r="Q802" s="22" t="str">
        <f aca="false">IF(H802&lt;=0,"Nema prodaje",IF(AND(K802=0,M802=0,O802=0),IF(I802&lt;POSTAVKE!$B$6,"Naruči odmah","Sve u redu"),IF(F802-H802*J802&lt;0,"Rupa za ~"&amp;TEXT(I802,"0.0")&amp;" mj.",IF(AND(M802&gt;0,F802-H802*L802+K802&lt;0),"Rupa nakon 1. dolaska",IF(AND(O802&gt;0,F802-H802*N802+K802+M802&lt;0),"Rupa nakon 2. dolaska",IF(P802&lt;POSTAVKE!$B$6,"Količina nije dovoljna",IF(I802&gt;=POSTAVKE!$B$6,"Sve u redu","Stiže na vrijeme")))))))</f>
        <v>Nema prodaje</v>
      </c>
      <c r="S802" s="23" t="n">
        <f aca="false">IFERROR(INDEX(PODACI_PRODAJA!B:B,MATCH($A802,PODACI_PRODAJA!$A:$A,0)),0)</f>
        <v>0</v>
      </c>
      <c r="T802" s="23" t="n">
        <f aca="false">IFERROR(INDEX(PODACI_PRODAJA!C:C,MATCH($A802,PODACI_PRODAJA!$A:$A,0)),0)</f>
        <v>0</v>
      </c>
      <c r="U802" s="23" t="n">
        <f aca="false">IFERROR(INDEX(PODACI_PRODAJA!D:D,MATCH($A802,PODACI_PRODAJA!$A:$A,0)),0)</f>
        <v>0</v>
      </c>
      <c r="V802" s="23" t="n">
        <f aca="false">IFERROR(INDEX(PODACI_PRODAJA!E:E,MATCH($A802,PODACI_PRODAJA!$A:$A,0)),0)</f>
        <v>0</v>
      </c>
      <c r="W802" s="23" t="n">
        <f aca="false">IFERROR(INDEX(PODACI_PRODAJA!F:F,MATCH($A802,PODACI_PRODAJA!$A:$A,0)),0)</f>
        <v>0</v>
      </c>
      <c r="X802" s="23" t="n">
        <f aca="false">IFERROR(INDEX(PODACI_PRODAJA!G:G,MATCH($A802,PODACI_PRODAJA!$A:$A,0)),0)</f>
        <v>0</v>
      </c>
      <c r="Y802" s="23" t="n">
        <f aca="false">IFERROR(INDEX(PODACI_PRODAJA!H:H,MATCH($A802,PODACI_PRODAJA!$A:$A,0)),0)</f>
        <v>0</v>
      </c>
      <c r="Z802" s="23" t="n">
        <f aca="false">IFERROR(INDEX(PODACI_PRODAJA!I:I,MATCH($A802,PODACI_PRODAJA!$A:$A,0)),0)</f>
        <v>0</v>
      </c>
      <c r="AA802" s="23" t="n">
        <f aca="false">IFERROR(INDEX(PODACI_PRODAJA!J:J,MATCH($A802,PODACI_PRODAJA!$A:$A,0)),0)</f>
        <v>0</v>
      </c>
      <c r="AB802" s="23" t="n">
        <f aca="false">IFERROR(INDEX(PODACI_PRODAJA!K:K,MATCH($A802,PODACI_PRODAJA!$A:$A,0)),0)</f>
        <v>0</v>
      </c>
      <c r="AC802" s="23" t="n">
        <f aca="false">IFERROR(INDEX(PODACI_PRODAJA!L:L,MATCH($A802,PODACI_PRODAJA!$A:$A,0)),0)</f>
        <v>0</v>
      </c>
      <c r="AD802" s="23" t="n">
        <f aca="false">IFERROR(INDEX(PODACI_PRODAJA!M:M,MATCH($A802,PODACI_PRODAJA!$A:$A,0)),0)</f>
        <v>0</v>
      </c>
    </row>
    <row r="803" customFormat="false" ht="15" hidden="false" customHeight="false" outlineLevel="0" collapsed="false">
      <c r="A803" s="11" t="str">
        <f aca="false">PODACI_ZALIHE!A800</f>
        <v>RDE002692</v>
      </c>
      <c r="B803" s="8" t="str">
        <f aca="false">PODACI_ZALIHE!B800</f>
        <v>TUŠ MJEŠALICA SIENA ZAMJENSKI SET</v>
      </c>
      <c r="C803" s="9" t="n">
        <f aca="false">PODACI_ZALIHE!C800</f>
        <v>0</v>
      </c>
      <c r="D803" s="8" t="n">
        <f aca="false">PODACI_ZALIHE!D800</f>
        <v>0</v>
      </c>
      <c r="E803" s="19" t="str">
        <f aca="false">IF(PODACI_ZALIHE!E800="","",PODACI_ZALIHE!E800)</f>
        <v/>
      </c>
      <c r="F803" s="20" t="n">
        <f aca="false">PODACI_ZALIHE!F800</f>
        <v>0</v>
      </c>
      <c r="G803" s="19" t="str">
        <f aca="false">IF(E803="","",E803-F803)</f>
        <v/>
      </c>
      <c r="H803" s="9" t="n">
        <f aca="false">PODACI_PRODAJA!N328</f>
        <v>0</v>
      </c>
      <c r="I803" s="21" t="n">
        <f aca="false">IF(H803&lt;=0,999,ROUND(F803/H803,1))</f>
        <v>999</v>
      </c>
      <c r="J803" s="9" t="n">
        <f aca="false">SUMIFS(ROBA_U_DOLASKU!$C$6:$C$95,ROBA_U_DOLASKU!$A$6:$A$95,A803,ROBA_U_DOLASKU!$H$6:$H$95,1)</f>
        <v>0</v>
      </c>
      <c r="K803" s="9" t="n">
        <f aca="false">SUMIFS(ROBA_U_DOLASKU!$B$6:$B$95,ROBA_U_DOLASKU!$A$6:$A$95,A803,ROBA_U_DOLASKU!$H$6:$H$95,1)</f>
        <v>0</v>
      </c>
      <c r="L803" s="9" t="n">
        <f aca="false">SUMIFS(ROBA_U_DOLASKU!$C$6:$C$95,ROBA_U_DOLASKU!$A$6:$A$95,A803,ROBA_U_DOLASKU!$H$6:$H$95,2)</f>
        <v>0</v>
      </c>
      <c r="M803" s="9" t="n">
        <f aca="false">SUMIFS(ROBA_U_DOLASKU!$B$6:$B$95,ROBA_U_DOLASKU!$A$6:$A$95,A803,ROBA_U_DOLASKU!$H$6:$H$95,2)</f>
        <v>0</v>
      </c>
      <c r="N803" s="9" t="n">
        <f aca="false">SUMIFS(ROBA_U_DOLASKU!$C$6:$C$95,ROBA_U_DOLASKU!$A$6:$A$95,A803,ROBA_U_DOLASKU!$H$6:$H$95,3)</f>
        <v>0</v>
      </c>
      <c r="O803" s="9" t="n">
        <f aca="false">SUMIFS(ROBA_U_DOLASKU!$B$6:$B$95,ROBA_U_DOLASKU!$A$6:$A$95,A803,ROBA_U_DOLASKU!$H$6:$H$95,3)</f>
        <v>0</v>
      </c>
      <c r="P803" s="9" t="n">
        <f aca="false">IF(H803&lt;=0,999,IF(O803&gt;0,ROUND((F803-H803*N803+K803+M803+O803)/H803,1),IF(M803&gt;0,ROUND((F803-H803*L803+K803+M803)/H803,1),IF(K803&gt;0,ROUND((F803-H803*J803+K803)/H803,1),I803))))</f>
        <v>999</v>
      </c>
      <c r="Q803" s="22" t="str">
        <f aca="false">IF(H803&lt;=0,"Nema prodaje",IF(AND(K803=0,M803=0,O803=0),IF(I803&lt;POSTAVKE!$B$6,"Naruči odmah","Sve u redu"),IF(F803-H803*J803&lt;0,"Rupa za ~"&amp;TEXT(I803,"0.0")&amp;" mj.",IF(AND(M803&gt;0,F803-H803*L803+K803&lt;0),"Rupa nakon 1. dolaska",IF(AND(O803&gt;0,F803-H803*N803+K803+M803&lt;0),"Rupa nakon 2. dolaska",IF(P803&lt;POSTAVKE!$B$6,"Količina nije dovoljna",IF(I803&gt;=POSTAVKE!$B$6,"Sve u redu","Stiže na vrijeme")))))))</f>
        <v>Nema prodaje</v>
      </c>
      <c r="S803" s="23" t="n">
        <f aca="false">IFERROR(INDEX(PODACI_PRODAJA!B:B,MATCH($A803,PODACI_PRODAJA!$A:$A,0)),0)</f>
        <v>0</v>
      </c>
      <c r="T803" s="23" t="n">
        <f aca="false">IFERROR(INDEX(PODACI_PRODAJA!C:C,MATCH($A803,PODACI_PRODAJA!$A:$A,0)),0)</f>
        <v>0</v>
      </c>
      <c r="U803" s="23" t="n">
        <f aca="false">IFERROR(INDEX(PODACI_PRODAJA!D:D,MATCH($A803,PODACI_PRODAJA!$A:$A,0)),0)</f>
        <v>0</v>
      </c>
      <c r="V803" s="23" t="n">
        <f aca="false">IFERROR(INDEX(PODACI_PRODAJA!E:E,MATCH($A803,PODACI_PRODAJA!$A:$A,0)),0)</f>
        <v>0</v>
      </c>
      <c r="W803" s="23" t="n">
        <f aca="false">IFERROR(INDEX(PODACI_PRODAJA!F:F,MATCH($A803,PODACI_PRODAJA!$A:$A,0)),0)</f>
        <v>0</v>
      </c>
      <c r="X803" s="23" t="n">
        <f aca="false">IFERROR(INDEX(PODACI_PRODAJA!G:G,MATCH($A803,PODACI_PRODAJA!$A:$A,0)),0)</f>
        <v>0</v>
      </c>
      <c r="Y803" s="23" t="n">
        <f aca="false">IFERROR(INDEX(PODACI_PRODAJA!H:H,MATCH($A803,PODACI_PRODAJA!$A:$A,0)),0)</f>
        <v>0</v>
      </c>
      <c r="Z803" s="23" t="n">
        <f aca="false">IFERROR(INDEX(PODACI_PRODAJA!I:I,MATCH($A803,PODACI_PRODAJA!$A:$A,0)),0)</f>
        <v>0</v>
      </c>
      <c r="AA803" s="23" t="n">
        <f aca="false">IFERROR(INDEX(PODACI_PRODAJA!J:J,MATCH($A803,PODACI_PRODAJA!$A:$A,0)),0)</f>
        <v>0</v>
      </c>
      <c r="AB803" s="23" t="n">
        <f aca="false">IFERROR(INDEX(PODACI_PRODAJA!K:K,MATCH($A803,PODACI_PRODAJA!$A:$A,0)),0)</f>
        <v>0</v>
      </c>
      <c r="AC803" s="23" t="n">
        <f aca="false">IFERROR(INDEX(PODACI_PRODAJA!L:L,MATCH($A803,PODACI_PRODAJA!$A:$A,0)),0)</f>
        <v>0</v>
      </c>
      <c r="AD803" s="23" t="n">
        <f aca="false">IFERROR(INDEX(PODACI_PRODAJA!M:M,MATCH($A803,PODACI_PRODAJA!$A:$A,0)),0)</f>
        <v>0</v>
      </c>
    </row>
    <row r="804" customFormat="false" ht="15" hidden="false" customHeight="false" outlineLevel="0" collapsed="false">
      <c r="A804" s="11" t="str">
        <f aca="false">PODACI_ZALIHE!A801</f>
        <v>RDE015273</v>
      </c>
      <c r="B804" s="8" t="str">
        <f aca="false">PODACI_ZALIHE!B801</f>
        <v>KONTROLNI PANEL ALINA</v>
      </c>
      <c r="C804" s="9" t="n">
        <f aca="false">PODACI_ZALIHE!C801</f>
        <v>0</v>
      </c>
      <c r="D804" s="8" t="n">
        <f aca="false">PODACI_ZALIHE!D801</f>
        <v>0</v>
      </c>
      <c r="E804" s="19" t="str">
        <f aca="false">IF(PODACI_ZALIHE!E801="","",PODACI_ZALIHE!E801)</f>
        <v/>
      </c>
      <c r="F804" s="20" t="n">
        <f aca="false">PODACI_ZALIHE!F801</f>
        <v>0</v>
      </c>
      <c r="G804" s="19" t="str">
        <f aca="false">IF(E804="","",E804-F804)</f>
        <v/>
      </c>
      <c r="H804" s="9" t="n">
        <f aca="false">PODACI_PRODAJA!N329</f>
        <v>0</v>
      </c>
      <c r="I804" s="21" t="n">
        <f aca="false">IF(H804&lt;=0,999,ROUND(F804/H804,1))</f>
        <v>999</v>
      </c>
      <c r="J804" s="9" t="n">
        <f aca="false">SUMIFS(ROBA_U_DOLASKU!$C$6:$C$95,ROBA_U_DOLASKU!$A$6:$A$95,A804,ROBA_U_DOLASKU!$H$6:$H$95,1)</f>
        <v>0</v>
      </c>
      <c r="K804" s="9" t="n">
        <f aca="false">SUMIFS(ROBA_U_DOLASKU!$B$6:$B$95,ROBA_U_DOLASKU!$A$6:$A$95,A804,ROBA_U_DOLASKU!$H$6:$H$95,1)</f>
        <v>0</v>
      </c>
      <c r="L804" s="9" t="n">
        <f aca="false">SUMIFS(ROBA_U_DOLASKU!$C$6:$C$95,ROBA_U_DOLASKU!$A$6:$A$95,A804,ROBA_U_DOLASKU!$H$6:$H$95,2)</f>
        <v>0</v>
      </c>
      <c r="M804" s="9" t="n">
        <f aca="false">SUMIFS(ROBA_U_DOLASKU!$B$6:$B$95,ROBA_U_DOLASKU!$A$6:$A$95,A804,ROBA_U_DOLASKU!$H$6:$H$95,2)</f>
        <v>0</v>
      </c>
      <c r="N804" s="9" t="n">
        <f aca="false">SUMIFS(ROBA_U_DOLASKU!$C$6:$C$95,ROBA_U_DOLASKU!$A$6:$A$95,A804,ROBA_U_DOLASKU!$H$6:$H$95,3)</f>
        <v>0</v>
      </c>
      <c r="O804" s="9" t="n">
        <f aca="false">SUMIFS(ROBA_U_DOLASKU!$B$6:$B$95,ROBA_U_DOLASKU!$A$6:$A$95,A804,ROBA_U_DOLASKU!$H$6:$H$95,3)</f>
        <v>0</v>
      </c>
      <c r="P804" s="9" t="n">
        <f aca="false">IF(H804&lt;=0,999,IF(O804&gt;0,ROUND((F804-H804*N804+K804+M804+O804)/H804,1),IF(M804&gt;0,ROUND((F804-H804*L804+K804+M804)/H804,1),IF(K804&gt;0,ROUND((F804-H804*J804+K804)/H804,1),I804))))</f>
        <v>999</v>
      </c>
      <c r="Q804" s="22" t="str">
        <f aca="false">IF(H804&lt;=0,"Nema prodaje",IF(AND(K804=0,M804=0,O804=0),IF(I804&lt;POSTAVKE!$B$6,"Naruči odmah","Sve u redu"),IF(F804-H804*J804&lt;0,"Rupa za ~"&amp;TEXT(I804,"0.0")&amp;" mj.",IF(AND(M804&gt;0,F804-H804*L804+K804&lt;0),"Rupa nakon 1. dolaska",IF(AND(O804&gt;0,F804-H804*N804+K804+M804&lt;0),"Rupa nakon 2. dolaska",IF(P804&lt;POSTAVKE!$B$6,"Količina nije dovoljna",IF(I804&gt;=POSTAVKE!$B$6,"Sve u redu","Stiže na vrijeme")))))))</f>
        <v>Nema prodaje</v>
      </c>
      <c r="S804" s="23" t="n">
        <f aca="false">IFERROR(INDEX(PODACI_PRODAJA!B:B,MATCH($A804,PODACI_PRODAJA!$A:$A,0)),0)</f>
        <v>0</v>
      </c>
      <c r="T804" s="23" t="n">
        <f aca="false">IFERROR(INDEX(PODACI_PRODAJA!C:C,MATCH($A804,PODACI_PRODAJA!$A:$A,0)),0)</f>
        <v>0</v>
      </c>
      <c r="U804" s="23" t="n">
        <f aca="false">IFERROR(INDEX(PODACI_PRODAJA!D:D,MATCH($A804,PODACI_PRODAJA!$A:$A,0)),0)</f>
        <v>0</v>
      </c>
      <c r="V804" s="23" t="n">
        <f aca="false">IFERROR(INDEX(PODACI_PRODAJA!E:E,MATCH($A804,PODACI_PRODAJA!$A:$A,0)),0)</f>
        <v>0</v>
      </c>
      <c r="W804" s="23" t="n">
        <f aca="false">IFERROR(INDEX(PODACI_PRODAJA!F:F,MATCH($A804,PODACI_PRODAJA!$A:$A,0)),0)</f>
        <v>0</v>
      </c>
      <c r="X804" s="23" t="n">
        <f aca="false">IFERROR(INDEX(PODACI_PRODAJA!G:G,MATCH($A804,PODACI_PRODAJA!$A:$A,0)),0)</f>
        <v>0</v>
      </c>
      <c r="Y804" s="23" t="n">
        <f aca="false">IFERROR(INDEX(PODACI_PRODAJA!H:H,MATCH($A804,PODACI_PRODAJA!$A:$A,0)),0)</f>
        <v>0</v>
      </c>
      <c r="Z804" s="23" t="n">
        <f aca="false">IFERROR(INDEX(PODACI_PRODAJA!I:I,MATCH($A804,PODACI_PRODAJA!$A:$A,0)),0)</f>
        <v>0</v>
      </c>
      <c r="AA804" s="23" t="n">
        <f aca="false">IFERROR(INDEX(PODACI_PRODAJA!J:J,MATCH($A804,PODACI_PRODAJA!$A:$A,0)),0)</f>
        <v>0</v>
      </c>
      <c r="AB804" s="23" t="n">
        <f aca="false">IFERROR(INDEX(PODACI_PRODAJA!K:K,MATCH($A804,PODACI_PRODAJA!$A:$A,0)),0)</f>
        <v>0</v>
      </c>
      <c r="AC804" s="23" t="n">
        <f aca="false">IFERROR(INDEX(PODACI_PRODAJA!L:L,MATCH($A804,PODACI_PRODAJA!$A:$A,0)),0)</f>
        <v>0</v>
      </c>
      <c r="AD804" s="23" t="n">
        <f aca="false">IFERROR(INDEX(PODACI_PRODAJA!M:M,MATCH($A804,PODACI_PRODAJA!$A:$A,0)),0)</f>
        <v>0</v>
      </c>
    </row>
    <row r="805" customFormat="false" ht="15" hidden="false" customHeight="false" outlineLevel="0" collapsed="false">
      <c r="A805" s="11" t="str">
        <f aca="false">PODACI_ZALIHE!A802</f>
        <v>RDE016521</v>
      </c>
      <c r="B805" s="8" t="str">
        <f aca="false">PODACI_ZALIHE!B802</f>
        <v>CRNE BOČNE BRTVE</v>
      </c>
      <c r="C805" s="9" t="n">
        <f aca="false">PODACI_ZALIHE!C802</f>
        <v>0</v>
      </c>
      <c r="D805" s="8" t="n">
        <f aca="false">PODACI_ZALIHE!D802</f>
        <v>0</v>
      </c>
      <c r="E805" s="19" t="str">
        <f aca="false">IF(PODACI_ZALIHE!E802="","",PODACI_ZALIHE!E802)</f>
        <v/>
      </c>
      <c r="F805" s="20" t="n">
        <f aca="false">PODACI_ZALIHE!F802</f>
        <v>0</v>
      </c>
      <c r="G805" s="19" t="str">
        <f aca="false">IF(E805="","",E805-F805)</f>
        <v/>
      </c>
      <c r="H805" s="9" t="n">
        <f aca="false">PODACI_PRODAJA!N330</f>
        <v>0</v>
      </c>
      <c r="I805" s="21" t="n">
        <f aca="false">IF(H805&lt;=0,999,ROUND(F805/H805,1))</f>
        <v>999</v>
      </c>
      <c r="J805" s="9" t="n">
        <f aca="false">SUMIFS(ROBA_U_DOLASKU!$C$6:$C$95,ROBA_U_DOLASKU!$A$6:$A$95,A805,ROBA_U_DOLASKU!$H$6:$H$95,1)</f>
        <v>0</v>
      </c>
      <c r="K805" s="9" t="n">
        <f aca="false">SUMIFS(ROBA_U_DOLASKU!$B$6:$B$95,ROBA_U_DOLASKU!$A$6:$A$95,A805,ROBA_U_DOLASKU!$H$6:$H$95,1)</f>
        <v>0</v>
      </c>
      <c r="L805" s="9" t="n">
        <f aca="false">SUMIFS(ROBA_U_DOLASKU!$C$6:$C$95,ROBA_U_DOLASKU!$A$6:$A$95,A805,ROBA_U_DOLASKU!$H$6:$H$95,2)</f>
        <v>0</v>
      </c>
      <c r="M805" s="9" t="n">
        <f aca="false">SUMIFS(ROBA_U_DOLASKU!$B$6:$B$95,ROBA_U_DOLASKU!$A$6:$A$95,A805,ROBA_U_DOLASKU!$H$6:$H$95,2)</f>
        <v>0</v>
      </c>
      <c r="N805" s="9" t="n">
        <f aca="false">SUMIFS(ROBA_U_DOLASKU!$C$6:$C$95,ROBA_U_DOLASKU!$A$6:$A$95,A805,ROBA_U_DOLASKU!$H$6:$H$95,3)</f>
        <v>0</v>
      </c>
      <c r="O805" s="9" t="n">
        <f aca="false">SUMIFS(ROBA_U_DOLASKU!$B$6:$B$95,ROBA_U_DOLASKU!$A$6:$A$95,A805,ROBA_U_DOLASKU!$H$6:$H$95,3)</f>
        <v>0</v>
      </c>
      <c r="P805" s="9" t="n">
        <f aca="false">IF(H805&lt;=0,999,IF(O805&gt;0,ROUND((F805-H805*N805+K805+M805+O805)/H805,1),IF(M805&gt;0,ROUND((F805-H805*L805+K805+M805)/H805,1),IF(K805&gt;0,ROUND((F805-H805*J805+K805)/H805,1),I805))))</f>
        <v>999</v>
      </c>
      <c r="Q805" s="22" t="str">
        <f aca="false">IF(H805&lt;=0,"Nema prodaje",IF(AND(K805=0,M805=0,O805=0),IF(I805&lt;POSTAVKE!$B$6,"Naruči odmah","Sve u redu"),IF(F805-H805*J805&lt;0,"Rupa za ~"&amp;TEXT(I805,"0.0")&amp;" mj.",IF(AND(M805&gt;0,F805-H805*L805+K805&lt;0),"Rupa nakon 1. dolaska",IF(AND(O805&gt;0,F805-H805*N805+K805+M805&lt;0),"Rupa nakon 2. dolaska",IF(P805&lt;POSTAVKE!$B$6,"Količina nije dovoljna",IF(I805&gt;=POSTAVKE!$B$6,"Sve u redu","Stiže na vrijeme")))))))</f>
        <v>Nema prodaje</v>
      </c>
      <c r="S805" s="23" t="n">
        <f aca="false">IFERROR(INDEX(PODACI_PRODAJA!B:B,MATCH($A805,PODACI_PRODAJA!$A:$A,0)),0)</f>
        <v>0</v>
      </c>
      <c r="T805" s="23" t="n">
        <f aca="false">IFERROR(INDEX(PODACI_PRODAJA!C:C,MATCH($A805,PODACI_PRODAJA!$A:$A,0)),0)</f>
        <v>0</v>
      </c>
      <c r="U805" s="23" t="n">
        <f aca="false">IFERROR(INDEX(PODACI_PRODAJA!D:D,MATCH($A805,PODACI_PRODAJA!$A:$A,0)),0)</f>
        <v>0</v>
      </c>
      <c r="V805" s="23" t="n">
        <f aca="false">IFERROR(INDEX(PODACI_PRODAJA!E:E,MATCH($A805,PODACI_PRODAJA!$A:$A,0)),0)</f>
        <v>0</v>
      </c>
      <c r="W805" s="23" t="n">
        <f aca="false">IFERROR(INDEX(PODACI_PRODAJA!F:F,MATCH($A805,PODACI_PRODAJA!$A:$A,0)),0)</f>
        <v>0</v>
      </c>
      <c r="X805" s="23" t="n">
        <f aca="false">IFERROR(INDEX(PODACI_PRODAJA!G:G,MATCH($A805,PODACI_PRODAJA!$A:$A,0)),0)</f>
        <v>0</v>
      </c>
      <c r="Y805" s="23" t="n">
        <f aca="false">IFERROR(INDEX(PODACI_PRODAJA!H:H,MATCH($A805,PODACI_PRODAJA!$A:$A,0)),0)</f>
        <v>0</v>
      </c>
      <c r="Z805" s="23" t="n">
        <f aca="false">IFERROR(INDEX(PODACI_PRODAJA!I:I,MATCH($A805,PODACI_PRODAJA!$A:$A,0)),0)</f>
        <v>0</v>
      </c>
      <c r="AA805" s="23" t="n">
        <f aca="false">IFERROR(INDEX(PODACI_PRODAJA!J:J,MATCH($A805,PODACI_PRODAJA!$A:$A,0)),0)</f>
        <v>0</v>
      </c>
      <c r="AB805" s="23" t="n">
        <f aca="false">IFERROR(INDEX(PODACI_PRODAJA!K:K,MATCH($A805,PODACI_PRODAJA!$A:$A,0)),0)</f>
        <v>0</v>
      </c>
      <c r="AC805" s="23" t="n">
        <f aca="false">IFERROR(INDEX(PODACI_PRODAJA!L:L,MATCH($A805,PODACI_PRODAJA!$A:$A,0)),0)</f>
        <v>0</v>
      </c>
      <c r="AD805" s="23" t="n">
        <f aca="false">IFERROR(INDEX(PODACI_PRODAJA!M:M,MATCH($A805,PODACI_PRODAJA!$A:$A,0)),0)</f>
        <v>0</v>
      </c>
    </row>
    <row r="806" customFormat="false" ht="15" hidden="false" customHeight="false" outlineLevel="0" collapsed="false">
      <c r="A806" s="11" t="str">
        <f aca="false">PODACI_ZALIHE!A803</f>
        <v>RDE016531</v>
      </c>
      <c r="B806" s="8" t="str">
        <f aca="false">PODACI_ZALIHE!B803</f>
        <v>CRNE MAGNETNE BRTVE ZA KABINE</v>
      </c>
      <c r="C806" s="9" t="n">
        <f aca="false">PODACI_ZALIHE!C803</f>
        <v>0</v>
      </c>
      <c r="D806" s="8" t="n">
        <f aca="false">PODACI_ZALIHE!D803</f>
        <v>0</v>
      </c>
      <c r="E806" s="19" t="str">
        <f aca="false">IF(PODACI_ZALIHE!E803="","",PODACI_ZALIHE!E803)</f>
        <v/>
      </c>
      <c r="F806" s="20" t="n">
        <f aca="false">PODACI_ZALIHE!F803</f>
        <v>0</v>
      </c>
      <c r="G806" s="19" t="str">
        <f aca="false">IF(E806="","",E806-F806)</f>
        <v/>
      </c>
      <c r="H806" s="9" t="n">
        <f aca="false">PODACI_PRODAJA!N331</f>
        <v>0</v>
      </c>
      <c r="I806" s="21" t="n">
        <f aca="false">IF(H806&lt;=0,999,ROUND(F806/H806,1))</f>
        <v>999</v>
      </c>
      <c r="J806" s="9" t="n">
        <f aca="false">SUMIFS(ROBA_U_DOLASKU!$C$6:$C$95,ROBA_U_DOLASKU!$A$6:$A$95,A806,ROBA_U_DOLASKU!$H$6:$H$95,1)</f>
        <v>0</v>
      </c>
      <c r="K806" s="9" t="n">
        <f aca="false">SUMIFS(ROBA_U_DOLASKU!$B$6:$B$95,ROBA_U_DOLASKU!$A$6:$A$95,A806,ROBA_U_DOLASKU!$H$6:$H$95,1)</f>
        <v>0</v>
      </c>
      <c r="L806" s="9" t="n">
        <f aca="false">SUMIFS(ROBA_U_DOLASKU!$C$6:$C$95,ROBA_U_DOLASKU!$A$6:$A$95,A806,ROBA_U_DOLASKU!$H$6:$H$95,2)</f>
        <v>0</v>
      </c>
      <c r="M806" s="9" t="n">
        <f aca="false">SUMIFS(ROBA_U_DOLASKU!$B$6:$B$95,ROBA_U_DOLASKU!$A$6:$A$95,A806,ROBA_U_DOLASKU!$H$6:$H$95,2)</f>
        <v>0</v>
      </c>
      <c r="N806" s="9" t="n">
        <f aca="false">SUMIFS(ROBA_U_DOLASKU!$C$6:$C$95,ROBA_U_DOLASKU!$A$6:$A$95,A806,ROBA_U_DOLASKU!$H$6:$H$95,3)</f>
        <v>0</v>
      </c>
      <c r="O806" s="9" t="n">
        <f aca="false">SUMIFS(ROBA_U_DOLASKU!$B$6:$B$95,ROBA_U_DOLASKU!$A$6:$A$95,A806,ROBA_U_DOLASKU!$H$6:$H$95,3)</f>
        <v>0</v>
      </c>
      <c r="P806" s="9" t="n">
        <f aca="false">IF(H806&lt;=0,999,IF(O806&gt;0,ROUND((F806-H806*N806+K806+M806+O806)/H806,1),IF(M806&gt;0,ROUND((F806-H806*L806+K806+M806)/H806,1),IF(K806&gt;0,ROUND((F806-H806*J806+K806)/H806,1),I806))))</f>
        <v>999</v>
      </c>
      <c r="Q806" s="22" t="str">
        <f aca="false">IF(H806&lt;=0,"Nema prodaje",IF(AND(K806=0,M806=0,O806=0),IF(I806&lt;POSTAVKE!$B$6,"Naruči odmah","Sve u redu"),IF(F806-H806*J806&lt;0,"Rupa za ~"&amp;TEXT(I806,"0.0")&amp;" mj.",IF(AND(M806&gt;0,F806-H806*L806+K806&lt;0),"Rupa nakon 1. dolaska",IF(AND(O806&gt;0,F806-H806*N806+K806+M806&lt;0),"Rupa nakon 2. dolaska",IF(P806&lt;POSTAVKE!$B$6,"Količina nije dovoljna",IF(I806&gt;=POSTAVKE!$B$6,"Sve u redu","Stiže na vrijeme")))))))</f>
        <v>Nema prodaje</v>
      </c>
      <c r="S806" s="23" t="n">
        <f aca="false">IFERROR(INDEX(PODACI_PRODAJA!B:B,MATCH($A806,PODACI_PRODAJA!$A:$A,0)),0)</f>
        <v>0</v>
      </c>
      <c r="T806" s="23" t="n">
        <f aca="false">IFERROR(INDEX(PODACI_PRODAJA!C:C,MATCH($A806,PODACI_PRODAJA!$A:$A,0)),0)</f>
        <v>0</v>
      </c>
      <c r="U806" s="23" t="n">
        <f aca="false">IFERROR(INDEX(PODACI_PRODAJA!D:D,MATCH($A806,PODACI_PRODAJA!$A:$A,0)),0)</f>
        <v>0</v>
      </c>
      <c r="V806" s="23" t="n">
        <f aca="false">IFERROR(INDEX(PODACI_PRODAJA!E:E,MATCH($A806,PODACI_PRODAJA!$A:$A,0)),0)</f>
        <v>0</v>
      </c>
      <c r="W806" s="23" t="n">
        <f aca="false">IFERROR(INDEX(PODACI_PRODAJA!F:F,MATCH($A806,PODACI_PRODAJA!$A:$A,0)),0)</f>
        <v>0</v>
      </c>
      <c r="X806" s="23" t="n">
        <f aca="false">IFERROR(INDEX(PODACI_PRODAJA!G:G,MATCH($A806,PODACI_PRODAJA!$A:$A,0)),0)</f>
        <v>0</v>
      </c>
      <c r="Y806" s="23" t="n">
        <f aca="false">IFERROR(INDEX(PODACI_PRODAJA!H:H,MATCH($A806,PODACI_PRODAJA!$A:$A,0)),0)</f>
        <v>0</v>
      </c>
      <c r="Z806" s="23" t="n">
        <f aca="false">IFERROR(INDEX(PODACI_PRODAJA!I:I,MATCH($A806,PODACI_PRODAJA!$A:$A,0)),0)</f>
        <v>0</v>
      </c>
      <c r="AA806" s="23" t="n">
        <f aca="false">IFERROR(INDEX(PODACI_PRODAJA!J:J,MATCH($A806,PODACI_PRODAJA!$A:$A,0)),0)</f>
        <v>0</v>
      </c>
      <c r="AB806" s="23" t="n">
        <f aca="false">IFERROR(INDEX(PODACI_PRODAJA!K:K,MATCH($A806,PODACI_PRODAJA!$A:$A,0)),0)</f>
        <v>0</v>
      </c>
      <c r="AC806" s="23" t="n">
        <f aca="false">IFERROR(INDEX(PODACI_PRODAJA!L:L,MATCH($A806,PODACI_PRODAJA!$A:$A,0)),0)</f>
        <v>0</v>
      </c>
      <c r="AD806" s="23" t="n">
        <f aca="false">IFERROR(INDEX(PODACI_PRODAJA!M:M,MATCH($A806,PODACI_PRODAJA!$A:$A,0)),0)</f>
        <v>0</v>
      </c>
    </row>
    <row r="807" customFormat="false" ht="15" hidden="false" customHeight="false" outlineLevel="0" collapsed="false">
      <c r="A807" s="11" t="str">
        <f aca="false">PODACI_ZALIHE!A804</f>
        <v>RDE0849</v>
      </c>
      <c r="B807" s="8" t="str">
        <f aca="false">PODACI_ZALIHE!B804</f>
        <v>IZLIJEV ZA MJEŠALICU NOVARA</v>
      </c>
      <c r="C807" s="9" t="n">
        <f aca="false">PODACI_ZALIHE!C804</f>
        <v>0</v>
      </c>
      <c r="D807" s="8" t="n">
        <f aca="false">PODACI_ZALIHE!D804</f>
        <v>0</v>
      </c>
      <c r="E807" s="19" t="str">
        <f aca="false">IF(PODACI_ZALIHE!E804="","",PODACI_ZALIHE!E804)</f>
        <v/>
      </c>
      <c r="F807" s="20" t="n">
        <f aca="false">PODACI_ZALIHE!F804</f>
        <v>0</v>
      </c>
      <c r="G807" s="19" t="str">
        <f aca="false">IF(E807="","",E807-F807)</f>
        <v/>
      </c>
      <c r="H807" s="9" t="n">
        <f aca="false">PODACI_PRODAJA!N332</f>
        <v>0</v>
      </c>
      <c r="I807" s="21" t="n">
        <f aca="false">IF(H807&lt;=0,999,ROUND(F807/H807,1))</f>
        <v>999</v>
      </c>
      <c r="J807" s="9" t="n">
        <f aca="false">SUMIFS(ROBA_U_DOLASKU!$C$6:$C$95,ROBA_U_DOLASKU!$A$6:$A$95,A807,ROBA_U_DOLASKU!$H$6:$H$95,1)</f>
        <v>0</v>
      </c>
      <c r="K807" s="9" t="n">
        <f aca="false">SUMIFS(ROBA_U_DOLASKU!$B$6:$B$95,ROBA_U_DOLASKU!$A$6:$A$95,A807,ROBA_U_DOLASKU!$H$6:$H$95,1)</f>
        <v>0</v>
      </c>
      <c r="L807" s="9" t="n">
        <f aca="false">SUMIFS(ROBA_U_DOLASKU!$C$6:$C$95,ROBA_U_DOLASKU!$A$6:$A$95,A807,ROBA_U_DOLASKU!$H$6:$H$95,2)</f>
        <v>0</v>
      </c>
      <c r="M807" s="9" t="n">
        <f aca="false">SUMIFS(ROBA_U_DOLASKU!$B$6:$B$95,ROBA_U_DOLASKU!$A$6:$A$95,A807,ROBA_U_DOLASKU!$H$6:$H$95,2)</f>
        <v>0</v>
      </c>
      <c r="N807" s="9" t="n">
        <f aca="false">SUMIFS(ROBA_U_DOLASKU!$C$6:$C$95,ROBA_U_DOLASKU!$A$6:$A$95,A807,ROBA_U_DOLASKU!$H$6:$H$95,3)</f>
        <v>0</v>
      </c>
      <c r="O807" s="9" t="n">
        <f aca="false">SUMIFS(ROBA_U_DOLASKU!$B$6:$B$95,ROBA_U_DOLASKU!$A$6:$A$95,A807,ROBA_U_DOLASKU!$H$6:$H$95,3)</f>
        <v>0</v>
      </c>
      <c r="P807" s="9" t="n">
        <f aca="false">IF(H807&lt;=0,999,IF(O807&gt;0,ROUND((F807-H807*N807+K807+M807+O807)/H807,1),IF(M807&gt;0,ROUND((F807-H807*L807+K807+M807)/H807,1),IF(K807&gt;0,ROUND((F807-H807*J807+K807)/H807,1),I807))))</f>
        <v>999</v>
      </c>
      <c r="Q807" s="22" t="str">
        <f aca="false">IF(H807&lt;=0,"Nema prodaje",IF(AND(K807=0,M807=0,O807=0),IF(I807&lt;POSTAVKE!$B$6,"Naruči odmah","Sve u redu"),IF(F807-H807*J807&lt;0,"Rupa za ~"&amp;TEXT(I807,"0.0")&amp;" mj.",IF(AND(M807&gt;0,F807-H807*L807+K807&lt;0),"Rupa nakon 1. dolaska",IF(AND(O807&gt;0,F807-H807*N807+K807+M807&lt;0),"Rupa nakon 2. dolaska",IF(P807&lt;POSTAVKE!$B$6,"Količina nije dovoljna",IF(I807&gt;=POSTAVKE!$B$6,"Sve u redu","Stiže na vrijeme")))))))</f>
        <v>Nema prodaje</v>
      </c>
      <c r="S807" s="23" t="n">
        <f aca="false">IFERROR(INDEX(PODACI_PRODAJA!B:B,MATCH($A807,PODACI_PRODAJA!$A:$A,0)),0)</f>
        <v>0</v>
      </c>
      <c r="T807" s="23" t="n">
        <f aca="false">IFERROR(INDEX(PODACI_PRODAJA!C:C,MATCH($A807,PODACI_PRODAJA!$A:$A,0)),0)</f>
        <v>0</v>
      </c>
      <c r="U807" s="23" t="n">
        <f aca="false">IFERROR(INDEX(PODACI_PRODAJA!D:D,MATCH($A807,PODACI_PRODAJA!$A:$A,0)),0)</f>
        <v>0</v>
      </c>
      <c r="V807" s="23" t="n">
        <f aca="false">IFERROR(INDEX(PODACI_PRODAJA!E:E,MATCH($A807,PODACI_PRODAJA!$A:$A,0)),0)</f>
        <v>0</v>
      </c>
      <c r="W807" s="23" t="n">
        <f aca="false">IFERROR(INDEX(PODACI_PRODAJA!F:F,MATCH($A807,PODACI_PRODAJA!$A:$A,0)),0)</f>
        <v>0</v>
      </c>
      <c r="X807" s="23" t="n">
        <f aca="false">IFERROR(INDEX(PODACI_PRODAJA!G:G,MATCH($A807,PODACI_PRODAJA!$A:$A,0)),0)</f>
        <v>0</v>
      </c>
      <c r="Y807" s="23" t="n">
        <f aca="false">IFERROR(INDEX(PODACI_PRODAJA!H:H,MATCH($A807,PODACI_PRODAJA!$A:$A,0)),0)</f>
        <v>0</v>
      </c>
      <c r="Z807" s="23" t="n">
        <f aca="false">IFERROR(INDEX(PODACI_PRODAJA!I:I,MATCH($A807,PODACI_PRODAJA!$A:$A,0)),0)</f>
        <v>0</v>
      </c>
      <c r="AA807" s="23" t="n">
        <f aca="false">IFERROR(INDEX(PODACI_PRODAJA!J:J,MATCH($A807,PODACI_PRODAJA!$A:$A,0)),0)</f>
        <v>0</v>
      </c>
      <c r="AB807" s="23" t="n">
        <f aca="false">IFERROR(INDEX(PODACI_PRODAJA!K:K,MATCH($A807,PODACI_PRODAJA!$A:$A,0)),0)</f>
        <v>0</v>
      </c>
      <c r="AC807" s="23" t="n">
        <f aca="false">IFERROR(INDEX(PODACI_PRODAJA!L:L,MATCH($A807,PODACI_PRODAJA!$A:$A,0)),0)</f>
        <v>0</v>
      </c>
      <c r="AD807" s="23" t="n">
        <f aca="false">IFERROR(INDEX(PODACI_PRODAJA!M:M,MATCH($A807,PODACI_PRODAJA!$A:$A,0)),0)</f>
        <v>0</v>
      </c>
    </row>
    <row r="808" customFormat="false" ht="15" hidden="false" customHeight="false" outlineLevel="0" collapsed="false">
      <c r="A808" s="11" t="str">
        <f aca="false">PODACI_ZALIHE!A805</f>
        <v>RDE0850</v>
      </c>
      <c r="B808" s="8" t="str">
        <f aca="false">PODACI_ZALIHE!B805</f>
        <v>INTENSO BLACK GLAVA TUŠA</v>
      </c>
      <c r="C808" s="9" t="n">
        <f aca="false">PODACI_ZALIHE!C805</f>
        <v>0</v>
      </c>
      <c r="D808" s="8" t="n">
        <f aca="false">PODACI_ZALIHE!D805</f>
        <v>0</v>
      </c>
      <c r="E808" s="19" t="str">
        <f aca="false">IF(PODACI_ZALIHE!E805="","",PODACI_ZALIHE!E805)</f>
        <v/>
      </c>
      <c r="F808" s="20" t="n">
        <f aca="false">PODACI_ZALIHE!F805</f>
        <v>0</v>
      </c>
      <c r="G808" s="19" t="str">
        <f aca="false">IF(E808="","",E808-F808)</f>
        <v/>
      </c>
      <c r="H808" s="9" t="n">
        <f aca="false">PODACI_PRODAJA!N333</f>
        <v>0</v>
      </c>
      <c r="I808" s="21" t="n">
        <f aca="false">IF(H808&lt;=0,999,ROUND(F808/H808,1))</f>
        <v>999</v>
      </c>
      <c r="J808" s="9" t="n">
        <f aca="false">SUMIFS(ROBA_U_DOLASKU!$C$6:$C$95,ROBA_U_DOLASKU!$A$6:$A$95,A808,ROBA_U_DOLASKU!$H$6:$H$95,1)</f>
        <v>0</v>
      </c>
      <c r="K808" s="9" t="n">
        <f aca="false">SUMIFS(ROBA_U_DOLASKU!$B$6:$B$95,ROBA_U_DOLASKU!$A$6:$A$95,A808,ROBA_U_DOLASKU!$H$6:$H$95,1)</f>
        <v>0</v>
      </c>
      <c r="L808" s="9" t="n">
        <f aca="false">SUMIFS(ROBA_U_DOLASKU!$C$6:$C$95,ROBA_U_DOLASKU!$A$6:$A$95,A808,ROBA_U_DOLASKU!$H$6:$H$95,2)</f>
        <v>0</v>
      </c>
      <c r="M808" s="9" t="n">
        <f aca="false">SUMIFS(ROBA_U_DOLASKU!$B$6:$B$95,ROBA_U_DOLASKU!$A$6:$A$95,A808,ROBA_U_DOLASKU!$H$6:$H$95,2)</f>
        <v>0</v>
      </c>
      <c r="N808" s="9" t="n">
        <f aca="false">SUMIFS(ROBA_U_DOLASKU!$C$6:$C$95,ROBA_U_DOLASKU!$A$6:$A$95,A808,ROBA_U_DOLASKU!$H$6:$H$95,3)</f>
        <v>0</v>
      </c>
      <c r="O808" s="9" t="n">
        <f aca="false">SUMIFS(ROBA_U_DOLASKU!$B$6:$B$95,ROBA_U_DOLASKU!$A$6:$A$95,A808,ROBA_U_DOLASKU!$H$6:$H$95,3)</f>
        <v>0</v>
      </c>
      <c r="P808" s="9" t="n">
        <f aca="false">IF(H808&lt;=0,999,IF(O808&gt;0,ROUND((F808-H808*N808+K808+M808+O808)/H808,1),IF(M808&gt;0,ROUND((F808-H808*L808+K808+M808)/H808,1),IF(K808&gt;0,ROUND((F808-H808*J808+K808)/H808,1),I808))))</f>
        <v>999</v>
      </c>
      <c r="Q808" s="22" t="str">
        <f aca="false">IF(H808&lt;=0,"Nema prodaje",IF(AND(K808=0,M808=0,O808=0),IF(I808&lt;POSTAVKE!$B$6,"Naruči odmah","Sve u redu"),IF(F808-H808*J808&lt;0,"Rupa za ~"&amp;TEXT(I808,"0.0")&amp;" mj.",IF(AND(M808&gt;0,F808-H808*L808+K808&lt;0),"Rupa nakon 1. dolaska",IF(AND(O808&gt;0,F808-H808*N808+K808+M808&lt;0),"Rupa nakon 2. dolaska",IF(P808&lt;POSTAVKE!$B$6,"Količina nije dovoljna",IF(I808&gt;=POSTAVKE!$B$6,"Sve u redu","Stiže na vrijeme")))))))</f>
        <v>Nema prodaje</v>
      </c>
      <c r="S808" s="23" t="n">
        <f aca="false">IFERROR(INDEX(PODACI_PRODAJA!B:B,MATCH($A808,PODACI_PRODAJA!$A:$A,0)),0)</f>
        <v>0</v>
      </c>
      <c r="T808" s="23" t="n">
        <f aca="false">IFERROR(INDEX(PODACI_PRODAJA!C:C,MATCH($A808,PODACI_PRODAJA!$A:$A,0)),0)</f>
        <v>0</v>
      </c>
      <c r="U808" s="23" t="n">
        <f aca="false">IFERROR(INDEX(PODACI_PRODAJA!D:D,MATCH($A808,PODACI_PRODAJA!$A:$A,0)),0)</f>
        <v>0</v>
      </c>
      <c r="V808" s="23" t="n">
        <f aca="false">IFERROR(INDEX(PODACI_PRODAJA!E:E,MATCH($A808,PODACI_PRODAJA!$A:$A,0)),0)</f>
        <v>0</v>
      </c>
      <c r="W808" s="23" t="n">
        <f aca="false">IFERROR(INDEX(PODACI_PRODAJA!F:F,MATCH($A808,PODACI_PRODAJA!$A:$A,0)),0)</f>
        <v>0</v>
      </c>
      <c r="X808" s="23" t="n">
        <f aca="false">IFERROR(INDEX(PODACI_PRODAJA!G:G,MATCH($A808,PODACI_PRODAJA!$A:$A,0)),0)</f>
        <v>0</v>
      </c>
      <c r="Y808" s="23" t="n">
        <f aca="false">IFERROR(INDEX(PODACI_PRODAJA!H:H,MATCH($A808,PODACI_PRODAJA!$A:$A,0)),0)</f>
        <v>0</v>
      </c>
      <c r="Z808" s="23" t="n">
        <f aca="false">IFERROR(INDEX(PODACI_PRODAJA!I:I,MATCH($A808,PODACI_PRODAJA!$A:$A,0)),0)</f>
        <v>0</v>
      </c>
      <c r="AA808" s="23" t="n">
        <f aca="false">IFERROR(INDEX(PODACI_PRODAJA!J:J,MATCH($A808,PODACI_PRODAJA!$A:$A,0)),0)</f>
        <v>0</v>
      </c>
      <c r="AB808" s="23" t="n">
        <f aca="false">IFERROR(INDEX(PODACI_PRODAJA!K:K,MATCH($A808,PODACI_PRODAJA!$A:$A,0)),0)</f>
        <v>0</v>
      </c>
      <c r="AC808" s="23" t="n">
        <f aca="false">IFERROR(INDEX(PODACI_PRODAJA!L:L,MATCH($A808,PODACI_PRODAJA!$A:$A,0)),0)</f>
        <v>0</v>
      </c>
      <c r="AD808" s="23" t="n">
        <f aca="false">IFERROR(INDEX(PODACI_PRODAJA!M:M,MATCH($A808,PODACI_PRODAJA!$A:$A,0)),0)</f>
        <v>0</v>
      </c>
    </row>
    <row r="809" customFormat="false" ht="15" hidden="false" customHeight="false" outlineLevel="0" collapsed="false">
      <c r="A809" s="11" t="str">
        <f aca="false">PODACI_ZALIHE!A806</f>
        <v>RDE0851</v>
      </c>
      <c r="B809" s="8" t="str">
        <f aca="false">PODACI_ZALIHE!B806</f>
        <v>INTENSO BLACK RUČKA ZA TUŠ</v>
      </c>
      <c r="C809" s="9" t="n">
        <f aca="false">PODACI_ZALIHE!C806</f>
        <v>0</v>
      </c>
      <c r="D809" s="8" t="n">
        <f aca="false">PODACI_ZALIHE!D806</f>
        <v>0</v>
      </c>
      <c r="E809" s="19" t="str">
        <f aca="false">IF(PODACI_ZALIHE!E806="","",PODACI_ZALIHE!E806)</f>
        <v/>
      </c>
      <c r="F809" s="20" t="n">
        <f aca="false">PODACI_ZALIHE!F806</f>
        <v>0</v>
      </c>
      <c r="G809" s="19" t="str">
        <f aca="false">IF(E809="","",E809-F809)</f>
        <v/>
      </c>
      <c r="H809" s="9" t="n">
        <f aca="false">PODACI_PRODAJA!N334</f>
        <v>0</v>
      </c>
      <c r="I809" s="21" t="n">
        <f aca="false">IF(H809&lt;=0,999,ROUND(F809/H809,1))</f>
        <v>999</v>
      </c>
      <c r="J809" s="9" t="n">
        <f aca="false">SUMIFS(ROBA_U_DOLASKU!$C$6:$C$95,ROBA_U_DOLASKU!$A$6:$A$95,A809,ROBA_U_DOLASKU!$H$6:$H$95,1)</f>
        <v>0</v>
      </c>
      <c r="K809" s="9" t="n">
        <f aca="false">SUMIFS(ROBA_U_DOLASKU!$B$6:$B$95,ROBA_U_DOLASKU!$A$6:$A$95,A809,ROBA_U_DOLASKU!$H$6:$H$95,1)</f>
        <v>0</v>
      </c>
      <c r="L809" s="9" t="n">
        <f aca="false">SUMIFS(ROBA_U_DOLASKU!$C$6:$C$95,ROBA_U_DOLASKU!$A$6:$A$95,A809,ROBA_U_DOLASKU!$H$6:$H$95,2)</f>
        <v>0</v>
      </c>
      <c r="M809" s="9" t="n">
        <f aca="false">SUMIFS(ROBA_U_DOLASKU!$B$6:$B$95,ROBA_U_DOLASKU!$A$6:$A$95,A809,ROBA_U_DOLASKU!$H$6:$H$95,2)</f>
        <v>0</v>
      </c>
      <c r="N809" s="9" t="n">
        <f aca="false">SUMIFS(ROBA_U_DOLASKU!$C$6:$C$95,ROBA_U_DOLASKU!$A$6:$A$95,A809,ROBA_U_DOLASKU!$H$6:$H$95,3)</f>
        <v>0</v>
      </c>
      <c r="O809" s="9" t="n">
        <f aca="false">SUMIFS(ROBA_U_DOLASKU!$B$6:$B$95,ROBA_U_DOLASKU!$A$6:$A$95,A809,ROBA_U_DOLASKU!$H$6:$H$95,3)</f>
        <v>0</v>
      </c>
      <c r="P809" s="9" t="n">
        <f aca="false">IF(H809&lt;=0,999,IF(O809&gt;0,ROUND((F809-H809*N809+K809+M809+O809)/H809,1),IF(M809&gt;0,ROUND((F809-H809*L809+K809+M809)/H809,1),IF(K809&gt;0,ROUND((F809-H809*J809+K809)/H809,1),I809))))</f>
        <v>999</v>
      </c>
      <c r="Q809" s="22" t="str">
        <f aca="false">IF(H809&lt;=0,"Nema prodaje",IF(AND(K809=0,M809=0,O809=0),IF(I809&lt;POSTAVKE!$B$6,"Naruči odmah","Sve u redu"),IF(F809-H809*J809&lt;0,"Rupa za ~"&amp;TEXT(I809,"0.0")&amp;" mj.",IF(AND(M809&gt;0,F809-H809*L809+K809&lt;0),"Rupa nakon 1. dolaska",IF(AND(O809&gt;0,F809-H809*N809+K809+M809&lt;0),"Rupa nakon 2. dolaska",IF(P809&lt;POSTAVKE!$B$6,"Količina nije dovoljna",IF(I809&gt;=POSTAVKE!$B$6,"Sve u redu","Stiže na vrijeme")))))))</f>
        <v>Nema prodaje</v>
      </c>
      <c r="S809" s="23" t="n">
        <f aca="false">IFERROR(INDEX(PODACI_PRODAJA!B:B,MATCH($A809,PODACI_PRODAJA!$A:$A,0)),0)</f>
        <v>0</v>
      </c>
      <c r="T809" s="23" t="n">
        <f aca="false">IFERROR(INDEX(PODACI_PRODAJA!C:C,MATCH($A809,PODACI_PRODAJA!$A:$A,0)),0)</f>
        <v>0</v>
      </c>
      <c r="U809" s="23" t="n">
        <f aca="false">IFERROR(INDEX(PODACI_PRODAJA!D:D,MATCH($A809,PODACI_PRODAJA!$A:$A,0)),0)</f>
        <v>0</v>
      </c>
      <c r="V809" s="23" t="n">
        <f aca="false">IFERROR(INDEX(PODACI_PRODAJA!E:E,MATCH($A809,PODACI_PRODAJA!$A:$A,0)),0)</f>
        <v>0</v>
      </c>
      <c r="W809" s="23" t="n">
        <f aca="false">IFERROR(INDEX(PODACI_PRODAJA!F:F,MATCH($A809,PODACI_PRODAJA!$A:$A,0)),0)</f>
        <v>0</v>
      </c>
      <c r="X809" s="23" t="n">
        <f aca="false">IFERROR(INDEX(PODACI_PRODAJA!G:G,MATCH($A809,PODACI_PRODAJA!$A:$A,0)),0)</f>
        <v>0</v>
      </c>
      <c r="Y809" s="23" t="n">
        <f aca="false">IFERROR(INDEX(PODACI_PRODAJA!H:H,MATCH($A809,PODACI_PRODAJA!$A:$A,0)),0)</f>
        <v>0</v>
      </c>
      <c r="Z809" s="23" t="n">
        <f aca="false">IFERROR(INDEX(PODACI_PRODAJA!I:I,MATCH($A809,PODACI_PRODAJA!$A:$A,0)),0)</f>
        <v>0</v>
      </c>
      <c r="AA809" s="23" t="n">
        <f aca="false">IFERROR(INDEX(PODACI_PRODAJA!J:J,MATCH($A809,PODACI_PRODAJA!$A:$A,0)),0)</f>
        <v>0</v>
      </c>
      <c r="AB809" s="23" t="n">
        <f aca="false">IFERROR(INDEX(PODACI_PRODAJA!K:K,MATCH($A809,PODACI_PRODAJA!$A:$A,0)),0)</f>
        <v>0</v>
      </c>
      <c r="AC809" s="23" t="n">
        <f aca="false">IFERROR(INDEX(PODACI_PRODAJA!L:L,MATCH($A809,PODACI_PRODAJA!$A:$A,0)),0)</f>
        <v>0</v>
      </c>
      <c r="AD809" s="23" t="n">
        <f aca="false">IFERROR(INDEX(PODACI_PRODAJA!M:M,MATCH($A809,PODACI_PRODAJA!$A:$A,0)),0)</f>
        <v>0</v>
      </c>
    </row>
    <row r="810" customFormat="false" ht="15" hidden="false" customHeight="false" outlineLevel="0" collapsed="false">
      <c r="A810" s="11" t="str">
        <f aca="false">PODACI_ZALIHE!A807</f>
        <v>RDE0852</v>
      </c>
      <c r="B810" s="8" t="str">
        <f aca="false">PODACI_ZALIHE!B807</f>
        <v>TOSKANA GLAVA ZA TUŠ</v>
      </c>
      <c r="C810" s="9" t="n">
        <f aca="false">PODACI_ZALIHE!C807</f>
        <v>0</v>
      </c>
      <c r="D810" s="8" t="n">
        <f aca="false">PODACI_ZALIHE!D807</f>
        <v>0</v>
      </c>
      <c r="E810" s="19" t="str">
        <f aca="false">IF(PODACI_ZALIHE!E807="","",PODACI_ZALIHE!E807)</f>
        <v/>
      </c>
      <c r="F810" s="20" t="n">
        <f aca="false">PODACI_ZALIHE!F807</f>
        <v>0</v>
      </c>
      <c r="G810" s="19" t="str">
        <f aca="false">IF(E810="","",E810-F810)</f>
        <v/>
      </c>
      <c r="H810" s="9" t="n">
        <f aca="false">PODACI_PRODAJA!N335</f>
        <v>0</v>
      </c>
      <c r="I810" s="21" t="n">
        <f aca="false">IF(H810&lt;=0,999,ROUND(F810/H810,1))</f>
        <v>999</v>
      </c>
      <c r="J810" s="9" t="n">
        <f aca="false">SUMIFS(ROBA_U_DOLASKU!$C$6:$C$95,ROBA_U_DOLASKU!$A$6:$A$95,A810,ROBA_U_DOLASKU!$H$6:$H$95,1)</f>
        <v>0</v>
      </c>
      <c r="K810" s="9" t="n">
        <f aca="false">SUMIFS(ROBA_U_DOLASKU!$B$6:$B$95,ROBA_U_DOLASKU!$A$6:$A$95,A810,ROBA_U_DOLASKU!$H$6:$H$95,1)</f>
        <v>0</v>
      </c>
      <c r="L810" s="9" t="n">
        <f aca="false">SUMIFS(ROBA_U_DOLASKU!$C$6:$C$95,ROBA_U_DOLASKU!$A$6:$A$95,A810,ROBA_U_DOLASKU!$H$6:$H$95,2)</f>
        <v>0</v>
      </c>
      <c r="M810" s="9" t="n">
        <f aca="false">SUMIFS(ROBA_U_DOLASKU!$B$6:$B$95,ROBA_U_DOLASKU!$A$6:$A$95,A810,ROBA_U_DOLASKU!$H$6:$H$95,2)</f>
        <v>0</v>
      </c>
      <c r="N810" s="9" t="n">
        <f aca="false">SUMIFS(ROBA_U_DOLASKU!$C$6:$C$95,ROBA_U_DOLASKU!$A$6:$A$95,A810,ROBA_U_DOLASKU!$H$6:$H$95,3)</f>
        <v>0</v>
      </c>
      <c r="O810" s="9" t="n">
        <f aca="false">SUMIFS(ROBA_U_DOLASKU!$B$6:$B$95,ROBA_U_DOLASKU!$A$6:$A$95,A810,ROBA_U_DOLASKU!$H$6:$H$95,3)</f>
        <v>0</v>
      </c>
      <c r="P810" s="9" t="n">
        <f aca="false">IF(H810&lt;=0,999,IF(O810&gt;0,ROUND((F810-H810*N810+K810+M810+O810)/H810,1),IF(M810&gt;0,ROUND((F810-H810*L810+K810+M810)/H810,1),IF(K810&gt;0,ROUND((F810-H810*J810+K810)/H810,1),I810))))</f>
        <v>999</v>
      </c>
      <c r="Q810" s="22" t="str">
        <f aca="false">IF(H810&lt;=0,"Nema prodaje",IF(AND(K810=0,M810=0,O810=0),IF(I810&lt;POSTAVKE!$B$6,"Naruči odmah","Sve u redu"),IF(F810-H810*J810&lt;0,"Rupa za ~"&amp;TEXT(I810,"0.0")&amp;" mj.",IF(AND(M810&gt;0,F810-H810*L810+K810&lt;0),"Rupa nakon 1. dolaska",IF(AND(O810&gt;0,F810-H810*N810+K810+M810&lt;0),"Rupa nakon 2. dolaska",IF(P810&lt;POSTAVKE!$B$6,"Količina nije dovoljna",IF(I810&gt;=POSTAVKE!$B$6,"Sve u redu","Stiže na vrijeme")))))))</f>
        <v>Nema prodaje</v>
      </c>
      <c r="S810" s="23" t="n">
        <f aca="false">IFERROR(INDEX(PODACI_PRODAJA!B:B,MATCH($A810,PODACI_PRODAJA!$A:$A,0)),0)</f>
        <v>0</v>
      </c>
      <c r="T810" s="23" t="n">
        <f aca="false">IFERROR(INDEX(PODACI_PRODAJA!C:C,MATCH($A810,PODACI_PRODAJA!$A:$A,0)),0)</f>
        <v>0</v>
      </c>
      <c r="U810" s="23" t="n">
        <f aca="false">IFERROR(INDEX(PODACI_PRODAJA!D:D,MATCH($A810,PODACI_PRODAJA!$A:$A,0)),0)</f>
        <v>0</v>
      </c>
      <c r="V810" s="23" t="n">
        <f aca="false">IFERROR(INDEX(PODACI_PRODAJA!E:E,MATCH($A810,PODACI_PRODAJA!$A:$A,0)),0)</f>
        <v>0</v>
      </c>
      <c r="W810" s="23" t="n">
        <f aca="false">IFERROR(INDEX(PODACI_PRODAJA!F:F,MATCH($A810,PODACI_PRODAJA!$A:$A,0)),0)</f>
        <v>0</v>
      </c>
      <c r="X810" s="23" t="n">
        <f aca="false">IFERROR(INDEX(PODACI_PRODAJA!G:G,MATCH($A810,PODACI_PRODAJA!$A:$A,0)),0)</f>
        <v>0</v>
      </c>
      <c r="Y810" s="23" t="n">
        <f aca="false">IFERROR(INDEX(PODACI_PRODAJA!H:H,MATCH($A810,PODACI_PRODAJA!$A:$A,0)),0)</f>
        <v>0</v>
      </c>
      <c r="Z810" s="23" t="n">
        <f aca="false">IFERROR(INDEX(PODACI_PRODAJA!I:I,MATCH($A810,PODACI_PRODAJA!$A:$A,0)),0)</f>
        <v>0</v>
      </c>
      <c r="AA810" s="23" t="n">
        <f aca="false">IFERROR(INDEX(PODACI_PRODAJA!J:J,MATCH($A810,PODACI_PRODAJA!$A:$A,0)),0)</f>
        <v>0</v>
      </c>
      <c r="AB810" s="23" t="n">
        <f aca="false">IFERROR(INDEX(PODACI_PRODAJA!K:K,MATCH($A810,PODACI_PRODAJA!$A:$A,0)),0)</f>
        <v>0</v>
      </c>
      <c r="AC810" s="23" t="n">
        <f aca="false">IFERROR(INDEX(PODACI_PRODAJA!L:L,MATCH($A810,PODACI_PRODAJA!$A:$A,0)),0)</f>
        <v>0</v>
      </c>
      <c r="AD810" s="23" t="n">
        <f aca="false">IFERROR(INDEX(PODACI_PRODAJA!M:M,MATCH($A810,PODACI_PRODAJA!$A:$A,0)),0)</f>
        <v>0</v>
      </c>
    </row>
    <row r="811" customFormat="false" ht="15" hidden="false" customHeight="false" outlineLevel="0" collapsed="false">
      <c r="A811" s="11" t="str">
        <f aca="false">PODACI_ZALIHE!A808</f>
        <v>RDE0853</v>
      </c>
      <c r="B811" s="8" t="str">
        <f aca="false">PODACI_ZALIHE!B808</f>
        <v>TOSKANA RUČKA ZA TUŠ</v>
      </c>
      <c r="C811" s="9" t="n">
        <f aca="false">PODACI_ZALIHE!C808</f>
        <v>0</v>
      </c>
      <c r="D811" s="8" t="n">
        <f aca="false">PODACI_ZALIHE!D808</f>
        <v>0</v>
      </c>
      <c r="E811" s="19" t="str">
        <f aca="false">IF(PODACI_ZALIHE!E808="","",PODACI_ZALIHE!E808)</f>
        <v/>
      </c>
      <c r="F811" s="20" t="n">
        <f aca="false">PODACI_ZALIHE!F808</f>
        <v>0</v>
      </c>
      <c r="G811" s="19" t="str">
        <f aca="false">IF(E811="","",E811-F811)</f>
        <v/>
      </c>
      <c r="H811" s="9" t="n">
        <f aca="false">PODACI_PRODAJA!N336</f>
        <v>0</v>
      </c>
      <c r="I811" s="21" t="n">
        <f aca="false">IF(H811&lt;=0,999,ROUND(F811/H811,1))</f>
        <v>999</v>
      </c>
      <c r="J811" s="9" t="n">
        <f aca="false">SUMIFS(ROBA_U_DOLASKU!$C$6:$C$95,ROBA_U_DOLASKU!$A$6:$A$95,A811,ROBA_U_DOLASKU!$H$6:$H$95,1)</f>
        <v>0</v>
      </c>
      <c r="K811" s="9" t="n">
        <f aca="false">SUMIFS(ROBA_U_DOLASKU!$B$6:$B$95,ROBA_U_DOLASKU!$A$6:$A$95,A811,ROBA_U_DOLASKU!$H$6:$H$95,1)</f>
        <v>0</v>
      </c>
      <c r="L811" s="9" t="n">
        <f aca="false">SUMIFS(ROBA_U_DOLASKU!$C$6:$C$95,ROBA_U_DOLASKU!$A$6:$A$95,A811,ROBA_U_DOLASKU!$H$6:$H$95,2)</f>
        <v>0</v>
      </c>
      <c r="M811" s="9" t="n">
        <f aca="false">SUMIFS(ROBA_U_DOLASKU!$B$6:$B$95,ROBA_U_DOLASKU!$A$6:$A$95,A811,ROBA_U_DOLASKU!$H$6:$H$95,2)</f>
        <v>0</v>
      </c>
      <c r="N811" s="9" t="n">
        <f aca="false">SUMIFS(ROBA_U_DOLASKU!$C$6:$C$95,ROBA_U_DOLASKU!$A$6:$A$95,A811,ROBA_U_DOLASKU!$H$6:$H$95,3)</f>
        <v>0</v>
      </c>
      <c r="O811" s="9" t="n">
        <f aca="false">SUMIFS(ROBA_U_DOLASKU!$B$6:$B$95,ROBA_U_DOLASKU!$A$6:$A$95,A811,ROBA_U_DOLASKU!$H$6:$H$95,3)</f>
        <v>0</v>
      </c>
      <c r="P811" s="9" t="n">
        <f aca="false">IF(H811&lt;=0,999,IF(O811&gt;0,ROUND((F811-H811*N811+K811+M811+O811)/H811,1),IF(M811&gt;0,ROUND((F811-H811*L811+K811+M811)/H811,1),IF(K811&gt;0,ROUND((F811-H811*J811+K811)/H811,1),I811))))</f>
        <v>999</v>
      </c>
      <c r="Q811" s="22" t="str">
        <f aca="false">IF(H811&lt;=0,"Nema prodaje",IF(AND(K811=0,M811=0,O811=0),IF(I811&lt;POSTAVKE!$B$6,"Naruči odmah","Sve u redu"),IF(F811-H811*J811&lt;0,"Rupa za ~"&amp;TEXT(I811,"0.0")&amp;" mj.",IF(AND(M811&gt;0,F811-H811*L811+K811&lt;0),"Rupa nakon 1. dolaska",IF(AND(O811&gt;0,F811-H811*N811+K811+M811&lt;0),"Rupa nakon 2. dolaska",IF(P811&lt;POSTAVKE!$B$6,"Količina nije dovoljna",IF(I811&gt;=POSTAVKE!$B$6,"Sve u redu","Stiže na vrijeme")))))))</f>
        <v>Nema prodaje</v>
      </c>
      <c r="S811" s="23" t="n">
        <f aca="false">IFERROR(INDEX(PODACI_PRODAJA!B:B,MATCH($A811,PODACI_PRODAJA!$A:$A,0)),0)</f>
        <v>0</v>
      </c>
      <c r="T811" s="23" t="n">
        <f aca="false">IFERROR(INDEX(PODACI_PRODAJA!C:C,MATCH($A811,PODACI_PRODAJA!$A:$A,0)),0)</f>
        <v>0</v>
      </c>
      <c r="U811" s="23" t="n">
        <f aca="false">IFERROR(INDEX(PODACI_PRODAJA!D:D,MATCH($A811,PODACI_PRODAJA!$A:$A,0)),0)</f>
        <v>0</v>
      </c>
      <c r="V811" s="23" t="n">
        <f aca="false">IFERROR(INDEX(PODACI_PRODAJA!E:E,MATCH($A811,PODACI_PRODAJA!$A:$A,0)),0)</f>
        <v>0</v>
      </c>
      <c r="W811" s="23" t="n">
        <f aca="false">IFERROR(INDEX(PODACI_PRODAJA!F:F,MATCH($A811,PODACI_PRODAJA!$A:$A,0)),0)</f>
        <v>0</v>
      </c>
      <c r="X811" s="23" t="n">
        <f aca="false">IFERROR(INDEX(PODACI_PRODAJA!G:G,MATCH($A811,PODACI_PRODAJA!$A:$A,0)),0)</f>
        <v>0</v>
      </c>
      <c r="Y811" s="23" t="n">
        <f aca="false">IFERROR(INDEX(PODACI_PRODAJA!H:H,MATCH($A811,PODACI_PRODAJA!$A:$A,0)),0)</f>
        <v>0</v>
      </c>
      <c r="Z811" s="23" t="n">
        <f aca="false">IFERROR(INDEX(PODACI_PRODAJA!I:I,MATCH($A811,PODACI_PRODAJA!$A:$A,0)),0)</f>
        <v>0</v>
      </c>
      <c r="AA811" s="23" t="n">
        <f aca="false">IFERROR(INDEX(PODACI_PRODAJA!J:J,MATCH($A811,PODACI_PRODAJA!$A:$A,0)),0)</f>
        <v>0</v>
      </c>
      <c r="AB811" s="23" t="n">
        <f aca="false">IFERROR(INDEX(PODACI_PRODAJA!K:K,MATCH($A811,PODACI_PRODAJA!$A:$A,0)),0)</f>
        <v>0</v>
      </c>
      <c r="AC811" s="23" t="n">
        <f aca="false">IFERROR(INDEX(PODACI_PRODAJA!L:L,MATCH($A811,PODACI_PRODAJA!$A:$A,0)),0)</f>
        <v>0</v>
      </c>
      <c r="AD811" s="23" t="n">
        <f aca="false">IFERROR(INDEX(PODACI_PRODAJA!M:M,MATCH($A811,PODACI_PRODAJA!$A:$A,0)),0)</f>
        <v>0</v>
      </c>
    </row>
    <row r="812" customFormat="false" ht="15" hidden="false" customHeight="false" outlineLevel="0" collapsed="false">
      <c r="A812" s="11" t="str">
        <f aca="false">PODACI_ZALIHE!A809</f>
        <v>RDE310391</v>
      </c>
      <c r="B812" s="8" t="str">
        <f aca="false">PODACI_ZALIHE!B809</f>
        <v>MJEŠALICA  AFRODITA / ALINA</v>
      </c>
      <c r="C812" s="9" t="n">
        <f aca="false">PODACI_ZALIHE!C809</f>
        <v>0</v>
      </c>
      <c r="D812" s="8" t="n">
        <f aca="false">PODACI_ZALIHE!D809</f>
        <v>0</v>
      </c>
      <c r="E812" s="19" t="str">
        <f aca="false">IF(PODACI_ZALIHE!E809="","",PODACI_ZALIHE!E809)</f>
        <v/>
      </c>
      <c r="F812" s="20" t="n">
        <f aca="false">PODACI_ZALIHE!F809</f>
        <v>0</v>
      </c>
      <c r="G812" s="19" t="str">
        <f aca="false">IF(E812="","",E812-F812)</f>
        <v/>
      </c>
      <c r="H812" s="9" t="n">
        <f aca="false">PODACI_PRODAJA!N337</f>
        <v>0</v>
      </c>
      <c r="I812" s="21" t="n">
        <f aca="false">IF(H812&lt;=0,999,ROUND(F812/H812,1))</f>
        <v>999</v>
      </c>
      <c r="J812" s="9" t="n">
        <f aca="false">SUMIFS(ROBA_U_DOLASKU!$C$6:$C$95,ROBA_U_DOLASKU!$A$6:$A$95,A812,ROBA_U_DOLASKU!$H$6:$H$95,1)</f>
        <v>0</v>
      </c>
      <c r="K812" s="9" t="n">
        <f aca="false">SUMIFS(ROBA_U_DOLASKU!$B$6:$B$95,ROBA_U_DOLASKU!$A$6:$A$95,A812,ROBA_U_DOLASKU!$H$6:$H$95,1)</f>
        <v>0</v>
      </c>
      <c r="L812" s="9" t="n">
        <f aca="false">SUMIFS(ROBA_U_DOLASKU!$C$6:$C$95,ROBA_U_DOLASKU!$A$6:$A$95,A812,ROBA_U_DOLASKU!$H$6:$H$95,2)</f>
        <v>0</v>
      </c>
      <c r="M812" s="9" t="n">
        <f aca="false">SUMIFS(ROBA_U_DOLASKU!$B$6:$B$95,ROBA_U_DOLASKU!$A$6:$A$95,A812,ROBA_U_DOLASKU!$H$6:$H$95,2)</f>
        <v>0</v>
      </c>
      <c r="N812" s="9" t="n">
        <f aca="false">SUMIFS(ROBA_U_DOLASKU!$C$6:$C$95,ROBA_U_DOLASKU!$A$6:$A$95,A812,ROBA_U_DOLASKU!$H$6:$H$95,3)</f>
        <v>0</v>
      </c>
      <c r="O812" s="9" t="n">
        <f aca="false">SUMIFS(ROBA_U_DOLASKU!$B$6:$B$95,ROBA_U_DOLASKU!$A$6:$A$95,A812,ROBA_U_DOLASKU!$H$6:$H$95,3)</f>
        <v>0</v>
      </c>
      <c r="P812" s="9" t="n">
        <f aca="false">IF(H812&lt;=0,999,IF(O812&gt;0,ROUND((F812-H812*N812+K812+M812+O812)/H812,1),IF(M812&gt;0,ROUND((F812-H812*L812+K812+M812)/H812,1),IF(K812&gt;0,ROUND((F812-H812*J812+K812)/H812,1),I812))))</f>
        <v>999</v>
      </c>
      <c r="Q812" s="22" t="str">
        <f aca="false">IF(H812&lt;=0,"Nema prodaje",IF(AND(K812=0,M812=0,O812=0),IF(I812&lt;POSTAVKE!$B$6,"Naruči odmah","Sve u redu"),IF(F812-H812*J812&lt;0,"Rupa za ~"&amp;TEXT(I812,"0.0")&amp;" mj.",IF(AND(M812&gt;0,F812-H812*L812+K812&lt;0),"Rupa nakon 1. dolaska",IF(AND(O812&gt;0,F812-H812*N812+K812+M812&lt;0),"Rupa nakon 2. dolaska",IF(P812&lt;POSTAVKE!$B$6,"Količina nije dovoljna",IF(I812&gt;=POSTAVKE!$B$6,"Sve u redu","Stiže na vrijeme")))))))</f>
        <v>Nema prodaje</v>
      </c>
      <c r="S812" s="23" t="n">
        <f aca="false">IFERROR(INDEX(PODACI_PRODAJA!B:B,MATCH($A812,PODACI_PRODAJA!$A:$A,0)),0)</f>
        <v>0</v>
      </c>
      <c r="T812" s="23" t="n">
        <f aca="false">IFERROR(INDEX(PODACI_PRODAJA!C:C,MATCH($A812,PODACI_PRODAJA!$A:$A,0)),0)</f>
        <v>0</v>
      </c>
      <c r="U812" s="23" t="n">
        <f aca="false">IFERROR(INDEX(PODACI_PRODAJA!D:D,MATCH($A812,PODACI_PRODAJA!$A:$A,0)),0)</f>
        <v>0</v>
      </c>
      <c r="V812" s="23" t="n">
        <f aca="false">IFERROR(INDEX(PODACI_PRODAJA!E:E,MATCH($A812,PODACI_PRODAJA!$A:$A,0)),0)</f>
        <v>0</v>
      </c>
      <c r="W812" s="23" t="n">
        <f aca="false">IFERROR(INDEX(PODACI_PRODAJA!F:F,MATCH($A812,PODACI_PRODAJA!$A:$A,0)),0)</f>
        <v>0</v>
      </c>
      <c r="X812" s="23" t="n">
        <f aca="false">IFERROR(INDEX(PODACI_PRODAJA!G:G,MATCH($A812,PODACI_PRODAJA!$A:$A,0)),0)</f>
        <v>0</v>
      </c>
      <c r="Y812" s="23" t="n">
        <f aca="false">IFERROR(INDEX(PODACI_PRODAJA!H:H,MATCH($A812,PODACI_PRODAJA!$A:$A,0)),0)</f>
        <v>0</v>
      </c>
      <c r="Z812" s="23" t="n">
        <f aca="false">IFERROR(INDEX(PODACI_PRODAJA!I:I,MATCH($A812,PODACI_PRODAJA!$A:$A,0)),0)</f>
        <v>0</v>
      </c>
      <c r="AA812" s="23" t="n">
        <f aca="false">IFERROR(INDEX(PODACI_PRODAJA!J:J,MATCH($A812,PODACI_PRODAJA!$A:$A,0)),0)</f>
        <v>0</v>
      </c>
      <c r="AB812" s="23" t="n">
        <f aca="false">IFERROR(INDEX(PODACI_PRODAJA!K:K,MATCH($A812,PODACI_PRODAJA!$A:$A,0)),0)</f>
        <v>0</v>
      </c>
      <c r="AC812" s="23" t="n">
        <f aca="false">IFERROR(INDEX(PODACI_PRODAJA!L:L,MATCH($A812,PODACI_PRODAJA!$A:$A,0)),0)</f>
        <v>0</v>
      </c>
      <c r="AD812" s="23" t="n">
        <f aca="false">IFERROR(INDEX(PODACI_PRODAJA!M:M,MATCH($A812,PODACI_PRODAJA!$A:$A,0)),0)</f>
        <v>0</v>
      </c>
    </row>
    <row r="813" customFormat="false" ht="15" hidden="false" customHeight="false" outlineLevel="0" collapsed="false">
      <c r="A813" s="11" t="str">
        <f aca="false">PODACI_ZALIHE!A810</f>
        <v>RDE31048</v>
      </c>
      <c r="B813" s="8" t="str">
        <f aca="false">PODACI_ZALIHE!B810</f>
        <v>SILVER LINE MAGNETNA BRTVA 2M</v>
      </c>
      <c r="C813" s="9" t="n">
        <f aca="false">PODACI_ZALIHE!C810</f>
        <v>0</v>
      </c>
      <c r="D813" s="8" t="n">
        <f aca="false">PODACI_ZALIHE!D810</f>
        <v>0</v>
      </c>
      <c r="E813" s="19" t="str">
        <f aca="false">IF(PODACI_ZALIHE!E810="","",PODACI_ZALIHE!E810)</f>
        <v/>
      </c>
      <c r="F813" s="20" t="n">
        <f aca="false">PODACI_ZALIHE!F810</f>
        <v>0</v>
      </c>
      <c r="G813" s="19" t="str">
        <f aca="false">IF(E813="","",E813-F813)</f>
        <v/>
      </c>
      <c r="H813" s="9" t="n">
        <f aca="false">PODACI_PRODAJA!N338</f>
        <v>0</v>
      </c>
      <c r="I813" s="21" t="n">
        <f aca="false">IF(H813&lt;=0,999,ROUND(F813/H813,1))</f>
        <v>999</v>
      </c>
      <c r="J813" s="9" t="n">
        <f aca="false">SUMIFS(ROBA_U_DOLASKU!$C$6:$C$95,ROBA_U_DOLASKU!$A$6:$A$95,A813,ROBA_U_DOLASKU!$H$6:$H$95,1)</f>
        <v>0</v>
      </c>
      <c r="K813" s="9" t="n">
        <f aca="false">SUMIFS(ROBA_U_DOLASKU!$B$6:$B$95,ROBA_U_DOLASKU!$A$6:$A$95,A813,ROBA_U_DOLASKU!$H$6:$H$95,1)</f>
        <v>0</v>
      </c>
      <c r="L813" s="9" t="n">
        <f aca="false">SUMIFS(ROBA_U_DOLASKU!$C$6:$C$95,ROBA_U_DOLASKU!$A$6:$A$95,A813,ROBA_U_DOLASKU!$H$6:$H$95,2)</f>
        <v>0</v>
      </c>
      <c r="M813" s="9" t="n">
        <f aca="false">SUMIFS(ROBA_U_DOLASKU!$B$6:$B$95,ROBA_U_DOLASKU!$A$6:$A$95,A813,ROBA_U_DOLASKU!$H$6:$H$95,2)</f>
        <v>0</v>
      </c>
      <c r="N813" s="9" t="n">
        <f aca="false">SUMIFS(ROBA_U_DOLASKU!$C$6:$C$95,ROBA_U_DOLASKU!$A$6:$A$95,A813,ROBA_U_DOLASKU!$H$6:$H$95,3)</f>
        <v>0</v>
      </c>
      <c r="O813" s="9" t="n">
        <f aca="false">SUMIFS(ROBA_U_DOLASKU!$B$6:$B$95,ROBA_U_DOLASKU!$A$6:$A$95,A813,ROBA_U_DOLASKU!$H$6:$H$95,3)</f>
        <v>0</v>
      </c>
      <c r="P813" s="9" t="n">
        <f aca="false">IF(H813&lt;=0,999,IF(O813&gt;0,ROUND((F813-H813*N813+K813+M813+O813)/H813,1),IF(M813&gt;0,ROUND((F813-H813*L813+K813+M813)/H813,1),IF(K813&gt;0,ROUND((F813-H813*J813+K813)/H813,1),I813))))</f>
        <v>999</v>
      </c>
      <c r="Q813" s="22" t="str">
        <f aca="false">IF(H813&lt;=0,"Nema prodaje",IF(AND(K813=0,M813=0,O813=0),IF(I813&lt;POSTAVKE!$B$6,"Naruči odmah","Sve u redu"),IF(F813-H813*J813&lt;0,"Rupa za ~"&amp;TEXT(I813,"0.0")&amp;" mj.",IF(AND(M813&gt;0,F813-H813*L813+K813&lt;0),"Rupa nakon 1. dolaska",IF(AND(O813&gt;0,F813-H813*N813+K813+M813&lt;0),"Rupa nakon 2. dolaska",IF(P813&lt;POSTAVKE!$B$6,"Količina nije dovoljna",IF(I813&gt;=POSTAVKE!$B$6,"Sve u redu","Stiže na vrijeme")))))))</f>
        <v>Nema prodaje</v>
      </c>
      <c r="S813" s="23" t="n">
        <f aca="false">IFERROR(INDEX(PODACI_PRODAJA!B:B,MATCH($A813,PODACI_PRODAJA!$A:$A,0)),0)</f>
        <v>0</v>
      </c>
      <c r="T813" s="23" t="n">
        <f aca="false">IFERROR(INDEX(PODACI_PRODAJA!C:C,MATCH($A813,PODACI_PRODAJA!$A:$A,0)),0)</f>
        <v>0</v>
      </c>
      <c r="U813" s="23" t="n">
        <f aca="false">IFERROR(INDEX(PODACI_PRODAJA!D:D,MATCH($A813,PODACI_PRODAJA!$A:$A,0)),0)</f>
        <v>0</v>
      </c>
      <c r="V813" s="23" t="n">
        <f aca="false">IFERROR(INDEX(PODACI_PRODAJA!E:E,MATCH($A813,PODACI_PRODAJA!$A:$A,0)),0)</f>
        <v>0</v>
      </c>
      <c r="W813" s="23" t="n">
        <f aca="false">IFERROR(INDEX(PODACI_PRODAJA!F:F,MATCH($A813,PODACI_PRODAJA!$A:$A,0)),0)</f>
        <v>0</v>
      </c>
      <c r="X813" s="23" t="n">
        <f aca="false">IFERROR(INDEX(PODACI_PRODAJA!G:G,MATCH($A813,PODACI_PRODAJA!$A:$A,0)),0)</f>
        <v>0</v>
      </c>
      <c r="Y813" s="23" t="n">
        <f aca="false">IFERROR(INDEX(PODACI_PRODAJA!H:H,MATCH($A813,PODACI_PRODAJA!$A:$A,0)),0)</f>
        <v>0</v>
      </c>
      <c r="Z813" s="23" t="n">
        <f aca="false">IFERROR(INDEX(PODACI_PRODAJA!I:I,MATCH($A813,PODACI_PRODAJA!$A:$A,0)),0)</f>
        <v>0</v>
      </c>
      <c r="AA813" s="23" t="n">
        <f aca="false">IFERROR(INDEX(PODACI_PRODAJA!J:J,MATCH($A813,PODACI_PRODAJA!$A:$A,0)),0)</f>
        <v>0</v>
      </c>
      <c r="AB813" s="23" t="n">
        <f aca="false">IFERROR(INDEX(PODACI_PRODAJA!K:K,MATCH($A813,PODACI_PRODAJA!$A:$A,0)),0)</f>
        <v>0</v>
      </c>
      <c r="AC813" s="23" t="n">
        <f aca="false">IFERROR(INDEX(PODACI_PRODAJA!L:L,MATCH($A813,PODACI_PRODAJA!$A:$A,0)),0)</f>
        <v>0</v>
      </c>
      <c r="AD813" s="23" t="n">
        <f aca="false">IFERROR(INDEX(PODACI_PRODAJA!M:M,MATCH($A813,PODACI_PRODAJA!$A:$A,0)),0)</f>
        <v>0</v>
      </c>
    </row>
    <row r="814" customFormat="false" ht="15" hidden="false" customHeight="false" outlineLevel="0" collapsed="false">
      <c r="A814" s="11" t="str">
        <f aca="false">PODACI_ZALIHE!A811</f>
        <v>RDE31140</v>
      </c>
      <c r="B814" s="8" t="str">
        <f aca="false">PODACI_ZALIHE!B811</f>
        <v>KONTROLNI STUP S LEĐNOM MLAZNICOM ALINA POLUKRUŽNA 80*80 90*90</v>
      </c>
      <c r="C814" s="9" t="n">
        <f aca="false">PODACI_ZALIHE!C811</f>
        <v>0</v>
      </c>
      <c r="D814" s="8" t="n">
        <f aca="false">PODACI_ZALIHE!D811</f>
        <v>0</v>
      </c>
      <c r="E814" s="19" t="str">
        <f aca="false">IF(PODACI_ZALIHE!E811="","",PODACI_ZALIHE!E811)</f>
        <v/>
      </c>
      <c r="F814" s="20" t="n">
        <f aca="false">PODACI_ZALIHE!F811</f>
        <v>0</v>
      </c>
      <c r="G814" s="19" t="str">
        <f aca="false">IF(E814="","",E814-F814)</f>
        <v/>
      </c>
      <c r="H814" s="9" t="n">
        <f aca="false">PODACI_PRODAJA!N340</f>
        <v>0</v>
      </c>
      <c r="I814" s="21" t="n">
        <f aca="false">IF(H814&lt;=0,999,ROUND(F814/H814,1))</f>
        <v>999</v>
      </c>
      <c r="J814" s="9" t="n">
        <f aca="false">SUMIFS(ROBA_U_DOLASKU!$C$6:$C$95,ROBA_U_DOLASKU!$A$6:$A$95,A814,ROBA_U_DOLASKU!$H$6:$H$95,1)</f>
        <v>0</v>
      </c>
      <c r="K814" s="9" t="n">
        <f aca="false">SUMIFS(ROBA_U_DOLASKU!$B$6:$B$95,ROBA_U_DOLASKU!$A$6:$A$95,A814,ROBA_U_DOLASKU!$H$6:$H$95,1)</f>
        <v>0</v>
      </c>
      <c r="L814" s="9" t="n">
        <f aca="false">SUMIFS(ROBA_U_DOLASKU!$C$6:$C$95,ROBA_U_DOLASKU!$A$6:$A$95,A814,ROBA_U_DOLASKU!$H$6:$H$95,2)</f>
        <v>0</v>
      </c>
      <c r="M814" s="9" t="n">
        <f aca="false">SUMIFS(ROBA_U_DOLASKU!$B$6:$B$95,ROBA_U_DOLASKU!$A$6:$A$95,A814,ROBA_U_DOLASKU!$H$6:$H$95,2)</f>
        <v>0</v>
      </c>
      <c r="N814" s="9" t="n">
        <f aca="false">SUMIFS(ROBA_U_DOLASKU!$C$6:$C$95,ROBA_U_DOLASKU!$A$6:$A$95,A814,ROBA_U_DOLASKU!$H$6:$H$95,3)</f>
        <v>0</v>
      </c>
      <c r="O814" s="9" t="n">
        <f aca="false">SUMIFS(ROBA_U_DOLASKU!$B$6:$B$95,ROBA_U_DOLASKU!$A$6:$A$95,A814,ROBA_U_DOLASKU!$H$6:$H$95,3)</f>
        <v>0</v>
      </c>
      <c r="P814" s="9" t="n">
        <f aca="false">IF(H814&lt;=0,999,IF(O814&gt;0,ROUND((F814-H814*N814+K814+M814+O814)/H814,1),IF(M814&gt;0,ROUND((F814-H814*L814+K814+M814)/H814,1),IF(K814&gt;0,ROUND((F814-H814*J814+K814)/H814,1),I814))))</f>
        <v>999</v>
      </c>
      <c r="Q814" s="22" t="str">
        <f aca="false">IF(H814&lt;=0,"Nema prodaje",IF(AND(K814=0,M814=0,O814=0),IF(I814&lt;POSTAVKE!$B$6,"Naruči odmah","Sve u redu"),IF(F814-H814*J814&lt;0,"Rupa za ~"&amp;TEXT(I814,"0.0")&amp;" mj.",IF(AND(M814&gt;0,F814-H814*L814+K814&lt;0),"Rupa nakon 1. dolaska",IF(AND(O814&gt;0,F814-H814*N814+K814+M814&lt;0),"Rupa nakon 2. dolaska",IF(P814&lt;POSTAVKE!$B$6,"Količina nije dovoljna",IF(I814&gt;=POSTAVKE!$B$6,"Sve u redu","Stiže na vrijeme")))))))</f>
        <v>Nema prodaje</v>
      </c>
      <c r="S814" s="23" t="n">
        <f aca="false">IFERROR(INDEX(PODACI_PRODAJA!B:B,MATCH($A814,PODACI_PRODAJA!$A:$A,0)),0)</f>
        <v>0</v>
      </c>
      <c r="T814" s="23" t="n">
        <f aca="false">IFERROR(INDEX(PODACI_PRODAJA!C:C,MATCH($A814,PODACI_PRODAJA!$A:$A,0)),0)</f>
        <v>0</v>
      </c>
      <c r="U814" s="23" t="n">
        <f aca="false">IFERROR(INDEX(PODACI_PRODAJA!D:D,MATCH($A814,PODACI_PRODAJA!$A:$A,0)),0)</f>
        <v>0</v>
      </c>
      <c r="V814" s="23" t="n">
        <f aca="false">IFERROR(INDEX(PODACI_PRODAJA!E:E,MATCH($A814,PODACI_PRODAJA!$A:$A,0)),0)</f>
        <v>0</v>
      </c>
      <c r="W814" s="23" t="n">
        <f aca="false">IFERROR(INDEX(PODACI_PRODAJA!F:F,MATCH($A814,PODACI_PRODAJA!$A:$A,0)),0)</f>
        <v>0</v>
      </c>
      <c r="X814" s="23" t="n">
        <f aca="false">IFERROR(INDEX(PODACI_PRODAJA!G:G,MATCH($A814,PODACI_PRODAJA!$A:$A,0)),0)</f>
        <v>0</v>
      </c>
      <c r="Y814" s="23" t="n">
        <f aca="false">IFERROR(INDEX(PODACI_PRODAJA!H:H,MATCH($A814,PODACI_PRODAJA!$A:$A,0)),0)</f>
        <v>0</v>
      </c>
      <c r="Z814" s="23" t="n">
        <f aca="false">IFERROR(INDEX(PODACI_PRODAJA!I:I,MATCH($A814,PODACI_PRODAJA!$A:$A,0)),0)</f>
        <v>0</v>
      </c>
      <c r="AA814" s="23" t="n">
        <f aca="false">IFERROR(INDEX(PODACI_PRODAJA!J:J,MATCH($A814,PODACI_PRODAJA!$A:$A,0)),0)</f>
        <v>0</v>
      </c>
      <c r="AB814" s="23" t="n">
        <f aca="false">IFERROR(INDEX(PODACI_PRODAJA!K:K,MATCH($A814,PODACI_PRODAJA!$A:$A,0)),0)</f>
        <v>0</v>
      </c>
      <c r="AC814" s="23" t="n">
        <f aca="false">IFERROR(INDEX(PODACI_PRODAJA!L:L,MATCH($A814,PODACI_PRODAJA!$A:$A,0)),0)</f>
        <v>0</v>
      </c>
      <c r="AD814" s="23" t="n">
        <f aca="false">IFERROR(INDEX(PODACI_PRODAJA!M:M,MATCH($A814,PODACI_PRODAJA!$A:$A,0)),0)</f>
        <v>0</v>
      </c>
    </row>
    <row r="815" customFormat="false" ht="15" hidden="false" customHeight="false" outlineLevel="0" collapsed="false">
      <c r="A815" s="11" t="str">
        <f aca="false">PODACI_ZALIHE!A812</f>
        <v>RDE31142</v>
      </c>
      <c r="B815" s="8" t="str">
        <f aca="false">PODACI_ZALIHE!B812</f>
        <v>STAKLENI KROV ALINA 90</v>
      </c>
      <c r="C815" s="9" t="n">
        <f aca="false">PODACI_ZALIHE!C812</f>
        <v>0</v>
      </c>
      <c r="D815" s="8" t="n">
        <f aca="false">PODACI_ZALIHE!D812</f>
        <v>0</v>
      </c>
      <c r="E815" s="19" t="str">
        <f aca="false">IF(PODACI_ZALIHE!E812="","",PODACI_ZALIHE!E812)</f>
        <v/>
      </c>
      <c r="F815" s="20" t="n">
        <f aca="false">PODACI_ZALIHE!F812</f>
        <v>0</v>
      </c>
      <c r="G815" s="19" t="str">
        <f aca="false">IF(E815="","",E815-F815)</f>
        <v/>
      </c>
      <c r="H815" s="9" t="n">
        <f aca="false">PODACI_PRODAJA!N341</f>
        <v>0</v>
      </c>
      <c r="I815" s="21" t="n">
        <f aca="false">IF(H815&lt;=0,999,ROUND(F815/H815,1))</f>
        <v>999</v>
      </c>
      <c r="J815" s="9" t="n">
        <f aca="false">SUMIFS(ROBA_U_DOLASKU!$C$6:$C$95,ROBA_U_DOLASKU!$A$6:$A$95,A815,ROBA_U_DOLASKU!$H$6:$H$95,1)</f>
        <v>0</v>
      </c>
      <c r="K815" s="9" t="n">
        <f aca="false">SUMIFS(ROBA_U_DOLASKU!$B$6:$B$95,ROBA_U_DOLASKU!$A$6:$A$95,A815,ROBA_U_DOLASKU!$H$6:$H$95,1)</f>
        <v>0</v>
      </c>
      <c r="L815" s="9" t="n">
        <f aca="false">SUMIFS(ROBA_U_DOLASKU!$C$6:$C$95,ROBA_U_DOLASKU!$A$6:$A$95,A815,ROBA_U_DOLASKU!$H$6:$H$95,2)</f>
        <v>0</v>
      </c>
      <c r="M815" s="9" t="n">
        <f aca="false">SUMIFS(ROBA_U_DOLASKU!$B$6:$B$95,ROBA_U_DOLASKU!$A$6:$A$95,A815,ROBA_U_DOLASKU!$H$6:$H$95,2)</f>
        <v>0</v>
      </c>
      <c r="N815" s="9" t="n">
        <f aca="false">SUMIFS(ROBA_U_DOLASKU!$C$6:$C$95,ROBA_U_DOLASKU!$A$6:$A$95,A815,ROBA_U_DOLASKU!$H$6:$H$95,3)</f>
        <v>0</v>
      </c>
      <c r="O815" s="9" t="n">
        <f aca="false">SUMIFS(ROBA_U_DOLASKU!$B$6:$B$95,ROBA_U_DOLASKU!$A$6:$A$95,A815,ROBA_U_DOLASKU!$H$6:$H$95,3)</f>
        <v>0</v>
      </c>
      <c r="P815" s="9" t="n">
        <f aca="false">IF(H815&lt;=0,999,IF(O815&gt;0,ROUND((F815-H815*N815+K815+M815+O815)/H815,1),IF(M815&gt;0,ROUND((F815-H815*L815+K815+M815)/H815,1),IF(K815&gt;0,ROUND((F815-H815*J815+K815)/H815,1),I815))))</f>
        <v>999</v>
      </c>
      <c r="Q815" s="22" t="str">
        <f aca="false">IF(H815&lt;=0,"Nema prodaje",IF(AND(K815=0,M815=0,O815=0),IF(I815&lt;POSTAVKE!$B$6,"Naruči odmah","Sve u redu"),IF(F815-H815*J815&lt;0,"Rupa za ~"&amp;TEXT(I815,"0.0")&amp;" mj.",IF(AND(M815&gt;0,F815-H815*L815+K815&lt;0),"Rupa nakon 1. dolaska",IF(AND(O815&gt;0,F815-H815*N815+K815+M815&lt;0),"Rupa nakon 2. dolaska",IF(P815&lt;POSTAVKE!$B$6,"Količina nije dovoljna",IF(I815&gt;=POSTAVKE!$B$6,"Sve u redu","Stiže na vrijeme")))))))</f>
        <v>Nema prodaje</v>
      </c>
      <c r="S815" s="23" t="n">
        <f aca="false">IFERROR(INDEX(PODACI_PRODAJA!B:B,MATCH($A815,PODACI_PRODAJA!$A:$A,0)),0)</f>
        <v>0</v>
      </c>
      <c r="T815" s="23" t="n">
        <f aca="false">IFERROR(INDEX(PODACI_PRODAJA!C:C,MATCH($A815,PODACI_PRODAJA!$A:$A,0)),0)</f>
        <v>0</v>
      </c>
      <c r="U815" s="23" t="n">
        <f aca="false">IFERROR(INDEX(PODACI_PRODAJA!D:D,MATCH($A815,PODACI_PRODAJA!$A:$A,0)),0)</f>
        <v>0</v>
      </c>
      <c r="V815" s="23" t="n">
        <f aca="false">IFERROR(INDEX(PODACI_PRODAJA!E:E,MATCH($A815,PODACI_PRODAJA!$A:$A,0)),0)</f>
        <v>0</v>
      </c>
      <c r="W815" s="23" t="n">
        <f aca="false">IFERROR(INDEX(PODACI_PRODAJA!F:F,MATCH($A815,PODACI_PRODAJA!$A:$A,0)),0)</f>
        <v>0</v>
      </c>
      <c r="X815" s="23" t="n">
        <f aca="false">IFERROR(INDEX(PODACI_PRODAJA!G:G,MATCH($A815,PODACI_PRODAJA!$A:$A,0)),0)</f>
        <v>0</v>
      </c>
      <c r="Y815" s="23" t="n">
        <f aca="false">IFERROR(INDEX(PODACI_PRODAJA!H:H,MATCH($A815,PODACI_PRODAJA!$A:$A,0)),0)</f>
        <v>0</v>
      </c>
      <c r="Z815" s="23" t="n">
        <f aca="false">IFERROR(INDEX(PODACI_PRODAJA!I:I,MATCH($A815,PODACI_PRODAJA!$A:$A,0)),0)</f>
        <v>0</v>
      </c>
      <c r="AA815" s="23" t="n">
        <f aca="false">IFERROR(INDEX(PODACI_PRODAJA!J:J,MATCH($A815,PODACI_PRODAJA!$A:$A,0)),0)</f>
        <v>0</v>
      </c>
      <c r="AB815" s="23" t="n">
        <f aca="false">IFERROR(INDEX(PODACI_PRODAJA!K:K,MATCH($A815,PODACI_PRODAJA!$A:$A,0)),0)</f>
        <v>0</v>
      </c>
      <c r="AC815" s="23" t="n">
        <f aca="false">IFERROR(INDEX(PODACI_PRODAJA!L:L,MATCH($A815,PODACI_PRODAJA!$A:$A,0)),0)</f>
        <v>0</v>
      </c>
      <c r="AD815" s="23" t="n">
        <f aca="false">IFERROR(INDEX(PODACI_PRODAJA!M:M,MATCH($A815,PODACI_PRODAJA!$A:$A,0)),0)</f>
        <v>0</v>
      </c>
    </row>
    <row r="816" customFormat="false" ht="15" hidden="false" customHeight="false" outlineLevel="0" collapsed="false">
      <c r="A816" s="11" t="str">
        <f aca="false">PODACI_ZALIHE!A813</f>
        <v>RDE31145</v>
      </c>
      <c r="B816" s="8" t="str">
        <f aca="false">PODACI_ZALIHE!B813</f>
        <v>GORNJA MLAZNICA ALINA</v>
      </c>
      <c r="C816" s="9" t="n">
        <f aca="false">PODACI_ZALIHE!C813</f>
        <v>0</v>
      </c>
      <c r="D816" s="8" t="n">
        <f aca="false">PODACI_ZALIHE!D813</f>
        <v>0</v>
      </c>
      <c r="E816" s="19" t="str">
        <f aca="false">IF(PODACI_ZALIHE!E813="","",PODACI_ZALIHE!E813)</f>
        <v/>
      </c>
      <c r="F816" s="20" t="n">
        <f aca="false">PODACI_ZALIHE!F813</f>
        <v>0</v>
      </c>
      <c r="G816" s="19" t="str">
        <f aca="false">IF(E816="","",E816-F816)</f>
        <v/>
      </c>
      <c r="H816" s="9" t="n">
        <f aca="false">PODACI_PRODAJA!N342</f>
        <v>0</v>
      </c>
      <c r="I816" s="21" t="n">
        <f aca="false">IF(H816&lt;=0,999,ROUND(F816/H816,1))</f>
        <v>999</v>
      </c>
      <c r="J816" s="9" t="n">
        <f aca="false">SUMIFS(ROBA_U_DOLASKU!$C$6:$C$95,ROBA_U_DOLASKU!$A$6:$A$95,A816,ROBA_U_DOLASKU!$H$6:$H$95,1)</f>
        <v>0</v>
      </c>
      <c r="K816" s="9" t="n">
        <f aca="false">SUMIFS(ROBA_U_DOLASKU!$B$6:$B$95,ROBA_U_DOLASKU!$A$6:$A$95,A816,ROBA_U_DOLASKU!$H$6:$H$95,1)</f>
        <v>0</v>
      </c>
      <c r="L816" s="9" t="n">
        <f aca="false">SUMIFS(ROBA_U_DOLASKU!$C$6:$C$95,ROBA_U_DOLASKU!$A$6:$A$95,A816,ROBA_U_DOLASKU!$H$6:$H$95,2)</f>
        <v>0</v>
      </c>
      <c r="M816" s="9" t="n">
        <f aca="false">SUMIFS(ROBA_U_DOLASKU!$B$6:$B$95,ROBA_U_DOLASKU!$A$6:$A$95,A816,ROBA_U_DOLASKU!$H$6:$H$95,2)</f>
        <v>0</v>
      </c>
      <c r="N816" s="9" t="n">
        <f aca="false">SUMIFS(ROBA_U_DOLASKU!$C$6:$C$95,ROBA_U_DOLASKU!$A$6:$A$95,A816,ROBA_U_DOLASKU!$H$6:$H$95,3)</f>
        <v>0</v>
      </c>
      <c r="O816" s="9" t="n">
        <f aca="false">SUMIFS(ROBA_U_DOLASKU!$B$6:$B$95,ROBA_U_DOLASKU!$A$6:$A$95,A816,ROBA_U_DOLASKU!$H$6:$H$95,3)</f>
        <v>0</v>
      </c>
      <c r="P816" s="9" t="n">
        <f aca="false">IF(H816&lt;=0,999,IF(O816&gt;0,ROUND((F816-H816*N816+K816+M816+O816)/H816,1),IF(M816&gt;0,ROUND((F816-H816*L816+K816+M816)/H816,1),IF(K816&gt;0,ROUND((F816-H816*J816+K816)/H816,1),I816))))</f>
        <v>999</v>
      </c>
      <c r="Q816" s="22" t="str">
        <f aca="false">IF(H816&lt;=0,"Nema prodaje",IF(AND(K816=0,M816=0,O816=0),IF(I816&lt;POSTAVKE!$B$6,"Naruči odmah","Sve u redu"),IF(F816-H816*J816&lt;0,"Rupa za ~"&amp;TEXT(I816,"0.0")&amp;" mj.",IF(AND(M816&gt;0,F816-H816*L816+K816&lt;0),"Rupa nakon 1. dolaska",IF(AND(O816&gt;0,F816-H816*N816+K816+M816&lt;0),"Rupa nakon 2. dolaska",IF(P816&lt;POSTAVKE!$B$6,"Količina nije dovoljna",IF(I816&gt;=POSTAVKE!$B$6,"Sve u redu","Stiže na vrijeme")))))))</f>
        <v>Nema prodaje</v>
      </c>
      <c r="S816" s="23" t="n">
        <f aca="false">IFERROR(INDEX(PODACI_PRODAJA!B:B,MATCH($A816,PODACI_PRODAJA!$A:$A,0)),0)</f>
        <v>0</v>
      </c>
      <c r="T816" s="23" t="n">
        <f aca="false">IFERROR(INDEX(PODACI_PRODAJA!C:C,MATCH($A816,PODACI_PRODAJA!$A:$A,0)),0)</f>
        <v>0</v>
      </c>
      <c r="U816" s="23" t="n">
        <f aca="false">IFERROR(INDEX(PODACI_PRODAJA!D:D,MATCH($A816,PODACI_PRODAJA!$A:$A,0)),0)</f>
        <v>0</v>
      </c>
      <c r="V816" s="23" t="n">
        <f aca="false">IFERROR(INDEX(PODACI_PRODAJA!E:E,MATCH($A816,PODACI_PRODAJA!$A:$A,0)),0)</f>
        <v>0</v>
      </c>
      <c r="W816" s="23" t="n">
        <f aca="false">IFERROR(INDEX(PODACI_PRODAJA!F:F,MATCH($A816,PODACI_PRODAJA!$A:$A,0)),0)</f>
        <v>0</v>
      </c>
      <c r="X816" s="23" t="n">
        <f aca="false">IFERROR(INDEX(PODACI_PRODAJA!G:G,MATCH($A816,PODACI_PRODAJA!$A:$A,0)),0)</f>
        <v>0</v>
      </c>
      <c r="Y816" s="23" t="n">
        <f aca="false">IFERROR(INDEX(PODACI_PRODAJA!H:H,MATCH($A816,PODACI_PRODAJA!$A:$A,0)),0)</f>
        <v>0</v>
      </c>
      <c r="Z816" s="23" t="n">
        <f aca="false">IFERROR(INDEX(PODACI_PRODAJA!I:I,MATCH($A816,PODACI_PRODAJA!$A:$A,0)),0)</f>
        <v>0</v>
      </c>
      <c r="AA816" s="23" t="n">
        <f aca="false">IFERROR(INDEX(PODACI_PRODAJA!J:J,MATCH($A816,PODACI_PRODAJA!$A:$A,0)),0)</f>
        <v>0</v>
      </c>
      <c r="AB816" s="23" t="n">
        <f aca="false">IFERROR(INDEX(PODACI_PRODAJA!K:K,MATCH($A816,PODACI_PRODAJA!$A:$A,0)),0)</f>
        <v>0</v>
      </c>
      <c r="AC816" s="23" t="n">
        <f aca="false">IFERROR(INDEX(PODACI_PRODAJA!L:L,MATCH($A816,PODACI_PRODAJA!$A:$A,0)),0)</f>
        <v>0</v>
      </c>
      <c r="AD816" s="23" t="n">
        <f aca="false">IFERROR(INDEX(PODACI_PRODAJA!M:M,MATCH($A816,PODACI_PRODAJA!$A:$A,0)),0)</f>
        <v>0</v>
      </c>
    </row>
    <row r="817" customFormat="false" ht="15" hidden="false" customHeight="false" outlineLevel="0" collapsed="false">
      <c r="A817" s="11" t="str">
        <f aca="false">PODACI_ZALIHE!A814</f>
        <v>RDE31149</v>
      </c>
      <c r="B817" s="8" t="str">
        <f aca="false">PODACI_ZALIHE!B814</f>
        <v>STAKLO ZA VRATA ALINA 80100</v>
      </c>
      <c r="C817" s="9" t="n">
        <f aca="false">PODACI_ZALIHE!C814</f>
        <v>0</v>
      </c>
      <c r="D817" s="8" t="n">
        <f aca="false">PODACI_ZALIHE!D814</f>
        <v>0</v>
      </c>
      <c r="E817" s="19" t="str">
        <f aca="false">IF(PODACI_ZALIHE!E814="","",PODACI_ZALIHE!E814)</f>
        <v/>
      </c>
      <c r="F817" s="20" t="n">
        <f aca="false">PODACI_ZALIHE!F814</f>
        <v>0</v>
      </c>
      <c r="G817" s="19" t="str">
        <f aca="false">IF(E817="","",E817-F817)</f>
        <v/>
      </c>
      <c r="H817" s="9" t="n">
        <f aca="false">PODACI_PRODAJA!N343</f>
        <v>0</v>
      </c>
      <c r="I817" s="21" t="n">
        <f aca="false">IF(H817&lt;=0,999,ROUND(F817/H817,1))</f>
        <v>999</v>
      </c>
      <c r="J817" s="9" t="n">
        <f aca="false">SUMIFS(ROBA_U_DOLASKU!$C$6:$C$95,ROBA_U_DOLASKU!$A$6:$A$95,A817,ROBA_U_DOLASKU!$H$6:$H$95,1)</f>
        <v>0</v>
      </c>
      <c r="K817" s="9" t="n">
        <f aca="false">SUMIFS(ROBA_U_DOLASKU!$B$6:$B$95,ROBA_U_DOLASKU!$A$6:$A$95,A817,ROBA_U_DOLASKU!$H$6:$H$95,1)</f>
        <v>0</v>
      </c>
      <c r="L817" s="9" t="n">
        <f aca="false">SUMIFS(ROBA_U_DOLASKU!$C$6:$C$95,ROBA_U_DOLASKU!$A$6:$A$95,A817,ROBA_U_DOLASKU!$H$6:$H$95,2)</f>
        <v>0</v>
      </c>
      <c r="M817" s="9" t="n">
        <f aca="false">SUMIFS(ROBA_U_DOLASKU!$B$6:$B$95,ROBA_U_DOLASKU!$A$6:$A$95,A817,ROBA_U_DOLASKU!$H$6:$H$95,2)</f>
        <v>0</v>
      </c>
      <c r="N817" s="9" t="n">
        <f aca="false">SUMIFS(ROBA_U_DOLASKU!$C$6:$C$95,ROBA_U_DOLASKU!$A$6:$A$95,A817,ROBA_U_DOLASKU!$H$6:$H$95,3)</f>
        <v>0</v>
      </c>
      <c r="O817" s="9" t="n">
        <f aca="false">SUMIFS(ROBA_U_DOLASKU!$B$6:$B$95,ROBA_U_DOLASKU!$A$6:$A$95,A817,ROBA_U_DOLASKU!$H$6:$H$95,3)</f>
        <v>0</v>
      </c>
      <c r="P817" s="9" t="n">
        <f aca="false">IF(H817&lt;=0,999,IF(O817&gt;0,ROUND((F817-H817*N817+K817+M817+O817)/H817,1),IF(M817&gt;0,ROUND((F817-H817*L817+K817+M817)/H817,1),IF(K817&gt;0,ROUND((F817-H817*J817+K817)/H817,1),I817))))</f>
        <v>999</v>
      </c>
      <c r="Q817" s="22" t="str">
        <f aca="false">IF(H817&lt;=0,"Nema prodaje",IF(AND(K817=0,M817=0,O817=0),IF(I817&lt;POSTAVKE!$B$6,"Naruči odmah","Sve u redu"),IF(F817-H817*J817&lt;0,"Rupa za ~"&amp;TEXT(I817,"0.0")&amp;" mj.",IF(AND(M817&gt;0,F817-H817*L817+K817&lt;0),"Rupa nakon 1. dolaska",IF(AND(O817&gt;0,F817-H817*N817+K817+M817&lt;0),"Rupa nakon 2. dolaska",IF(P817&lt;POSTAVKE!$B$6,"Količina nije dovoljna",IF(I817&gt;=POSTAVKE!$B$6,"Sve u redu","Stiže na vrijeme")))))))</f>
        <v>Nema prodaje</v>
      </c>
      <c r="S817" s="23" t="n">
        <f aca="false">IFERROR(INDEX(PODACI_PRODAJA!B:B,MATCH($A817,PODACI_PRODAJA!$A:$A,0)),0)</f>
        <v>0</v>
      </c>
      <c r="T817" s="23" t="n">
        <f aca="false">IFERROR(INDEX(PODACI_PRODAJA!C:C,MATCH($A817,PODACI_PRODAJA!$A:$A,0)),0)</f>
        <v>0</v>
      </c>
      <c r="U817" s="23" t="n">
        <f aca="false">IFERROR(INDEX(PODACI_PRODAJA!D:D,MATCH($A817,PODACI_PRODAJA!$A:$A,0)),0)</f>
        <v>0</v>
      </c>
      <c r="V817" s="23" t="n">
        <f aca="false">IFERROR(INDEX(PODACI_PRODAJA!E:E,MATCH($A817,PODACI_PRODAJA!$A:$A,0)),0)</f>
        <v>0</v>
      </c>
      <c r="W817" s="23" t="n">
        <f aca="false">IFERROR(INDEX(PODACI_PRODAJA!F:F,MATCH($A817,PODACI_PRODAJA!$A:$A,0)),0)</f>
        <v>0</v>
      </c>
      <c r="X817" s="23" t="n">
        <f aca="false">IFERROR(INDEX(PODACI_PRODAJA!G:G,MATCH($A817,PODACI_PRODAJA!$A:$A,0)),0)</f>
        <v>0</v>
      </c>
      <c r="Y817" s="23" t="n">
        <f aca="false">IFERROR(INDEX(PODACI_PRODAJA!H:H,MATCH($A817,PODACI_PRODAJA!$A:$A,0)),0)</f>
        <v>0</v>
      </c>
      <c r="Z817" s="23" t="n">
        <f aca="false">IFERROR(INDEX(PODACI_PRODAJA!I:I,MATCH($A817,PODACI_PRODAJA!$A:$A,0)),0)</f>
        <v>0</v>
      </c>
      <c r="AA817" s="23" t="n">
        <f aca="false">IFERROR(INDEX(PODACI_PRODAJA!J:J,MATCH($A817,PODACI_PRODAJA!$A:$A,0)),0)</f>
        <v>0</v>
      </c>
      <c r="AB817" s="23" t="n">
        <f aca="false">IFERROR(INDEX(PODACI_PRODAJA!K:K,MATCH($A817,PODACI_PRODAJA!$A:$A,0)),0)</f>
        <v>0</v>
      </c>
      <c r="AC817" s="23" t="n">
        <f aca="false">IFERROR(INDEX(PODACI_PRODAJA!L:L,MATCH($A817,PODACI_PRODAJA!$A:$A,0)),0)</f>
        <v>0</v>
      </c>
      <c r="AD817" s="23" t="n">
        <f aca="false">IFERROR(INDEX(PODACI_PRODAJA!M:M,MATCH($A817,PODACI_PRODAJA!$A:$A,0)),0)</f>
        <v>0</v>
      </c>
    </row>
    <row r="818" customFormat="false" ht="15" hidden="false" customHeight="false" outlineLevel="0" collapsed="false">
      <c r="A818" s="11" t="str">
        <f aca="false">PODACI_ZALIHE!A815</f>
        <v>RDE31150</v>
      </c>
      <c r="B818" s="8" t="str">
        <f aca="false">PODACI_ZALIHE!B815</f>
        <v>FIKSNO PREDNJE STAKLO ALINA 80100</v>
      </c>
      <c r="C818" s="9" t="n">
        <f aca="false">PODACI_ZALIHE!C815</f>
        <v>0</v>
      </c>
      <c r="D818" s="8" t="n">
        <f aca="false">PODACI_ZALIHE!D815</f>
        <v>0</v>
      </c>
      <c r="E818" s="19" t="str">
        <f aca="false">IF(PODACI_ZALIHE!E815="","",PODACI_ZALIHE!E815)</f>
        <v/>
      </c>
      <c r="F818" s="20" t="n">
        <f aca="false">PODACI_ZALIHE!F815</f>
        <v>0</v>
      </c>
      <c r="G818" s="19" t="str">
        <f aca="false">IF(E818="","",E818-F818)</f>
        <v/>
      </c>
      <c r="H818" s="9" t="n">
        <f aca="false">PODACI_PRODAJA!N344</f>
        <v>0</v>
      </c>
      <c r="I818" s="21" t="n">
        <f aca="false">IF(H818&lt;=0,999,ROUND(F818/H818,1))</f>
        <v>999</v>
      </c>
      <c r="J818" s="9" t="n">
        <f aca="false">SUMIFS(ROBA_U_DOLASKU!$C$6:$C$95,ROBA_U_DOLASKU!$A$6:$A$95,A818,ROBA_U_DOLASKU!$H$6:$H$95,1)</f>
        <v>0</v>
      </c>
      <c r="K818" s="9" t="n">
        <f aca="false">SUMIFS(ROBA_U_DOLASKU!$B$6:$B$95,ROBA_U_DOLASKU!$A$6:$A$95,A818,ROBA_U_DOLASKU!$H$6:$H$95,1)</f>
        <v>0</v>
      </c>
      <c r="L818" s="9" t="n">
        <f aca="false">SUMIFS(ROBA_U_DOLASKU!$C$6:$C$95,ROBA_U_DOLASKU!$A$6:$A$95,A818,ROBA_U_DOLASKU!$H$6:$H$95,2)</f>
        <v>0</v>
      </c>
      <c r="M818" s="9" t="n">
        <f aca="false">SUMIFS(ROBA_U_DOLASKU!$B$6:$B$95,ROBA_U_DOLASKU!$A$6:$A$95,A818,ROBA_U_DOLASKU!$H$6:$H$95,2)</f>
        <v>0</v>
      </c>
      <c r="N818" s="9" t="n">
        <f aca="false">SUMIFS(ROBA_U_DOLASKU!$C$6:$C$95,ROBA_U_DOLASKU!$A$6:$A$95,A818,ROBA_U_DOLASKU!$H$6:$H$95,3)</f>
        <v>0</v>
      </c>
      <c r="O818" s="9" t="n">
        <f aca="false">SUMIFS(ROBA_U_DOLASKU!$B$6:$B$95,ROBA_U_DOLASKU!$A$6:$A$95,A818,ROBA_U_DOLASKU!$H$6:$H$95,3)</f>
        <v>0</v>
      </c>
      <c r="P818" s="9" t="n">
        <f aca="false">IF(H818&lt;=0,999,IF(O818&gt;0,ROUND((F818-H818*N818+K818+M818+O818)/H818,1),IF(M818&gt;0,ROUND((F818-H818*L818+K818+M818)/H818,1),IF(K818&gt;0,ROUND((F818-H818*J818+K818)/H818,1),I818))))</f>
        <v>999</v>
      </c>
      <c r="Q818" s="22" t="str">
        <f aca="false">IF(H818&lt;=0,"Nema prodaje",IF(AND(K818=0,M818=0,O818=0),IF(I818&lt;POSTAVKE!$B$6,"Naruči odmah","Sve u redu"),IF(F818-H818*J818&lt;0,"Rupa za ~"&amp;TEXT(I818,"0.0")&amp;" mj.",IF(AND(M818&gt;0,F818-H818*L818+K818&lt;0),"Rupa nakon 1. dolaska",IF(AND(O818&gt;0,F818-H818*N818+K818+M818&lt;0),"Rupa nakon 2. dolaska",IF(P818&lt;POSTAVKE!$B$6,"Količina nije dovoljna",IF(I818&gt;=POSTAVKE!$B$6,"Sve u redu","Stiže na vrijeme")))))))</f>
        <v>Nema prodaje</v>
      </c>
      <c r="S818" s="23" t="n">
        <f aca="false">IFERROR(INDEX(PODACI_PRODAJA!B:B,MATCH($A818,PODACI_PRODAJA!$A:$A,0)),0)</f>
        <v>0</v>
      </c>
      <c r="T818" s="23" t="n">
        <f aca="false">IFERROR(INDEX(PODACI_PRODAJA!C:C,MATCH($A818,PODACI_PRODAJA!$A:$A,0)),0)</f>
        <v>0</v>
      </c>
      <c r="U818" s="23" t="n">
        <f aca="false">IFERROR(INDEX(PODACI_PRODAJA!D:D,MATCH($A818,PODACI_PRODAJA!$A:$A,0)),0)</f>
        <v>0</v>
      </c>
      <c r="V818" s="23" t="n">
        <f aca="false">IFERROR(INDEX(PODACI_PRODAJA!E:E,MATCH($A818,PODACI_PRODAJA!$A:$A,0)),0)</f>
        <v>0</v>
      </c>
      <c r="W818" s="23" t="n">
        <f aca="false">IFERROR(INDEX(PODACI_PRODAJA!F:F,MATCH($A818,PODACI_PRODAJA!$A:$A,0)),0)</f>
        <v>0</v>
      </c>
      <c r="X818" s="23" t="n">
        <f aca="false">IFERROR(INDEX(PODACI_PRODAJA!G:G,MATCH($A818,PODACI_PRODAJA!$A:$A,0)),0)</f>
        <v>0</v>
      </c>
      <c r="Y818" s="23" t="n">
        <f aca="false">IFERROR(INDEX(PODACI_PRODAJA!H:H,MATCH($A818,PODACI_PRODAJA!$A:$A,0)),0)</f>
        <v>0</v>
      </c>
      <c r="Z818" s="23" t="n">
        <f aca="false">IFERROR(INDEX(PODACI_PRODAJA!I:I,MATCH($A818,PODACI_PRODAJA!$A:$A,0)),0)</f>
        <v>0</v>
      </c>
      <c r="AA818" s="23" t="n">
        <f aca="false">IFERROR(INDEX(PODACI_PRODAJA!J:J,MATCH($A818,PODACI_PRODAJA!$A:$A,0)),0)</f>
        <v>0</v>
      </c>
      <c r="AB818" s="23" t="n">
        <f aca="false">IFERROR(INDEX(PODACI_PRODAJA!K:K,MATCH($A818,PODACI_PRODAJA!$A:$A,0)),0)</f>
        <v>0</v>
      </c>
      <c r="AC818" s="23" t="n">
        <f aca="false">IFERROR(INDEX(PODACI_PRODAJA!L:L,MATCH($A818,PODACI_PRODAJA!$A:$A,0)),0)</f>
        <v>0</v>
      </c>
      <c r="AD818" s="23" t="n">
        <f aca="false">IFERROR(INDEX(PODACI_PRODAJA!M:M,MATCH($A818,PODACI_PRODAJA!$A:$A,0)),0)</f>
        <v>0</v>
      </c>
    </row>
    <row r="819" customFormat="false" ht="15" hidden="false" customHeight="false" outlineLevel="0" collapsed="false">
      <c r="A819" s="11" t="str">
        <f aca="false">PODACI_ZALIHE!A816</f>
        <v>RDE31153</v>
      </c>
      <c r="B819" s="8" t="str">
        <f aca="false">PODACI_ZALIHE!B816</f>
        <v>KONTROLNI STUP S LEĐNOM MLAZNICOM ALINA 80100/80120</v>
      </c>
      <c r="C819" s="9" t="n">
        <f aca="false">PODACI_ZALIHE!C816</f>
        <v>0</v>
      </c>
      <c r="D819" s="8" t="n">
        <f aca="false">PODACI_ZALIHE!D816</f>
        <v>0</v>
      </c>
      <c r="E819" s="19" t="str">
        <f aca="false">IF(PODACI_ZALIHE!E816="","",PODACI_ZALIHE!E816)</f>
        <v/>
      </c>
      <c r="F819" s="20" t="n">
        <f aca="false">PODACI_ZALIHE!F816</f>
        <v>0</v>
      </c>
      <c r="G819" s="19" t="str">
        <f aca="false">IF(E819="","",E819-F819)</f>
        <v/>
      </c>
      <c r="H819" s="9" t="n">
        <f aca="false">PODACI_PRODAJA!N345</f>
        <v>0</v>
      </c>
      <c r="I819" s="21" t="n">
        <f aca="false">IF(H819&lt;=0,999,ROUND(F819/H819,1))</f>
        <v>999</v>
      </c>
      <c r="J819" s="9" t="n">
        <f aca="false">SUMIFS(ROBA_U_DOLASKU!$C$6:$C$95,ROBA_U_DOLASKU!$A$6:$A$95,A819,ROBA_U_DOLASKU!$H$6:$H$95,1)</f>
        <v>0</v>
      </c>
      <c r="K819" s="9" t="n">
        <f aca="false">SUMIFS(ROBA_U_DOLASKU!$B$6:$B$95,ROBA_U_DOLASKU!$A$6:$A$95,A819,ROBA_U_DOLASKU!$H$6:$H$95,1)</f>
        <v>0</v>
      </c>
      <c r="L819" s="9" t="n">
        <f aca="false">SUMIFS(ROBA_U_DOLASKU!$C$6:$C$95,ROBA_U_DOLASKU!$A$6:$A$95,A819,ROBA_U_DOLASKU!$H$6:$H$95,2)</f>
        <v>0</v>
      </c>
      <c r="M819" s="9" t="n">
        <f aca="false">SUMIFS(ROBA_U_DOLASKU!$B$6:$B$95,ROBA_U_DOLASKU!$A$6:$A$95,A819,ROBA_U_DOLASKU!$H$6:$H$95,2)</f>
        <v>0</v>
      </c>
      <c r="N819" s="9" t="n">
        <f aca="false">SUMIFS(ROBA_U_DOLASKU!$C$6:$C$95,ROBA_U_DOLASKU!$A$6:$A$95,A819,ROBA_U_DOLASKU!$H$6:$H$95,3)</f>
        <v>0</v>
      </c>
      <c r="O819" s="9" t="n">
        <f aca="false">SUMIFS(ROBA_U_DOLASKU!$B$6:$B$95,ROBA_U_DOLASKU!$A$6:$A$95,A819,ROBA_U_DOLASKU!$H$6:$H$95,3)</f>
        <v>0</v>
      </c>
      <c r="P819" s="9" t="n">
        <f aca="false">IF(H819&lt;=0,999,IF(O819&gt;0,ROUND((F819-H819*N819+K819+M819+O819)/H819,1),IF(M819&gt;0,ROUND((F819-H819*L819+K819+M819)/H819,1),IF(K819&gt;0,ROUND((F819-H819*J819+K819)/H819,1),I819))))</f>
        <v>999</v>
      </c>
      <c r="Q819" s="22" t="str">
        <f aca="false">IF(H819&lt;=0,"Nema prodaje",IF(AND(K819=0,M819=0,O819=0),IF(I819&lt;POSTAVKE!$B$6,"Naruči odmah","Sve u redu"),IF(F819-H819*J819&lt;0,"Rupa za ~"&amp;TEXT(I819,"0.0")&amp;" mj.",IF(AND(M819&gt;0,F819-H819*L819+K819&lt;0),"Rupa nakon 1. dolaska",IF(AND(O819&gt;0,F819-H819*N819+K819+M819&lt;0),"Rupa nakon 2. dolaska",IF(P819&lt;POSTAVKE!$B$6,"Količina nije dovoljna",IF(I819&gt;=POSTAVKE!$B$6,"Sve u redu","Stiže na vrijeme")))))))</f>
        <v>Nema prodaje</v>
      </c>
      <c r="S819" s="23" t="n">
        <f aca="false">IFERROR(INDEX(PODACI_PRODAJA!B:B,MATCH($A819,PODACI_PRODAJA!$A:$A,0)),0)</f>
        <v>0</v>
      </c>
      <c r="T819" s="23" t="n">
        <f aca="false">IFERROR(INDEX(PODACI_PRODAJA!C:C,MATCH($A819,PODACI_PRODAJA!$A:$A,0)),0)</f>
        <v>0</v>
      </c>
      <c r="U819" s="23" t="n">
        <f aca="false">IFERROR(INDEX(PODACI_PRODAJA!D:D,MATCH($A819,PODACI_PRODAJA!$A:$A,0)),0)</f>
        <v>0</v>
      </c>
      <c r="V819" s="23" t="n">
        <f aca="false">IFERROR(INDEX(PODACI_PRODAJA!E:E,MATCH($A819,PODACI_PRODAJA!$A:$A,0)),0)</f>
        <v>0</v>
      </c>
      <c r="W819" s="23" t="n">
        <f aca="false">IFERROR(INDEX(PODACI_PRODAJA!F:F,MATCH($A819,PODACI_PRODAJA!$A:$A,0)),0)</f>
        <v>0</v>
      </c>
      <c r="X819" s="23" t="n">
        <f aca="false">IFERROR(INDEX(PODACI_PRODAJA!G:G,MATCH($A819,PODACI_PRODAJA!$A:$A,0)),0)</f>
        <v>0</v>
      </c>
      <c r="Y819" s="23" t="n">
        <f aca="false">IFERROR(INDEX(PODACI_PRODAJA!H:H,MATCH($A819,PODACI_PRODAJA!$A:$A,0)),0)</f>
        <v>0</v>
      </c>
      <c r="Z819" s="23" t="n">
        <f aca="false">IFERROR(INDEX(PODACI_PRODAJA!I:I,MATCH($A819,PODACI_PRODAJA!$A:$A,0)),0)</f>
        <v>0</v>
      </c>
      <c r="AA819" s="23" t="n">
        <f aca="false">IFERROR(INDEX(PODACI_PRODAJA!J:J,MATCH($A819,PODACI_PRODAJA!$A:$A,0)),0)</f>
        <v>0</v>
      </c>
      <c r="AB819" s="23" t="n">
        <f aca="false">IFERROR(INDEX(PODACI_PRODAJA!K:K,MATCH($A819,PODACI_PRODAJA!$A:$A,0)),0)</f>
        <v>0</v>
      </c>
      <c r="AC819" s="23" t="n">
        <f aca="false">IFERROR(INDEX(PODACI_PRODAJA!L:L,MATCH($A819,PODACI_PRODAJA!$A:$A,0)),0)</f>
        <v>0</v>
      </c>
      <c r="AD819" s="23" t="n">
        <f aca="false">IFERROR(INDEX(PODACI_PRODAJA!M:M,MATCH($A819,PODACI_PRODAJA!$A:$A,0)),0)</f>
        <v>0</v>
      </c>
    </row>
    <row r="820" customFormat="false" ht="15" hidden="false" customHeight="false" outlineLevel="0" collapsed="false">
      <c r="A820" s="11" t="str">
        <f aca="false">PODACI_ZALIHE!A817</f>
        <v>RDE31155</v>
      </c>
      <c r="B820" s="8" t="str">
        <f aca="false">PODACI_ZALIHE!B817</f>
        <v>STAKLENI KROV ALINA 80100</v>
      </c>
      <c r="C820" s="9" t="n">
        <f aca="false">PODACI_ZALIHE!C817</f>
        <v>0</v>
      </c>
      <c r="D820" s="8" t="n">
        <f aca="false">PODACI_ZALIHE!D817</f>
        <v>0</v>
      </c>
      <c r="E820" s="19" t="str">
        <f aca="false">IF(PODACI_ZALIHE!E817="","",PODACI_ZALIHE!E817)</f>
        <v/>
      </c>
      <c r="F820" s="20" t="n">
        <f aca="false">PODACI_ZALIHE!F817</f>
        <v>0</v>
      </c>
      <c r="G820" s="19" t="str">
        <f aca="false">IF(E820="","",E820-F820)</f>
        <v/>
      </c>
      <c r="H820" s="9" t="n">
        <f aca="false">PODACI_PRODAJA!N346</f>
        <v>0</v>
      </c>
      <c r="I820" s="21" t="n">
        <f aca="false">IF(H820&lt;=0,999,ROUND(F820/H820,1))</f>
        <v>999</v>
      </c>
      <c r="J820" s="9" t="n">
        <f aca="false">SUMIFS(ROBA_U_DOLASKU!$C$6:$C$95,ROBA_U_DOLASKU!$A$6:$A$95,A820,ROBA_U_DOLASKU!$H$6:$H$95,1)</f>
        <v>0</v>
      </c>
      <c r="K820" s="9" t="n">
        <f aca="false">SUMIFS(ROBA_U_DOLASKU!$B$6:$B$95,ROBA_U_DOLASKU!$A$6:$A$95,A820,ROBA_U_DOLASKU!$H$6:$H$95,1)</f>
        <v>0</v>
      </c>
      <c r="L820" s="9" t="n">
        <f aca="false">SUMIFS(ROBA_U_DOLASKU!$C$6:$C$95,ROBA_U_DOLASKU!$A$6:$A$95,A820,ROBA_U_DOLASKU!$H$6:$H$95,2)</f>
        <v>0</v>
      </c>
      <c r="M820" s="9" t="n">
        <f aca="false">SUMIFS(ROBA_U_DOLASKU!$B$6:$B$95,ROBA_U_DOLASKU!$A$6:$A$95,A820,ROBA_U_DOLASKU!$H$6:$H$95,2)</f>
        <v>0</v>
      </c>
      <c r="N820" s="9" t="n">
        <f aca="false">SUMIFS(ROBA_U_DOLASKU!$C$6:$C$95,ROBA_U_DOLASKU!$A$6:$A$95,A820,ROBA_U_DOLASKU!$H$6:$H$95,3)</f>
        <v>0</v>
      </c>
      <c r="O820" s="9" t="n">
        <f aca="false">SUMIFS(ROBA_U_DOLASKU!$B$6:$B$95,ROBA_U_DOLASKU!$A$6:$A$95,A820,ROBA_U_DOLASKU!$H$6:$H$95,3)</f>
        <v>0</v>
      </c>
      <c r="P820" s="9" t="n">
        <f aca="false">IF(H820&lt;=0,999,IF(O820&gt;0,ROUND((F820-H820*N820+K820+M820+O820)/H820,1),IF(M820&gt;0,ROUND((F820-H820*L820+K820+M820)/H820,1),IF(K820&gt;0,ROUND((F820-H820*J820+K820)/H820,1),I820))))</f>
        <v>999</v>
      </c>
      <c r="Q820" s="22" t="str">
        <f aca="false">IF(H820&lt;=0,"Nema prodaje",IF(AND(K820=0,M820=0,O820=0),IF(I820&lt;POSTAVKE!$B$6,"Naruči odmah","Sve u redu"),IF(F820-H820*J820&lt;0,"Rupa za ~"&amp;TEXT(I820,"0.0")&amp;" mj.",IF(AND(M820&gt;0,F820-H820*L820+K820&lt;0),"Rupa nakon 1. dolaska",IF(AND(O820&gt;0,F820-H820*N820+K820+M820&lt;0),"Rupa nakon 2. dolaska",IF(P820&lt;POSTAVKE!$B$6,"Količina nije dovoljna",IF(I820&gt;=POSTAVKE!$B$6,"Sve u redu","Stiže na vrijeme")))))))</f>
        <v>Nema prodaje</v>
      </c>
      <c r="S820" s="23" t="n">
        <f aca="false">IFERROR(INDEX(PODACI_PRODAJA!B:B,MATCH($A820,PODACI_PRODAJA!$A:$A,0)),0)</f>
        <v>0</v>
      </c>
      <c r="T820" s="23" t="n">
        <f aca="false">IFERROR(INDEX(PODACI_PRODAJA!C:C,MATCH($A820,PODACI_PRODAJA!$A:$A,0)),0)</f>
        <v>0</v>
      </c>
      <c r="U820" s="23" t="n">
        <f aca="false">IFERROR(INDEX(PODACI_PRODAJA!D:D,MATCH($A820,PODACI_PRODAJA!$A:$A,0)),0)</f>
        <v>0</v>
      </c>
      <c r="V820" s="23" t="n">
        <f aca="false">IFERROR(INDEX(PODACI_PRODAJA!E:E,MATCH($A820,PODACI_PRODAJA!$A:$A,0)),0)</f>
        <v>0</v>
      </c>
      <c r="W820" s="23" t="n">
        <f aca="false">IFERROR(INDEX(PODACI_PRODAJA!F:F,MATCH($A820,PODACI_PRODAJA!$A:$A,0)),0)</f>
        <v>0</v>
      </c>
      <c r="X820" s="23" t="n">
        <f aca="false">IFERROR(INDEX(PODACI_PRODAJA!G:G,MATCH($A820,PODACI_PRODAJA!$A:$A,0)),0)</f>
        <v>0</v>
      </c>
      <c r="Y820" s="23" t="n">
        <f aca="false">IFERROR(INDEX(PODACI_PRODAJA!H:H,MATCH($A820,PODACI_PRODAJA!$A:$A,0)),0)</f>
        <v>0</v>
      </c>
      <c r="Z820" s="23" t="n">
        <f aca="false">IFERROR(INDEX(PODACI_PRODAJA!I:I,MATCH($A820,PODACI_PRODAJA!$A:$A,0)),0)</f>
        <v>0</v>
      </c>
      <c r="AA820" s="23" t="n">
        <f aca="false">IFERROR(INDEX(PODACI_PRODAJA!J:J,MATCH($A820,PODACI_PRODAJA!$A:$A,0)),0)</f>
        <v>0</v>
      </c>
      <c r="AB820" s="23" t="n">
        <f aca="false">IFERROR(INDEX(PODACI_PRODAJA!K:K,MATCH($A820,PODACI_PRODAJA!$A:$A,0)),0)</f>
        <v>0</v>
      </c>
      <c r="AC820" s="23" t="n">
        <f aca="false">IFERROR(INDEX(PODACI_PRODAJA!L:L,MATCH($A820,PODACI_PRODAJA!$A:$A,0)),0)</f>
        <v>0</v>
      </c>
      <c r="AD820" s="23" t="n">
        <f aca="false">IFERROR(INDEX(PODACI_PRODAJA!M:M,MATCH($A820,PODACI_PRODAJA!$A:$A,0)),0)</f>
        <v>0</v>
      </c>
    </row>
    <row r="821" customFormat="false" ht="15" hidden="false" customHeight="false" outlineLevel="0" collapsed="false">
      <c r="A821" s="11" t="str">
        <f aca="false">PODACI_ZALIHE!A818</f>
        <v>RDE31606</v>
      </c>
      <c r="B821" s="8" t="str">
        <f aca="false">PODACI_ZALIHE!B818</f>
        <v>MAGNETNA BRTVA LUGO</v>
      </c>
      <c r="C821" s="9" t="n">
        <f aca="false">PODACI_ZALIHE!C818</f>
        <v>0</v>
      </c>
      <c r="D821" s="8" t="n">
        <f aca="false">PODACI_ZALIHE!D818</f>
        <v>0</v>
      </c>
      <c r="E821" s="19" t="str">
        <f aca="false">IF(PODACI_ZALIHE!E818="","",PODACI_ZALIHE!E818)</f>
        <v/>
      </c>
      <c r="F821" s="20" t="n">
        <f aca="false">PODACI_ZALIHE!F818</f>
        <v>0</v>
      </c>
      <c r="G821" s="19" t="str">
        <f aca="false">IF(E821="","",E821-F821)</f>
        <v/>
      </c>
      <c r="H821" s="9" t="n">
        <f aca="false">PODACI_PRODAJA!N347</f>
        <v>0</v>
      </c>
      <c r="I821" s="21" t="n">
        <f aca="false">IF(H821&lt;=0,999,ROUND(F821/H821,1))</f>
        <v>999</v>
      </c>
      <c r="J821" s="9" t="n">
        <f aca="false">SUMIFS(ROBA_U_DOLASKU!$C$6:$C$95,ROBA_U_DOLASKU!$A$6:$A$95,A821,ROBA_U_DOLASKU!$H$6:$H$95,1)</f>
        <v>0</v>
      </c>
      <c r="K821" s="9" t="n">
        <f aca="false">SUMIFS(ROBA_U_DOLASKU!$B$6:$B$95,ROBA_U_DOLASKU!$A$6:$A$95,A821,ROBA_U_DOLASKU!$H$6:$H$95,1)</f>
        <v>0</v>
      </c>
      <c r="L821" s="9" t="n">
        <f aca="false">SUMIFS(ROBA_U_DOLASKU!$C$6:$C$95,ROBA_U_DOLASKU!$A$6:$A$95,A821,ROBA_U_DOLASKU!$H$6:$H$95,2)</f>
        <v>0</v>
      </c>
      <c r="M821" s="9" t="n">
        <f aca="false">SUMIFS(ROBA_U_DOLASKU!$B$6:$B$95,ROBA_U_DOLASKU!$A$6:$A$95,A821,ROBA_U_DOLASKU!$H$6:$H$95,2)</f>
        <v>0</v>
      </c>
      <c r="N821" s="9" t="n">
        <f aca="false">SUMIFS(ROBA_U_DOLASKU!$C$6:$C$95,ROBA_U_DOLASKU!$A$6:$A$95,A821,ROBA_U_DOLASKU!$H$6:$H$95,3)</f>
        <v>0</v>
      </c>
      <c r="O821" s="9" t="n">
        <f aca="false">SUMIFS(ROBA_U_DOLASKU!$B$6:$B$95,ROBA_U_DOLASKU!$A$6:$A$95,A821,ROBA_U_DOLASKU!$H$6:$H$95,3)</f>
        <v>0</v>
      </c>
      <c r="P821" s="9" t="n">
        <f aca="false">IF(H821&lt;=0,999,IF(O821&gt;0,ROUND((F821-H821*N821+K821+M821+O821)/H821,1),IF(M821&gt;0,ROUND((F821-H821*L821+K821+M821)/H821,1),IF(K821&gt;0,ROUND((F821-H821*J821+K821)/H821,1),I821))))</f>
        <v>999</v>
      </c>
      <c r="Q821" s="22" t="str">
        <f aca="false">IF(H821&lt;=0,"Nema prodaje",IF(AND(K821=0,M821=0,O821=0),IF(I821&lt;POSTAVKE!$B$6,"Naruči odmah","Sve u redu"),IF(F821-H821*J821&lt;0,"Rupa za ~"&amp;TEXT(I821,"0.0")&amp;" mj.",IF(AND(M821&gt;0,F821-H821*L821+K821&lt;0),"Rupa nakon 1. dolaska",IF(AND(O821&gt;0,F821-H821*N821+K821+M821&lt;0),"Rupa nakon 2. dolaska",IF(P821&lt;POSTAVKE!$B$6,"Količina nije dovoljna",IF(I821&gt;=POSTAVKE!$B$6,"Sve u redu","Stiže na vrijeme")))))))</f>
        <v>Nema prodaje</v>
      </c>
      <c r="S821" s="23" t="n">
        <f aca="false">IFERROR(INDEX(PODACI_PRODAJA!B:B,MATCH($A821,PODACI_PRODAJA!$A:$A,0)),0)</f>
        <v>0</v>
      </c>
      <c r="T821" s="23" t="n">
        <f aca="false">IFERROR(INDEX(PODACI_PRODAJA!C:C,MATCH($A821,PODACI_PRODAJA!$A:$A,0)),0)</f>
        <v>0</v>
      </c>
      <c r="U821" s="23" t="n">
        <f aca="false">IFERROR(INDEX(PODACI_PRODAJA!D:D,MATCH($A821,PODACI_PRODAJA!$A:$A,0)),0)</f>
        <v>0</v>
      </c>
      <c r="V821" s="23" t="n">
        <f aca="false">IFERROR(INDEX(PODACI_PRODAJA!E:E,MATCH($A821,PODACI_PRODAJA!$A:$A,0)),0)</f>
        <v>0</v>
      </c>
      <c r="W821" s="23" t="n">
        <f aca="false">IFERROR(INDEX(PODACI_PRODAJA!F:F,MATCH($A821,PODACI_PRODAJA!$A:$A,0)),0)</f>
        <v>0</v>
      </c>
      <c r="X821" s="23" t="n">
        <f aca="false">IFERROR(INDEX(PODACI_PRODAJA!G:G,MATCH($A821,PODACI_PRODAJA!$A:$A,0)),0)</f>
        <v>0</v>
      </c>
      <c r="Y821" s="23" t="n">
        <f aca="false">IFERROR(INDEX(PODACI_PRODAJA!H:H,MATCH($A821,PODACI_PRODAJA!$A:$A,0)),0)</f>
        <v>0</v>
      </c>
      <c r="Z821" s="23" t="n">
        <f aca="false">IFERROR(INDEX(PODACI_PRODAJA!I:I,MATCH($A821,PODACI_PRODAJA!$A:$A,0)),0)</f>
        <v>0</v>
      </c>
      <c r="AA821" s="23" t="n">
        <f aca="false">IFERROR(INDEX(PODACI_PRODAJA!J:J,MATCH($A821,PODACI_PRODAJA!$A:$A,0)),0)</f>
        <v>0</v>
      </c>
      <c r="AB821" s="23" t="n">
        <f aca="false">IFERROR(INDEX(PODACI_PRODAJA!K:K,MATCH($A821,PODACI_PRODAJA!$A:$A,0)),0)</f>
        <v>0</v>
      </c>
      <c r="AC821" s="23" t="n">
        <f aca="false">IFERROR(INDEX(PODACI_PRODAJA!L:L,MATCH($A821,PODACI_PRODAJA!$A:$A,0)),0)</f>
        <v>0</v>
      </c>
      <c r="AD821" s="23" t="n">
        <f aca="false">IFERROR(INDEX(PODACI_PRODAJA!M:M,MATCH($A821,PODACI_PRODAJA!$A:$A,0)),0)</f>
        <v>0</v>
      </c>
    </row>
    <row r="822" customFormat="false" ht="15" hidden="false" customHeight="false" outlineLevel="0" collapsed="false">
      <c r="A822" s="11" t="str">
        <f aca="false">PODACI_ZALIHE!A819</f>
        <v>RDE31607</v>
      </c>
      <c r="B822" s="8" t="str">
        <f aca="false">PODACI_ZALIHE!B819</f>
        <v>DONJA BRTVA LUGO</v>
      </c>
      <c r="C822" s="9" t="n">
        <f aca="false">PODACI_ZALIHE!C819</f>
        <v>0</v>
      </c>
      <c r="D822" s="8" t="n">
        <f aca="false">PODACI_ZALIHE!D819</f>
        <v>0</v>
      </c>
      <c r="E822" s="19" t="str">
        <f aca="false">IF(PODACI_ZALIHE!E819="","",PODACI_ZALIHE!E819)</f>
        <v/>
      </c>
      <c r="F822" s="20" t="n">
        <f aca="false">PODACI_ZALIHE!F819</f>
        <v>0</v>
      </c>
      <c r="G822" s="19" t="str">
        <f aca="false">IF(E822="","",E822-F822)</f>
        <v/>
      </c>
      <c r="H822" s="9" t="n">
        <f aca="false">PODACI_PRODAJA!N348</f>
        <v>0</v>
      </c>
      <c r="I822" s="21" t="n">
        <f aca="false">IF(H822&lt;=0,999,ROUND(F822/H822,1))</f>
        <v>999</v>
      </c>
      <c r="J822" s="9" t="n">
        <f aca="false">SUMIFS(ROBA_U_DOLASKU!$C$6:$C$95,ROBA_U_DOLASKU!$A$6:$A$95,A822,ROBA_U_DOLASKU!$H$6:$H$95,1)</f>
        <v>0</v>
      </c>
      <c r="K822" s="9" t="n">
        <f aca="false">SUMIFS(ROBA_U_DOLASKU!$B$6:$B$95,ROBA_U_DOLASKU!$A$6:$A$95,A822,ROBA_U_DOLASKU!$H$6:$H$95,1)</f>
        <v>0</v>
      </c>
      <c r="L822" s="9" t="n">
        <f aca="false">SUMIFS(ROBA_U_DOLASKU!$C$6:$C$95,ROBA_U_DOLASKU!$A$6:$A$95,A822,ROBA_U_DOLASKU!$H$6:$H$95,2)</f>
        <v>0</v>
      </c>
      <c r="M822" s="9" t="n">
        <f aca="false">SUMIFS(ROBA_U_DOLASKU!$B$6:$B$95,ROBA_U_DOLASKU!$A$6:$A$95,A822,ROBA_U_DOLASKU!$H$6:$H$95,2)</f>
        <v>0</v>
      </c>
      <c r="N822" s="9" t="n">
        <f aca="false">SUMIFS(ROBA_U_DOLASKU!$C$6:$C$95,ROBA_U_DOLASKU!$A$6:$A$95,A822,ROBA_U_DOLASKU!$H$6:$H$95,3)</f>
        <v>0</v>
      </c>
      <c r="O822" s="9" t="n">
        <f aca="false">SUMIFS(ROBA_U_DOLASKU!$B$6:$B$95,ROBA_U_DOLASKU!$A$6:$A$95,A822,ROBA_U_DOLASKU!$H$6:$H$95,3)</f>
        <v>0</v>
      </c>
      <c r="P822" s="9" t="n">
        <f aca="false">IF(H822&lt;=0,999,IF(O822&gt;0,ROUND((F822-H822*N822+K822+M822+O822)/H822,1),IF(M822&gt;0,ROUND((F822-H822*L822+K822+M822)/H822,1),IF(K822&gt;0,ROUND((F822-H822*J822+K822)/H822,1),I822))))</f>
        <v>999</v>
      </c>
      <c r="Q822" s="22" t="str">
        <f aca="false">IF(H822&lt;=0,"Nema prodaje",IF(AND(K822=0,M822=0,O822=0),IF(I822&lt;POSTAVKE!$B$6,"Naruči odmah","Sve u redu"),IF(F822-H822*J822&lt;0,"Rupa za ~"&amp;TEXT(I822,"0.0")&amp;" mj.",IF(AND(M822&gt;0,F822-H822*L822+K822&lt;0),"Rupa nakon 1. dolaska",IF(AND(O822&gt;0,F822-H822*N822+K822+M822&lt;0),"Rupa nakon 2. dolaska",IF(P822&lt;POSTAVKE!$B$6,"Količina nije dovoljna",IF(I822&gt;=POSTAVKE!$B$6,"Sve u redu","Stiže na vrijeme")))))))</f>
        <v>Nema prodaje</v>
      </c>
      <c r="S822" s="23" t="n">
        <f aca="false">IFERROR(INDEX(PODACI_PRODAJA!B:B,MATCH($A822,PODACI_PRODAJA!$A:$A,0)),0)</f>
        <v>0</v>
      </c>
      <c r="T822" s="23" t="n">
        <f aca="false">IFERROR(INDEX(PODACI_PRODAJA!C:C,MATCH($A822,PODACI_PRODAJA!$A:$A,0)),0)</f>
        <v>0</v>
      </c>
      <c r="U822" s="23" t="n">
        <f aca="false">IFERROR(INDEX(PODACI_PRODAJA!D:D,MATCH($A822,PODACI_PRODAJA!$A:$A,0)),0)</f>
        <v>0</v>
      </c>
      <c r="V822" s="23" t="n">
        <f aca="false">IFERROR(INDEX(PODACI_PRODAJA!E:E,MATCH($A822,PODACI_PRODAJA!$A:$A,0)),0)</f>
        <v>0</v>
      </c>
      <c r="W822" s="23" t="n">
        <f aca="false">IFERROR(INDEX(PODACI_PRODAJA!F:F,MATCH($A822,PODACI_PRODAJA!$A:$A,0)),0)</f>
        <v>0</v>
      </c>
      <c r="X822" s="23" t="n">
        <f aca="false">IFERROR(INDEX(PODACI_PRODAJA!G:G,MATCH($A822,PODACI_PRODAJA!$A:$A,0)),0)</f>
        <v>0</v>
      </c>
      <c r="Y822" s="23" t="n">
        <f aca="false">IFERROR(INDEX(PODACI_PRODAJA!H:H,MATCH($A822,PODACI_PRODAJA!$A:$A,0)),0)</f>
        <v>0</v>
      </c>
      <c r="Z822" s="23" t="n">
        <f aca="false">IFERROR(INDEX(PODACI_PRODAJA!I:I,MATCH($A822,PODACI_PRODAJA!$A:$A,0)),0)</f>
        <v>0</v>
      </c>
      <c r="AA822" s="23" t="n">
        <f aca="false">IFERROR(INDEX(PODACI_PRODAJA!J:J,MATCH($A822,PODACI_PRODAJA!$A:$A,0)),0)</f>
        <v>0</v>
      </c>
      <c r="AB822" s="23" t="n">
        <f aca="false">IFERROR(INDEX(PODACI_PRODAJA!K:K,MATCH($A822,PODACI_PRODAJA!$A:$A,0)),0)</f>
        <v>0</v>
      </c>
      <c r="AC822" s="23" t="n">
        <f aca="false">IFERROR(INDEX(PODACI_PRODAJA!L:L,MATCH($A822,PODACI_PRODAJA!$A:$A,0)),0)</f>
        <v>0</v>
      </c>
      <c r="AD822" s="23" t="n">
        <f aca="false">IFERROR(INDEX(PODACI_PRODAJA!M:M,MATCH($A822,PODACI_PRODAJA!$A:$A,0)),0)</f>
        <v>0</v>
      </c>
    </row>
    <row r="823" customFormat="false" ht="15" hidden="false" customHeight="false" outlineLevel="0" collapsed="false">
      <c r="A823" s="11" t="str">
        <f aca="false">PODACI_ZALIHE!A820</f>
        <v>RDE320011</v>
      </c>
      <c r="B823" s="8" t="str">
        <f aca="false">PODACI_ZALIHE!B820</f>
        <v>RUČKE ZA TK PULSE</v>
      </c>
      <c r="C823" s="9" t="n">
        <f aca="false">PODACI_ZALIHE!C820</f>
        <v>0</v>
      </c>
      <c r="D823" s="8" t="n">
        <f aca="false">PODACI_ZALIHE!D820</f>
        <v>0</v>
      </c>
      <c r="E823" s="19" t="str">
        <f aca="false">IF(PODACI_ZALIHE!E820="","",PODACI_ZALIHE!E820)</f>
        <v/>
      </c>
      <c r="F823" s="20" t="n">
        <f aca="false">PODACI_ZALIHE!F820</f>
        <v>0</v>
      </c>
      <c r="G823" s="19" t="str">
        <f aca="false">IF(E823="","",E823-F823)</f>
        <v/>
      </c>
      <c r="H823" s="9" t="n">
        <f aca="false">PODACI_PRODAJA!N349</f>
        <v>0</v>
      </c>
      <c r="I823" s="21" t="n">
        <f aca="false">IF(H823&lt;=0,999,ROUND(F823/H823,1))</f>
        <v>999</v>
      </c>
      <c r="J823" s="9" t="n">
        <f aca="false">SUMIFS(ROBA_U_DOLASKU!$C$6:$C$95,ROBA_U_DOLASKU!$A$6:$A$95,A823,ROBA_U_DOLASKU!$H$6:$H$95,1)</f>
        <v>0</v>
      </c>
      <c r="K823" s="9" t="n">
        <f aca="false">SUMIFS(ROBA_U_DOLASKU!$B$6:$B$95,ROBA_U_DOLASKU!$A$6:$A$95,A823,ROBA_U_DOLASKU!$H$6:$H$95,1)</f>
        <v>0</v>
      </c>
      <c r="L823" s="9" t="n">
        <f aca="false">SUMIFS(ROBA_U_DOLASKU!$C$6:$C$95,ROBA_U_DOLASKU!$A$6:$A$95,A823,ROBA_U_DOLASKU!$H$6:$H$95,2)</f>
        <v>0</v>
      </c>
      <c r="M823" s="9" t="n">
        <f aca="false">SUMIFS(ROBA_U_DOLASKU!$B$6:$B$95,ROBA_U_DOLASKU!$A$6:$A$95,A823,ROBA_U_DOLASKU!$H$6:$H$95,2)</f>
        <v>0</v>
      </c>
      <c r="N823" s="9" t="n">
        <f aca="false">SUMIFS(ROBA_U_DOLASKU!$C$6:$C$95,ROBA_U_DOLASKU!$A$6:$A$95,A823,ROBA_U_DOLASKU!$H$6:$H$95,3)</f>
        <v>0</v>
      </c>
      <c r="O823" s="9" t="n">
        <f aca="false">SUMIFS(ROBA_U_DOLASKU!$B$6:$B$95,ROBA_U_DOLASKU!$A$6:$A$95,A823,ROBA_U_DOLASKU!$H$6:$H$95,3)</f>
        <v>0</v>
      </c>
      <c r="P823" s="9" t="n">
        <f aca="false">IF(H823&lt;=0,999,IF(O823&gt;0,ROUND((F823-H823*N823+K823+M823+O823)/H823,1),IF(M823&gt;0,ROUND((F823-H823*L823+K823+M823)/H823,1),IF(K823&gt;0,ROUND((F823-H823*J823+K823)/H823,1),I823))))</f>
        <v>999</v>
      </c>
      <c r="Q823" s="22" t="str">
        <f aca="false">IF(H823&lt;=0,"Nema prodaje",IF(AND(K823=0,M823=0,O823=0),IF(I823&lt;POSTAVKE!$B$6,"Naruči odmah","Sve u redu"),IF(F823-H823*J823&lt;0,"Rupa za ~"&amp;TEXT(I823,"0.0")&amp;" mj.",IF(AND(M823&gt;0,F823-H823*L823+K823&lt;0),"Rupa nakon 1. dolaska",IF(AND(O823&gt;0,F823-H823*N823+K823+M823&lt;0),"Rupa nakon 2. dolaska",IF(P823&lt;POSTAVKE!$B$6,"Količina nije dovoljna",IF(I823&gt;=POSTAVKE!$B$6,"Sve u redu","Stiže na vrijeme")))))))</f>
        <v>Nema prodaje</v>
      </c>
      <c r="S823" s="23" t="n">
        <f aca="false">IFERROR(INDEX(PODACI_PRODAJA!B:B,MATCH($A823,PODACI_PRODAJA!$A:$A,0)),0)</f>
        <v>0</v>
      </c>
      <c r="T823" s="23" t="n">
        <f aca="false">IFERROR(INDEX(PODACI_PRODAJA!C:C,MATCH($A823,PODACI_PRODAJA!$A:$A,0)),0)</f>
        <v>0</v>
      </c>
      <c r="U823" s="23" t="n">
        <f aca="false">IFERROR(INDEX(PODACI_PRODAJA!D:D,MATCH($A823,PODACI_PRODAJA!$A:$A,0)),0)</f>
        <v>0</v>
      </c>
      <c r="V823" s="23" t="n">
        <f aca="false">IFERROR(INDEX(PODACI_PRODAJA!E:E,MATCH($A823,PODACI_PRODAJA!$A:$A,0)),0)</f>
        <v>0</v>
      </c>
      <c r="W823" s="23" t="n">
        <f aca="false">IFERROR(INDEX(PODACI_PRODAJA!F:F,MATCH($A823,PODACI_PRODAJA!$A:$A,0)),0)</f>
        <v>0</v>
      </c>
      <c r="X823" s="23" t="n">
        <f aca="false">IFERROR(INDEX(PODACI_PRODAJA!G:G,MATCH($A823,PODACI_PRODAJA!$A:$A,0)),0)</f>
        <v>0</v>
      </c>
      <c r="Y823" s="23" t="n">
        <f aca="false">IFERROR(INDEX(PODACI_PRODAJA!H:H,MATCH($A823,PODACI_PRODAJA!$A:$A,0)),0)</f>
        <v>0</v>
      </c>
      <c r="Z823" s="23" t="n">
        <f aca="false">IFERROR(INDEX(PODACI_PRODAJA!I:I,MATCH($A823,PODACI_PRODAJA!$A:$A,0)),0)</f>
        <v>0</v>
      </c>
      <c r="AA823" s="23" t="n">
        <f aca="false">IFERROR(INDEX(PODACI_PRODAJA!J:J,MATCH($A823,PODACI_PRODAJA!$A:$A,0)),0)</f>
        <v>0</v>
      </c>
      <c r="AB823" s="23" t="n">
        <f aca="false">IFERROR(INDEX(PODACI_PRODAJA!K:K,MATCH($A823,PODACI_PRODAJA!$A:$A,0)),0)</f>
        <v>0</v>
      </c>
      <c r="AC823" s="23" t="n">
        <f aca="false">IFERROR(INDEX(PODACI_PRODAJA!L:L,MATCH($A823,PODACI_PRODAJA!$A:$A,0)),0)</f>
        <v>0</v>
      </c>
      <c r="AD823" s="23" t="n">
        <f aca="false">IFERROR(INDEX(PODACI_PRODAJA!M:M,MATCH($A823,PODACI_PRODAJA!$A:$A,0)),0)</f>
        <v>0</v>
      </c>
    </row>
    <row r="824" customFormat="false" ht="15" hidden="false" customHeight="false" outlineLevel="0" collapsed="false">
      <c r="A824" s="11" t="str">
        <f aca="false">PODACI_ZALIHE!A821</f>
        <v>RDE320089</v>
      </c>
      <c r="B824" s="8" t="str">
        <f aca="false">PODACI_ZALIHE!B821</f>
        <v>STAKLENI KROV ALINA 80120</v>
      </c>
      <c r="C824" s="9" t="n">
        <f aca="false">PODACI_ZALIHE!C821</f>
        <v>0</v>
      </c>
      <c r="D824" s="8" t="n">
        <f aca="false">PODACI_ZALIHE!D821</f>
        <v>0</v>
      </c>
      <c r="E824" s="19" t="str">
        <f aca="false">IF(PODACI_ZALIHE!E821="","",PODACI_ZALIHE!E821)</f>
        <v/>
      </c>
      <c r="F824" s="20" t="n">
        <f aca="false">PODACI_ZALIHE!F821</f>
        <v>0</v>
      </c>
      <c r="G824" s="19" t="str">
        <f aca="false">IF(E824="","",E824-F824)</f>
        <v/>
      </c>
      <c r="H824" s="9" t="n">
        <f aca="false">PODACI_PRODAJA!N350</f>
        <v>0</v>
      </c>
      <c r="I824" s="21" t="n">
        <f aca="false">IF(H824&lt;=0,999,ROUND(F824/H824,1))</f>
        <v>999</v>
      </c>
      <c r="J824" s="9" t="n">
        <f aca="false">SUMIFS(ROBA_U_DOLASKU!$C$6:$C$95,ROBA_U_DOLASKU!$A$6:$A$95,A824,ROBA_U_DOLASKU!$H$6:$H$95,1)</f>
        <v>0</v>
      </c>
      <c r="K824" s="9" t="n">
        <f aca="false">SUMIFS(ROBA_U_DOLASKU!$B$6:$B$95,ROBA_U_DOLASKU!$A$6:$A$95,A824,ROBA_U_DOLASKU!$H$6:$H$95,1)</f>
        <v>0</v>
      </c>
      <c r="L824" s="9" t="n">
        <f aca="false">SUMIFS(ROBA_U_DOLASKU!$C$6:$C$95,ROBA_U_DOLASKU!$A$6:$A$95,A824,ROBA_U_DOLASKU!$H$6:$H$95,2)</f>
        <v>0</v>
      </c>
      <c r="M824" s="9" t="n">
        <f aca="false">SUMIFS(ROBA_U_DOLASKU!$B$6:$B$95,ROBA_U_DOLASKU!$A$6:$A$95,A824,ROBA_U_DOLASKU!$H$6:$H$95,2)</f>
        <v>0</v>
      </c>
      <c r="N824" s="9" t="n">
        <f aca="false">SUMIFS(ROBA_U_DOLASKU!$C$6:$C$95,ROBA_U_DOLASKU!$A$6:$A$95,A824,ROBA_U_DOLASKU!$H$6:$H$95,3)</f>
        <v>0</v>
      </c>
      <c r="O824" s="9" t="n">
        <f aca="false">SUMIFS(ROBA_U_DOLASKU!$B$6:$B$95,ROBA_U_DOLASKU!$A$6:$A$95,A824,ROBA_U_DOLASKU!$H$6:$H$95,3)</f>
        <v>0</v>
      </c>
      <c r="P824" s="9" t="n">
        <f aca="false">IF(H824&lt;=0,999,IF(O824&gt;0,ROUND((F824-H824*N824+K824+M824+O824)/H824,1),IF(M824&gt;0,ROUND((F824-H824*L824+K824+M824)/H824,1),IF(K824&gt;0,ROUND((F824-H824*J824+K824)/H824,1),I824))))</f>
        <v>999</v>
      </c>
      <c r="Q824" s="22" t="str">
        <f aca="false">IF(H824&lt;=0,"Nema prodaje",IF(AND(K824=0,M824=0,O824=0),IF(I824&lt;POSTAVKE!$B$6,"Naruči odmah","Sve u redu"),IF(F824-H824*J824&lt;0,"Rupa za ~"&amp;TEXT(I824,"0.0")&amp;" mj.",IF(AND(M824&gt;0,F824-H824*L824+K824&lt;0),"Rupa nakon 1. dolaska",IF(AND(O824&gt;0,F824-H824*N824+K824+M824&lt;0),"Rupa nakon 2. dolaska",IF(P824&lt;POSTAVKE!$B$6,"Količina nije dovoljna",IF(I824&gt;=POSTAVKE!$B$6,"Sve u redu","Stiže na vrijeme")))))))</f>
        <v>Nema prodaje</v>
      </c>
      <c r="S824" s="23" t="n">
        <f aca="false">IFERROR(INDEX(PODACI_PRODAJA!B:B,MATCH($A824,PODACI_PRODAJA!$A:$A,0)),0)</f>
        <v>0</v>
      </c>
      <c r="T824" s="23" t="n">
        <f aca="false">IFERROR(INDEX(PODACI_PRODAJA!C:C,MATCH($A824,PODACI_PRODAJA!$A:$A,0)),0)</f>
        <v>0</v>
      </c>
      <c r="U824" s="23" t="n">
        <f aca="false">IFERROR(INDEX(PODACI_PRODAJA!D:D,MATCH($A824,PODACI_PRODAJA!$A:$A,0)),0)</f>
        <v>0</v>
      </c>
      <c r="V824" s="23" t="n">
        <f aca="false">IFERROR(INDEX(PODACI_PRODAJA!E:E,MATCH($A824,PODACI_PRODAJA!$A:$A,0)),0)</f>
        <v>0</v>
      </c>
      <c r="W824" s="23" t="n">
        <f aca="false">IFERROR(INDEX(PODACI_PRODAJA!F:F,MATCH($A824,PODACI_PRODAJA!$A:$A,0)),0)</f>
        <v>0</v>
      </c>
      <c r="X824" s="23" t="n">
        <f aca="false">IFERROR(INDEX(PODACI_PRODAJA!G:G,MATCH($A824,PODACI_PRODAJA!$A:$A,0)),0)</f>
        <v>0</v>
      </c>
      <c r="Y824" s="23" t="n">
        <f aca="false">IFERROR(INDEX(PODACI_PRODAJA!H:H,MATCH($A824,PODACI_PRODAJA!$A:$A,0)),0)</f>
        <v>0</v>
      </c>
      <c r="Z824" s="23" t="n">
        <f aca="false">IFERROR(INDEX(PODACI_PRODAJA!I:I,MATCH($A824,PODACI_PRODAJA!$A:$A,0)),0)</f>
        <v>0</v>
      </c>
      <c r="AA824" s="23" t="n">
        <f aca="false">IFERROR(INDEX(PODACI_PRODAJA!J:J,MATCH($A824,PODACI_PRODAJA!$A:$A,0)),0)</f>
        <v>0</v>
      </c>
      <c r="AB824" s="23" t="n">
        <f aca="false">IFERROR(INDEX(PODACI_PRODAJA!K:K,MATCH($A824,PODACI_PRODAJA!$A:$A,0)),0)</f>
        <v>0</v>
      </c>
      <c r="AC824" s="23" t="n">
        <f aca="false">IFERROR(INDEX(PODACI_PRODAJA!L:L,MATCH($A824,PODACI_PRODAJA!$A:$A,0)),0)</f>
        <v>0</v>
      </c>
      <c r="AD824" s="23" t="n">
        <f aca="false">IFERROR(INDEX(PODACI_PRODAJA!M:M,MATCH($A824,PODACI_PRODAJA!$A:$A,0)),0)</f>
        <v>0</v>
      </c>
    </row>
    <row r="825" customFormat="false" ht="15" hidden="false" customHeight="false" outlineLevel="0" collapsed="false">
      <c r="A825" s="11" t="str">
        <f aca="false">PODACI_ZALIHE!A822</f>
        <v>RDE320090</v>
      </c>
      <c r="B825" s="8" t="str">
        <f aca="false">PODACI_ZALIHE!B822</f>
        <v>ALINA 80120 FIKSNO PREDNJE</v>
      </c>
      <c r="C825" s="9" t="n">
        <f aca="false">PODACI_ZALIHE!C822</f>
        <v>0</v>
      </c>
      <c r="D825" s="8" t="n">
        <f aca="false">PODACI_ZALIHE!D822</f>
        <v>0</v>
      </c>
      <c r="E825" s="19" t="str">
        <f aca="false">IF(PODACI_ZALIHE!E822="","",PODACI_ZALIHE!E822)</f>
        <v/>
      </c>
      <c r="F825" s="20" t="n">
        <f aca="false">PODACI_ZALIHE!F822</f>
        <v>0</v>
      </c>
      <c r="G825" s="19" t="str">
        <f aca="false">IF(E825="","",E825-F825)</f>
        <v/>
      </c>
      <c r="H825" s="9" t="n">
        <f aca="false">PODACI_PRODAJA!N351</f>
        <v>0</v>
      </c>
      <c r="I825" s="21" t="n">
        <f aca="false">IF(H825&lt;=0,999,ROUND(F825/H825,1))</f>
        <v>999</v>
      </c>
      <c r="J825" s="9" t="n">
        <f aca="false">SUMIFS(ROBA_U_DOLASKU!$C$6:$C$95,ROBA_U_DOLASKU!$A$6:$A$95,A825,ROBA_U_DOLASKU!$H$6:$H$95,1)</f>
        <v>0</v>
      </c>
      <c r="K825" s="9" t="n">
        <f aca="false">SUMIFS(ROBA_U_DOLASKU!$B$6:$B$95,ROBA_U_DOLASKU!$A$6:$A$95,A825,ROBA_U_DOLASKU!$H$6:$H$95,1)</f>
        <v>0</v>
      </c>
      <c r="L825" s="9" t="n">
        <f aca="false">SUMIFS(ROBA_U_DOLASKU!$C$6:$C$95,ROBA_U_DOLASKU!$A$6:$A$95,A825,ROBA_U_DOLASKU!$H$6:$H$95,2)</f>
        <v>0</v>
      </c>
      <c r="M825" s="9" t="n">
        <f aca="false">SUMIFS(ROBA_U_DOLASKU!$B$6:$B$95,ROBA_U_DOLASKU!$A$6:$A$95,A825,ROBA_U_DOLASKU!$H$6:$H$95,2)</f>
        <v>0</v>
      </c>
      <c r="N825" s="9" t="n">
        <f aca="false">SUMIFS(ROBA_U_DOLASKU!$C$6:$C$95,ROBA_U_DOLASKU!$A$6:$A$95,A825,ROBA_U_DOLASKU!$H$6:$H$95,3)</f>
        <v>0</v>
      </c>
      <c r="O825" s="9" t="n">
        <f aca="false">SUMIFS(ROBA_U_DOLASKU!$B$6:$B$95,ROBA_U_DOLASKU!$A$6:$A$95,A825,ROBA_U_DOLASKU!$H$6:$H$95,3)</f>
        <v>0</v>
      </c>
      <c r="P825" s="9" t="n">
        <f aca="false">IF(H825&lt;=0,999,IF(O825&gt;0,ROUND((F825-H825*N825+K825+M825+O825)/H825,1),IF(M825&gt;0,ROUND((F825-H825*L825+K825+M825)/H825,1),IF(K825&gt;0,ROUND((F825-H825*J825+K825)/H825,1),I825))))</f>
        <v>999</v>
      </c>
      <c r="Q825" s="22" t="str">
        <f aca="false">IF(H825&lt;=0,"Nema prodaje",IF(AND(K825=0,M825=0,O825=0),IF(I825&lt;POSTAVKE!$B$6,"Naruči odmah","Sve u redu"),IF(F825-H825*J825&lt;0,"Rupa za ~"&amp;TEXT(I825,"0.0")&amp;" mj.",IF(AND(M825&gt;0,F825-H825*L825+K825&lt;0),"Rupa nakon 1. dolaska",IF(AND(O825&gt;0,F825-H825*N825+K825+M825&lt;0),"Rupa nakon 2. dolaska",IF(P825&lt;POSTAVKE!$B$6,"Količina nije dovoljna",IF(I825&gt;=POSTAVKE!$B$6,"Sve u redu","Stiže na vrijeme")))))))</f>
        <v>Nema prodaje</v>
      </c>
      <c r="S825" s="23" t="n">
        <f aca="false">IFERROR(INDEX(PODACI_PRODAJA!B:B,MATCH($A825,PODACI_PRODAJA!$A:$A,0)),0)</f>
        <v>0</v>
      </c>
      <c r="T825" s="23" t="n">
        <f aca="false">IFERROR(INDEX(PODACI_PRODAJA!C:C,MATCH($A825,PODACI_PRODAJA!$A:$A,0)),0)</f>
        <v>0</v>
      </c>
      <c r="U825" s="23" t="n">
        <f aca="false">IFERROR(INDEX(PODACI_PRODAJA!D:D,MATCH($A825,PODACI_PRODAJA!$A:$A,0)),0)</f>
        <v>0</v>
      </c>
      <c r="V825" s="23" t="n">
        <f aca="false">IFERROR(INDEX(PODACI_PRODAJA!E:E,MATCH($A825,PODACI_PRODAJA!$A:$A,0)),0)</f>
        <v>0</v>
      </c>
      <c r="W825" s="23" t="n">
        <f aca="false">IFERROR(INDEX(PODACI_PRODAJA!F:F,MATCH($A825,PODACI_PRODAJA!$A:$A,0)),0)</f>
        <v>0</v>
      </c>
      <c r="X825" s="23" t="n">
        <f aca="false">IFERROR(INDEX(PODACI_PRODAJA!G:G,MATCH($A825,PODACI_PRODAJA!$A:$A,0)),0)</f>
        <v>0</v>
      </c>
      <c r="Y825" s="23" t="n">
        <f aca="false">IFERROR(INDEX(PODACI_PRODAJA!H:H,MATCH($A825,PODACI_PRODAJA!$A:$A,0)),0)</f>
        <v>0</v>
      </c>
      <c r="Z825" s="23" t="n">
        <f aca="false">IFERROR(INDEX(PODACI_PRODAJA!I:I,MATCH($A825,PODACI_PRODAJA!$A:$A,0)),0)</f>
        <v>0</v>
      </c>
      <c r="AA825" s="23" t="n">
        <f aca="false">IFERROR(INDEX(PODACI_PRODAJA!J:J,MATCH($A825,PODACI_PRODAJA!$A:$A,0)),0)</f>
        <v>0</v>
      </c>
      <c r="AB825" s="23" t="n">
        <f aca="false">IFERROR(INDEX(PODACI_PRODAJA!K:K,MATCH($A825,PODACI_PRODAJA!$A:$A,0)),0)</f>
        <v>0</v>
      </c>
      <c r="AC825" s="23" t="n">
        <f aca="false">IFERROR(INDEX(PODACI_PRODAJA!L:L,MATCH($A825,PODACI_PRODAJA!$A:$A,0)),0)</f>
        <v>0</v>
      </c>
      <c r="AD825" s="23" t="n">
        <f aca="false">IFERROR(INDEX(PODACI_PRODAJA!M:M,MATCH($A825,PODACI_PRODAJA!$A:$A,0)),0)</f>
        <v>0</v>
      </c>
    </row>
    <row r="826" customFormat="false" ht="15" hidden="false" customHeight="false" outlineLevel="0" collapsed="false">
      <c r="A826" s="11" t="str">
        <f aca="false">PODACI_ZALIHE!A823</f>
        <v>RDE320091</v>
      </c>
      <c r="B826" s="8" t="str">
        <f aca="false">PODACI_ZALIHE!B823</f>
        <v>STAKLO ZA VRATA ALINA 80120</v>
      </c>
      <c r="C826" s="9" t="n">
        <f aca="false">PODACI_ZALIHE!C823</f>
        <v>0</v>
      </c>
      <c r="D826" s="8" t="n">
        <f aca="false">PODACI_ZALIHE!D823</f>
        <v>0</v>
      </c>
      <c r="E826" s="19" t="str">
        <f aca="false">IF(PODACI_ZALIHE!E823="","",PODACI_ZALIHE!E823)</f>
        <v/>
      </c>
      <c r="F826" s="20" t="n">
        <f aca="false">PODACI_ZALIHE!F823</f>
        <v>0</v>
      </c>
      <c r="G826" s="19" t="str">
        <f aca="false">IF(E826="","",E826-F826)</f>
        <v/>
      </c>
      <c r="H826" s="9" t="n">
        <f aca="false">PODACI_PRODAJA!N352</f>
        <v>0</v>
      </c>
      <c r="I826" s="21" t="n">
        <f aca="false">IF(H826&lt;=0,999,ROUND(F826/H826,1))</f>
        <v>999</v>
      </c>
      <c r="J826" s="9" t="n">
        <f aca="false">SUMIFS(ROBA_U_DOLASKU!$C$6:$C$95,ROBA_U_DOLASKU!$A$6:$A$95,A826,ROBA_U_DOLASKU!$H$6:$H$95,1)</f>
        <v>0</v>
      </c>
      <c r="K826" s="9" t="n">
        <f aca="false">SUMIFS(ROBA_U_DOLASKU!$B$6:$B$95,ROBA_U_DOLASKU!$A$6:$A$95,A826,ROBA_U_DOLASKU!$H$6:$H$95,1)</f>
        <v>0</v>
      </c>
      <c r="L826" s="9" t="n">
        <f aca="false">SUMIFS(ROBA_U_DOLASKU!$C$6:$C$95,ROBA_U_DOLASKU!$A$6:$A$95,A826,ROBA_U_DOLASKU!$H$6:$H$95,2)</f>
        <v>0</v>
      </c>
      <c r="M826" s="9" t="n">
        <f aca="false">SUMIFS(ROBA_U_DOLASKU!$B$6:$B$95,ROBA_U_DOLASKU!$A$6:$A$95,A826,ROBA_U_DOLASKU!$H$6:$H$95,2)</f>
        <v>0</v>
      </c>
      <c r="N826" s="9" t="n">
        <f aca="false">SUMIFS(ROBA_U_DOLASKU!$C$6:$C$95,ROBA_U_DOLASKU!$A$6:$A$95,A826,ROBA_U_DOLASKU!$H$6:$H$95,3)</f>
        <v>0</v>
      </c>
      <c r="O826" s="9" t="n">
        <f aca="false">SUMIFS(ROBA_U_DOLASKU!$B$6:$B$95,ROBA_U_DOLASKU!$A$6:$A$95,A826,ROBA_U_DOLASKU!$H$6:$H$95,3)</f>
        <v>0</v>
      </c>
      <c r="P826" s="9" t="n">
        <f aca="false">IF(H826&lt;=0,999,IF(O826&gt;0,ROUND((F826-H826*N826+K826+M826+O826)/H826,1),IF(M826&gt;0,ROUND((F826-H826*L826+K826+M826)/H826,1),IF(K826&gt;0,ROUND((F826-H826*J826+K826)/H826,1),I826))))</f>
        <v>999</v>
      </c>
      <c r="Q826" s="22" t="str">
        <f aca="false">IF(H826&lt;=0,"Nema prodaje",IF(AND(K826=0,M826=0,O826=0),IF(I826&lt;POSTAVKE!$B$6,"Naruči odmah","Sve u redu"),IF(F826-H826*J826&lt;0,"Rupa za ~"&amp;TEXT(I826,"0.0")&amp;" mj.",IF(AND(M826&gt;0,F826-H826*L826+K826&lt;0),"Rupa nakon 1. dolaska",IF(AND(O826&gt;0,F826-H826*N826+K826+M826&lt;0),"Rupa nakon 2. dolaska",IF(P826&lt;POSTAVKE!$B$6,"Količina nije dovoljna",IF(I826&gt;=POSTAVKE!$B$6,"Sve u redu","Stiže na vrijeme")))))))</f>
        <v>Nema prodaje</v>
      </c>
      <c r="S826" s="23" t="n">
        <f aca="false">IFERROR(INDEX(PODACI_PRODAJA!B:B,MATCH($A826,PODACI_PRODAJA!$A:$A,0)),0)</f>
        <v>0</v>
      </c>
      <c r="T826" s="23" t="n">
        <f aca="false">IFERROR(INDEX(PODACI_PRODAJA!C:C,MATCH($A826,PODACI_PRODAJA!$A:$A,0)),0)</f>
        <v>0</v>
      </c>
      <c r="U826" s="23" t="n">
        <f aca="false">IFERROR(INDEX(PODACI_PRODAJA!D:D,MATCH($A826,PODACI_PRODAJA!$A:$A,0)),0)</f>
        <v>0</v>
      </c>
      <c r="V826" s="23" t="n">
        <f aca="false">IFERROR(INDEX(PODACI_PRODAJA!E:E,MATCH($A826,PODACI_PRODAJA!$A:$A,0)),0)</f>
        <v>0</v>
      </c>
      <c r="W826" s="23" t="n">
        <f aca="false">IFERROR(INDEX(PODACI_PRODAJA!F:F,MATCH($A826,PODACI_PRODAJA!$A:$A,0)),0)</f>
        <v>0</v>
      </c>
      <c r="X826" s="23" t="n">
        <f aca="false">IFERROR(INDEX(PODACI_PRODAJA!G:G,MATCH($A826,PODACI_PRODAJA!$A:$A,0)),0)</f>
        <v>0</v>
      </c>
      <c r="Y826" s="23" t="n">
        <f aca="false">IFERROR(INDEX(PODACI_PRODAJA!H:H,MATCH($A826,PODACI_PRODAJA!$A:$A,0)),0)</f>
        <v>0</v>
      </c>
      <c r="Z826" s="23" t="n">
        <f aca="false">IFERROR(INDEX(PODACI_PRODAJA!I:I,MATCH($A826,PODACI_PRODAJA!$A:$A,0)),0)</f>
        <v>0</v>
      </c>
      <c r="AA826" s="23" t="n">
        <f aca="false">IFERROR(INDEX(PODACI_PRODAJA!J:J,MATCH($A826,PODACI_PRODAJA!$A:$A,0)),0)</f>
        <v>0</v>
      </c>
      <c r="AB826" s="23" t="n">
        <f aca="false">IFERROR(INDEX(PODACI_PRODAJA!K:K,MATCH($A826,PODACI_PRODAJA!$A:$A,0)),0)</f>
        <v>0</v>
      </c>
      <c r="AC826" s="23" t="n">
        <f aca="false">IFERROR(INDEX(PODACI_PRODAJA!L:L,MATCH($A826,PODACI_PRODAJA!$A:$A,0)),0)</f>
        <v>0</v>
      </c>
      <c r="AD826" s="23" t="n">
        <f aca="false">IFERROR(INDEX(PODACI_PRODAJA!M:M,MATCH($A826,PODACI_PRODAJA!$A:$A,0)),0)</f>
        <v>0</v>
      </c>
    </row>
    <row r="827" customFormat="false" ht="15" hidden="false" customHeight="false" outlineLevel="0" collapsed="false">
      <c r="A827" s="11" t="str">
        <f aca="false">PODACI_ZALIHE!A824</f>
        <v>RDE320347</v>
      </c>
      <c r="B827" s="8" t="str">
        <f aca="false">PODACI_ZALIHE!B824</f>
        <v>RUČKE ZA TK EVA CRNE</v>
      </c>
      <c r="C827" s="9" t="n">
        <f aca="false">PODACI_ZALIHE!C824</f>
        <v>0</v>
      </c>
      <c r="D827" s="8" t="n">
        <f aca="false">PODACI_ZALIHE!D824</f>
        <v>0</v>
      </c>
      <c r="E827" s="19" t="str">
        <f aca="false">IF(PODACI_ZALIHE!E824="","",PODACI_ZALIHE!E824)</f>
        <v/>
      </c>
      <c r="F827" s="20" t="n">
        <f aca="false">PODACI_ZALIHE!F824</f>
        <v>0</v>
      </c>
      <c r="G827" s="19" t="str">
        <f aca="false">IF(E827="","",E827-F827)</f>
        <v/>
      </c>
      <c r="H827" s="9" t="n">
        <f aca="false">PODACI_PRODAJA!N354</f>
        <v>0</v>
      </c>
      <c r="I827" s="21" t="n">
        <f aca="false">IF(H827&lt;=0,999,ROUND(F827/H827,1))</f>
        <v>999</v>
      </c>
      <c r="J827" s="9" t="n">
        <f aca="false">SUMIFS(ROBA_U_DOLASKU!$C$6:$C$95,ROBA_U_DOLASKU!$A$6:$A$95,A827,ROBA_U_DOLASKU!$H$6:$H$95,1)</f>
        <v>0</v>
      </c>
      <c r="K827" s="9" t="n">
        <f aca="false">SUMIFS(ROBA_U_DOLASKU!$B$6:$B$95,ROBA_U_DOLASKU!$A$6:$A$95,A827,ROBA_U_DOLASKU!$H$6:$H$95,1)</f>
        <v>0</v>
      </c>
      <c r="L827" s="9" t="n">
        <f aca="false">SUMIFS(ROBA_U_DOLASKU!$C$6:$C$95,ROBA_U_DOLASKU!$A$6:$A$95,A827,ROBA_U_DOLASKU!$H$6:$H$95,2)</f>
        <v>0</v>
      </c>
      <c r="M827" s="9" t="n">
        <f aca="false">SUMIFS(ROBA_U_DOLASKU!$B$6:$B$95,ROBA_U_DOLASKU!$A$6:$A$95,A827,ROBA_U_DOLASKU!$H$6:$H$95,2)</f>
        <v>0</v>
      </c>
      <c r="N827" s="9" t="n">
        <f aca="false">SUMIFS(ROBA_U_DOLASKU!$C$6:$C$95,ROBA_U_DOLASKU!$A$6:$A$95,A827,ROBA_U_DOLASKU!$H$6:$H$95,3)</f>
        <v>0</v>
      </c>
      <c r="O827" s="9" t="n">
        <f aca="false">SUMIFS(ROBA_U_DOLASKU!$B$6:$B$95,ROBA_U_DOLASKU!$A$6:$A$95,A827,ROBA_U_DOLASKU!$H$6:$H$95,3)</f>
        <v>0</v>
      </c>
      <c r="P827" s="9" t="n">
        <f aca="false">IF(H827&lt;=0,999,IF(O827&gt;0,ROUND((F827-H827*N827+K827+M827+O827)/H827,1),IF(M827&gt;0,ROUND((F827-H827*L827+K827+M827)/H827,1),IF(K827&gt;0,ROUND((F827-H827*J827+K827)/H827,1),I827))))</f>
        <v>999</v>
      </c>
      <c r="Q827" s="22" t="str">
        <f aca="false">IF(H827&lt;=0,"Nema prodaje",IF(AND(K827=0,M827=0,O827=0),IF(I827&lt;POSTAVKE!$B$6,"Naruči odmah","Sve u redu"),IF(F827-H827*J827&lt;0,"Rupa za ~"&amp;TEXT(I827,"0.0")&amp;" mj.",IF(AND(M827&gt;0,F827-H827*L827+K827&lt;0),"Rupa nakon 1. dolaska",IF(AND(O827&gt;0,F827-H827*N827+K827+M827&lt;0),"Rupa nakon 2. dolaska",IF(P827&lt;POSTAVKE!$B$6,"Količina nije dovoljna",IF(I827&gt;=POSTAVKE!$B$6,"Sve u redu","Stiže na vrijeme")))))))</f>
        <v>Nema prodaje</v>
      </c>
      <c r="S827" s="23" t="n">
        <f aca="false">IFERROR(INDEX(PODACI_PRODAJA!B:B,MATCH($A827,PODACI_PRODAJA!$A:$A,0)),0)</f>
        <v>0</v>
      </c>
      <c r="T827" s="23" t="n">
        <f aca="false">IFERROR(INDEX(PODACI_PRODAJA!C:C,MATCH($A827,PODACI_PRODAJA!$A:$A,0)),0)</f>
        <v>0</v>
      </c>
      <c r="U827" s="23" t="n">
        <f aca="false">IFERROR(INDEX(PODACI_PRODAJA!D:D,MATCH($A827,PODACI_PRODAJA!$A:$A,0)),0)</f>
        <v>0</v>
      </c>
      <c r="V827" s="23" t="n">
        <f aca="false">IFERROR(INDEX(PODACI_PRODAJA!E:E,MATCH($A827,PODACI_PRODAJA!$A:$A,0)),0)</f>
        <v>0</v>
      </c>
      <c r="W827" s="23" t="n">
        <f aca="false">IFERROR(INDEX(PODACI_PRODAJA!F:F,MATCH($A827,PODACI_PRODAJA!$A:$A,0)),0)</f>
        <v>0</v>
      </c>
      <c r="X827" s="23" t="n">
        <f aca="false">IFERROR(INDEX(PODACI_PRODAJA!G:G,MATCH($A827,PODACI_PRODAJA!$A:$A,0)),0)</f>
        <v>0</v>
      </c>
      <c r="Y827" s="23" t="n">
        <f aca="false">IFERROR(INDEX(PODACI_PRODAJA!H:H,MATCH($A827,PODACI_PRODAJA!$A:$A,0)),0)</f>
        <v>0</v>
      </c>
      <c r="Z827" s="23" t="n">
        <f aca="false">IFERROR(INDEX(PODACI_PRODAJA!I:I,MATCH($A827,PODACI_PRODAJA!$A:$A,0)),0)</f>
        <v>0</v>
      </c>
      <c r="AA827" s="23" t="n">
        <f aca="false">IFERROR(INDEX(PODACI_PRODAJA!J:J,MATCH($A827,PODACI_PRODAJA!$A:$A,0)),0)</f>
        <v>0</v>
      </c>
      <c r="AB827" s="23" t="n">
        <f aca="false">IFERROR(INDEX(PODACI_PRODAJA!K:K,MATCH($A827,PODACI_PRODAJA!$A:$A,0)),0)</f>
        <v>0</v>
      </c>
      <c r="AC827" s="23" t="n">
        <f aca="false">IFERROR(INDEX(PODACI_PRODAJA!L:L,MATCH($A827,PODACI_PRODAJA!$A:$A,0)),0)</f>
        <v>0</v>
      </c>
      <c r="AD827" s="23" t="n">
        <f aca="false">IFERROR(INDEX(PODACI_PRODAJA!M:M,MATCH($A827,PODACI_PRODAJA!$A:$A,0)),0)</f>
        <v>0</v>
      </c>
    </row>
    <row r="828" customFormat="false" ht="15" hidden="false" customHeight="false" outlineLevel="0" collapsed="false">
      <c r="A828" s="11" t="str">
        <f aca="false">PODACI_ZALIHE!A825</f>
        <v>002477</v>
      </c>
      <c r="B828" s="8" t="str">
        <f aca="false">PODACI_ZALIHE!B825</f>
        <v>ROMA TUŠ SET S MIJEŠALICOM</v>
      </c>
      <c r="C828" s="9" t="n">
        <f aca="false">PODACI_ZALIHE!C825</f>
        <v>0</v>
      </c>
      <c r="D828" s="8" t="n">
        <f aca="false">PODACI_ZALIHE!D825</f>
        <v>0</v>
      </c>
      <c r="E828" s="19" t="str">
        <f aca="false">IF(PODACI_ZALIHE!E825="","",PODACI_ZALIHE!E825)</f>
        <v/>
      </c>
      <c r="F828" s="20" t="n">
        <f aca="false">PODACI_ZALIHE!F825</f>
        <v>0</v>
      </c>
      <c r="G828" s="19" t="str">
        <f aca="false">IF(E828="","",E828-F828)</f>
        <v/>
      </c>
      <c r="H828" s="9" t="n">
        <f aca="false">PODACI_PRODAJA!N357</f>
        <v>-0.13</v>
      </c>
      <c r="I828" s="21" t="n">
        <f aca="false">IF(H828&lt;=0,999,ROUND(F828/H828,1))</f>
        <v>999</v>
      </c>
      <c r="J828" s="9" t="n">
        <f aca="false">SUMIFS(ROBA_U_DOLASKU!$C$6:$C$95,ROBA_U_DOLASKU!$A$6:$A$95,A828,ROBA_U_DOLASKU!$H$6:$H$95,1)</f>
        <v>0</v>
      </c>
      <c r="K828" s="9" t="n">
        <f aca="false">SUMIFS(ROBA_U_DOLASKU!$B$6:$B$95,ROBA_U_DOLASKU!$A$6:$A$95,A828,ROBA_U_DOLASKU!$H$6:$H$95,1)</f>
        <v>0</v>
      </c>
      <c r="L828" s="9" t="n">
        <f aca="false">SUMIFS(ROBA_U_DOLASKU!$C$6:$C$95,ROBA_U_DOLASKU!$A$6:$A$95,A828,ROBA_U_DOLASKU!$H$6:$H$95,2)</f>
        <v>0</v>
      </c>
      <c r="M828" s="9" t="n">
        <f aca="false">SUMIFS(ROBA_U_DOLASKU!$B$6:$B$95,ROBA_U_DOLASKU!$A$6:$A$95,A828,ROBA_U_DOLASKU!$H$6:$H$95,2)</f>
        <v>0</v>
      </c>
      <c r="N828" s="9" t="n">
        <f aca="false">SUMIFS(ROBA_U_DOLASKU!$C$6:$C$95,ROBA_U_DOLASKU!$A$6:$A$95,A828,ROBA_U_DOLASKU!$H$6:$H$95,3)</f>
        <v>0</v>
      </c>
      <c r="O828" s="9" t="n">
        <f aca="false">SUMIFS(ROBA_U_DOLASKU!$B$6:$B$95,ROBA_U_DOLASKU!$A$6:$A$95,A828,ROBA_U_DOLASKU!$H$6:$H$95,3)</f>
        <v>0</v>
      </c>
      <c r="P828" s="9" t="n">
        <f aca="false">IF(H828&lt;=0,999,IF(O828&gt;0,ROUND((F828-H828*N828+K828+M828+O828)/H828,1),IF(M828&gt;0,ROUND((F828-H828*L828+K828+M828)/H828,1),IF(K828&gt;0,ROUND((F828-H828*J828+K828)/H828,1),I828))))</f>
        <v>999</v>
      </c>
      <c r="Q828" s="22" t="str">
        <f aca="false">IF(H828&lt;=0,"Nema prodaje",IF(AND(K828=0,M828=0,O828=0),IF(I828&lt;POSTAVKE!$B$6,"Naruči odmah","Sve u redu"),IF(F828-H828*J828&lt;0,"Rupa za ~"&amp;TEXT(I828,"0.0")&amp;" mj.",IF(AND(M828&gt;0,F828-H828*L828+K828&lt;0),"Rupa nakon 1. dolaska",IF(AND(O828&gt;0,F828-H828*N828+K828+M828&lt;0),"Rupa nakon 2. dolaska",IF(P828&lt;POSTAVKE!$B$6,"Količina nije dovoljna",IF(I828&gt;=POSTAVKE!$B$6,"Sve u redu","Stiže na vrijeme")))))))</f>
        <v>Nema prodaje</v>
      </c>
      <c r="S828" s="23" t="n">
        <f aca="false">IFERROR(INDEX(PODACI_PRODAJA!B:B,MATCH($A828,PODACI_PRODAJA!$A:$A,0)),0)</f>
        <v>0</v>
      </c>
      <c r="T828" s="23" t="n">
        <f aca="false">IFERROR(INDEX(PODACI_PRODAJA!C:C,MATCH($A828,PODACI_PRODAJA!$A:$A,0)),0)</f>
        <v>0</v>
      </c>
      <c r="U828" s="23" t="n">
        <f aca="false">IFERROR(INDEX(PODACI_PRODAJA!D:D,MATCH($A828,PODACI_PRODAJA!$A:$A,0)),0)</f>
        <v>0</v>
      </c>
      <c r="V828" s="23" t="n">
        <f aca="false">IFERROR(INDEX(PODACI_PRODAJA!E:E,MATCH($A828,PODACI_PRODAJA!$A:$A,0)),0)</f>
        <v>-1</v>
      </c>
      <c r="W828" s="23" t="n">
        <f aca="false">IFERROR(INDEX(PODACI_PRODAJA!F:F,MATCH($A828,PODACI_PRODAJA!$A:$A,0)),0)</f>
        <v>0</v>
      </c>
      <c r="X828" s="23" t="n">
        <f aca="false">IFERROR(INDEX(PODACI_PRODAJA!G:G,MATCH($A828,PODACI_PRODAJA!$A:$A,0)),0)</f>
        <v>0</v>
      </c>
      <c r="Y828" s="23" t="n">
        <f aca="false">IFERROR(INDEX(PODACI_PRODAJA!H:H,MATCH($A828,PODACI_PRODAJA!$A:$A,0)),0)</f>
        <v>0</v>
      </c>
      <c r="Z828" s="23" t="n">
        <f aca="false">IFERROR(INDEX(PODACI_PRODAJA!I:I,MATCH($A828,PODACI_PRODAJA!$A:$A,0)),0)</f>
        <v>0</v>
      </c>
      <c r="AA828" s="23" t="n">
        <f aca="false">IFERROR(INDEX(PODACI_PRODAJA!J:J,MATCH($A828,PODACI_PRODAJA!$A:$A,0)),0)</f>
        <v>0</v>
      </c>
      <c r="AB828" s="23" t="n">
        <f aca="false">IFERROR(INDEX(PODACI_PRODAJA!K:K,MATCH($A828,PODACI_PRODAJA!$A:$A,0)),0)</f>
        <v>0</v>
      </c>
      <c r="AC828" s="23" t="n">
        <f aca="false">IFERROR(INDEX(PODACI_PRODAJA!L:L,MATCH($A828,PODACI_PRODAJA!$A:$A,0)),0)</f>
        <v>0</v>
      </c>
      <c r="AD828" s="23" t="n">
        <f aca="false">IFERROR(INDEX(PODACI_PRODAJA!M:M,MATCH($A828,PODACI_PRODAJA!$A:$A,0)),0)</f>
        <v>0</v>
      </c>
    </row>
    <row r="829" customFormat="false" ht="15" hidden="false" customHeight="false" outlineLevel="0" collapsed="false">
      <c r="A829" s="11" t="str">
        <f aca="false">PODACI_ZALIHE!A826</f>
        <v>002511</v>
      </c>
      <c r="B829" s="8" t="str">
        <f aca="false">PODACI_ZALIHE!B826</f>
        <v>UMIVAONIK UMJETNI MRAMOR A4023 400X230X30MM</v>
      </c>
      <c r="C829" s="9" t="n">
        <f aca="false">PODACI_ZALIHE!C826</f>
        <v>0</v>
      </c>
      <c r="D829" s="8" t="n">
        <f aca="false">PODACI_ZALIHE!D826</f>
        <v>0</v>
      </c>
      <c r="E829" s="19" t="str">
        <f aca="false">IF(PODACI_ZALIHE!E826="","",PODACI_ZALIHE!E826)</f>
        <v/>
      </c>
      <c r="F829" s="20" t="n">
        <f aca="false">PODACI_ZALIHE!F826</f>
        <v>0</v>
      </c>
      <c r="G829" s="19" t="str">
        <f aca="false">IF(E829="","",E829-F829)</f>
        <v/>
      </c>
      <c r="H829" s="9" t="n">
        <f aca="false">PODACI_PRODAJA!N359</f>
        <v>0</v>
      </c>
      <c r="I829" s="21" t="n">
        <f aca="false">IF(H829&lt;=0,999,ROUND(F829/H829,1))</f>
        <v>999</v>
      </c>
      <c r="J829" s="9" t="n">
        <f aca="false">SUMIFS(ROBA_U_DOLASKU!$C$6:$C$95,ROBA_U_DOLASKU!$A$6:$A$95,A829,ROBA_U_DOLASKU!$H$6:$H$95,1)</f>
        <v>0</v>
      </c>
      <c r="K829" s="9" t="n">
        <f aca="false">SUMIFS(ROBA_U_DOLASKU!$B$6:$B$95,ROBA_U_DOLASKU!$A$6:$A$95,A829,ROBA_U_DOLASKU!$H$6:$H$95,1)</f>
        <v>0</v>
      </c>
      <c r="L829" s="9" t="n">
        <f aca="false">SUMIFS(ROBA_U_DOLASKU!$C$6:$C$95,ROBA_U_DOLASKU!$A$6:$A$95,A829,ROBA_U_DOLASKU!$H$6:$H$95,2)</f>
        <v>0</v>
      </c>
      <c r="M829" s="9" t="n">
        <f aca="false">SUMIFS(ROBA_U_DOLASKU!$B$6:$B$95,ROBA_U_DOLASKU!$A$6:$A$95,A829,ROBA_U_DOLASKU!$H$6:$H$95,2)</f>
        <v>0</v>
      </c>
      <c r="N829" s="9" t="n">
        <f aca="false">SUMIFS(ROBA_U_DOLASKU!$C$6:$C$95,ROBA_U_DOLASKU!$A$6:$A$95,A829,ROBA_U_DOLASKU!$H$6:$H$95,3)</f>
        <v>0</v>
      </c>
      <c r="O829" s="9" t="n">
        <f aca="false">SUMIFS(ROBA_U_DOLASKU!$B$6:$B$95,ROBA_U_DOLASKU!$A$6:$A$95,A829,ROBA_U_DOLASKU!$H$6:$H$95,3)</f>
        <v>0</v>
      </c>
      <c r="P829" s="9" t="n">
        <f aca="false">IF(H829&lt;=0,999,IF(O829&gt;0,ROUND((F829-H829*N829+K829+M829+O829)/H829,1),IF(M829&gt;0,ROUND((F829-H829*L829+K829+M829)/H829,1),IF(K829&gt;0,ROUND((F829-H829*J829+K829)/H829,1),I829))))</f>
        <v>999</v>
      </c>
      <c r="Q829" s="22" t="str">
        <f aca="false">IF(H829&lt;=0,"Nema prodaje",IF(AND(K829=0,M829=0,O829=0),IF(I829&lt;POSTAVKE!$B$6,"Naruči odmah","Sve u redu"),IF(F829-H829*J829&lt;0,"Rupa za ~"&amp;TEXT(I829,"0.0")&amp;" mj.",IF(AND(M829&gt;0,F829-H829*L829+K829&lt;0),"Rupa nakon 1. dolaska",IF(AND(O829&gt;0,F829-H829*N829+K829+M829&lt;0),"Rupa nakon 2. dolaska",IF(P829&lt;POSTAVKE!$B$6,"Količina nije dovoljna",IF(I829&gt;=POSTAVKE!$B$6,"Sve u redu","Stiže na vrijeme")))))))</f>
        <v>Nema prodaje</v>
      </c>
      <c r="S829" s="23" t="n">
        <f aca="false">IFERROR(INDEX(PODACI_PRODAJA!B:B,MATCH($A829,PODACI_PRODAJA!$A:$A,0)),0)</f>
        <v>0</v>
      </c>
      <c r="T829" s="23" t="n">
        <f aca="false">IFERROR(INDEX(PODACI_PRODAJA!C:C,MATCH($A829,PODACI_PRODAJA!$A:$A,0)),0)</f>
        <v>0</v>
      </c>
      <c r="U829" s="23" t="n">
        <f aca="false">IFERROR(INDEX(PODACI_PRODAJA!D:D,MATCH($A829,PODACI_PRODAJA!$A:$A,0)),0)</f>
        <v>0</v>
      </c>
      <c r="V829" s="23" t="n">
        <f aca="false">IFERROR(INDEX(PODACI_PRODAJA!E:E,MATCH($A829,PODACI_PRODAJA!$A:$A,0)),0)</f>
        <v>0</v>
      </c>
      <c r="W829" s="23" t="n">
        <f aca="false">IFERROR(INDEX(PODACI_PRODAJA!F:F,MATCH($A829,PODACI_PRODAJA!$A:$A,0)),0)</f>
        <v>0</v>
      </c>
      <c r="X829" s="23" t="n">
        <f aca="false">IFERROR(INDEX(PODACI_PRODAJA!G:G,MATCH($A829,PODACI_PRODAJA!$A:$A,0)),0)</f>
        <v>0</v>
      </c>
      <c r="Y829" s="23" t="n">
        <f aca="false">IFERROR(INDEX(PODACI_PRODAJA!H:H,MATCH($A829,PODACI_PRODAJA!$A:$A,0)),0)</f>
        <v>0</v>
      </c>
      <c r="Z829" s="23" t="n">
        <f aca="false">IFERROR(INDEX(PODACI_PRODAJA!I:I,MATCH($A829,PODACI_PRODAJA!$A:$A,0)),0)</f>
        <v>0</v>
      </c>
      <c r="AA829" s="23" t="n">
        <f aca="false">IFERROR(INDEX(PODACI_PRODAJA!J:J,MATCH($A829,PODACI_PRODAJA!$A:$A,0)),0)</f>
        <v>0</v>
      </c>
      <c r="AB829" s="23" t="n">
        <f aca="false">IFERROR(INDEX(PODACI_PRODAJA!K:K,MATCH($A829,PODACI_PRODAJA!$A:$A,0)),0)</f>
        <v>0</v>
      </c>
      <c r="AC829" s="23" t="n">
        <f aca="false">IFERROR(INDEX(PODACI_PRODAJA!L:L,MATCH($A829,PODACI_PRODAJA!$A:$A,0)),0)</f>
        <v>0</v>
      </c>
      <c r="AD829" s="23" t="n">
        <f aca="false">IFERROR(INDEX(PODACI_PRODAJA!M:M,MATCH($A829,PODACI_PRODAJA!$A:$A,0)),0)</f>
        <v>0</v>
      </c>
    </row>
    <row r="830" customFormat="false" ht="15" hidden="false" customHeight="false" outlineLevel="0" collapsed="false">
      <c r="A830" s="11" t="str">
        <f aca="false">PODACI_ZALIHE!A827</f>
        <v>0025150</v>
      </c>
      <c r="B830" s="8" t="str">
        <f aca="false">PODACI_ZALIHE!B827</f>
        <v>TK NORENA 90 KVADRATNA TUŠ KABINA 90x90x195 cm</v>
      </c>
      <c r="C830" s="9" t="n">
        <f aca="false">PODACI_ZALIHE!C827</f>
        <v>0</v>
      </c>
      <c r="D830" s="8" t="n">
        <f aca="false">PODACI_ZALIHE!D827</f>
        <v>0</v>
      </c>
      <c r="E830" s="19" t="str">
        <f aca="false">IF(PODACI_ZALIHE!E827="","",PODACI_ZALIHE!E827)</f>
        <v/>
      </c>
      <c r="F830" s="20" t="n">
        <f aca="false">PODACI_ZALIHE!F827</f>
        <v>0</v>
      </c>
      <c r="G830" s="19" t="str">
        <f aca="false">IF(E830="","",E830-F830)</f>
        <v/>
      </c>
      <c r="H830" s="9" t="n">
        <f aca="false">PODACI_PRODAJA!N360</f>
        <v>0.13</v>
      </c>
      <c r="I830" s="21" t="n">
        <f aca="false">IF(H830&lt;=0,999,ROUND(F830/H830,1))</f>
        <v>0</v>
      </c>
      <c r="J830" s="9" t="n">
        <f aca="false">SUMIFS(ROBA_U_DOLASKU!$C$6:$C$95,ROBA_U_DOLASKU!$A$6:$A$95,A830,ROBA_U_DOLASKU!$H$6:$H$95,1)</f>
        <v>0</v>
      </c>
      <c r="K830" s="9" t="n">
        <f aca="false">SUMIFS(ROBA_U_DOLASKU!$B$6:$B$95,ROBA_U_DOLASKU!$A$6:$A$95,A830,ROBA_U_DOLASKU!$H$6:$H$95,1)</f>
        <v>0</v>
      </c>
      <c r="L830" s="9" t="n">
        <f aca="false">SUMIFS(ROBA_U_DOLASKU!$C$6:$C$95,ROBA_U_DOLASKU!$A$6:$A$95,A830,ROBA_U_DOLASKU!$H$6:$H$95,2)</f>
        <v>0</v>
      </c>
      <c r="M830" s="9" t="n">
        <f aca="false">SUMIFS(ROBA_U_DOLASKU!$B$6:$B$95,ROBA_U_DOLASKU!$A$6:$A$95,A830,ROBA_U_DOLASKU!$H$6:$H$95,2)</f>
        <v>0</v>
      </c>
      <c r="N830" s="9" t="n">
        <f aca="false">SUMIFS(ROBA_U_DOLASKU!$C$6:$C$95,ROBA_U_DOLASKU!$A$6:$A$95,A830,ROBA_U_DOLASKU!$H$6:$H$95,3)</f>
        <v>0</v>
      </c>
      <c r="O830" s="9" t="n">
        <f aca="false">SUMIFS(ROBA_U_DOLASKU!$B$6:$B$95,ROBA_U_DOLASKU!$A$6:$A$95,A830,ROBA_U_DOLASKU!$H$6:$H$95,3)</f>
        <v>0</v>
      </c>
      <c r="P830" s="9" t="n">
        <f aca="false">IF(H830&lt;=0,999,IF(O830&gt;0,ROUND((F830-H830*N830+K830+M830+O830)/H830,1),IF(M830&gt;0,ROUND((F830-H830*L830+K830+M830)/H830,1),IF(K830&gt;0,ROUND((F830-H830*J830+K830)/H830,1),I830))))</f>
        <v>0</v>
      </c>
      <c r="Q830" s="22" t="str">
        <f aca="false">IF(H830&lt;=0,"Nema prodaje",IF(AND(K830=0,M830=0,O830=0),IF(I830&lt;POSTAVKE!$B$6,"Naruči odmah","Sve u redu"),IF(F830-H830*J830&lt;0,"Rupa za ~"&amp;TEXT(I830,"0.0")&amp;" mj.",IF(AND(M830&gt;0,F830-H830*L830+K830&lt;0),"Rupa nakon 1. dolaska",IF(AND(O830&gt;0,F830-H830*N830+K830+M830&lt;0),"Rupa nakon 2. dolaska",IF(P830&lt;POSTAVKE!$B$6,"Količina nije dovoljna",IF(I830&gt;=POSTAVKE!$B$6,"Sve u redu","Stiže na vrijeme")))))))</f>
        <v>Naruči odmah</v>
      </c>
      <c r="S830" s="23" t="n">
        <f aca="false">IFERROR(INDEX(PODACI_PRODAJA!B:B,MATCH($A830,PODACI_PRODAJA!$A:$A,0)),0)</f>
        <v>0</v>
      </c>
      <c r="T830" s="23" t="n">
        <f aca="false">IFERROR(INDEX(PODACI_PRODAJA!C:C,MATCH($A830,PODACI_PRODAJA!$A:$A,0)),0)</f>
        <v>0</v>
      </c>
      <c r="U830" s="23" t="n">
        <f aca="false">IFERROR(INDEX(PODACI_PRODAJA!D:D,MATCH($A830,PODACI_PRODAJA!$A:$A,0)),0)</f>
        <v>0</v>
      </c>
      <c r="V830" s="23" t="n">
        <f aca="false">IFERROR(INDEX(PODACI_PRODAJA!E:E,MATCH($A830,PODACI_PRODAJA!$A:$A,0)),0)</f>
        <v>1</v>
      </c>
      <c r="W830" s="23" t="n">
        <f aca="false">IFERROR(INDEX(PODACI_PRODAJA!F:F,MATCH($A830,PODACI_PRODAJA!$A:$A,0)),0)</f>
        <v>0</v>
      </c>
      <c r="X830" s="23" t="n">
        <f aca="false">IFERROR(INDEX(PODACI_PRODAJA!G:G,MATCH($A830,PODACI_PRODAJA!$A:$A,0)),0)</f>
        <v>0</v>
      </c>
      <c r="Y830" s="23" t="n">
        <f aca="false">IFERROR(INDEX(PODACI_PRODAJA!H:H,MATCH($A830,PODACI_PRODAJA!$A:$A,0)),0)</f>
        <v>0</v>
      </c>
      <c r="Z830" s="23" t="n">
        <f aca="false">IFERROR(INDEX(PODACI_PRODAJA!I:I,MATCH($A830,PODACI_PRODAJA!$A:$A,0)),0)</f>
        <v>0</v>
      </c>
      <c r="AA830" s="23" t="n">
        <f aca="false">IFERROR(INDEX(PODACI_PRODAJA!J:J,MATCH($A830,PODACI_PRODAJA!$A:$A,0)),0)</f>
        <v>0</v>
      </c>
      <c r="AB830" s="23" t="n">
        <f aca="false">IFERROR(INDEX(PODACI_PRODAJA!K:K,MATCH($A830,PODACI_PRODAJA!$A:$A,0)),0)</f>
        <v>0</v>
      </c>
      <c r="AC830" s="23" t="n">
        <f aca="false">IFERROR(INDEX(PODACI_PRODAJA!L:L,MATCH($A830,PODACI_PRODAJA!$A:$A,0)),0)</f>
        <v>0</v>
      </c>
      <c r="AD830" s="23" t="n">
        <f aca="false">IFERROR(INDEX(PODACI_PRODAJA!M:M,MATCH($A830,PODACI_PRODAJA!$A:$A,0)),0)</f>
        <v>0</v>
      </c>
    </row>
    <row r="831" customFormat="false" ht="15" hidden="false" customHeight="false" outlineLevel="0" collapsed="false">
      <c r="A831" s="11" t="str">
        <f aca="false">PODACI_ZALIHE!A828</f>
        <v>002518</v>
      </c>
      <c r="B831" s="8" t="str">
        <f aca="false">PODACI_ZALIHE!B828</f>
        <v>UMIVAONIK UMJETNI MRAMOR A120 1200x460x150mm</v>
      </c>
      <c r="C831" s="9" t="n">
        <f aca="false">PODACI_ZALIHE!C828</f>
        <v>0</v>
      </c>
      <c r="D831" s="8" t="n">
        <f aca="false">PODACI_ZALIHE!D828</f>
        <v>0</v>
      </c>
      <c r="E831" s="19" t="str">
        <f aca="false">IF(PODACI_ZALIHE!E828="","",PODACI_ZALIHE!E828)</f>
        <v/>
      </c>
      <c r="F831" s="20" t="n">
        <f aca="false">PODACI_ZALIHE!F828</f>
        <v>0</v>
      </c>
      <c r="G831" s="19" t="str">
        <f aca="false">IF(E831="","",E831-F831)</f>
        <v/>
      </c>
      <c r="H831" s="9" t="n">
        <f aca="false">PODACI_PRODAJA!N361</f>
        <v>0</v>
      </c>
      <c r="I831" s="21" t="n">
        <f aca="false">IF(H831&lt;=0,999,ROUND(F831/H831,1))</f>
        <v>999</v>
      </c>
      <c r="J831" s="9" t="n">
        <f aca="false">SUMIFS(ROBA_U_DOLASKU!$C$6:$C$95,ROBA_U_DOLASKU!$A$6:$A$95,A831,ROBA_U_DOLASKU!$H$6:$H$95,1)</f>
        <v>0</v>
      </c>
      <c r="K831" s="9" t="n">
        <f aca="false">SUMIFS(ROBA_U_DOLASKU!$B$6:$B$95,ROBA_U_DOLASKU!$A$6:$A$95,A831,ROBA_U_DOLASKU!$H$6:$H$95,1)</f>
        <v>0</v>
      </c>
      <c r="L831" s="9" t="n">
        <f aca="false">SUMIFS(ROBA_U_DOLASKU!$C$6:$C$95,ROBA_U_DOLASKU!$A$6:$A$95,A831,ROBA_U_DOLASKU!$H$6:$H$95,2)</f>
        <v>0</v>
      </c>
      <c r="M831" s="9" t="n">
        <f aca="false">SUMIFS(ROBA_U_DOLASKU!$B$6:$B$95,ROBA_U_DOLASKU!$A$6:$A$95,A831,ROBA_U_DOLASKU!$H$6:$H$95,2)</f>
        <v>0</v>
      </c>
      <c r="N831" s="9" t="n">
        <f aca="false">SUMIFS(ROBA_U_DOLASKU!$C$6:$C$95,ROBA_U_DOLASKU!$A$6:$A$95,A831,ROBA_U_DOLASKU!$H$6:$H$95,3)</f>
        <v>0</v>
      </c>
      <c r="O831" s="9" t="n">
        <f aca="false">SUMIFS(ROBA_U_DOLASKU!$B$6:$B$95,ROBA_U_DOLASKU!$A$6:$A$95,A831,ROBA_U_DOLASKU!$H$6:$H$95,3)</f>
        <v>0</v>
      </c>
      <c r="P831" s="9" t="n">
        <f aca="false">IF(H831&lt;=0,999,IF(O831&gt;0,ROUND((F831-H831*N831+K831+M831+O831)/H831,1),IF(M831&gt;0,ROUND((F831-H831*L831+K831+M831)/H831,1),IF(K831&gt;0,ROUND((F831-H831*J831+K831)/H831,1),I831))))</f>
        <v>999</v>
      </c>
      <c r="Q831" s="22" t="str">
        <f aca="false">IF(H831&lt;=0,"Nema prodaje",IF(AND(K831=0,M831=0,O831=0),IF(I831&lt;POSTAVKE!$B$6,"Naruči odmah","Sve u redu"),IF(F831-H831*J831&lt;0,"Rupa za ~"&amp;TEXT(I831,"0.0")&amp;" mj.",IF(AND(M831&gt;0,F831-H831*L831+K831&lt;0),"Rupa nakon 1. dolaska",IF(AND(O831&gt;0,F831-H831*N831+K831+M831&lt;0),"Rupa nakon 2. dolaska",IF(P831&lt;POSTAVKE!$B$6,"Količina nije dovoljna",IF(I831&gt;=POSTAVKE!$B$6,"Sve u redu","Stiže na vrijeme")))))))</f>
        <v>Nema prodaje</v>
      </c>
      <c r="S831" s="23" t="n">
        <f aca="false">IFERROR(INDEX(PODACI_PRODAJA!B:B,MATCH($A831,PODACI_PRODAJA!$A:$A,0)),0)</f>
        <v>0</v>
      </c>
      <c r="T831" s="23" t="n">
        <f aca="false">IFERROR(INDEX(PODACI_PRODAJA!C:C,MATCH($A831,PODACI_PRODAJA!$A:$A,0)),0)</f>
        <v>0</v>
      </c>
      <c r="U831" s="23" t="n">
        <f aca="false">IFERROR(INDEX(PODACI_PRODAJA!D:D,MATCH($A831,PODACI_PRODAJA!$A:$A,0)),0)</f>
        <v>0</v>
      </c>
      <c r="V831" s="23" t="n">
        <f aca="false">IFERROR(INDEX(PODACI_PRODAJA!E:E,MATCH($A831,PODACI_PRODAJA!$A:$A,0)),0)</f>
        <v>0</v>
      </c>
      <c r="W831" s="23" t="n">
        <f aca="false">IFERROR(INDEX(PODACI_PRODAJA!F:F,MATCH($A831,PODACI_PRODAJA!$A:$A,0)),0)</f>
        <v>0</v>
      </c>
      <c r="X831" s="23" t="n">
        <f aca="false">IFERROR(INDEX(PODACI_PRODAJA!G:G,MATCH($A831,PODACI_PRODAJA!$A:$A,0)),0)</f>
        <v>0</v>
      </c>
      <c r="Y831" s="23" t="n">
        <f aca="false">IFERROR(INDEX(PODACI_PRODAJA!H:H,MATCH($A831,PODACI_PRODAJA!$A:$A,0)),0)</f>
        <v>0</v>
      </c>
      <c r="Z831" s="23" t="n">
        <f aca="false">IFERROR(INDEX(PODACI_PRODAJA!I:I,MATCH($A831,PODACI_PRODAJA!$A:$A,0)),0)</f>
        <v>0</v>
      </c>
      <c r="AA831" s="23" t="n">
        <f aca="false">IFERROR(INDEX(PODACI_PRODAJA!J:J,MATCH($A831,PODACI_PRODAJA!$A:$A,0)),0)</f>
        <v>0</v>
      </c>
      <c r="AB831" s="23" t="n">
        <f aca="false">IFERROR(INDEX(PODACI_PRODAJA!K:K,MATCH($A831,PODACI_PRODAJA!$A:$A,0)),0)</f>
        <v>0</v>
      </c>
      <c r="AC831" s="23" t="n">
        <f aca="false">IFERROR(INDEX(PODACI_PRODAJA!L:L,MATCH($A831,PODACI_PRODAJA!$A:$A,0)),0)</f>
        <v>0</v>
      </c>
      <c r="AD831" s="23" t="n">
        <f aca="false">IFERROR(INDEX(PODACI_PRODAJA!M:M,MATCH($A831,PODACI_PRODAJA!$A:$A,0)),0)</f>
        <v>0</v>
      </c>
    </row>
    <row r="832" customFormat="false" ht="15" hidden="false" customHeight="false" outlineLevel="0" collapsed="false">
      <c r="A832" s="11" t="str">
        <f aca="false">PODACI_ZALIHE!A829</f>
        <v>002565</v>
      </c>
      <c r="B832" s="8" t="str">
        <f aca="false">PODACI_ZALIHE!B829</f>
        <v>UGRADBENI UMIVAONIK LAS VEGAS DESNI 1205x506 mm</v>
      </c>
      <c r="C832" s="9" t="n">
        <f aca="false">PODACI_ZALIHE!C829</f>
        <v>0</v>
      </c>
      <c r="D832" s="8" t="n">
        <f aca="false">PODACI_ZALIHE!D829</f>
        <v>0</v>
      </c>
      <c r="E832" s="19" t="str">
        <f aca="false">IF(PODACI_ZALIHE!E829="","",PODACI_ZALIHE!E829)</f>
        <v/>
      </c>
      <c r="F832" s="20" t="n">
        <f aca="false">PODACI_ZALIHE!F829</f>
        <v>0</v>
      </c>
      <c r="G832" s="19" t="str">
        <f aca="false">IF(E832="","",E832-F832)</f>
        <v/>
      </c>
      <c r="H832" s="9" t="n">
        <f aca="false">PODACI_PRODAJA!N362</f>
        <v>0</v>
      </c>
      <c r="I832" s="21" t="n">
        <f aca="false">IF(H832&lt;=0,999,ROUND(F832/H832,1))</f>
        <v>999</v>
      </c>
      <c r="J832" s="9" t="n">
        <f aca="false">SUMIFS(ROBA_U_DOLASKU!$C$6:$C$95,ROBA_U_DOLASKU!$A$6:$A$95,A832,ROBA_U_DOLASKU!$H$6:$H$95,1)</f>
        <v>0</v>
      </c>
      <c r="K832" s="9" t="n">
        <f aca="false">SUMIFS(ROBA_U_DOLASKU!$B$6:$B$95,ROBA_U_DOLASKU!$A$6:$A$95,A832,ROBA_U_DOLASKU!$H$6:$H$95,1)</f>
        <v>0</v>
      </c>
      <c r="L832" s="9" t="n">
        <f aca="false">SUMIFS(ROBA_U_DOLASKU!$C$6:$C$95,ROBA_U_DOLASKU!$A$6:$A$95,A832,ROBA_U_DOLASKU!$H$6:$H$95,2)</f>
        <v>0</v>
      </c>
      <c r="M832" s="9" t="n">
        <f aca="false">SUMIFS(ROBA_U_DOLASKU!$B$6:$B$95,ROBA_U_DOLASKU!$A$6:$A$95,A832,ROBA_U_DOLASKU!$H$6:$H$95,2)</f>
        <v>0</v>
      </c>
      <c r="N832" s="9" t="n">
        <f aca="false">SUMIFS(ROBA_U_DOLASKU!$C$6:$C$95,ROBA_U_DOLASKU!$A$6:$A$95,A832,ROBA_U_DOLASKU!$H$6:$H$95,3)</f>
        <v>0</v>
      </c>
      <c r="O832" s="9" t="n">
        <f aca="false">SUMIFS(ROBA_U_DOLASKU!$B$6:$B$95,ROBA_U_DOLASKU!$A$6:$A$95,A832,ROBA_U_DOLASKU!$H$6:$H$95,3)</f>
        <v>0</v>
      </c>
      <c r="P832" s="9" t="n">
        <f aca="false">IF(H832&lt;=0,999,IF(O832&gt;0,ROUND((F832-H832*N832+K832+M832+O832)/H832,1),IF(M832&gt;0,ROUND((F832-H832*L832+K832+M832)/H832,1),IF(K832&gt;0,ROUND((F832-H832*J832+K832)/H832,1),I832))))</f>
        <v>999</v>
      </c>
      <c r="Q832" s="22" t="str">
        <f aca="false">IF(H832&lt;=0,"Nema prodaje",IF(AND(K832=0,M832=0,O832=0),IF(I832&lt;POSTAVKE!$B$6,"Naruči odmah","Sve u redu"),IF(F832-H832*J832&lt;0,"Rupa za ~"&amp;TEXT(I832,"0.0")&amp;" mj.",IF(AND(M832&gt;0,F832-H832*L832+K832&lt;0),"Rupa nakon 1. dolaska",IF(AND(O832&gt;0,F832-H832*N832+K832+M832&lt;0),"Rupa nakon 2. dolaska",IF(P832&lt;POSTAVKE!$B$6,"Količina nije dovoljna",IF(I832&gt;=POSTAVKE!$B$6,"Sve u redu","Stiže na vrijeme")))))))</f>
        <v>Nema prodaje</v>
      </c>
      <c r="S832" s="23" t="n">
        <f aca="false">IFERROR(INDEX(PODACI_PRODAJA!B:B,MATCH($A832,PODACI_PRODAJA!$A:$A,0)),0)</f>
        <v>0</v>
      </c>
      <c r="T832" s="23" t="n">
        <f aca="false">IFERROR(INDEX(PODACI_PRODAJA!C:C,MATCH($A832,PODACI_PRODAJA!$A:$A,0)),0)</f>
        <v>0</v>
      </c>
      <c r="U832" s="23" t="n">
        <f aca="false">IFERROR(INDEX(PODACI_PRODAJA!D:D,MATCH($A832,PODACI_PRODAJA!$A:$A,0)),0)</f>
        <v>0</v>
      </c>
      <c r="V832" s="23" t="n">
        <f aca="false">IFERROR(INDEX(PODACI_PRODAJA!E:E,MATCH($A832,PODACI_PRODAJA!$A:$A,0)),0)</f>
        <v>0</v>
      </c>
      <c r="W832" s="23" t="n">
        <f aca="false">IFERROR(INDEX(PODACI_PRODAJA!F:F,MATCH($A832,PODACI_PRODAJA!$A:$A,0)),0)</f>
        <v>0</v>
      </c>
      <c r="X832" s="23" t="n">
        <f aca="false">IFERROR(INDEX(PODACI_PRODAJA!G:G,MATCH($A832,PODACI_PRODAJA!$A:$A,0)),0)</f>
        <v>0</v>
      </c>
      <c r="Y832" s="23" t="n">
        <f aca="false">IFERROR(INDEX(PODACI_PRODAJA!H:H,MATCH($A832,PODACI_PRODAJA!$A:$A,0)),0)</f>
        <v>0</v>
      </c>
      <c r="Z832" s="23" t="n">
        <f aca="false">IFERROR(INDEX(PODACI_PRODAJA!I:I,MATCH($A832,PODACI_PRODAJA!$A:$A,0)),0)</f>
        <v>0</v>
      </c>
      <c r="AA832" s="23" t="n">
        <f aca="false">IFERROR(INDEX(PODACI_PRODAJA!J:J,MATCH($A832,PODACI_PRODAJA!$A:$A,0)),0)</f>
        <v>0</v>
      </c>
      <c r="AB832" s="23" t="n">
        <f aca="false">IFERROR(INDEX(PODACI_PRODAJA!K:K,MATCH($A832,PODACI_PRODAJA!$A:$A,0)),0)</f>
        <v>0</v>
      </c>
      <c r="AC832" s="23" t="n">
        <f aca="false">IFERROR(INDEX(PODACI_PRODAJA!L:L,MATCH($A832,PODACI_PRODAJA!$A:$A,0)),0)</f>
        <v>0</v>
      </c>
      <c r="AD832" s="23" t="n">
        <f aca="false">IFERROR(INDEX(PODACI_PRODAJA!M:M,MATCH($A832,PODACI_PRODAJA!$A:$A,0)),0)</f>
        <v>0</v>
      </c>
    </row>
    <row r="833" customFormat="false" ht="15" hidden="false" customHeight="false" outlineLevel="0" collapsed="false">
      <c r="A833" s="11" t="str">
        <f aca="false">PODACI_ZALIHE!A830</f>
        <v>0032151</v>
      </c>
      <c r="B833" s="8" t="str">
        <f aca="false">PODACI_ZALIHE!B830</f>
        <v>YORK N SAMOSTOJEĆA MJEŠALICA ZA KADU</v>
      </c>
      <c r="C833" s="9" t="n">
        <f aca="false">PODACI_ZALIHE!C830</f>
        <v>0</v>
      </c>
      <c r="D833" s="8" t="n">
        <f aca="false">PODACI_ZALIHE!D830</f>
        <v>0</v>
      </c>
      <c r="E833" s="19" t="str">
        <f aca="false">IF(PODACI_ZALIHE!E830="","",PODACI_ZALIHE!E830)</f>
        <v/>
      </c>
      <c r="F833" s="20" t="n">
        <f aca="false">PODACI_ZALIHE!F830</f>
        <v>0</v>
      </c>
      <c r="G833" s="19" t="str">
        <f aca="false">IF(E833="","",E833-F833)</f>
        <v/>
      </c>
      <c r="H833" s="9" t="n">
        <f aca="false">PODACI_PRODAJA!N368</f>
        <v>0.13</v>
      </c>
      <c r="I833" s="21" t="n">
        <f aca="false">IF(H833&lt;=0,999,ROUND(F833/H833,1))</f>
        <v>0</v>
      </c>
      <c r="J833" s="9" t="n">
        <f aca="false">SUMIFS(ROBA_U_DOLASKU!$C$6:$C$95,ROBA_U_DOLASKU!$A$6:$A$95,A833,ROBA_U_DOLASKU!$H$6:$H$95,1)</f>
        <v>0</v>
      </c>
      <c r="K833" s="9" t="n">
        <f aca="false">SUMIFS(ROBA_U_DOLASKU!$B$6:$B$95,ROBA_U_DOLASKU!$A$6:$A$95,A833,ROBA_U_DOLASKU!$H$6:$H$95,1)</f>
        <v>0</v>
      </c>
      <c r="L833" s="9" t="n">
        <f aca="false">SUMIFS(ROBA_U_DOLASKU!$C$6:$C$95,ROBA_U_DOLASKU!$A$6:$A$95,A833,ROBA_U_DOLASKU!$H$6:$H$95,2)</f>
        <v>0</v>
      </c>
      <c r="M833" s="9" t="n">
        <f aca="false">SUMIFS(ROBA_U_DOLASKU!$B$6:$B$95,ROBA_U_DOLASKU!$A$6:$A$95,A833,ROBA_U_DOLASKU!$H$6:$H$95,2)</f>
        <v>0</v>
      </c>
      <c r="N833" s="9" t="n">
        <f aca="false">SUMIFS(ROBA_U_DOLASKU!$C$6:$C$95,ROBA_U_DOLASKU!$A$6:$A$95,A833,ROBA_U_DOLASKU!$H$6:$H$95,3)</f>
        <v>0</v>
      </c>
      <c r="O833" s="9" t="n">
        <f aca="false">SUMIFS(ROBA_U_DOLASKU!$B$6:$B$95,ROBA_U_DOLASKU!$A$6:$A$95,A833,ROBA_U_DOLASKU!$H$6:$H$95,3)</f>
        <v>0</v>
      </c>
      <c r="P833" s="9" t="n">
        <f aca="false">IF(H833&lt;=0,999,IF(O833&gt;0,ROUND((F833-H833*N833+K833+M833+O833)/H833,1),IF(M833&gt;0,ROUND((F833-H833*L833+K833+M833)/H833,1),IF(K833&gt;0,ROUND((F833-H833*J833+K833)/H833,1),I833))))</f>
        <v>0</v>
      </c>
      <c r="Q833" s="22" t="str">
        <f aca="false">IF(H833&lt;=0,"Nema prodaje",IF(AND(K833=0,M833=0,O833=0),IF(I833&lt;POSTAVKE!$B$6,"Naruči odmah","Sve u redu"),IF(F833-H833*J833&lt;0,"Rupa za ~"&amp;TEXT(I833,"0.0")&amp;" mj.",IF(AND(M833&gt;0,F833-H833*L833+K833&lt;0),"Rupa nakon 1. dolaska",IF(AND(O833&gt;0,F833-H833*N833+K833+M833&lt;0),"Rupa nakon 2. dolaska",IF(P833&lt;POSTAVKE!$B$6,"Količina nije dovoljna",IF(I833&gt;=POSTAVKE!$B$6,"Sve u redu","Stiže na vrijeme")))))))</f>
        <v>Naruči odmah</v>
      </c>
      <c r="S833" s="23" t="n">
        <f aca="false">IFERROR(INDEX(PODACI_PRODAJA!B:B,MATCH($A833,PODACI_PRODAJA!$A:$A,0)),0)</f>
        <v>0</v>
      </c>
      <c r="T833" s="23" t="n">
        <f aca="false">IFERROR(INDEX(PODACI_PRODAJA!C:C,MATCH($A833,PODACI_PRODAJA!$A:$A,0)),0)</f>
        <v>0</v>
      </c>
      <c r="U833" s="23" t="n">
        <f aca="false">IFERROR(INDEX(PODACI_PRODAJA!D:D,MATCH($A833,PODACI_PRODAJA!$A:$A,0)),0)</f>
        <v>0</v>
      </c>
      <c r="V833" s="23" t="n">
        <f aca="false">IFERROR(INDEX(PODACI_PRODAJA!E:E,MATCH($A833,PODACI_PRODAJA!$A:$A,0)),0)</f>
        <v>0</v>
      </c>
      <c r="W833" s="23" t="n">
        <f aca="false">IFERROR(INDEX(PODACI_PRODAJA!F:F,MATCH($A833,PODACI_PRODAJA!$A:$A,0)),0)</f>
        <v>0</v>
      </c>
      <c r="X833" s="23" t="n">
        <f aca="false">IFERROR(INDEX(PODACI_PRODAJA!G:G,MATCH($A833,PODACI_PRODAJA!$A:$A,0)),0)</f>
        <v>0</v>
      </c>
      <c r="Y833" s="23" t="n">
        <f aca="false">IFERROR(INDEX(PODACI_PRODAJA!H:H,MATCH($A833,PODACI_PRODAJA!$A:$A,0)),0)</f>
        <v>0</v>
      </c>
      <c r="Z833" s="23" t="n">
        <f aca="false">IFERROR(INDEX(PODACI_PRODAJA!I:I,MATCH($A833,PODACI_PRODAJA!$A:$A,0)),0)</f>
        <v>1</v>
      </c>
      <c r="AA833" s="23" t="n">
        <f aca="false">IFERROR(INDEX(PODACI_PRODAJA!J:J,MATCH($A833,PODACI_PRODAJA!$A:$A,0)),0)</f>
        <v>0</v>
      </c>
      <c r="AB833" s="23" t="n">
        <f aca="false">IFERROR(INDEX(PODACI_PRODAJA!K:K,MATCH($A833,PODACI_PRODAJA!$A:$A,0)),0)</f>
        <v>0</v>
      </c>
      <c r="AC833" s="23" t="n">
        <f aca="false">IFERROR(INDEX(PODACI_PRODAJA!L:L,MATCH($A833,PODACI_PRODAJA!$A:$A,0)),0)</f>
        <v>0</v>
      </c>
      <c r="AD833" s="23" t="n">
        <f aca="false">IFERROR(INDEX(PODACI_PRODAJA!M:M,MATCH($A833,PODACI_PRODAJA!$A:$A,0)),0)</f>
        <v>0</v>
      </c>
    </row>
    <row r="834" customFormat="false" ht="15" hidden="false" customHeight="false" outlineLevel="0" collapsed="false">
      <c r="A834" s="11" t="str">
        <f aca="false">PODACI_ZALIHE!A831</f>
        <v>003220</v>
      </c>
      <c r="B834" s="8" t="str">
        <f aca="false">PODACI_ZALIHE!B831</f>
        <v>AFRICA R TUŠ SET</v>
      </c>
      <c r="C834" s="9" t="n">
        <f aca="false">PODACI_ZALIHE!C831</f>
        <v>0</v>
      </c>
      <c r="D834" s="8" t="n">
        <f aca="false">PODACI_ZALIHE!D831</f>
        <v>0</v>
      </c>
      <c r="E834" s="19" t="str">
        <f aca="false">IF(PODACI_ZALIHE!E831="","",PODACI_ZALIHE!E831)</f>
        <v/>
      </c>
      <c r="F834" s="20" t="n">
        <f aca="false">PODACI_ZALIHE!F831</f>
        <v>0</v>
      </c>
      <c r="G834" s="19" t="str">
        <f aca="false">IF(E834="","",E834-F834)</f>
        <v/>
      </c>
      <c r="H834" s="9" t="n">
        <f aca="false">PODACI_PRODAJA!N369</f>
        <v>-0.5</v>
      </c>
      <c r="I834" s="21" t="n">
        <f aca="false">IF(H834&lt;=0,999,ROUND(F834/H834,1))</f>
        <v>999</v>
      </c>
      <c r="J834" s="9" t="n">
        <f aca="false">SUMIFS(ROBA_U_DOLASKU!$C$6:$C$95,ROBA_U_DOLASKU!$A$6:$A$95,A834,ROBA_U_DOLASKU!$H$6:$H$95,1)</f>
        <v>0</v>
      </c>
      <c r="K834" s="9" t="n">
        <f aca="false">SUMIFS(ROBA_U_DOLASKU!$B$6:$B$95,ROBA_U_DOLASKU!$A$6:$A$95,A834,ROBA_U_DOLASKU!$H$6:$H$95,1)</f>
        <v>0</v>
      </c>
      <c r="L834" s="9" t="n">
        <f aca="false">SUMIFS(ROBA_U_DOLASKU!$C$6:$C$95,ROBA_U_DOLASKU!$A$6:$A$95,A834,ROBA_U_DOLASKU!$H$6:$H$95,2)</f>
        <v>0</v>
      </c>
      <c r="M834" s="9" t="n">
        <f aca="false">SUMIFS(ROBA_U_DOLASKU!$B$6:$B$95,ROBA_U_DOLASKU!$A$6:$A$95,A834,ROBA_U_DOLASKU!$H$6:$H$95,2)</f>
        <v>0</v>
      </c>
      <c r="N834" s="9" t="n">
        <f aca="false">SUMIFS(ROBA_U_DOLASKU!$C$6:$C$95,ROBA_U_DOLASKU!$A$6:$A$95,A834,ROBA_U_DOLASKU!$H$6:$H$95,3)</f>
        <v>0</v>
      </c>
      <c r="O834" s="9" t="n">
        <f aca="false">SUMIFS(ROBA_U_DOLASKU!$B$6:$B$95,ROBA_U_DOLASKU!$A$6:$A$95,A834,ROBA_U_DOLASKU!$H$6:$H$95,3)</f>
        <v>0</v>
      </c>
      <c r="P834" s="9" t="n">
        <f aca="false">IF(H834&lt;=0,999,IF(O834&gt;0,ROUND((F834-H834*N834+K834+M834+O834)/H834,1),IF(M834&gt;0,ROUND((F834-H834*L834+K834+M834)/H834,1),IF(K834&gt;0,ROUND((F834-H834*J834+K834)/H834,1),I834))))</f>
        <v>999</v>
      </c>
      <c r="Q834" s="22" t="str">
        <f aca="false">IF(H834&lt;=0,"Nema prodaje",IF(AND(K834=0,M834=0,O834=0),IF(I834&lt;POSTAVKE!$B$6,"Naruči odmah","Sve u redu"),IF(F834-H834*J834&lt;0,"Rupa za ~"&amp;TEXT(I834,"0.0")&amp;" mj.",IF(AND(M834&gt;0,F834-H834*L834+K834&lt;0),"Rupa nakon 1. dolaska",IF(AND(O834&gt;0,F834-H834*N834+K834+M834&lt;0),"Rupa nakon 2. dolaska",IF(P834&lt;POSTAVKE!$B$6,"Količina nije dovoljna",IF(I834&gt;=POSTAVKE!$B$6,"Sve u redu","Stiže na vrijeme")))))))</f>
        <v>Nema prodaje</v>
      </c>
      <c r="S834" s="23" t="n">
        <f aca="false">IFERROR(INDEX(PODACI_PRODAJA!B:B,MATCH($A834,PODACI_PRODAJA!$A:$A,0)),0)</f>
        <v>0</v>
      </c>
      <c r="T834" s="23" t="n">
        <f aca="false">IFERROR(INDEX(PODACI_PRODAJA!C:C,MATCH($A834,PODACI_PRODAJA!$A:$A,0)),0)</f>
        <v>0</v>
      </c>
      <c r="U834" s="23" t="n">
        <f aca="false">IFERROR(INDEX(PODACI_PRODAJA!D:D,MATCH($A834,PODACI_PRODAJA!$A:$A,0)),0)</f>
        <v>0</v>
      </c>
      <c r="V834" s="23" t="n">
        <f aca="false">IFERROR(INDEX(PODACI_PRODAJA!E:E,MATCH($A834,PODACI_PRODAJA!$A:$A,0)),0)</f>
        <v>-3</v>
      </c>
      <c r="W834" s="23" t="n">
        <f aca="false">IFERROR(INDEX(PODACI_PRODAJA!F:F,MATCH($A834,PODACI_PRODAJA!$A:$A,0)),0)</f>
        <v>0</v>
      </c>
      <c r="X834" s="23" t="n">
        <f aca="false">IFERROR(INDEX(PODACI_PRODAJA!G:G,MATCH($A834,PODACI_PRODAJA!$A:$A,0)),0)</f>
        <v>0</v>
      </c>
      <c r="Y834" s="23" t="n">
        <f aca="false">IFERROR(INDEX(PODACI_PRODAJA!H:H,MATCH($A834,PODACI_PRODAJA!$A:$A,0)),0)</f>
        <v>-1</v>
      </c>
      <c r="Z834" s="23" t="n">
        <f aca="false">IFERROR(INDEX(PODACI_PRODAJA!I:I,MATCH($A834,PODACI_PRODAJA!$A:$A,0)),0)</f>
        <v>0</v>
      </c>
      <c r="AA834" s="23" t="n">
        <f aca="false">IFERROR(INDEX(PODACI_PRODAJA!J:J,MATCH($A834,PODACI_PRODAJA!$A:$A,0)),0)</f>
        <v>0</v>
      </c>
      <c r="AB834" s="23" t="n">
        <f aca="false">IFERROR(INDEX(PODACI_PRODAJA!K:K,MATCH($A834,PODACI_PRODAJA!$A:$A,0)),0)</f>
        <v>0</v>
      </c>
      <c r="AC834" s="23" t="n">
        <f aca="false">IFERROR(INDEX(PODACI_PRODAJA!L:L,MATCH($A834,PODACI_PRODAJA!$A:$A,0)),0)</f>
        <v>0</v>
      </c>
      <c r="AD834" s="23" t="n">
        <f aca="false">IFERROR(INDEX(PODACI_PRODAJA!M:M,MATCH($A834,PODACI_PRODAJA!$A:$A,0)),0)</f>
        <v>0</v>
      </c>
    </row>
    <row r="835" customFormat="false" ht="15" hidden="false" customHeight="false" outlineLevel="0" collapsed="false">
      <c r="A835" s="11" t="str">
        <f aca="false">PODACI_ZALIHE!A832</f>
        <v>003230</v>
      </c>
      <c r="B835" s="8" t="str">
        <f aca="false">PODACI_ZALIHE!B832</f>
        <v>TUŠ SET S MIJEŠALICOM 'WEISS'</v>
      </c>
      <c r="C835" s="9" t="n">
        <f aca="false">PODACI_ZALIHE!C832</f>
        <v>0</v>
      </c>
      <c r="D835" s="8" t="n">
        <f aca="false">PODACI_ZALIHE!D832</f>
        <v>0</v>
      </c>
      <c r="E835" s="19" t="str">
        <f aca="false">IF(PODACI_ZALIHE!E832="","",PODACI_ZALIHE!E832)</f>
        <v/>
      </c>
      <c r="F835" s="20" t="n">
        <f aca="false">PODACI_ZALIHE!F832</f>
        <v>0</v>
      </c>
      <c r="G835" s="19" t="str">
        <f aca="false">IF(E835="","",E835-F835)</f>
        <v/>
      </c>
      <c r="H835" s="9" t="n">
        <f aca="false">PODACI_PRODAJA!N371</f>
        <v>-0.13</v>
      </c>
      <c r="I835" s="21" t="n">
        <f aca="false">IF(H835&lt;=0,999,ROUND(F835/H835,1))</f>
        <v>999</v>
      </c>
      <c r="J835" s="9" t="n">
        <f aca="false">SUMIFS(ROBA_U_DOLASKU!$C$6:$C$95,ROBA_U_DOLASKU!$A$6:$A$95,A835,ROBA_U_DOLASKU!$H$6:$H$95,1)</f>
        <v>0</v>
      </c>
      <c r="K835" s="9" t="n">
        <f aca="false">SUMIFS(ROBA_U_DOLASKU!$B$6:$B$95,ROBA_U_DOLASKU!$A$6:$A$95,A835,ROBA_U_DOLASKU!$H$6:$H$95,1)</f>
        <v>0</v>
      </c>
      <c r="L835" s="9" t="n">
        <f aca="false">SUMIFS(ROBA_U_DOLASKU!$C$6:$C$95,ROBA_U_DOLASKU!$A$6:$A$95,A835,ROBA_U_DOLASKU!$H$6:$H$95,2)</f>
        <v>0</v>
      </c>
      <c r="M835" s="9" t="n">
        <f aca="false">SUMIFS(ROBA_U_DOLASKU!$B$6:$B$95,ROBA_U_DOLASKU!$A$6:$A$95,A835,ROBA_U_DOLASKU!$H$6:$H$95,2)</f>
        <v>0</v>
      </c>
      <c r="N835" s="9" t="n">
        <f aca="false">SUMIFS(ROBA_U_DOLASKU!$C$6:$C$95,ROBA_U_DOLASKU!$A$6:$A$95,A835,ROBA_U_DOLASKU!$H$6:$H$95,3)</f>
        <v>0</v>
      </c>
      <c r="O835" s="9" t="n">
        <f aca="false">SUMIFS(ROBA_U_DOLASKU!$B$6:$B$95,ROBA_U_DOLASKU!$A$6:$A$95,A835,ROBA_U_DOLASKU!$H$6:$H$95,3)</f>
        <v>0</v>
      </c>
      <c r="P835" s="9" t="n">
        <f aca="false">IF(H835&lt;=0,999,IF(O835&gt;0,ROUND((F835-H835*N835+K835+M835+O835)/H835,1),IF(M835&gt;0,ROUND((F835-H835*L835+K835+M835)/H835,1),IF(K835&gt;0,ROUND((F835-H835*J835+K835)/H835,1),I835))))</f>
        <v>999</v>
      </c>
      <c r="Q835" s="22" t="str">
        <f aca="false">IF(H835&lt;=0,"Nema prodaje",IF(AND(K835=0,M835=0,O835=0),IF(I835&lt;POSTAVKE!$B$6,"Naruči odmah","Sve u redu"),IF(F835-H835*J835&lt;0,"Rupa za ~"&amp;TEXT(I835,"0.0")&amp;" mj.",IF(AND(M835&gt;0,F835-H835*L835+K835&lt;0),"Rupa nakon 1. dolaska",IF(AND(O835&gt;0,F835-H835*N835+K835+M835&lt;0),"Rupa nakon 2. dolaska",IF(P835&lt;POSTAVKE!$B$6,"Količina nije dovoljna",IF(I835&gt;=POSTAVKE!$B$6,"Sve u redu","Stiže na vrijeme")))))))</f>
        <v>Nema prodaje</v>
      </c>
      <c r="S835" s="23" t="n">
        <f aca="false">IFERROR(INDEX(PODACI_PRODAJA!B:B,MATCH($A835,PODACI_PRODAJA!$A:$A,0)),0)</f>
        <v>0</v>
      </c>
      <c r="T835" s="23" t="n">
        <f aca="false">IFERROR(INDEX(PODACI_PRODAJA!C:C,MATCH($A835,PODACI_PRODAJA!$A:$A,0)),0)</f>
        <v>0</v>
      </c>
      <c r="U835" s="23" t="n">
        <f aca="false">IFERROR(INDEX(PODACI_PRODAJA!D:D,MATCH($A835,PODACI_PRODAJA!$A:$A,0)),0)</f>
        <v>0</v>
      </c>
      <c r="V835" s="23" t="n">
        <f aca="false">IFERROR(INDEX(PODACI_PRODAJA!E:E,MATCH($A835,PODACI_PRODAJA!$A:$A,0)),0)</f>
        <v>0</v>
      </c>
      <c r="W835" s="23" t="n">
        <f aca="false">IFERROR(INDEX(PODACI_PRODAJA!F:F,MATCH($A835,PODACI_PRODAJA!$A:$A,0)),0)</f>
        <v>0</v>
      </c>
      <c r="X835" s="23" t="n">
        <f aca="false">IFERROR(INDEX(PODACI_PRODAJA!G:G,MATCH($A835,PODACI_PRODAJA!$A:$A,0)),0)</f>
        <v>0</v>
      </c>
      <c r="Y835" s="23" t="n">
        <f aca="false">IFERROR(INDEX(PODACI_PRODAJA!H:H,MATCH($A835,PODACI_PRODAJA!$A:$A,0)),0)</f>
        <v>-1</v>
      </c>
      <c r="Z835" s="23" t="n">
        <f aca="false">IFERROR(INDEX(PODACI_PRODAJA!I:I,MATCH($A835,PODACI_PRODAJA!$A:$A,0)),0)</f>
        <v>0</v>
      </c>
      <c r="AA835" s="23" t="n">
        <f aca="false">IFERROR(INDEX(PODACI_PRODAJA!J:J,MATCH($A835,PODACI_PRODAJA!$A:$A,0)),0)</f>
        <v>0</v>
      </c>
      <c r="AB835" s="23" t="n">
        <f aca="false">IFERROR(INDEX(PODACI_PRODAJA!K:K,MATCH($A835,PODACI_PRODAJA!$A:$A,0)),0)</f>
        <v>0</v>
      </c>
      <c r="AC835" s="23" t="n">
        <f aca="false">IFERROR(INDEX(PODACI_PRODAJA!L:L,MATCH($A835,PODACI_PRODAJA!$A:$A,0)),0)</f>
        <v>0</v>
      </c>
      <c r="AD835" s="23" t="n">
        <f aca="false">IFERROR(INDEX(PODACI_PRODAJA!M:M,MATCH($A835,PODACI_PRODAJA!$A:$A,0)),0)</f>
        <v>0</v>
      </c>
    </row>
    <row r="836" customFormat="false" ht="15" hidden="false" customHeight="false" outlineLevel="0" collapsed="false">
      <c r="A836" s="11" t="str">
        <f aca="false">PODACI_ZALIHE!A833</f>
        <v>003896</v>
      </c>
      <c r="B836" s="8" t="str">
        <f aca="false">PODACI_ZALIHE!B833</f>
        <v>AURA BRONZE TUŠ SET - 3 FUNKCIJE</v>
      </c>
      <c r="C836" s="9" t="n">
        <f aca="false">PODACI_ZALIHE!C833</f>
        <v>0</v>
      </c>
      <c r="D836" s="8" t="n">
        <f aca="false">PODACI_ZALIHE!D833</f>
        <v>0</v>
      </c>
      <c r="E836" s="19" t="str">
        <f aca="false">IF(PODACI_ZALIHE!E833="","",PODACI_ZALIHE!E833)</f>
        <v/>
      </c>
      <c r="F836" s="20" t="n">
        <f aca="false">PODACI_ZALIHE!F833</f>
        <v>0</v>
      </c>
      <c r="G836" s="19" t="str">
        <f aca="false">IF(E836="","",E836-F836)</f>
        <v/>
      </c>
      <c r="H836" s="9" t="n">
        <f aca="false">PODACI_PRODAJA!N374</f>
        <v>0.13</v>
      </c>
      <c r="I836" s="21" t="n">
        <f aca="false">IF(H836&lt;=0,999,ROUND(F836/H836,1))</f>
        <v>0</v>
      </c>
      <c r="J836" s="9" t="n">
        <f aca="false">SUMIFS(ROBA_U_DOLASKU!$C$6:$C$95,ROBA_U_DOLASKU!$A$6:$A$95,A836,ROBA_U_DOLASKU!$H$6:$H$95,1)</f>
        <v>0</v>
      </c>
      <c r="K836" s="9" t="n">
        <f aca="false">SUMIFS(ROBA_U_DOLASKU!$B$6:$B$95,ROBA_U_DOLASKU!$A$6:$A$95,A836,ROBA_U_DOLASKU!$H$6:$H$95,1)</f>
        <v>0</v>
      </c>
      <c r="L836" s="9" t="n">
        <f aca="false">SUMIFS(ROBA_U_DOLASKU!$C$6:$C$95,ROBA_U_DOLASKU!$A$6:$A$95,A836,ROBA_U_DOLASKU!$H$6:$H$95,2)</f>
        <v>0</v>
      </c>
      <c r="M836" s="9" t="n">
        <f aca="false">SUMIFS(ROBA_U_DOLASKU!$B$6:$B$95,ROBA_U_DOLASKU!$A$6:$A$95,A836,ROBA_U_DOLASKU!$H$6:$H$95,2)</f>
        <v>0</v>
      </c>
      <c r="N836" s="9" t="n">
        <f aca="false">SUMIFS(ROBA_U_DOLASKU!$C$6:$C$95,ROBA_U_DOLASKU!$A$6:$A$95,A836,ROBA_U_DOLASKU!$H$6:$H$95,3)</f>
        <v>0</v>
      </c>
      <c r="O836" s="9" t="n">
        <f aca="false">SUMIFS(ROBA_U_DOLASKU!$B$6:$B$95,ROBA_U_DOLASKU!$A$6:$A$95,A836,ROBA_U_DOLASKU!$H$6:$H$95,3)</f>
        <v>0</v>
      </c>
      <c r="P836" s="9" t="n">
        <f aca="false">IF(H836&lt;=0,999,IF(O836&gt;0,ROUND((F836-H836*N836+K836+M836+O836)/H836,1),IF(M836&gt;0,ROUND((F836-H836*L836+K836+M836)/H836,1),IF(K836&gt;0,ROUND((F836-H836*J836+K836)/H836,1),I836))))</f>
        <v>0</v>
      </c>
      <c r="Q836" s="22" t="str">
        <f aca="false">IF(H836&lt;=0,"Nema prodaje",IF(AND(K836=0,M836=0,O836=0),IF(I836&lt;POSTAVKE!$B$6,"Naruči odmah","Sve u redu"),IF(F836-H836*J836&lt;0,"Rupa za ~"&amp;TEXT(I836,"0.0")&amp;" mj.",IF(AND(M836&gt;0,F836-H836*L836+K836&lt;0),"Rupa nakon 1. dolaska",IF(AND(O836&gt;0,F836-H836*N836+K836+M836&lt;0),"Rupa nakon 2. dolaska",IF(P836&lt;POSTAVKE!$B$6,"Količina nije dovoljna",IF(I836&gt;=POSTAVKE!$B$6,"Sve u redu","Stiže na vrijeme")))))))</f>
        <v>Naruči odmah</v>
      </c>
      <c r="S836" s="23" t="n">
        <f aca="false">IFERROR(INDEX(PODACI_PRODAJA!B:B,MATCH($A836,PODACI_PRODAJA!$A:$A,0)),0)</f>
        <v>0</v>
      </c>
      <c r="T836" s="23" t="n">
        <f aca="false">IFERROR(INDEX(PODACI_PRODAJA!C:C,MATCH($A836,PODACI_PRODAJA!$A:$A,0)),0)</f>
        <v>0</v>
      </c>
      <c r="U836" s="23" t="n">
        <f aca="false">IFERROR(INDEX(PODACI_PRODAJA!D:D,MATCH($A836,PODACI_PRODAJA!$A:$A,0)),0)</f>
        <v>0</v>
      </c>
      <c r="V836" s="23" t="n">
        <f aca="false">IFERROR(INDEX(PODACI_PRODAJA!E:E,MATCH($A836,PODACI_PRODAJA!$A:$A,0)),0)</f>
        <v>1</v>
      </c>
      <c r="W836" s="23" t="n">
        <f aca="false">IFERROR(INDEX(PODACI_PRODAJA!F:F,MATCH($A836,PODACI_PRODAJA!$A:$A,0)),0)</f>
        <v>0</v>
      </c>
      <c r="X836" s="23" t="n">
        <f aca="false">IFERROR(INDEX(PODACI_PRODAJA!G:G,MATCH($A836,PODACI_PRODAJA!$A:$A,0)),0)</f>
        <v>0</v>
      </c>
      <c r="Y836" s="23" t="n">
        <f aca="false">IFERROR(INDEX(PODACI_PRODAJA!H:H,MATCH($A836,PODACI_PRODAJA!$A:$A,0)),0)</f>
        <v>0</v>
      </c>
      <c r="Z836" s="23" t="n">
        <f aca="false">IFERROR(INDEX(PODACI_PRODAJA!I:I,MATCH($A836,PODACI_PRODAJA!$A:$A,0)),0)</f>
        <v>0</v>
      </c>
      <c r="AA836" s="23" t="n">
        <f aca="false">IFERROR(INDEX(PODACI_PRODAJA!J:J,MATCH($A836,PODACI_PRODAJA!$A:$A,0)),0)</f>
        <v>0</v>
      </c>
      <c r="AB836" s="23" t="n">
        <f aca="false">IFERROR(INDEX(PODACI_PRODAJA!K:K,MATCH($A836,PODACI_PRODAJA!$A:$A,0)),0)</f>
        <v>0</v>
      </c>
      <c r="AC836" s="23" t="n">
        <f aca="false">IFERROR(INDEX(PODACI_PRODAJA!L:L,MATCH($A836,PODACI_PRODAJA!$A:$A,0)),0)</f>
        <v>0</v>
      </c>
      <c r="AD836" s="23" t="n">
        <f aca="false">IFERROR(INDEX(PODACI_PRODAJA!M:M,MATCH($A836,PODACI_PRODAJA!$A:$A,0)),0)</f>
        <v>0</v>
      </c>
    </row>
    <row r="837" customFormat="false" ht="15" hidden="false" customHeight="false" outlineLevel="0" collapsed="false">
      <c r="A837" s="11" t="str">
        <f aca="false">PODACI_ZALIHE!A834</f>
        <v>00498</v>
      </c>
      <c r="B837" s="8" t="str">
        <f aca="false">PODACI_ZALIHE!B834</f>
        <v>GL-Z128-5P TUŠ KABINA 80x100x200 cm</v>
      </c>
      <c r="C837" s="9" t="n">
        <f aca="false">PODACI_ZALIHE!C834</f>
        <v>0</v>
      </c>
      <c r="D837" s="8" t="n">
        <f aca="false">PODACI_ZALIHE!D834</f>
        <v>0</v>
      </c>
      <c r="E837" s="19" t="str">
        <f aca="false">IF(PODACI_ZALIHE!E834="","",PODACI_ZALIHE!E834)</f>
        <v/>
      </c>
      <c r="F837" s="20" t="n">
        <f aca="false">PODACI_ZALIHE!F834</f>
        <v>0</v>
      </c>
      <c r="G837" s="19" t="str">
        <f aca="false">IF(E837="","",E837-F837)</f>
        <v/>
      </c>
      <c r="H837" s="9" t="n">
        <f aca="false">PODACI_PRODAJA!N378</f>
        <v>0</v>
      </c>
      <c r="I837" s="21" t="n">
        <f aca="false">IF(H837&lt;=0,999,ROUND(F837/H837,1))</f>
        <v>999</v>
      </c>
      <c r="J837" s="9" t="n">
        <f aca="false">SUMIFS(ROBA_U_DOLASKU!$C$6:$C$95,ROBA_U_DOLASKU!$A$6:$A$95,A837,ROBA_U_DOLASKU!$H$6:$H$95,1)</f>
        <v>0</v>
      </c>
      <c r="K837" s="9" t="n">
        <f aca="false">SUMIFS(ROBA_U_DOLASKU!$B$6:$B$95,ROBA_U_DOLASKU!$A$6:$A$95,A837,ROBA_U_DOLASKU!$H$6:$H$95,1)</f>
        <v>0</v>
      </c>
      <c r="L837" s="9" t="n">
        <f aca="false">SUMIFS(ROBA_U_DOLASKU!$C$6:$C$95,ROBA_U_DOLASKU!$A$6:$A$95,A837,ROBA_U_DOLASKU!$H$6:$H$95,2)</f>
        <v>0</v>
      </c>
      <c r="M837" s="9" t="n">
        <f aca="false">SUMIFS(ROBA_U_DOLASKU!$B$6:$B$95,ROBA_U_DOLASKU!$A$6:$A$95,A837,ROBA_U_DOLASKU!$H$6:$H$95,2)</f>
        <v>0</v>
      </c>
      <c r="N837" s="9" t="n">
        <f aca="false">SUMIFS(ROBA_U_DOLASKU!$C$6:$C$95,ROBA_U_DOLASKU!$A$6:$A$95,A837,ROBA_U_DOLASKU!$H$6:$H$95,3)</f>
        <v>0</v>
      </c>
      <c r="O837" s="9" t="n">
        <f aca="false">SUMIFS(ROBA_U_DOLASKU!$B$6:$B$95,ROBA_U_DOLASKU!$A$6:$A$95,A837,ROBA_U_DOLASKU!$H$6:$H$95,3)</f>
        <v>0</v>
      </c>
      <c r="P837" s="9" t="n">
        <f aca="false">IF(H837&lt;=0,999,IF(O837&gt;0,ROUND((F837-H837*N837+K837+M837+O837)/H837,1),IF(M837&gt;0,ROUND((F837-H837*L837+K837+M837)/H837,1),IF(K837&gt;0,ROUND((F837-H837*J837+K837)/H837,1),I837))))</f>
        <v>999</v>
      </c>
      <c r="Q837" s="22" t="str">
        <f aca="false">IF(H837&lt;=0,"Nema prodaje",IF(AND(K837=0,M837=0,O837=0),IF(I837&lt;POSTAVKE!$B$6,"Naruči odmah","Sve u redu"),IF(F837-H837*J837&lt;0,"Rupa za ~"&amp;TEXT(I837,"0.0")&amp;" mj.",IF(AND(M837&gt;0,F837-H837*L837+K837&lt;0),"Rupa nakon 1. dolaska",IF(AND(O837&gt;0,F837-H837*N837+K837+M837&lt;0),"Rupa nakon 2. dolaska",IF(P837&lt;POSTAVKE!$B$6,"Količina nije dovoljna",IF(I837&gt;=POSTAVKE!$B$6,"Sve u redu","Stiže na vrijeme")))))))</f>
        <v>Nema prodaje</v>
      </c>
      <c r="S837" s="23" t="n">
        <f aca="false">IFERROR(INDEX(PODACI_PRODAJA!B:B,MATCH($A837,PODACI_PRODAJA!$A:$A,0)),0)</f>
        <v>0</v>
      </c>
      <c r="T837" s="23" t="n">
        <f aca="false">IFERROR(INDEX(PODACI_PRODAJA!C:C,MATCH($A837,PODACI_PRODAJA!$A:$A,0)),0)</f>
        <v>0</v>
      </c>
      <c r="U837" s="23" t="n">
        <f aca="false">IFERROR(INDEX(PODACI_PRODAJA!D:D,MATCH($A837,PODACI_PRODAJA!$A:$A,0)),0)</f>
        <v>0</v>
      </c>
      <c r="V837" s="23" t="n">
        <f aca="false">IFERROR(INDEX(PODACI_PRODAJA!E:E,MATCH($A837,PODACI_PRODAJA!$A:$A,0)),0)</f>
        <v>0</v>
      </c>
      <c r="W837" s="23" t="n">
        <f aca="false">IFERROR(INDEX(PODACI_PRODAJA!F:F,MATCH($A837,PODACI_PRODAJA!$A:$A,0)),0)</f>
        <v>0</v>
      </c>
      <c r="X837" s="23" t="n">
        <f aca="false">IFERROR(INDEX(PODACI_PRODAJA!G:G,MATCH($A837,PODACI_PRODAJA!$A:$A,0)),0)</f>
        <v>0</v>
      </c>
      <c r="Y837" s="23" t="n">
        <f aca="false">IFERROR(INDEX(PODACI_PRODAJA!H:H,MATCH($A837,PODACI_PRODAJA!$A:$A,0)),0)</f>
        <v>0</v>
      </c>
      <c r="Z837" s="23" t="n">
        <f aca="false">IFERROR(INDEX(PODACI_PRODAJA!I:I,MATCH($A837,PODACI_PRODAJA!$A:$A,0)),0)</f>
        <v>0</v>
      </c>
      <c r="AA837" s="23" t="n">
        <f aca="false">IFERROR(INDEX(PODACI_PRODAJA!J:J,MATCH($A837,PODACI_PRODAJA!$A:$A,0)),0)</f>
        <v>0</v>
      </c>
      <c r="AB837" s="23" t="n">
        <f aca="false">IFERROR(INDEX(PODACI_PRODAJA!K:K,MATCH($A837,PODACI_PRODAJA!$A:$A,0)),0)</f>
        <v>0</v>
      </c>
      <c r="AC837" s="23" t="n">
        <f aca="false">IFERROR(INDEX(PODACI_PRODAJA!L:L,MATCH($A837,PODACI_PRODAJA!$A:$A,0)),0)</f>
        <v>0</v>
      </c>
      <c r="AD837" s="23" t="n">
        <f aca="false">IFERROR(INDEX(PODACI_PRODAJA!M:M,MATCH($A837,PODACI_PRODAJA!$A:$A,0)),0)</f>
        <v>0</v>
      </c>
    </row>
    <row r="838" customFormat="false" ht="15" hidden="false" customHeight="false" outlineLevel="0" collapsed="false">
      <c r="A838" s="11" t="str">
        <f aca="false">PODACI_ZALIHE!A835</f>
        <v>00688</v>
      </c>
      <c r="B838" s="8" t="str">
        <f aca="false">PODACI_ZALIHE!B835</f>
        <v>TK BIELSA 80 POLUKRUŽNA TUŠ KABINA 80x80x185 cm</v>
      </c>
      <c r="C838" s="9" t="n">
        <f aca="false">PODACI_ZALIHE!C835</f>
        <v>0</v>
      </c>
      <c r="D838" s="8" t="n">
        <f aca="false">PODACI_ZALIHE!D835</f>
        <v>0</v>
      </c>
      <c r="E838" s="19" t="str">
        <f aca="false">IF(PODACI_ZALIHE!E835="","",PODACI_ZALIHE!E835)</f>
        <v/>
      </c>
      <c r="F838" s="20" t="n">
        <f aca="false">PODACI_ZALIHE!F835</f>
        <v>0</v>
      </c>
      <c r="G838" s="19" t="str">
        <f aca="false">IF(E838="","",E838-F838)</f>
        <v/>
      </c>
      <c r="H838" s="9" t="n">
        <f aca="false">PODACI_PRODAJA!N391</f>
        <v>0</v>
      </c>
      <c r="I838" s="21" t="n">
        <f aca="false">IF(H838&lt;=0,999,ROUND(F838/H838,1))</f>
        <v>999</v>
      </c>
      <c r="J838" s="9" t="n">
        <f aca="false">SUMIFS(ROBA_U_DOLASKU!$C$6:$C$95,ROBA_U_DOLASKU!$A$6:$A$95,A838,ROBA_U_DOLASKU!$H$6:$H$95,1)</f>
        <v>0</v>
      </c>
      <c r="K838" s="9" t="n">
        <f aca="false">SUMIFS(ROBA_U_DOLASKU!$B$6:$B$95,ROBA_U_DOLASKU!$A$6:$A$95,A838,ROBA_U_DOLASKU!$H$6:$H$95,1)</f>
        <v>0</v>
      </c>
      <c r="L838" s="9" t="n">
        <f aca="false">SUMIFS(ROBA_U_DOLASKU!$C$6:$C$95,ROBA_U_DOLASKU!$A$6:$A$95,A838,ROBA_U_DOLASKU!$H$6:$H$95,2)</f>
        <v>0</v>
      </c>
      <c r="M838" s="9" t="n">
        <f aca="false">SUMIFS(ROBA_U_DOLASKU!$B$6:$B$95,ROBA_U_DOLASKU!$A$6:$A$95,A838,ROBA_U_DOLASKU!$H$6:$H$95,2)</f>
        <v>0</v>
      </c>
      <c r="N838" s="9" t="n">
        <f aca="false">SUMIFS(ROBA_U_DOLASKU!$C$6:$C$95,ROBA_U_DOLASKU!$A$6:$A$95,A838,ROBA_U_DOLASKU!$H$6:$H$95,3)</f>
        <v>0</v>
      </c>
      <c r="O838" s="9" t="n">
        <f aca="false">SUMIFS(ROBA_U_DOLASKU!$B$6:$B$95,ROBA_U_DOLASKU!$A$6:$A$95,A838,ROBA_U_DOLASKU!$H$6:$H$95,3)</f>
        <v>0</v>
      </c>
      <c r="P838" s="9" t="n">
        <f aca="false">IF(H838&lt;=0,999,IF(O838&gt;0,ROUND((F838-H838*N838+K838+M838+O838)/H838,1),IF(M838&gt;0,ROUND((F838-H838*L838+K838+M838)/H838,1),IF(K838&gt;0,ROUND((F838-H838*J838+K838)/H838,1),I838))))</f>
        <v>999</v>
      </c>
      <c r="Q838" s="22" t="str">
        <f aca="false">IF(H838&lt;=0,"Nema prodaje",IF(AND(K838=0,M838=0,O838=0),IF(I838&lt;POSTAVKE!$B$6,"Naruči odmah","Sve u redu"),IF(F838-H838*J838&lt;0,"Rupa za ~"&amp;TEXT(I838,"0.0")&amp;" mj.",IF(AND(M838&gt;0,F838-H838*L838+K838&lt;0),"Rupa nakon 1. dolaska",IF(AND(O838&gt;0,F838-H838*N838+K838+M838&lt;0),"Rupa nakon 2. dolaska",IF(P838&lt;POSTAVKE!$B$6,"Količina nije dovoljna",IF(I838&gt;=POSTAVKE!$B$6,"Sve u redu","Stiže na vrijeme")))))))</f>
        <v>Nema prodaje</v>
      </c>
      <c r="S838" s="23" t="n">
        <f aca="false">IFERROR(INDEX(PODACI_PRODAJA!B:B,MATCH($A838,PODACI_PRODAJA!$A:$A,0)),0)</f>
        <v>0</v>
      </c>
      <c r="T838" s="23" t="n">
        <f aca="false">IFERROR(INDEX(PODACI_PRODAJA!C:C,MATCH($A838,PODACI_PRODAJA!$A:$A,0)),0)</f>
        <v>0</v>
      </c>
      <c r="U838" s="23" t="n">
        <f aca="false">IFERROR(INDEX(PODACI_PRODAJA!D:D,MATCH($A838,PODACI_PRODAJA!$A:$A,0)),0)</f>
        <v>0</v>
      </c>
      <c r="V838" s="23" t="n">
        <f aca="false">IFERROR(INDEX(PODACI_PRODAJA!E:E,MATCH($A838,PODACI_PRODAJA!$A:$A,0)),0)</f>
        <v>0</v>
      </c>
      <c r="W838" s="23" t="n">
        <f aca="false">IFERROR(INDEX(PODACI_PRODAJA!F:F,MATCH($A838,PODACI_PRODAJA!$A:$A,0)),0)</f>
        <v>0</v>
      </c>
      <c r="X838" s="23" t="n">
        <f aca="false">IFERROR(INDEX(PODACI_PRODAJA!G:G,MATCH($A838,PODACI_PRODAJA!$A:$A,0)),0)</f>
        <v>0</v>
      </c>
      <c r="Y838" s="23" t="n">
        <f aca="false">IFERROR(INDEX(PODACI_PRODAJA!H:H,MATCH($A838,PODACI_PRODAJA!$A:$A,0)),0)</f>
        <v>0</v>
      </c>
      <c r="Z838" s="23" t="n">
        <f aca="false">IFERROR(INDEX(PODACI_PRODAJA!I:I,MATCH($A838,PODACI_PRODAJA!$A:$A,0)),0)</f>
        <v>0</v>
      </c>
      <c r="AA838" s="23" t="n">
        <f aca="false">IFERROR(INDEX(PODACI_PRODAJA!J:J,MATCH($A838,PODACI_PRODAJA!$A:$A,0)),0)</f>
        <v>0</v>
      </c>
      <c r="AB838" s="23" t="n">
        <f aca="false">IFERROR(INDEX(PODACI_PRODAJA!K:K,MATCH($A838,PODACI_PRODAJA!$A:$A,0)),0)</f>
        <v>0</v>
      </c>
      <c r="AC838" s="23" t="n">
        <f aca="false">IFERROR(INDEX(PODACI_PRODAJA!L:L,MATCH($A838,PODACI_PRODAJA!$A:$A,0)),0)</f>
        <v>0</v>
      </c>
      <c r="AD838" s="23" t="n">
        <f aca="false">IFERROR(INDEX(PODACI_PRODAJA!M:M,MATCH($A838,PODACI_PRODAJA!$A:$A,0)),0)</f>
        <v>0</v>
      </c>
    </row>
    <row r="839" customFormat="false" ht="15" hidden="false" customHeight="false" outlineLevel="0" collapsed="false">
      <c r="A839" s="11" t="str">
        <f aca="false">PODACI_ZALIHE!A836</f>
        <v>00689</v>
      </c>
      <c r="B839" s="8" t="str">
        <f aca="false">PODACI_ZALIHE!B836</f>
        <v>TK BIELSA 90 POLUKRUŽNA TUŠ KABINA 90x90x185 cm</v>
      </c>
      <c r="C839" s="9" t="n">
        <f aca="false">PODACI_ZALIHE!C836</f>
        <v>0</v>
      </c>
      <c r="D839" s="8" t="n">
        <f aca="false">PODACI_ZALIHE!D836</f>
        <v>0</v>
      </c>
      <c r="E839" s="19" t="str">
        <f aca="false">IF(PODACI_ZALIHE!E836="","",PODACI_ZALIHE!E836)</f>
        <v/>
      </c>
      <c r="F839" s="20" t="n">
        <f aca="false">PODACI_ZALIHE!F836</f>
        <v>0</v>
      </c>
      <c r="G839" s="19" t="str">
        <f aca="false">IF(E839="","",E839-F839)</f>
        <v/>
      </c>
      <c r="H839" s="9" t="n">
        <f aca="false">PODACI_PRODAJA!N392</f>
        <v>0</v>
      </c>
      <c r="I839" s="21" t="n">
        <f aca="false">IF(H839&lt;=0,999,ROUND(F839/H839,1))</f>
        <v>999</v>
      </c>
      <c r="J839" s="9" t="n">
        <f aca="false">SUMIFS(ROBA_U_DOLASKU!$C$6:$C$95,ROBA_U_DOLASKU!$A$6:$A$95,A839,ROBA_U_DOLASKU!$H$6:$H$95,1)</f>
        <v>0</v>
      </c>
      <c r="K839" s="9" t="n">
        <f aca="false">SUMIFS(ROBA_U_DOLASKU!$B$6:$B$95,ROBA_U_DOLASKU!$A$6:$A$95,A839,ROBA_U_DOLASKU!$H$6:$H$95,1)</f>
        <v>0</v>
      </c>
      <c r="L839" s="9" t="n">
        <f aca="false">SUMIFS(ROBA_U_DOLASKU!$C$6:$C$95,ROBA_U_DOLASKU!$A$6:$A$95,A839,ROBA_U_DOLASKU!$H$6:$H$95,2)</f>
        <v>0</v>
      </c>
      <c r="M839" s="9" t="n">
        <f aca="false">SUMIFS(ROBA_U_DOLASKU!$B$6:$B$95,ROBA_U_DOLASKU!$A$6:$A$95,A839,ROBA_U_DOLASKU!$H$6:$H$95,2)</f>
        <v>0</v>
      </c>
      <c r="N839" s="9" t="n">
        <f aca="false">SUMIFS(ROBA_U_DOLASKU!$C$6:$C$95,ROBA_U_DOLASKU!$A$6:$A$95,A839,ROBA_U_DOLASKU!$H$6:$H$95,3)</f>
        <v>0</v>
      </c>
      <c r="O839" s="9" t="n">
        <f aca="false">SUMIFS(ROBA_U_DOLASKU!$B$6:$B$95,ROBA_U_DOLASKU!$A$6:$A$95,A839,ROBA_U_DOLASKU!$H$6:$H$95,3)</f>
        <v>0</v>
      </c>
      <c r="P839" s="9" t="n">
        <f aca="false">IF(H839&lt;=0,999,IF(O839&gt;0,ROUND((F839-H839*N839+K839+M839+O839)/H839,1),IF(M839&gt;0,ROUND((F839-H839*L839+K839+M839)/H839,1),IF(K839&gt;0,ROUND((F839-H839*J839+K839)/H839,1),I839))))</f>
        <v>999</v>
      </c>
      <c r="Q839" s="22" t="str">
        <f aca="false">IF(H839&lt;=0,"Nema prodaje",IF(AND(K839=0,M839=0,O839=0),IF(I839&lt;POSTAVKE!$B$6,"Naruči odmah","Sve u redu"),IF(F839-H839*J839&lt;0,"Rupa za ~"&amp;TEXT(I839,"0.0")&amp;" mj.",IF(AND(M839&gt;0,F839-H839*L839+K839&lt;0),"Rupa nakon 1. dolaska",IF(AND(O839&gt;0,F839-H839*N839+K839+M839&lt;0),"Rupa nakon 2. dolaska",IF(P839&lt;POSTAVKE!$B$6,"Količina nije dovoljna",IF(I839&gt;=POSTAVKE!$B$6,"Sve u redu","Stiže na vrijeme")))))))</f>
        <v>Nema prodaje</v>
      </c>
      <c r="S839" s="23" t="n">
        <f aca="false">IFERROR(INDEX(PODACI_PRODAJA!B:B,MATCH($A839,PODACI_PRODAJA!$A:$A,0)),0)</f>
        <v>0</v>
      </c>
      <c r="T839" s="23" t="n">
        <f aca="false">IFERROR(INDEX(PODACI_PRODAJA!C:C,MATCH($A839,PODACI_PRODAJA!$A:$A,0)),0)</f>
        <v>0</v>
      </c>
      <c r="U839" s="23" t="n">
        <f aca="false">IFERROR(INDEX(PODACI_PRODAJA!D:D,MATCH($A839,PODACI_PRODAJA!$A:$A,0)),0)</f>
        <v>0</v>
      </c>
      <c r="V839" s="23" t="n">
        <f aca="false">IFERROR(INDEX(PODACI_PRODAJA!E:E,MATCH($A839,PODACI_PRODAJA!$A:$A,0)),0)</f>
        <v>0</v>
      </c>
      <c r="W839" s="23" t="n">
        <f aca="false">IFERROR(INDEX(PODACI_PRODAJA!F:F,MATCH($A839,PODACI_PRODAJA!$A:$A,0)),0)</f>
        <v>0</v>
      </c>
      <c r="X839" s="23" t="n">
        <f aca="false">IFERROR(INDEX(PODACI_PRODAJA!G:G,MATCH($A839,PODACI_PRODAJA!$A:$A,0)),0)</f>
        <v>0</v>
      </c>
      <c r="Y839" s="23" t="n">
        <f aca="false">IFERROR(INDEX(PODACI_PRODAJA!H:H,MATCH($A839,PODACI_PRODAJA!$A:$A,0)),0)</f>
        <v>0</v>
      </c>
      <c r="Z839" s="23" t="n">
        <f aca="false">IFERROR(INDEX(PODACI_PRODAJA!I:I,MATCH($A839,PODACI_PRODAJA!$A:$A,0)),0)</f>
        <v>0</v>
      </c>
      <c r="AA839" s="23" t="n">
        <f aca="false">IFERROR(INDEX(PODACI_PRODAJA!J:J,MATCH($A839,PODACI_PRODAJA!$A:$A,0)),0)</f>
        <v>0</v>
      </c>
      <c r="AB839" s="23" t="n">
        <f aca="false">IFERROR(INDEX(PODACI_PRODAJA!K:K,MATCH($A839,PODACI_PRODAJA!$A:$A,0)),0)</f>
        <v>0</v>
      </c>
      <c r="AC839" s="23" t="n">
        <f aca="false">IFERROR(INDEX(PODACI_PRODAJA!L:L,MATCH($A839,PODACI_PRODAJA!$A:$A,0)),0)</f>
        <v>0</v>
      </c>
      <c r="AD839" s="23" t="n">
        <f aca="false">IFERROR(INDEX(PODACI_PRODAJA!M:M,MATCH($A839,PODACI_PRODAJA!$A:$A,0)),0)</f>
        <v>0</v>
      </c>
    </row>
    <row r="840" customFormat="false" ht="15" hidden="false" customHeight="false" outlineLevel="0" collapsed="false">
      <c r="A840" s="11" t="str">
        <f aca="false">PODACI_ZALIHE!A837</f>
        <v>025020</v>
      </c>
      <c r="B840" s="8" t="str">
        <f aca="false">PODACI_ZALIHE!B837</f>
        <v>QUINN NADGRADNI UMIVAONIK 590x385x200 mm</v>
      </c>
      <c r="C840" s="9" t="n">
        <f aca="false">PODACI_ZALIHE!C837</f>
        <v>0</v>
      </c>
      <c r="D840" s="8" t="n">
        <f aca="false">PODACI_ZALIHE!D837</f>
        <v>0</v>
      </c>
      <c r="E840" s="19" t="str">
        <f aca="false">IF(PODACI_ZALIHE!E837="","",PODACI_ZALIHE!E837)</f>
        <v/>
      </c>
      <c r="F840" s="20" t="n">
        <f aca="false">PODACI_ZALIHE!F837</f>
        <v>0</v>
      </c>
      <c r="G840" s="19" t="str">
        <f aca="false">IF(E840="","",E840-F840)</f>
        <v/>
      </c>
      <c r="H840" s="9" t="n">
        <f aca="false">PODACI_PRODAJA!N401</f>
        <v>-0.25</v>
      </c>
      <c r="I840" s="21" t="n">
        <f aca="false">IF(H840&lt;=0,999,ROUND(F840/H840,1))</f>
        <v>999</v>
      </c>
      <c r="J840" s="9" t="n">
        <f aca="false">SUMIFS(ROBA_U_DOLASKU!$C$6:$C$95,ROBA_U_DOLASKU!$A$6:$A$95,A840,ROBA_U_DOLASKU!$H$6:$H$95,1)</f>
        <v>0</v>
      </c>
      <c r="K840" s="9" t="n">
        <f aca="false">SUMIFS(ROBA_U_DOLASKU!$B$6:$B$95,ROBA_U_DOLASKU!$A$6:$A$95,A840,ROBA_U_DOLASKU!$H$6:$H$95,1)</f>
        <v>0</v>
      </c>
      <c r="L840" s="9" t="n">
        <f aca="false">SUMIFS(ROBA_U_DOLASKU!$C$6:$C$95,ROBA_U_DOLASKU!$A$6:$A$95,A840,ROBA_U_DOLASKU!$H$6:$H$95,2)</f>
        <v>0</v>
      </c>
      <c r="M840" s="9" t="n">
        <f aca="false">SUMIFS(ROBA_U_DOLASKU!$B$6:$B$95,ROBA_U_DOLASKU!$A$6:$A$95,A840,ROBA_U_DOLASKU!$H$6:$H$95,2)</f>
        <v>0</v>
      </c>
      <c r="N840" s="9" t="n">
        <f aca="false">SUMIFS(ROBA_U_DOLASKU!$C$6:$C$95,ROBA_U_DOLASKU!$A$6:$A$95,A840,ROBA_U_DOLASKU!$H$6:$H$95,3)</f>
        <v>0</v>
      </c>
      <c r="O840" s="9" t="n">
        <f aca="false">SUMIFS(ROBA_U_DOLASKU!$B$6:$B$95,ROBA_U_DOLASKU!$A$6:$A$95,A840,ROBA_U_DOLASKU!$H$6:$H$95,3)</f>
        <v>0</v>
      </c>
      <c r="P840" s="9" t="n">
        <f aca="false">IF(H840&lt;=0,999,IF(O840&gt;0,ROUND((F840-H840*N840+K840+M840+O840)/H840,1),IF(M840&gt;0,ROUND((F840-H840*L840+K840+M840)/H840,1),IF(K840&gt;0,ROUND((F840-H840*J840+K840)/H840,1),I840))))</f>
        <v>999</v>
      </c>
      <c r="Q840" s="22" t="str">
        <f aca="false">IF(H840&lt;=0,"Nema prodaje",IF(AND(K840=0,M840=0,O840=0),IF(I840&lt;POSTAVKE!$B$6,"Naruči odmah","Sve u redu"),IF(F840-H840*J840&lt;0,"Rupa za ~"&amp;TEXT(I840,"0.0")&amp;" mj.",IF(AND(M840&gt;0,F840-H840*L840+K840&lt;0),"Rupa nakon 1. dolaska",IF(AND(O840&gt;0,F840-H840*N840+K840+M840&lt;0),"Rupa nakon 2. dolaska",IF(P840&lt;POSTAVKE!$B$6,"Količina nije dovoljna",IF(I840&gt;=POSTAVKE!$B$6,"Sve u redu","Stiže na vrijeme")))))))</f>
        <v>Nema prodaje</v>
      </c>
      <c r="S840" s="23" t="n">
        <f aca="false">IFERROR(INDEX(PODACI_PRODAJA!B:B,MATCH($A840,PODACI_PRODAJA!$A:$A,0)),0)</f>
        <v>0</v>
      </c>
      <c r="T840" s="23" t="n">
        <f aca="false">IFERROR(INDEX(PODACI_PRODAJA!C:C,MATCH($A840,PODACI_PRODAJA!$A:$A,0)),0)</f>
        <v>0</v>
      </c>
      <c r="U840" s="23" t="n">
        <f aca="false">IFERROR(INDEX(PODACI_PRODAJA!D:D,MATCH($A840,PODACI_PRODAJA!$A:$A,0)),0)</f>
        <v>-2</v>
      </c>
      <c r="V840" s="23" t="n">
        <f aca="false">IFERROR(INDEX(PODACI_PRODAJA!E:E,MATCH($A840,PODACI_PRODAJA!$A:$A,0)),0)</f>
        <v>0</v>
      </c>
      <c r="W840" s="23" t="n">
        <f aca="false">IFERROR(INDEX(PODACI_PRODAJA!F:F,MATCH($A840,PODACI_PRODAJA!$A:$A,0)),0)</f>
        <v>0</v>
      </c>
      <c r="X840" s="23" t="n">
        <f aca="false">IFERROR(INDEX(PODACI_PRODAJA!G:G,MATCH($A840,PODACI_PRODAJA!$A:$A,0)),0)</f>
        <v>0</v>
      </c>
      <c r="Y840" s="23" t="n">
        <f aca="false">IFERROR(INDEX(PODACI_PRODAJA!H:H,MATCH($A840,PODACI_PRODAJA!$A:$A,0)),0)</f>
        <v>0</v>
      </c>
      <c r="Z840" s="23" t="n">
        <f aca="false">IFERROR(INDEX(PODACI_PRODAJA!I:I,MATCH($A840,PODACI_PRODAJA!$A:$A,0)),0)</f>
        <v>0</v>
      </c>
      <c r="AA840" s="23" t="n">
        <f aca="false">IFERROR(INDEX(PODACI_PRODAJA!J:J,MATCH($A840,PODACI_PRODAJA!$A:$A,0)),0)</f>
        <v>0</v>
      </c>
      <c r="AB840" s="23" t="n">
        <f aca="false">IFERROR(INDEX(PODACI_PRODAJA!K:K,MATCH($A840,PODACI_PRODAJA!$A:$A,0)),0)</f>
        <v>0</v>
      </c>
      <c r="AC840" s="23" t="n">
        <f aca="false">IFERROR(INDEX(PODACI_PRODAJA!L:L,MATCH($A840,PODACI_PRODAJA!$A:$A,0)),0)</f>
        <v>0</v>
      </c>
      <c r="AD840" s="23" t="n">
        <f aca="false">IFERROR(INDEX(PODACI_PRODAJA!M:M,MATCH($A840,PODACI_PRODAJA!$A:$A,0)),0)</f>
        <v>0</v>
      </c>
    </row>
    <row r="841" customFormat="false" ht="15" hidden="false" customHeight="false" outlineLevel="0" collapsed="false">
      <c r="A841" s="11" t="str">
        <f aca="false">PODACI_ZALIHE!A838</f>
        <v>03708000</v>
      </c>
      <c r="B841" s="8" t="str">
        <f aca="false">PODACI_ZALIHE!B838</f>
        <v>VETRO BLACK 90 TUŠ STAKLO 90X200CM</v>
      </c>
      <c r="C841" s="9" t="n">
        <f aca="false">PODACI_ZALIHE!C838</f>
        <v>0</v>
      </c>
      <c r="D841" s="8" t="n">
        <f aca="false">PODACI_ZALIHE!D838</f>
        <v>0</v>
      </c>
      <c r="E841" s="19" t="str">
        <f aca="false">IF(PODACI_ZALIHE!E838="","",PODACI_ZALIHE!E838)</f>
        <v/>
      </c>
      <c r="F841" s="20" t="n">
        <f aca="false">PODACI_ZALIHE!F838</f>
        <v>0</v>
      </c>
      <c r="G841" s="19" t="str">
        <f aca="false">IF(E841="","",E841-F841)</f>
        <v/>
      </c>
      <c r="H841" s="9" t="n">
        <f aca="false">PODACI_PRODAJA!N408</f>
        <v>0.13</v>
      </c>
      <c r="I841" s="21" t="n">
        <f aca="false">IF(H841&lt;=0,999,ROUND(F841/H841,1))</f>
        <v>0</v>
      </c>
      <c r="J841" s="9" t="n">
        <f aca="false">SUMIFS(ROBA_U_DOLASKU!$C$6:$C$95,ROBA_U_DOLASKU!$A$6:$A$95,A841,ROBA_U_DOLASKU!$H$6:$H$95,1)</f>
        <v>0</v>
      </c>
      <c r="K841" s="9" t="n">
        <f aca="false">SUMIFS(ROBA_U_DOLASKU!$B$6:$B$95,ROBA_U_DOLASKU!$A$6:$A$95,A841,ROBA_U_DOLASKU!$H$6:$H$95,1)</f>
        <v>0</v>
      </c>
      <c r="L841" s="9" t="n">
        <f aca="false">SUMIFS(ROBA_U_DOLASKU!$C$6:$C$95,ROBA_U_DOLASKU!$A$6:$A$95,A841,ROBA_U_DOLASKU!$H$6:$H$95,2)</f>
        <v>0</v>
      </c>
      <c r="M841" s="9" t="n">
        <f aca="false">SUMIFS(ROBA_U_DOLASKU!$B$6:$B$95,ROBA_U_DOLASKU!$A$6:$A$95,A841,ROBA_U_DOLASKU!$H$6:$H$95,2)</f>
        <v>0</v>
      </c>
      <c r="N841" s="9" t="n">
        <f aca="false">SUMIFS(ROBA_U_DOLASKU!$C$6:$C$95,ROBA_U_DOLASKU!$A$6:$A$95,A841,ROBA_U_DOLASKU!$H$6:$H$95,3)</f>
        <v>0</v>
      </c>
      <c r="O841" s="9" t="n">
        <f aca="false">SUMIFS(ROBA_U_DOLASKU!$B$6:$B$95,ROBA_U_DOLASKU!$A$6:$A$95,A841,ROBA_U_DOLASKU!$H$6:$H$95,3)</f>
        <v>0</v>
      </c>
      <c r="P841" s="9" t="n">
        <f aca="false">IF(H841&lt;=0,999,IF(O841&gt;0,ROUND((F841-H841*N841+K841+M841+O841)/H841,1),IF(M841&gt;0,ROUND((F841-H841*L841+K841+M841)/H841,1),IF(K841&gt;0,ROUND((F841-H841*J841+K841)/H841,1),I841))))</f>
        <v>0</v>
      </c>
      <c r="Q841" s="22" t="str">
        <f aca="false">IF(H841&lt;=0,"Nema prodaje",IF(AND(K841=0,M841=0,O841=0),IF(I841&lt;POSTAVKE!$B$6,"Naruči odmah","Sve u redu"),IF(F841-H841*J841&lt;0,"Rupa za ~"&amp;TEXT(I841,"0.0")&amp;" mj.",IF(AND(M841&gt;0,F841-H841*L841+K841&lt;0),"Rupa nakon 1. dolaska",IF(AND(O841&gt;0,F841-H841*N841+K841+M841&lt;0),"Rupa nakon 2. dolaska",IF(P841&lt;POSTAVKE!$B$6,"Količina nije dovoljna",IF(I841&gt;=POSTAVKE!$B$6,"Sve u redu","Stiže na vrijeme")))))))</f>
        <v>Naruči odmah</v>
      </c>
      <c r="S841" s="23" t="n">
        <f aca="false">IFERROR(INDEX(PODACI_PRODAJA!B:B,MATCH($A841,PODACI_PRODAJA!$A:$A,0)),0)</f>
        <v>0</v>
      </c>
      <c r="T841" s="23" t="n">
        <f aca="false">IFERROR(INDEX(PODACI_PRODAJA!C:C,MATCH($A841,PODACI_PRODAJA!$A:$A,0)),0)</f>
        <v>0</v>
      </c>
      <c r="U841" s="23" t="n">
        <f aca="false">IFERROR(INDEX(PODACI_PRODAJA!D:D,MATCH($A841,PODACI_PRODAJA!$A:$A,0)),0)</f>
        <v>0</v>
      </c>
      <c r="V841" s="23" t="n">
        <f aca="false">IFERROR(INDEX(PODACI_PRODAJA!E:E,MATCH($A841,PODACI_PRODAJA!$A:$A,0)),0)</f>
        <v>0</v>
      </c>
      <c r="W841" s="23" t="n">
        <f aca="false">IFERROR(INDEX(PODACI_PRODAJA!F:F,MATCH($A841,PODACI_PRODAJA!$A:$A,0)),0)</f>
        <v>0</v>
      </c>
      <c r="X841" s="23" t="n">
        <f aca="false">IFERROR(INDEX(PODACI_PRODAJA!G:G,MATCH($A841,PODACI_PRODAJA!$A:$A,0)),0)</f>
        <v>0</v>
      </c>
      <c r="Y841" s="23" t="n">
        <f aca="false">IFERROR(INDEX(PODACI_PRODAJA!H:H,MATCH($A841,PODACI_PRODAJA!$A:$A,0)),0)</f>
        <v>0</v>
      </c>
      <c r="Z841" s="23" t="n">
        <f aca="false">IFERROR(INDEX(PODACI_PRODAJA!I:I,MATCH($A841,PODACI_PRODAJA!$A:$A,0)),0)</f>
        <v>1</v>
      </c>
      <c r="AA841" s="23" t="n">
        <f aca="false">IFERROR(INDEX(PODACI_PRODAJA!J:J,MATCH($A841,PODACI_PRODAJA!$A:$A,0)),0)</f>
        <v>0</v>
      </c>
      <c r="AB841" s="23" t="n">
        <f aca="false">IFERROR(INDEX(PODACI_PRODAJA!K:K,MATCH($A841,PODACI_PRODAJA!$A:$A,0)),0)</f>
        <v>0</v>
      </c>
      <c r="AC841" s="23" t="n">
        <f aca="false">IFERROR(INDEX(PODACI_PRODAJA!L:L,MATCH($A841,PODACI_PRODAJA!$A:$A,0)),0)</f>
        <v>0</v>
      </c>
      <c r="AD841" s="23" t="n">
        <f aca="false">IFERROR(INDEX(PODACI_PRODAJA!M:M,MATCH($A841,PODACI_PRODAJA!$A:$A,0)),0)</f>
        <v>0</v>
      </c>
    </row>
    <row r="842" customFormat="false" ht="15" hidden="false" customHeight="false" outlineLevel="0" collapsed="false">
      <c r="A842" s="11" t="str">
        <f aca="false">PODACI_ZALIHE!A839</f>
        <v>040680</v>
      </c>
      <c r="B842" s="8" t="str">
        <f aca="false">PODACI_ZALIHE!B839</f>
        <v>GIANNA NADGRADNI UMIVAONIK 500x390x130 mm</v>
      </c>
      <c r="C842" s="9" t="n">
        <f aca="false">PODACI_ZALIHE!C839</f>
        <v>0</v>
      </c>
      <c r="D842" s="8" t="n">
        <f aca="false">PODACI_ZALIHE!D839</f>
        <v>0</v>
      </c>
      <c r="E842" s="19" t="str">
        <f aca="false">IF(PODACI_ZALIHE!E839="","",PODACI_ZALIHE!E839)</f>
        <v/>
      </c>
      <c r="F842" s="20" t="n">
        <f aca="false">PODACI_ZALIHE!F839</f>
        <v>0</v>
      </c>
      <c r="G842" s="19" t="str">
        <f aca="false">IF(E842="","",E842-F842)</f>
        <v/>
      </c>
      <c r="H842" s="9" t="n">
        <f aca="false">PODACI_PRODAJA!N416</f>
        <v>-0.13</v>
      </c>
      <c r="I842" s="21" t="n">
        <f aca="false">IF(H842&lt;=0,999,ROUND(F842/H842,1))</f>
        <v>999</v>
      </c>
      <c r="J842" s="9" t="n">
        <f aca="false">SUMIFS(ROBA_U_DOLASKU!$C$6:$C$95,ROBA_U_DOLASKU!$A$6:$A$95,A842,ROBA_U_DOLASKU!$H$6:$H$95,1)</f>
        <v>0</v>
      </c>
      <c r="K842" s="9" t="n">
        <f aca="false">SUMIFS(ROBA_U_DOLASKU!$B$6:$B$95,ROBA_U_DOLASKU!$A$6:$A$95,A842,ROBA_U_DOLASKU!$H$6:$H$95,1)</f>
        <v>0</v>
      </c>
      <c r="L842" s="9" t="n">
        <f aca="false">SUMIFS(ROBA_U_DOLASKU!$C$6:$C$95,ROBA_U_DOLASKU!$A$6:$A$95,A842,ROBA_U_DOLASKU!$H$6:$H$95,2)</f>
        <v>0</v>
      </c>
      <c r="M842" s="9" t="n">
        <f aca="false">SUMIFS(ROBA_U_DOLASKU!$B$6:$B$95,ROBA_U_DOLASKU!$A$6:$A$95,A842,ROBA_U_DOLASKU!$H$6:$H$95,2)</f>
        <v>0</v>
      </c>
      <c r="N842" s="9" t="n">
        <f aca="false">SUMIFS(ROBA_U_DOLASKU!$C$6:$C$95,ROBA_U_DOLASKU!$A$6:$A$95,A842,ROBA_U_DOLASKU!$H$6:$H$95,3)</f>
        <v>0</v>
      </c>
      <c r="O842" s="9" t="n">
        <f aca="false">SUMIFS(ROBA_U_DOLASKU!$B$6:$B$95,ROBA_U_DOLASKU!$A$6:$A$95,A842,ROBA_U_DOLASKU!$H$6:$H$95,3)</f>
        <v>0</v>
      </c>
      <c r="P842" s="9" t="n">
        <f aca="false">IF(H842&lt;=0,999,IF(O842&gt;0,ROUND((F842-H842*N842+K842+M842+O842)/H842,1),IF(M842&gt;0,ROUND((F842-H842*L842+K842+M842)/H842,1),IF(K842&gt;0,ROUND((F842-H842*J842+K842)/H842,1),I842))))</f>
        <v>999</v>
      </c>
      <c r="Q842" s="22" t="str">
        <f aca="false">IF(H842&lt;=0,"Nema prodaje",IF(AND(K842=0,M842=0,O842=0),IF(I842&lt;POSTAVKE!$B$6,"Naruči odmah","Sve u redu"),IF(F842-H842*J842&lt;0,"Rupa za ~"&amp;TEXT(I842,"0.0")&amp;" mj.",IF(AND(M842&gt;0,F842-H842*L842+K842&lt;0),"Rupa nakon 1. dolaska",IF(AND(O842&gt;0,F842-H842*N842+K842+M842&lt;0),"Rupa nakon 2. dolaska",IF(P842&lt;POSTAVKE!$B$6,"Količina nije dovoljna",IF(I842&gt;=POSTAVKE!$B$6,"Sve u redu","Stiže na vrijeme")))))))</f>
        <v>Nema prodaje</v>
      </c>
      <c r="S842" s="23" t="n">
        <f aca="false">IFERROR(INDEX(PODACI_PRODAJA!B:B,MATCH($A842,PODACI_PRODAJA!$A:$A,0)),0)</f>
        <v>0</v>
      </c>
      <c r="T842" s="23" t="n">
        <f aca="false">IFERROR(INDEX(PODACI_PRODAJA!C:C,MATCH($A842,PODACI_PRODAJA!$A:$A,0)),0)</f>
        <v>-1</v>
      </c>
      <c r="U842" s="23" t="n">
        <f aca="false">IFERROR(INDEX(PODACI_PRODAJA!D:D,MATCH($A842,PODACI_PRODAJA!$A:$A,0)),0)</f>
        <v>0</v>
      </c>
      <c r="V842" s="23" t="n">
        <f aca="false">IFERROR(INDEX(PODACI_PRODAJA!E:E,MATCH($A842,PODACI_PRODAJA!$A:$A,0)),0)</f>
        <v>0</v>
      </c>
      <c r="W842" s="23" t="n">
        <f aca="false">IFERROR(INDEX(PODACI_PRODAJA!F:F,MATCH($A842,PODACI_PRODAJA!$A:$A,0)),0)</f>
        <v>0</v>
      </c>
      <c r="X842" s="23" t="n">
        <f aca="false">IFERROR(INDEX(PODACI_PRODAJA!G:G,MATCH($A842,PODACI_PRODAJA!$A:$A,0)),0)</f>
        <v>0</v>
      </c>
      <c r="Y842" s="23" t="n">
        <f aca="false">IFERROR(INDEX(PODACI_PRODAJA!H:H,MATCH($A842,PODACI_PRODAJA!$A:$A,0)),0)</f>
        <v>0</v>
      </c>
      <c r="Z842" s="23" t="n">
        <f aca="false">IFERROR(INDEX(PODACI_PRODAJA!I:I,MATCH($A842,PODACI_PRODAJA!$A:$A,0)),0)</f>
        <v>0</v>
      </c>
      <c r="AA842" s="23" t="n">
        <f aca="false">IFERROR(INDEX(PODACI_PRODAJA!J:J,MATCH($A842,PODACI_PRODAJA!$A:$A,0)),0)</f>
        <v>0</v>
      </c>
      <c r="AB842" s="23" t="n">
        <f aca="false">IFERROR(INDEX(PODACI_PRODAJA!K:K,MATCH($A842,PODACI_PRODAJA!$A:$A,0)),0)</f>
        <v>0</v>
      </c>
      <c r="AC842" s="23" t="n">
        <f aca="false">IFERROR(INDEX(PODACI_PRODAJA!L:L,MATCH($A842,PODACI_PRODAJA!$A:$A,0)),0)</f>
        <v>0</v>
      </c>
      <c r="AD842" s="23" t="n">
        <f aca="false">IFERROR(INDEX(PODACI_PRODAJA!M:M,MATCH($A842,PODACI_PRODAJA!$A:$A,0)),0)</f>
        <v>0</v>
      </c>
    </row>
    <row r="843" customFormat="false" ht="15" hidden="false" customHeight="false" outlineLevel="0" collapsed="false">
      <c r="A843" s="11" t="str">
        <f aca="false">PODACI_ZALIHE!A840</f>
        <v>041960</v>
      </c>
      <c r="B843" s="8" t="str">
        <f aca="false">PODACI_ZALIHE!B840</f>
        <v>GENOVA KV TUŠ SET S TERM. MIJEŠALICOM</v>
      </c>
      <c r="C843" s="9" t="n">
        <f aca="false">PODACI_ZALIHE!C840</f>
        <v>0</v>
      </c>
      <c r="D843" s="8" t="n">
        <f aca="false">PODACI_ZALIHE!D840</f>
        <v>0</v>
      </c>
      <c r="E843" s="19" t="str">
        <f aca="false">IF(PODACI_ZALIHE!E840="","",PODACI_ZALIHE!E840)</f>
        <v/>
      </c>
      <c r="F843" s="20" t="n">
        <f aca="false">PODACI_ZALIHE!F840</f>
        <v>0</v>
      </c>
      <c r="G843" s="19" t="str">
        <f aca="false">IF(E843="","",E843-F843)</f>
        <v/>
      </c>
      <c r="H843" s="9" t="n">
        <f aca="false">PODACI_PRODAJA!N417</f>
        <v>0.13</v>
      </c>
      <c r="I843" s="21" t="n">
        <f aca="false">IF(H843&lt;=0,999,ROUND(F843/H843,1))</f>
        <v>0</v>
      </c>
      <c r="J843" s="9" t="n">
        <f aca="false">SUMIFS(ROBA_U_DOLASKU!$C$6:$C$95,ROBA_U_DOLASKU!$A$6:$A$95,A843,ROBA_U_DOLASKU!$H$6:$H$95,1)</f>
        <v>0</v>
      </c>
      <c r="K843" s="9" t="n">
        <f aca="false">SUMIFS(ROBA_U_DOLASKU!$B$6:$B$95,ROBA_U_DOLASKU!$A$6:$A$95,A843,ROBA_U_DOLASKU!$H$6:$H$95,1)</f>
        <v>0</v>
      </c>
      <c r="L843" s="9" t="n">
        <f aca="false">SUMIFS(ROBA_U_DOLASKU!$C$6:$C$95,ROBA_U_DOLASKU!$A$6:$A$95,A843,ROBA_U_DOLASKU!$H$6:$H$95,2)</f>
        <v>0</v>
      </c>
      <c r="M843" s="9" t="n">
        <f aca="false">SUMIFS(ROBA_U_DOLASKU!$B$6:$B$95,ROBA_U_DOLASKU!$A$6:$A$95,A843,ROBA_U_DOLASKU!$H$6:$H$95,2)</f>
        <v>0</v>
      </c>
      <c r="N843" s="9" t="n">
        <f aca="false">SUMIFS(ROBA_U_DOLASKU!$C$6:$C$95,ROBA_U_DOLASKU!$A$6:$A$95,A843,ROBA_U_DOLASKU!$H$6:$H$95,3)</f>
        <v>0</v>
      </c>
      <c r="O843" s="9" t="n">
        <f aca="false">SUMIFS(ROBA_U_DOLASKU!$B$6:$B$95,ROBA_U_DOLASKU!$A$6:$A$95,A843,ROBA_U_DOLASKU!$H$6:$H$95,3)</f>
        <v>0</v>
      </c>
      <c r="P843" s="9" t="n">
        <f aca="false">IF(H843&lt;=0,999,IF(O843&gt;0,ROUND((F843-H843*N843+K843+M843+O843)/H843,1),IF(M843&gt;0,ROUND((F843-H843*L843+K843+M843)/H843,1),IF(K843&gt;0,ROUND((F843-H843*J843+K843)/H843,1),I843))))</f>
        <v>0</v>
      </c>
      <c r="Q843" s="22" t="str">
        <f aca="false">IF(H843&lt;=0,"Nema prodaje",IF(AND(K843=0,M843=0,O843=0),IF(I843&lt;POSTAVKE!$B$6,"Naruči odmah","Sve u redu"),IF(F843-H843*J843&lt;0,"Rupa za ~"&amp;TEXT(I843,"0.0")&amp;" mj.",IF(AND(M843&gt;0,F843-H843*L843+K843&lt;0),"Rupa nakon 1. dolaska",IF(AND(O843&gt;0,F843-H843*N843+K843+M843&lt;0),"Rupa nakon 2. dolaska",IF(P843&lt;POSTAVKE!$B$6,"Količina nije dovoljna",IF(I843&gt;=POSTAVKE!$B$6,"Sve u redu","Stiže na vrijeme")))))))</f>
        <v>Naruči odmah</v>
      </c>
      <c r="S843" s="23" t="n">
        <f aca="false">IFERROR(INDEX(PODACI_PRODAJA!B:B,MATCH($A843,PODACI_PRODAJA!$A:$A,0)),0)</f>
        <v>0</v>
      </c>
      <c r="T843" s="23" t="n">
        <f aca="false">IFERROR(INDEX(PODACI_PRODAJA!C:C,MATCH($A843,PODACI_PRODAJA!$A:$A,0)),0)</f>
        <v>0</v>
      </c>
      <c r="U843" s="23" t="n">
        <f aca="false">IFERROR(INDEX(PODACI_PRODAJA!D:D,MATCH($A843,PODACI_PRODAJA!$A:$A,0)),0)</f>
        <v>0</v>
      </c>
      <c r="V843" s="23" t="n">
        <f aca="false">IFERROR(INDEX(PODACI_PRODAJA!E:E,MATCH($A843,PODACI_PRODAJA!$A:$A,0)),0)</f>
        <v>2</v>
      </c>
      <c r="W843" s="23" t="n">
        <f aca="false">IFERROR(INDEX(PODACI_PRODAJA!F:F,MATCH($A843,PODACI_PRODAJA!$A:$A,0)),0)</f>
        <v>0</v>
      </c>
      <c r="X843" s="23" t="n">
        <f aca="false">IFERROR(INDEX(PODACI_PRODAJA!G:G,MATCH($A843,PODACI_PRODAJA!$A:$A,0)),0)</f>
        <v>-1</v>
      </c>
      <c r="Y843" s="23" t="n">
        <f aca="false">IFERROR(INDEX(PODACI_PRODAJA!H:H,MATCH($A843,PODACI_PRODAJA!$A:$A,0)),0)</f>
        <v>0</v>
      </c>
      <c r="Z843" s="23" t="n">
        <f aca="false">IFERROR(INDEX(PODACI_PRODAJA!I:I,MATCH($A843,PODACI_PRODAJA!$A:$A,0)),0)</f>
        <v>0</v>
      </c>
      <c r="AA843" s="23" t="n">
        <f aca="false">IFERROR(INDEX(PODACI_PRODAJA!J:J,MATCH($A843,PODACI_PRODAJA!$A:$A,0)),0)</f>
        <v>0</v>
      </c>
      <c r="AB843" s="23" t="n">
        <f aca="false">IFERROR(INDEX(PODACI_PRODAJA!K:K,MATCH($A843,PODACI_PRODAJA!$A:$A,0)),0)</f>
        <v>0</v>
      </c>
      <c r="AC843" s="23" t="n">
        <f aca="false">IFERROR(INDEX(PODACI_PRODAJA!L:L,MATCH($A843,PODACI_PRODAJA!$A:$A,0)),0)</f>
        <v>0</v>
      </c>
      <c r="AD843" s="23" t="n">
        <f aca="false">IFERROR(INDEX(PODACI_PRODAJA!M:M,MATCH($A843,PODACI_PRODAJA!$A:$A,0)),0)</f>
        <v>0</v>
      </c>
    </row>
    <row r="844" customFormat="false" ht="15" hidden="false" customHeight="false" outlineLevel="0" collapsed="false">
      <c r="A844" s="11" t="str">
        <f aca="false">PODACI_ZALIHE!A841</f>
        <v>042770</v>
      </c>
      <c r="B844" s="8" t="str">
        <f aca="false">PODACI_ZALIHE!B841</f>
        <v>TOSKANA CRNA MJEŠALICA ZA UMIVAONIK</v>
      </c>
      <c r="C844" s="9" t="n">
        <f aca="false">PODACI_ZALIHE!C841</f>
        <v>0</v>
      </c>
      <c r="D844" s="8" t="n">
        <f aca="false">PODACI_ZALIHE!D841</f>
        <v>0</v>
      </c>
      <c r="E844" s="19" t="str">
        <f aca="false">IF(PODACI_ZALIHE!E841="","",PODACI_ZALIHE!E841)</f>
        <v/>
      </c>
      <c r="F844" s="20" t="n">
        <f aca="false">PODACI_ZALIHE!F841</f>
        <v>0</v>
      </c>
      <c r="G844" s="19" t="str">
        <f aca="false">IF(E844="","",E844-F844)</f>
        <v/>
      </c>
      <c r="H844" s="9" t="n">
        <f aca="false">PODACI_PRODAJA!N425</f>
        <v>0</v>
      </c>
      <c r="I844" s="21" t="n">
        <f aca="false">IF(H844&lt;=0,999,ROUND(F844/H844,1))</f>
        <v>999</v>
      </c>
      <c r="J844" s="9" t="n">
        <f aca="false">SUMIFS(ROBA_U_DOLASKU!$C$6:$C$95,ROBA_U_DOLASKU!$A$6:$A$95,A844,ROBA_U_DOLASKU!$H$6:$H$95,1)</f>
        <v>0</v>
      </c>
      <c r="K844" s="9" t="n">
        <f aca="false">SUMIFS(ROBA_U_DOLASKU!$B$6:$B$95,ROBA_U_DOLASKU!$A$6:$A$95,A844,ROBA_U_DOLASKU!$H$6:$H$95,1)</f>
        <v>0</v>
      </c>
      <c r="L844" s="9" t="n">
        <f aca="false">SUMIFS(ROBA_U_DOLASKU!$C$6:$C$95,ROBA_U_DOLASKU!$A$6:$A$95,A844,ROBA_U_DOLASKU!$H$6:$H$95,2)</f>
        <v>0</v>
      </c>
      <c r="M844" s="9" t="n">
        <f aca="false">SUMIFS(ROBA_U_DOLASKU!$B$6:$B$95,ROBA_U_DOLASKU!$A$6:$A$95,A844,ROBA_U_DOLASKU!$H$6:$H$95,2)</f>
        <v>0</v>
      </c>
      <c r="N844" s="9" t="n">
        <f aca="false">SUMIFS(ROBA_U_DOLASKU!$C$6:$C$95,ROBA_U_DOLASKU!$A$6:$A$95,A844,ROBA_U_DOLASKU!$H$6:$H$95,3)</f>
        <v>0</v>
      </c>
      <c r="O844" s="9" t="n">
        <f aca="false">SUMIFS(ROBA_U_DOLASKU!$B$6:$B$95,ROBA_U_DOLASKU!$A$6:$A$95,A844,ROBA_U_DOLASKU!$H$6:$H$95,3)</f>
        <v>0</v>
      </c>
      <c r="P844" s="9" t="n">
        <f aca="false">IF(H844&lt;=0,999,IF(O844&gt;0,ROUND((F844-H844*N844+K844+M844+O844)/H844,1),IF(M844&gt;0,ROUND((F844-H844*L844+K844+M844)/H844,1),IF(K844&gt;0,ROUND((F844-H844*J844+K844)/H844,1),I844))))</f>
        <v>999</v>
      </c>
      <c r="Q844" s="22" t="str">
        <f aca="false">IF(H844&lt;=0,"Nema prodaje",IF(AND(K844=0,M844=0,O844=0),IF(I844&lt;POSTAVKE!$B$6,"Naruči odmah","Sve u redu"),IF(F844-H844*J844&lt;0,"Rupa za ~"&amp;TEXT(I844,"0.0")&amp;" mj.",IF(AND(M844&gt;0,F844-H844*L844+K844&lt;0),"Rupa nakon 1. dolaska",IF(AND(O844&gt;0,F844-H844*N844+K844+M844&lt;0),"Rupa nakon 2. dolaska",IF(P844&lt;POSTAVKE!$B$6,"Količina nije dovoljna",IF(I844&gt;=POSTAVKE!$B$6,"Sve u redu","Stiže na vrijeme")))))))</f>
        <v>Nema prodaje</v>
      </c>
      <c r="S844" s="23" t="n">
        <f aca="false">IFERROR(INDEX(PODACI_PRODAJA!B:B,MATCH($A844,PODACI_PRODAJA!$A:$A,0)),0)</f>
        <v>0</v>
      </c>
      <c r="T844" s="23" t="n">
        <f aca="false">IFERROR(INDEX(PODACI_PRODAJA!C:C,MATCH($A844,PODACI_PRODAJA!$A:$A,0)),0)</f>
        <v>0</v>
      </c>
      <c r="U844" s="23" t="n">
        <f aca="false">IFERROR(INDEX(PODACI_PRODAJA!D:D,MATCH($A844,PODACI_PRODAJA!$A:$A,0)),0)</f>
        <v>0</v>
      </c>
      <c r="V844" s="23" t="n">
        <f aca="false">IFERROR(INDEX(PODACI_PRODAJA!E:E,MATCH($A844,PODACI_PRODAJA!$A:$A,0)),0)</f>
        <v>0</v>
      </c>
      <c r="W844" s="23" t="n">
        <f aca="false">IFERROR(INDEX(PODACI_PRODAJA!F:F,MATCH($A844,PODACI_PRODAJA!$A:$A,0)),0)</f>
        <v>0</v>
      </c>
      <c r="X844" s="23" t="n">
        <f aca="false">IFERROR(INDEX(PODACI_PRODAJA!G:G,MATCH($A844,PODACI_PRODAJA!$A:$A,0)),0)</f>
        <v>0</v>
      </c>
      <c r="Y844" s="23" t="n">
        <f aca="false">IFERROR(INDEX(PODACI_PRODAJA!H:H,MATCH($A844,PODACI_PRODAJA!$A:$A,0)),0)</f>
        <v>0</v>
      </c>
      <c r="Z844" s="23" t="n">
        <f aca="false">IFERROR(INDEX(PODACI_PRODAJA!I:I,MATCH($A844,PODACI_PRODAJA!$A:$A,0)),0)</f>
        <v>0</v>
      </c>
      <c r="AA844" s="23" t="n">
        <f aca="false">IFERROR(INDEX(PODACI_PRODAJA!J:J,MATCH($A844,PODACI_PRODAJA!$A:$A,0)),0)</f>
        <v>0</v>
      </c>
      <c r="AB844" s="23" t="n">
        <f aca="false">IFERROR(INDEX(PODACI_PRODAJA!K:K,MATCH($A844,PODACI_PRODAJA!$A:$A,0)),0)</f>
        <v>0</v>
      </c>
      <c r="AC844" s="23" t="n">
        <f aca="false">IFERROR(INDEX(PODACI_PRODAJA!L:L,MATCH($A844,PODACI_PRODAJA!$A:$A,0)),0)</f>
        <v>0</v>
      </c>
      <c r="AD844" s="23" t="n">
        <f aca="false">IFERROR(INDEX(PODACI_PRODAJA!M:M,MATCH($A844,PODACI_PRODAJA!$A:$A,0)),0)</f>
        <v>0</v>
      </c>
    </row>
    <row r="845" customFormat="false" ht="15" hidden="false" customHeight="false" outlineLevel="0" collapsed="false">
      <c r="A845" s="11" t="str">
        <f aca="false">PODACI_ZALIHE!A842</f>
        <v>042790</v>
      </c>
      <c r="B845" s="8" t="str">
        <f aca="false">PODACI_ZALIHE!B842</f>
        <v>TOSKANA CRNA MJEŠALICA ZA UMIVAONIK VISOKA</v>
      </c>
      <c r="C845" s="9" t="n">
        <f aca="false">PODACI_ZALIHE!C842</f>
        <v>0</v>
      </c>
      <c r="D845" s="8" t="n">
        <f aca="false">PODACI_ZALIHE!D842</f>
        <v>0</v>
      </c>
      <c r="E845" s="19" t="str">
        <f aca="false">IF(PODACI_ZALIHE!E842="","",PODACI_ZALIHE!E842)</f>
        <v/>
      </c>
      <c r="F845" s="20" t="n">
        <f aca="false">PODACI_ZALIHE!F842</f>
        <v>0</v>
      </c>
      <c r="G845" s="19" t="str">
        <f aca="false">IF(E845="","",E845-F845)</f>
        <v/>
      </c>
      <c r="H845" s="9" t="n">
        <f aca="false">PODACI_PRODAJA!N426</f>
        <v>0</v>
      </c>
      <c r="I845" s="21" t="n">
        <f aca="false">IF(H845&lt;=0,999,ROUND(F845/H845,1))</f>
        <v>999</v>
      </c>
      <c r="J845" s="9" t="n">
        <f aca="false">SUMIFS(ROBA_U_DOLASKU!$C$6:$C$95,ROBA_U_DOLASKU!$A$6:$A$95,A845,ROBA_U_DOLASKU!$H$6:$H$95,1)</f>
        <v>0</v>
      </c>
      <c r="K845" s="9" t="n">
        <f aca="false">SUMIFS(ROBA_U_DOLASKU!$B$6:$B$95,ROBA_U_DOLASKU!$A$6:$A$95,A845,ROBA_U_DOLASKU!$H$6:$H$95,1)</f>
        <v>0</v>
      </c>
      <c r="L845" s="9" t="n">
        <f aca="false">SUMIFS(ROBA_U_DOLASKU!$C$6:$C$95,ROBA_U_DOLASKU!$A$6:$A$95,A845,ROBA_U_DOLASKU!$H$6:$H$95,2)</f>
        <v>0</v>
      </c>
      <c r="M845" s="9" t="n">
        <f aca="false">SUMIFS(ROBA_U_DOLASKU!$B$6:$B$95,ROBA_U_DOLASKU!$A$6:$A$95,A845,ROBA_U_DOLASKU!$H$6:$H$95,2)</f>
        <v>0</v>
      </c>
      <c r="N845" s="9" t="n">
        <f aca="false">SUMIFS(ROBA_U_DOLASKU!$C$6:$C$95,ROBA_U_DOLASKU!$A$6:$A$95,A845,ROBA_U_DOLASKU!$H$6:$H$95,3)</f>
        <v>0</v>
      </c>
      <c r="O845" s="9" t="n">
        <f aca="false">SUMIFS(ROBA_U_DOLASKU!$B$6:$B$95,ROBA_U_DOLASKU!$A$6:$A$95,A845,ROBA_U_DOLASKU!$H$6:$H$95,3)</f>
        <v>0</v>
      </c>
      <c r="P845" s="9" t="n">
        <f aca="false">IF(H845&lt;=0,999,IF(O845&gt;0,ROUND((F845-H845*N845+K845+M845+O845)/H845,1),IF(M845&gt;0,ROUND((F845-H845*L845+K845+M845)/H845,1),IF(K845&gt;0,ROUND((F845-H845*J845+K845)/H845,1),I845))))</f>
        <v>999</v>
      </c>
      <c r="Q845" s="22" t="str">
        <f aca="false">IF(H845&lt;=0,"Nema prodaje",IF(AND(K845=0,M845=0,O845=0),IF(I845&lt;POSTAVKE!$B$6,"Naruči odmah","Sve u redu"),IF(F845-H845*J845&lt;0,"Rupa za ~"&amp;TEXT(I845,"0.0")&amp;" mj.",IF(AND(M845&gt;0,F845-H845*L845+K845&lt;0),"Rupa nakon 1. dolaska",IF(AND(O845&gt;0,F845-H845*N845+K845+M845&lt;0),"Rupa nakon 2. dolaska",IF(P845&lt;POSTAVKE!$B$6,"Količina nije dovoljna",IF(I845&gt;=POSTAVKE!$B$6,"Sve u redu","Stiže na vrijeme")))))))</f>
        <v>Nema prodaje</v>
      </c>
      <c r="S845" s="23" t="n">
        <f aca="false">IFERROR(INDEX(PODACI_PRODAJA!B:B,MATCH($A845,PODACI_PRODAJA!$A:$A,0)),0)</f>
        <v>0</v>
      </c>
      <c r="T845" s="23" t="n">
        <f aca="false">IFERROR(INDEX(PODACI_PRODAJA!C:C,MATCH($A845,PODACI_PRODAJA!$A:$A,0)),0)</f>
        <v>0</v>
      </c>
      <c r="U845" s="23" t="n">
        <f aca="false">IFERROR(INDEX(PODACI_PRODAJA!D:D,MATCH($A845,PODACI_PRODAJA!$A:$A,0)),0)</f>
        <v>0</v>
      </c>
      <c r="V845" s="23" t="n">
        <f aca="false">IFERROR(INDEX(PODACI_PRODAJA!E:E,MATCH($A845,PODACI_PRODAJA!$A:$A,0)),0)</f>
        <v>0</v>
      </c>
      <c r="W845" s="23" t="n">
        <f aca="false">IFERROR(INDEX(PODACI_PRODAJA!F:F,MATCH($A845,PODACI_PRODAJA!$A:$A,0)),0)</f>
        <v>0</v>
      </c>
      <c r="X845" s="23" t="n">
        <f aca="false">IFERROR(INDEX(PODACI_PRODAJA!G:G,MATCH($A845,PODACI_PRODAJA!$A:$A,0)),0)</f>
        <v>0</v>
      </c>
      <c r="Y845" s="23" t="n">
        <f aca="false">IFERROR(INDEX(PODACI_PRODAJA!H:H,MATCH($A845,PODACI_PRODAJA!$A:$A,0)),0)</f>
        <v>0</v>
      </c>
      <c r="Z845" s="23" t="n">
        <f aca="false">IFERROR(INDEX(PODACI_PRODAJA!I:I,MATCH($A845,PODACI_PRODAJA!$A:$A,0)),0)</f>
        <v>0</v>
      </c>
      <c r="AA845" s="23" t="n">
        <f aca="false">IFERROR(INDEX(PODACI_PRODAJA!J:J,MATCH($A845,PODACI_PRODAJA!$A:$A,0)),0)</f>
        <v>0</v>
      </c>
      <c r="AB845" s="23" t="n">
        <f aca="false">IFERROR(INDEX(PODACI_PRODAJA!K:K,MATCH($A845,PODACI_PRODAJA!$A:$A,0)),0)</f>
        <v>0</v>
      </c>
      <c r="AC845" s="23" t="n">
        <f aca="false">IFERROR(INDEX(PODACI_PRODAJA!L:L,MATCH($A845,PODACI_PRODAJA!$A:$A,0)),0)</f>
        <v>0</v>
      </c>
      <c r="AD845" s="23" t="n">
        <f aca="false">IFERROR(INDEX(PODACI_PRODAJA!M:M,MATCH($A845,PODACI_PRODAJA!$A:$A,0)),0)</f>
        <v>0</v>
      </c>
    </row>
    <row r="846" customFormat="false" ht="15" hidden="false" customHeight="false" outlineLevel="0" collapsed="false">
      <c r="A846" s="11" t="str">
        <f aca="false">PODACI_ZALIHE!A843</f>
        <v>043280</v>
      </c>
      <c r="B846" s="8" t="str">
        <f aca="false">PODACI_ZALIHE!B843</f>
        <v>SMART 2D/90 TUŠ VRATA 90x190 cm</v>
      </c>
      <c r="C846" s="9" t="n">
        <f aca="false">PODACI_ZALIHE!C843</f>
        <v>0</v>
      </c>
      <c r="D846" s="8" t="n">
        <f aca="false">PODACI_ZALIHE!D843</f>
        <v>0</v>
      </c>
      <c r="E846" s="19" t="str">
        <f aca="false">IF(PODACI_ZALIHE!E843="","",PODACI_ZALIHE!E843)</f>
        <v/>
      </c>
      <c r="F846" s="20" t="n">
        <f aca="false">PODACI_ZALIHE!F843</f>
        <v>0</v>
      </c>
      <c r="G846" s="19" t="str">
        <f aca="false">IF(E846="","",E846-F846)</f>
        <v/>
      </c>
      <c r="H846" s="9" t="n">
        <f aca="false">PODACI_PRODAJA!N427</f>
        <v>0</v>
      </c>
      <c r="I846" s="21" t="n">
        <f aca="false">IF(H846&lt;=0,999,ROUND(F846/H846,1))</f>
        <v>999</v>
      </c>
      <c r="J846" s="9" t="n">
        <f aca="false">SUMIFS(ROBA_U_DOLASKU!$C$6:$C$95,ROBA_U_DOLASKU!$A$6:$A$95,A846,ROBA_U_DOLASKU!$H$6:$H$95,1)</f>
        <v>0</v>
      </c>
      <c r="K846" s="9" t="n">
        <f aca="false">SUMIFS(ROBA_U_DOLASKU!$B$6:$B$95,ROBA_U_DOLASKU!$A$6:$A$95,A846,ROBA_U_DOLASKU!$H$6:$H$95,1)</f>
        <v>0</v>
      </c>
      <c r="L846" s="9" t="n">
        <f aca="false">SUMIFS(ROBA_U_DOLASKU!$C$6:$C$95,ROBA_U_DOLASKU!$A$6:$A$95,A846,ROBA_U_DOLASKU!$H$6:$H$95,2)</f>
        <v>0</v>
      </c>
      <c r="M846" s="9" t="n">
        <f aca="false">SUMIFS(ROBA_U_DOLASKU!$B$6:$B$95,ROBA_U_DOLASKU!$A$6:$A$95,A846,ROBA_U_DOLASKU!$H$6:$H$95,2)</f>
        <v>0</v>
      </c>
      <c r="N846" s="9" t="n">
        <f aca="false">SUMIFS(ROBA_U_DOLASKU!$C$6:$C$95,ROBA_U_DOLASKU!$A$6:$A$95,A846,ROBA_U_DOLASKU!$H$6:$H$95,3)</f>
        <v>0</v>
      </c>
      <c r="O846" s="9" t="n">
        <f aca="false">SUMIFS(ROBA_U_DOLASKU!$B$6:$B$95,ROBA_U_DOLASKU!$A$6:$A$95,A846,ROBA_U_DOLASKU!$H$6:$H$95,3)</f>
        <v>0</v>
      </c>
      <c r="P846" s="9" t="n">
        <f aca="false">IF(H846&lt;=0,999,IF(O846&gt;0,ROUND((F846-H846*N846+K846+M846+O846)/H846,1),IF(M846&gt;0,ROUND((F846-H846*L846+K846+M846)/H846,1),IF(K846&gt;0,ROUND((F846-H846*J846+K846)/H846,1),I846))))</f>
        <v>999</v>
      </c>
      <c r="Q846" s="22" t="str">
        <f aca="false">IF(H846&lt;=0,"Nema prodaje",IF(AND(K846=0,M846=0,O846=0),IF(I846&lt;POSTAVKE!$B$6,"Naruči odmah","Sve u redu"),IF(F846-H846*J846&lt;0,"Rupa za ~"&amp;TEXT(I846,"0.0")&amp;" mj.",IF(AND(M846&gt;0,F846-H846*L846+K846&lt;0),"Rupa nakon 1. dolaska",IF(AND(O846&gt;0,F846-H846*N846+K846+M846&lt;0),"Rupa nakon 2. dolaska",IF(P846&lt;POSTAVKE!$B$6,"Količina nije dovoljna",IF(I846&gt;=POSTAVKE!$B$6,"Sve u redu","Stiže na vrijeme")))))))</f>
        <v>Nema prodaje</v>
      </c>
      <c r="S846" s="23" t="n">
        <f aca="false">IFERROR(INDEX(PODACI_PRODAJA!B:B,MATCH($A846,PODACI_PRODAJA!$A:$A,0)),0)</f>
        <v>0</v>
      </c>
      <c r="T846" s="23" t="n">
        <f aca="false">IFERROR(INDEX(PODACI_PRODAJA!C:C,MATCH($A846,PODACI_PRODAJA!$A:$A,0)),0)</f>
        <v>0</v>
      </c>
      <c r="U846" s="23" t="n">
        <f aca="false">IFERROR(INDEX(PODACI_PRODAJA!D:D,MATCH($A846,PODACI_PRODAJA!$A:$A,0)),0)</f>
        <v>0</v>
      </c>
      <c r="V846" s="23" t="n">
        <f aca="false">IFERROR(INDEX(PODACI_PRODAJA!E:E,MATCH($A846,PODACI_PRODAJA!$A:$A,0)),0)</f>
        <v>0</v>
      </c>
      <c r="W846" s="23" t="n">
        <f aca="false">IFERROR(INDEX(PODACI_PRODAJA!F:F,MATCH($A846,PODACI_PRODAJA!$A:$A,0)),0)</f>
        <v>0</v>
      </c>
      <c r="X846" s="23" t="n">
        <f aca="false">IFERROR(INDEX(PODACI_PRODAJA!G:G,MATCH($A846,PODACI_PRODAJA!$A:$A,0)),0)</f>
        <v>0</v>
      </c>
      <c r="Y846" s="23" t="n">
        <f aca="false">IFERROR(INDEX(PODACI_PRODAJA!H:H,MATCH($A846,PODACI_PRODAJA!$A:$A,0)),0)</f>
        <v>0</v>
      </c>
      <c r="Z846" s="23" t="n">
        <f aca="false">IFERROR(INDEX(PODACI_PRODAJA!I:I,MATCH($A846,PODACI_PRODAJA!$A:$A,0)),0)</f>
        <v>0</v>
      </c>
      <c r="AA846" s="23" t="n">
        <f aca="false">IFERROR(INDEX(PODACI_PRODAJA!J:J,MATCH($A846,PODACI_PRODAJA!$A:$A,0)),0)</f>
        <v>0</v>
      </c>
      <c r="AB846" s="23" t="n">
        <f aca="false">IFERROR(INDEX(PODACI_PRODAJA!K:K,MATCH($A846,PODACI_PRODAJA!$A:$A,0)),0)</f>
        <v>0</v>
      </c>
      <c r="AC846" s="23" t="n">
        <f aca="false">IFERROR(INDEX(PODACI_PRODAJA!L:L,MATCH($A846,PODACI_PRODAJA!$A:$A,0)),0)</f>
        <v>0</v>
      </c>
      <c r="AD846" s="23" t="n">
        <f aca="false">IFERROR(INDEX(PODACI_PRODAJA!M:M,MATCH($A846,PODACI_PRODAJA!$A:$A,0)),0)</f>
        <v>0</v>
      </c>
    </row>
    <row r="847" customFormat="false" ht="15" hidden="false" customHeight="false" outlineLevel="0" collapsed="false">
      <c r="A847" s="11" t="str">
        <f aca="false">PODACI_ZALIHE!A844</f>
        <v>043370</v>
      </c>
      <c r="B847" s="8" t="str">
        <f aca="false">PODACI_ZALIHE!B844</f>
        <v>VETRO CUBO 90 TUŠ STAKLO 90x200 cm</v>
      </c>
      <c r="C847" s="9" t="n">
        <f aca="false">PODACI_ZALIHE!C844</f>
        <v>0</v>
      </c>
      <c r="D847" s="8" t="n">
        <f aca="false">PODACI_ZALIHE!D844</f>
        <v>0</v>
      </c>
      <c r="E847" s="19" t="str">
        <f aca="false">IF(PODACI_ZALIHE!E844="","",PODACI_ZALIHE!E844)</f>
        <v/>
      </c>
      <c r="F847" s="20" t="n">
        <f aca="false">PODACI_ZALIHE!F844</f>
        <v>0</v>
      </c>
      <c r="G847" s="19" t="str">
        <f aca="false">IF(E847="","",E847-F847)</f>
        <v/>
      </c>
      <c r="H847" s="9" t="n">
        <f aca="false">PODACI_PRODAJA!N429</f>
        <v>0.13</v>
      </c>
      <c r="I847" s="21" t="n">
        <f aca="false">IF(H847&lt;=0,999,ROUND(F847/H847,1))</f>
        <v>0</v>
      </c>
      <c r="J847" s="9" t="n">
        <f aca="false">SUMIFS(ROBA_U_DOLASKU!$C$6:$C$95,ROBA_U_DOLASKU!$A$6:$A$95,A847,ROBA_U_DOLASKU!$H$6:$H$95,1)</f>
        <v>0</v>
      </c>
      <c r="K847" s="9" t="n">
        <f aca="false">SUMIFS(ROBA_U_DOLASKU!$B$6:$B$95,ROBA_U_DOLASKU!$A$6:$A$95,A847,ROBA_U_DOLASKU!$H$6:$H$95,1)</f>
        <v>0</v>
      </c>
      <c r="L847" s="9" t="n">
        <f aca="false">SUMIFS(ROBA_U_DOLASKU!$C$6:$C$95,ROBA_U_DOLASKU!$A$6:$A$95,A847,ROBA_U_DOLASKU!$H$6:$H$95,2)</f>
        <v>0</v>
      </c>
      <c r="M847" s="9" t="n">
        <f aca="false">SUMIFS(ROBA_U_DOLASKU!$B$6:$B$95,ROBA_U_DOLASKU!$A$6:$A$95,A847,ROBA_U_DOLASKU!$H$6:$H$95,2)</f>
        <v>0</v>
      </c>
      <c r="N847" s="9" t="n">
        <f aca="false">SUMIFS(ROBA_U_DOLASKU!$C$6:$C$95,ROBA_U_DOLASKU!$A$6:$A$95,A847,ROBA_U_DOLASKU!$H$6:$H$95,3)</f>
        <v>0</v>
      </c>
      <c r="O847" s="9" t="n">
        <f aca="false">SUMIFS(ROBA_U_DOLASKU!$B$6:$B$95,ROBA_U_DOLASKU!$A$6:$A$95,A847,ROBA_U_DOLASKU!$H$6:$H$95,3)</f>
        <v>0</v>
      </c>
      <c r="P847" s="9" t="n">
        <f aca="false">IF(H847&lt;=0,999,IF(O847&gt;0,ROUND((F847-H847*N847+K847+M847+O847)/H847,1),IF(M847&gt;0,ROUND((F847-H847*L847+K847+M847)/H847,1),IF(K847&gt;0,ROUND((F847-H847*J847+K847)/H847,1),I847))))</f>
        <v>0</v>
      </c>
      <c r="Q847" s="22" t="str">
        <f aca="false">IF(H847&lt;=0,"Nema prodaje",IF(AND(K847=0,M847=0,O847=0),IF(I847&lt;POSTAVKE!$B$6,"Naruči odmah","Sve u redu"),IF(F847-H847*J847&lt;0,"Rupa za ~"&amp;TEXT(I847,"0.0")&amp;" mj.",IF(AND(M847&gt;0,F847-H847*L847+K847&lt;0),"Rupa nakon 1. dolaska",IF(AND(O847&gt;0,F847-H847*N847+K847+M847&lt;0),"Rupa nakon 2. dolaska",IF(P847&lt;POSTAVKE!$B$6,"Količina nije dovoljna",IF(I847&gt;=POSTAVKE!$B$6,"Sve u redu","Stiže na vrijeme")))))))</f>
        <v>Naruči odmah</v>
      </c>
      <c r="S847" s="23" t="n">
        <f aca="false">IFERROR(INDEX(PODACI_PRODAJA!B:B,MATCH($A847,PODACI_PRODAJA!$A:$A,0)),0)</f>
        <v>0</v>
      </c>
      <c r="T847" s="23" t="n">
        <f aca="false">IFERROR(INDEX(PODACI_PRODAJA!C:C,MATCH($A847,PODACI_PRODAJA!$A:$A,0)),0)</f>
        <v>0</v>
      </c>
      <c r="U847" s="23" t="n">
        <f aca="false">IFERROR(INDEX(PODACI_PRODAJA!D:D,MATCH($A847,PODACI_PRODAJA!$A:$A,0)),0)</f>
        <v>0</v>
      </c>
      <c r="V847" s="23" t="n">
        <f aca="false">IFERROR(INDEX(PODACI_PRODAJA!E:E,MATCH($A847,PODACI_PRODAJA!$A:$A,0)),0)</f>
        <v>1</v>
      </c>
      <c r="W847" s="23" t="n">
        <f aca="false">IFERROR(INDEX(PODACI_PRODAJA!F:F,MATCH($A847,PODACI_PRODAJA!$A:$A,0)),0)</f>
        <v>0</v>
      </c>
      <c r="X847" s="23" t="n">
        <f aca="false">IFERROR(INDEX(PODACI_PRODAJA!G:G,MATCH($A847,PODACI_PRODAJA!$A:$A,0)),0)</f>
        <v>0</v>
      </c>
      <c r="Y847" s="23" t="n">
        <f aca="false">IFERROR(INDEX(PODACI_PRODAJA!H:H,MATCH($A847,PODACI_PRODAJA!$A:$A,0)),0)</f>
        <v>0</v>
      </c>
      <c r="Z847" s="23" t="n">
        <f aca="false">IFERROR(INDEX(PODACI_PRODAJA!I:I,MATCH($A847,PODACI_PRODAJA!$A:$A,0)),0)</f>
        <v>0</v>
      </c>
      <c r="AA847" s="23" t="n">
        <f aca="false">IFERROR(INDEX(PODACI_PRODAJA!J:J,MATCH($A847,PODACI_PRODAJA!$A:$A,0)),0)</f>
        <v>0</v>
      </c>
      <c r="AB847" s="23" t="n">
        <f aca="false">IFERROR(INDEX(PODACI_PRODAJA!K:K,MATCH($A847,PODACI_PRODAJA!$A:$A,0)),0)</f>
        <v>0</v>
      </c>
      <c r="AC847" s="23" t="n">
        <f aca="false">IFERROR(INDEX(PODACI_PRODAJA!L:L,MATCH($A847,PODACI_PRODAJA!$A:$A,0)),0)</f>
        <v>0</v>
      </c>
      <c r="AD847" s="23" t="n">
        <f aca="false">IFERROR(INDEX(PODACI_PRODAJA!M:M,MATCH($A847,PODACI_PRODAJA!$A:$A,0)),0)</f>
        <v>0</v>
      </c>
    </row>
    <row r="848" customFormat="false" ht="15" hidden="false" customHeight="false" outlineLevel="0" collapsed="false">
      <c r="A848" s="11" t="str">
        <f aca="false">PODACI_ZALIHE!A845</f>
        <v>043380</v>
      </c>
      <c r="B848" s="8" t="str">
        <f aca="false">PODACI_ZALIHE!B845</f>
        <v>VETRO CUBO 100 TUŠ STIJENA 100x200 cm</v>
      </c>
      <c r="C848" s="9" t="n">
        <f aca="false">PODACI_ZALIHE!C845</f>
        <v>0</v>
      </c>
      <c r="D848" s="8" t="n">
        <f aca="false">PODACI_ZALIHE!D845</f>
        <v>0</v>
      </c>
      <c r="E848" s="19" t="str">
        <f aca="false">IF(PODACI_ZALIHE!E845="","",PODACI_ZALIHE!E845)</f>
        <v/>
      </c>
      <c r="F848" s="20" t="n">
        <f aca="false">PODACI_ZALIHE!F845</f>
        <v>0</v>
      </c>
      <c r="G848" s="19" t="str">
        <f aca="false">IF(E848="","",E848-F848)</f>
        <v/>
      </c>
      <c r="H848" s="9" t="n">
        <f aca="false">PODACI_PRODAJA!N430</f>
        <v>-0.13</v>
      </c>
      <c r="I848" s="21" t="n">
        <f aca="false">IF(H848&lt;=0,999,ROUND(F848/H848,1))</f>
        <v>999</v>
      </c>
      <c r="J848" s="9" t="n">
        <f aca="false">SUMIFS(ROBA_U_DOLASKU!$C$6:$C$95,ROBA_U_DOLASKU!$A$6:$A$95,A848,ROBA_U_DOLASKU!$H$6:$H$95,1)</f>
        <v>0</v>
      </c>
      <c r="K848" s="9" t="n">
        <f aca="false">SUMIFS(ROBA_U_DOLASKU!$B$6:$B$95,ROBA_U_DOLASKU!$A$6:$A$95,A848,ROBA_U_DOLASKU!$H$6:$H$95,1)</f>
        <v>0</v>
      </c>
      <c r="L848" s="9" t="n">
        <f aca="false">SUMIFS(ROBA_U_DOLASKU!$C$6:$C$95,ROBA_U_DOLASKU!$A$6:$A$95,A848,ROBA_U_DOLASKU!$H$6:$H$95,2)</f>
        <v>0</v>
      </c>
      <c r="M848" s="9" t="n">
        <f aca="false">SUMIFS(ROBA_U_DOLASKU!$B$6:$B$95,ROBA_U_DOLASKU!$A$6:$A$95,A848,ROBA_U_DOLASKU!$H$6:$H$95,2)</f>
        <v>0</v>
      </c>
      <c r="N848" s="9" t="n">
        <f aca="false">SUMIFS(ROBA_U_DOLASKU!$C$6:$C$95,ROBA_U_DOLASKU!$A$6:$A$95,A848,ROBA_U_DOLASKU!$H$6:$H$95,3)</f>
        <v>0</v>
      </c>
      <c r="O848" s="9" t="n">
        <f aca="false">SUMIFS(ROBA_U_DOLASKU!$B$6:$B$95,ROBA_U_DOLASKU!$A$6:$A$95,A848,ROBA_U_DOLASKU!$H$6:$H$95,3)</f>
        <v>0</v>
      </c>
      <c r="P848" s="9" t="n">
        <f aca="false">IF(H848&lt;=0,999,IF(O848&gt;0,ROUND((F848-H848*N848+K848+M848+O848)/H848,1),IF(M848&gt;0,ROUND((F848-H848*L848+K848+M848)/H848,1),IF(K848&gt;0,ROUND((F848-H848*J848+K848)/H848,1),I848))))</f>
        <v>999</v>
      </c>
      <c r="Q848" s="22" t="str">
        <f aca="false">IF(H848&lt;=0,"Nema prodaje",IF(AND(K848=0,M848=0,O848=0),IF(I848&lt;POSTAVKE!$B$6,"Naruči odmah","Sve u redu"),IF(F848-H848*J848&lt;0,"Rupa za ~"&amp;TEXT(I848,"0.0")&amp;" mj.",IF(AND(M848&gt;0,F848-H848*L848+K848&lt;0),"Rupa nakon 1. dolaska",IF(AND(O848&gt;0,F848-H848*N848+K848+M848&lt;0),"Rupa nakon 2. dolaska",IF(P848&lt;POSTAVKE!$B$6,"Količina nije dovoljna",IF(I848&gt;=POSTAVKE!$B$6,"Sve u redu","Stiže na vrijeme")))))))</f>
        <v>Nema prodaje</v>
      </c>
      <c r="S848" s="23" t="n">
        <f aca="false">IFERROR(INDEX(PODACI_PRODAJA!B:B,MATCH($A848,PODACI_PRODAJA!$A:$A,0)),0)</f>
        <v>0</v>
      </c>
      <c r="T848" s="23" t="n">
        <f aca="false">IFERROR(INDEX(PODACI_PRODAJA!C:C,MATCH($A848,PODACI_PRODAJA!$A:$A,0)),0)</f>
        <v>0</v>
      </c>
      <c r="U848" s="23" t="n">
        <f aca="false">IFERROR(INDEX(PODACI_PRODAJA!D:D,MATCH($A848,PODACI_PRODAJA!$A:$A,0)),0)</f>
        <v>0</v>
      </c>
      <c r="V848" s="23" t="n">
        <f aca="false">IFERROR(INDEX(PODACI_PRODAJA!E:E,MATCH($A848,PODACI_PRODAJA!$A:$A,0)),0)</f>
        <v>0</v>
      </c>
      <c r="W848" s="23" t="n">
        <f aca="false">IFERROR(INDEX(PODACI_PRODAJA!F:F,MATCH($A848,PODACI_PRODAJA!$A:$A,0)),0)</f>
        <v>0</v>
      </c>
      <c r="X848" s="23" t="n">
        <f aca="false">IFERROR(INDEX(PODACI_PRODAJA!G:G,MATCH($A848,PODACI_PRODAJA!$A:$A,0)),0)</f>
        <v>-1</v>
      </c>
      <c r="Y848" s="23" t="n">
        <f aca="false">IFERROR(INDEX(PODACI_PRODAJA!H:H,MATCH($A848,PODACI_PRODAJA!$A:$A,0)),0)</f>
        <v>0</v>
      </c>
      <c r="Z848" s="23" t="n">
        <f aca="false">IFERROR(INDEX(PODACI_PRODAJA!I:I,MATCH($A848,PODACI_PRODAJA!$A:$A,0)),0)</f>
        <v>0</v>
      </c>
      <c r="AA848" s="23" t="n">
        <f aca="false">IFERROR(INDEX(PODACI_PRODAJA!J:J,MATCH($A848,PODACI_PRODAJA!$A:$A,0)),0)</f>
        <v>0</v>
      </c>
      <c r="AB848" s="23" t="n">
        <f aca="false">IFERROR(INDEX(PODACI_PRODAJA!K:K,MATCH($A848,PODACI_PRODAJA!$A:$A,0)),0)</f>
        <v>0</v>
      </c>
      <c r="AC848" s="23" t="n">
        <f aca="false">IFERROR(INDEX(PODACI_PRODAJA!L:L,MATCH($A848,PODACI_PRODAJA!$A:$A,0)),0)</f>
        <v>0</v>
      </c>
      <c r="AD848" s="23" t="n">
        <f aca="false">IFERROR(INDEX(PODACI_PRODAJA!M:M,MATCH($A848,PODACI_PRODAJA!$A:$A,0)),0)</f>
        <v>0</v>
      </c>
    </row>
    <row r="849" customFormat="false" ht="15" hidden="false" customHeight="false" outlineLevel="0" collapsed="false">
      <c r="A849" s="11" t="str">
        <f aca="false">PODACI_ZALIHE!A846</f>
        <v>111.378.00.6</v>
      </c>
      <c r="B849" s="8" t="str">
        <f aca="false">PODACI_ZALIHE!B846</f>
        <v>GEBERIT DUOFIX SIGMA ELEMENT ZA VISEĆI WC SA VODOKOTLIĆEM - PROJEKTNI</v>
      </c>
      <c r="C849" s="9" t="n">
        <f aca="false">PODACI_ZALIHE!C846</f>
        <v>0</v>
      </c>
      <c r="D849" s="8" t="n">
        <f aca="false">PODACI_ZALIHE!D846</f>
        <v>0</v>
      </c>
      <c r="E849" s="19" t="str">
        <f aca="false">IF(PODACI_ZALIHE!E846="","",PODACI_ZALIHE!E846)</f>
        <v/>
      </c>
      <c r="F849" s="20" t="n">
        <f aca="false">PODACI_ZALIHE!F846</f>
        <v>0</v>
      </c>
      <c r="G849" s="19" t="str">
        <f aca="false">IF(E849="","",E849-F849)</f>
        <v/>
      </c>
      <c r="H849" s="9" t="n">
        <f aca="false">PODACI_PRODAJA!N456</f>
        <v>10.38</v>
      </c>
      <c r="I849" s="21" t="n">
        <f aca="false">IF(H849&lt;=0,999,ROUND(F849/H849,1))</f>
        <v>0</v>
      </c>
      <c r="J849" s="9" t="n">
        <f aca="false">SUMIFS(ROBA_U_DOLASKU!$C$6:$C$95,ROBA_U_DOLASKU!$A$6:$A$95,A849,ROBA_U_DOLASKU!$H$6:$H$95,1)</f>
        <v>0</v>
      </c>
      <c r="K849" s="9" t="n">
        <f aca="false">SUMIFS(ROBA_U_DOLASKU!$B$6:$B$95,ROBA_U_DOLASKU!$A$6:$A$95,A849,ROBA_U_DOLASKU!$H$6:$H$95,1)</f>
        <v>0</v>
      </c>
      <c r="L849" s="9" t="n">
        <f aca="false">SUMIFS(ROBA_U_DOLASKU!$C$6:$C$95,ROBA_U_DOLASKU!$A$6:$A$95,A849,ROBA_U_DOLASKU!$H$6:$H$95,2)</f>
        <v>0</v>
      </c>
      <c r="M849" s="9" t="n">
        <f aca="false">SUMIFS(ROBA_U_DOLASKU!$B$6:$B$95,ROBA_U_DOLASKU!$A$6:$A$95,A849,ROBA_U_DOLASKU!$H$6:$H$95,2)</f>
        <v>0</v>
      </c>
      <c r="N849" s="9" t="n">
        <f aca="false">SUMIFS(ROBA_U_DOLASKU!$C$6:$C$95,ROBA_U_DOLASKU!$A$6:$A$95,A849,ROBA_U_DOLASKU!$H$6:$H$95,3)</f>
        <v>0</v>
      </c>
      <c r="O849" s="9" t="n">
        <f aca="false">SUMIFS(ROBA_U_DOLASKU!$B$6:$B$95,ROBA_U_DOLASKU!$A$6:$A$95,A849,ROBA_U_DOLASKU!$H$6:$H$95,3)</f>
        <v>0</v>
      </c>
      <c r="P849" s="9" t="n">
        <f aca="false">IF(H849&lt;=0,999,IF(O849&gt;0,ROUND((F849-H849*N849+K849+M849+O849)/H849,1),IF(M849&gt;0,ROUND((F849-H849*L849+K849+M849)/H849,1),IF(K849&gt;0,ROUND((F849-H849*J849+K849)/H849,1),I849))))</f>
        <v>0</v>
      </c>
      <c r="Q849" s="22" t="str">
        <f aca="false">IF(H849&lt;=0,"Nema prodaje",IF(AND(K849=0,M849=0,O849=0),IF(I849&lt;POSTAVKE!$B$6,"Naruči odmah","Sve u redu"),IF(F849-H849*J849&lt;0,"Rupa za ~"&amp;TEXT(I849,"0.0")&amp;" mj.",IF(AND(M849&gt;0,F849-H849*L849+K849&lt;0),"Rupa nakon 1. dolaska",IF(AND(O849&gt;0,F849-H849*N849+K849+M849&lt;0),"Rupa nakon 2. dolaska",IF(P849&lt;POSTAVKE!$B$6,"Količina nije dovoljna",IF(I849&gt;=POSTAVKE!$B$6,"Sve u redu","Stiže na vrijeme")))))))</f>
        <v>Naruči odmah</v>
      </c>
      <c r="S849" s="23" t="n">
        <f aca="false">IFERROR(INDEX(PODACI_PRODAJA!B:B,MATCH($A849,PODACI_PRODAJA!$A:$A,0)),0)</f>
        <v>0</v>
      </c>
      <c r="T849" s="23" t="n">
        <f aca="false">IFERROR(INDEX(PODACI_PRODAJA!C:C,MATCH($A849,PODACI_PRODAJA!$A:$A,0)),0)</f>
        <v>0</v>
      </c>
      <c r="U849" s="23" t="n">
        <f aca="false">IFERROR(INDEX(PODACI_PRODAJA!D:D,MATCH($A849,PODACI_PRODAJA!$A:$A,0)),0)</f>
        <v>0</v>
      </c>
      <c r="V849" s="23" t="n">
        <f aca="false">IFERROR(INDEX(PODACI_PRODAJA!E:E,MATCH($A849,PODACI_PRODAJA!$A:$A,0)),0)</f>
        <v>0</v>
      </c>
      <c r="W849" s="23" t="n">
        <f aca="false">IFERROR(INDEX(PODACI_PRODAJA!F:F,MATCH($A849,PODACI_PRODAJA!$A:$A,0)),0)</f>
        <v>0</v>
      </c>
      <c r="X849" s="23" t="n">
        <f aca="false">IFERROR(INDEX(PODACI_PRODAJA!G:G,MATCH($A849,PODACI_PRODAJA!$A:$A,0)),0)</f>
        <v>58</v>
      </c>
      <c r="Y849" s="23" t="n">
        <f aca="false">IFERROR(INDEX(PODACI_PRODAJA!H:H,MATCH($A849,PODACI_PRODAJA!$A:$A,0)),0)</f>
        <v>25</v>
      </c>
      <c r="Z849" s="23" t="n">
        <f aca="false">IFERROR(INDEX(PODACI_PRODAJA!I:I,MATCH($A849,PODACI_PRODAJA!$A:$A,0)),0)</f>
        <v>0</v>
      </c>
      <c r="AA849" s="23" t="n">
        <f aca="false">IFERROR(INDEX(PODACI_PRODAJA!J:J,MATCH($A849,PODACI_PRODAJA!$A:$A,0)),0)</f>
        <v>0</v>
      </c>
      <c r="AB849" s="23" t="n">
        <f aca="false">IFERROR(INDEX(PODACI_PRODAJA!K:K,MATCH($A849,PODACI_PRODAJA!$A:$A,0)),0)</f>
        <v>0</v>
      </c>
      <c r="AC849" s="23" t="n">
        <f aca="false">IFERROR(INDEX(PODACI_PRODAJA!L:L,MATCH($A849,PODACI_PRODAJA!$A:$A,0)),0)</f>
        <v>0</v>
      </c>
      <c r="AD849" s="23" t="n">
        <f aca="false">IFERROR(INDEX(PODACI_PRODAJA!M:M,MATCH($A849,PODACI_PRODAJA!$A:$A,0)),0)</f>
        <v>0</v>
      </c>
    </row>
    <row r="850" customFormat="false" ht="15" hidden="false" customHeight="false" outlineLevel="0" collapsed="false">
      <c r="A850" s="11" t="str">
        <f aca="false">PODACI_ZALIHE!A847</f>
        <v>115.671.11.2</v>
      </c>
      <c r="B850" s="8" t="str">
        <f aca="false">PODACI_ZALIHE!B847</f>
        <v>GEBERIT TIPKA SIGMA50 PLOČA BIJELA SJAJ/TIPKA CRNI KROM DVOKOLIČINSKO ISPIRANJE</v>
      </c>
      <c r="C850" s="9" t="n">
        <f aca="false">PODACI_ZALIHE!C847</f>
        <v>0</v>
      </c>
      <c r="D850" s="8" t="n">
        <f aca="false">PODACI_ZALIHE!D847</f>
        <v>0</v>
      </c>
      <c r="E850" s="19" t="str">
        <f aca="false">IF(PODACI_ZALIHE!E847="","",PODACI_ZALIHE!E847)</f>
        <v/>
      </c>
      <c r="F850" s="20" t="n">
        <f aca="false">PODACI_ZALIHE!F847</f>
        <v>0</v>
      </c>
      <c r="G850" s="19" t="str">
        <f aca="false">IF(E850="","",E850-F850)</f>
        <v/>
      </c>
      <c r="H850" s="9" t="n">
        <f aca="false">PODACI_PRODAJA!N460</f>
        <v>0.63</v>
      </c>
      <c r="I850" s="21" t="n">
        <f aca="false">IF(H850&lt;=0,999,ROUND(F850/H850,1))</f>
        <v>0</v>
      </c>
      <c r="J850" s="9" t="n">
        <f aca="false">SUMIFS(ROBA_U_DOLASKU!$C$6:$C$95,ROBA_U_DOLASKU!$A$6:$A$95,A850,ROBA_U_DOLASKU!$H$6:$H$95,1)</f>
        <v>0</v>
      </c>
      <c r="K850" s="9" t="n">
        <f aca="false">SUMIFS(ROBA_U_DOLASKU!$B$6:$B$95,ROBA_U_DOLASKU!$A$6:$A$95,A850,ROBA_U_DOLASKU!$H$6:$H$95,1)</f>
        <v>0</v>
      </c>
      <c r="L850" s="9" t="n">
        <f aca="false">SUMIFS(ROBA_U_DOLASKU!$C$6:$C$95,ROBA_U_DOLASKU!$A$6:$A$95,A850,ROBA_U_DOLASKU!$H$6:$H$95,2)</f>
        <v>0</v>
      </c>
      <c r="M850" s="9" t="n">
        <f aca="false">SUMIFS(ROBA_U_DOLASKU!$B$6:$B$95,ROBA_U_DOLASKU!$A$6:$A$95,A850,ROBA_U_DOLASKU!$H$6:$H$95,2)</f>
        <v>0</v>
      </c>
      <c r="N850" s="9" t="n">
        <f aca="false">SUMIFS(ROBA_U_DOLASKU!$C$6:$C$95,ROBA_U_DOLASKU!$A$6:$A$95,A850,ROBA_U_DOLASKU!$H$6:$H$95,3)</f>
        <v>0</v>
      </c>
      <c r="O850" s="9" t="n">
        <f aca="false">SUMIFS(ROBA_U_DOLASKU!$B$6:$B$95,ROBA_U_DOLASKU!$A$6:$A$95,A850,ROBA_U_DOLASKU!$H$6:$H$95,3)</f>
        <v>0</v>
      </c>
      <c r="P850" s="9" t="n">
        <f aca="false">IF(H850&lt;=0,999,IF(O850&gt;0,ROUND((F850-H850*N850+K850+M850+O850)/H850,1),IF(M850&gt;0,ROUND((F850-H850*L850+K850+M850)/H850,1),IF(K850&gt;0,ROUND((F850-H850*J850+K850)/H850,1),I850))))</f>
        <v>0</v>
      </c>
      <c r="Q850" s="22" t="str">
        <f aca="false">IF(H850&lt;=0,"Nema prodaje",IF(AND(K850=0,M850=0,O850=0),IF(I850&lt;POSTAVKE!$B$6,"Naruči odmah","Sve u redu"),IF(F850-H850*J850&lt;0,"Rupa za ~"&amp;TEXT(I850,"0.0")&amp;" mj.",IF(AND(M850&gt;0,F850-H850*L850+K850&lt;0),"Rupa nakon 1. dolaska",IF(AND(O850&gt;0,F850-H850*N850+K850+M850&lt;0),"Rupa nakon 2. dolaska",IF(P850&lt;POSTAVKE!$B$6,"Količina nije dovoljna",IF(I850&gt;=POSTAVKE!$B$6,"Sve u redu","Stiže na vrijeme")))))))</f>
        <v>Naruči odmah</v>
      </c>
      <c r="S850" s="23" t="n">
        <f aca="false">IFERROR(INDEX(PODACI_PRODAJA!B:B,MATCH($A850,PODACI_PRODAJA!$A:$A,0)),0)</f>
        <v>0</v>
      </c>
      <c r="T850" s="23" t="n">
        <f aca="false">IFERROR(INDEX(PODACI_PRODAJA!C:C,MATCH($A850,PODACI_PRODAJA!$A:$A,0)),0)</f>
        <v>0</v>
      </c>
      <c r="U850" s="23" t="n">
        <f aca="false">IFERROR(INDEX(PODACI_PRODAJA!D:D,MATCH($A850,PODACI_PRODAJA!$A:$A,0)),0)</f>
        <v>0</v>
      </c>
      <c r="V850" s="23" t="n">
        <f aca="false">IFERROR(INDEX(PODACI_PRODAJA!E:E,MATCH($A850,PODACI_PRODAJA!$A:$A,0)),0)</f>
        <v>5</v>
      </c>
      <c r="W850" s="23" t="n">
        <f aca="false">IFERROR(INDEX(PODACI_PRODAJA!F:F,MATCH($A850,PODACI_PRODAJA!$A:$A,0)),0)</f>
        <v>0</v>
      </c>
      <c r="X850" s="23" t="n">
        <f aca="false">IFERROR(INDEX(PODACI_PRODAJA!G:G,MATCH($A850,PODACI_PRODAJA!$A:$A,0)),0)</f>
        <v>0</v>
      </c>
      <c r="Y850" s="23" t="n">
        <f aca="false">IFERROR(INDEX(PODACI_PRODAJA!H:H,MATCH($A850,PODACI_PRODAJA!$A:$A,0)),0)</f>
        <v>0</v>
      </c>
      <c r="Z850" s="23" t="n">
        <f aca="false">IFERROR(INDEX(PODACI_PRODAJA!I:I,MATCH($A850,PODACI_PRODAJA!$A:$A,0)),0)</f>
        <v>0</v>
      </c>
      <c r="AA850" s="23" t="n">
        <f aca="false">IFERROR(INDEX(PODACI_PRODAJA!J:J,MATCH($A850,PODACI_PRODAJA!$A:$A,0)),0)</f>
        <v>0</v>
      </c>
      <c r="AB850" s="23" t="n">
        <f aca="false">IFERROR(INDEX(PODACI_PRODAJA!K:K,MATCH($A850,PODACI_PRODAJA!$A:$A,0)),0)</f>
        <v>0</v>
      </c>
      <c r="AC850" s="23" t="n">
        <f aca="false">IFERROR(INDEX(PODACI_PRODAJA!L:L,MATCH($A850,PODACI_PRODAJA!$A:$A,0)),0)</f>
        <v>0</v>
      </c>
      <c r="AD850" s="23" t="n">
        <f aca="false">IFERROR(INDEX(PODACI_PRODAJA!M:M,MATCH($A850,PODACI_PRODAJA!$A:$A,0)),0)</f>
        <v>0</v>
      </c>
    </row>
    <row r="851" customFormat="false" ht="15" hidden="false" customHeight="false" outlineLevel="0" collapsed="false">
      <c r="A851" s="11" t="str">
        <f aca="false">PODACI_ZALIHE!A848</f>
        <v>115.882.JQ.1</v>
      </c>
      <c r="B851" s="8" t="str">
        <f aca="false">PODACI_ZALIHE!B848</f>
        <v>GEBERIT TIPKA SIGMA20, OKRUGLI DIZAJN, KROM/MAT</v>
      </c>
      <c r="C851" s="9" t="n">
        <f aca="false">PODACI_ZALIHE!C848</f>
        <v>0</v>
      </c>
      <c r="D851" s="8" t="n">
        <f aca="false">PODACI_ZALIHE!D848</f>
        <v>0</v>
      </c>
      <c r="E851" s="19" t="str">
        <f aca="false">IF(PODACI_ZALIHE!E848="","",PODACI_ZALIHE!E848)</f>
        <v/>
      </c>
      <c r="F851" s="20" t="n">
        <f aca="false">PODACI_ZALIHE!F848</f>
        <v>0</v>
      </c>
      <c r="G851" s="19" t="str">
        <f aca="false">IF(E851="","",E851-F851)</f>
        <v/>
      </c>
      <c r="H851" s="9" t="n">
        <f aca="false">PODACI_PRODAJA!N461</f>
        <v>0.38</v>
      </c>
      <c r="I851" s="21" t="n">
        <f aca="false">IF(H851&lt;=0,999,ROUND(F851/H851,1))</f>
        <v>0</v>
      </c>
      <c r="J851" s="9" t="n">
        <f aca="false">SUMIFS(ROBA_U_DOLASKU!$C$6:$C$95,ROBA_U_DOLASKU!$A$6:$A$95,A851,ROBA_U_DOLASKU!$H$6:$H$95,1)</f>
        <v>0</v>
      </c>
      <c r="K851" s="9" t="n">
        <f aca="false">SUMIFS(ROBA_U_DOLASKU!$B$6:$B$95,ROBA_U_DOLASKU!$A$6:$A$95,A851,ROBA_U_DOLASKU!$H$6:$H$95,1)</f>
        <v>0</v>
      </c>
      <c r="L851" s="9" t="n">
        <f aca="false">SUMIFS(ROBA_U_DOLASKU!$C$6:$C$95,ROBA_U_DOLASKU!$A$6:$A$95,A851,ROBA_U_DOLASKU!$H$6:$H$95,2)</f>
        <v>0</v>
      </c>
      <c r="M851" s="9" t="n">
        <f aca="false">SUMIFS(ROBA_U_DOLASKU!$B$6:$B$95,ROBA_U_DOLASKU!$A$6:$A$95,A851,ROBA_U_DOLASKU!$H$6:$H$95,2)</f>
        <v>0</v>
      </c>
      <c r="N851" s="9" t="n">
        <f aca="false">SUMIFS(ROBA_U_DOLASKU!$C$6:$C$95,ROBA_U_DOLASKU!$A$6:$A$95,A851,ROBA_U_DOLASKU!$H$6:$H$95,3)</f>
        <v>0</v>
      </c>
      <c r="O851" s="9" t="n">
        <f aca="false">SUMIFS(ROBA_U_DOLASKU!$B$6:$B$95,ROBA_U_DOLASKU!$A$6:$A$95,A851,ROBA_U_DOLASKU!$H$6:$H$95,3)</f>
        <v>0</v>
      </c>
      <c r="P851" s="9" t="n">
        <f aca="false">IF(H851&lt;=0,999,IF(O851&gt;0,ROUND((F851-H851*N851+K851+M851+O851)/H851,1),IF(M851&gt;0,ROUND((F851-H851*L851+K851+M851)/H851,1),IF(K851&gt;0,ROUND((F851-H851*J851+K851)/H851,1),I851))))</f>
        <v>0</v>
      </c>
      <c r="Q851" s="22" t="str">
        <f aca="false">IF(H851&lt;=0,"Nema prodaje",IF(AND(K851=0,M851=0,O851=0),IF(I851&lt;POSTAVKE!$B$6,"Naruči odmah","Sve u redu"),IF(F851-H851*J851&lt;0,"Rupa za ~"&amp;TEXT(I851,"0.0")&amp;" mj.",IF(AND(M851&gt;0,F851-H851*L851+K851&lt;0),"Rupa nakon 1. dolaska",IF(AND(O851&gt;0,F851-H851*N851+K851+M851&lt;0),"Rupa nakon 2. dolaska",IF(P851&lt;POSTAVKE!$B$6,"Količina nije dovoljna",IF(I851&gt;=POSTAVKE!$B$6,"Sve u redu","Stiže na vrijeme")))))))</f>
        <v>Naruči odmah</v>
      </c>
      <c r="S851" s="23" t="n">
        <f aca="false">IFERROR(INDEX(PODACI_PRODAJA!B:B,MATCH($A851,PODACI_PRODAJA!$A:$A,0)),0)</f>
        <v>0</v>
      </c>
      <c r="T851" s="23" t="n">
        <f aca="false">IFERROR(INDEX(PODACI_PRODAJA!C:C,MATCH($A851,PODACI_PRODAJA!$A:$A,0)),0)</f>
        <v>0</v>
      </c>
      <c r="U851" s="23" t="n">
        <f aca="false">IFERROR(INDEX(PODACI_PRODAJA!D:D,MATCH($A851,PODACI_PRODAJA!$A:$A,0)),0)</f>
        <v>0</v>
      </c>
      <c r="V851" s="23" t="n">
        <f aca="false">IFERROR(INDEX(PODACI_PRODAJA!E:E,MATCH($A851,PODACI_PRODAJA!$A:$A,0)),0)</f>
        <v>3</v>
      </c>
      <c r="W851" s="23" t="n">
        <f aca="false">IFERROR(INDEX(PODACI_PRODAJA!F:F,MATCH($A851,PODACI_PRODAJA!$A:$A,0)),0)</f>
        <v>0</v>
      </c>
      <c r="X851" s="23" t="n">
        <f aca="false">IFERROR(INDEX(PODACI_PRODAJA!G:G,MATCH($A851,PODACI_PRODAJA!$A:$A,0)),0)</f>
        <v>0</v>
      </c>
      <c r="Y851" s="23" t="n">
        <f aca="false">IFERROR(INDEX(PODACI_PRODAJA!H:H,MATCH($A851,PODACI_PRODAJA!$A:$A,0)),0)</f>
        <v>0</v>
      </c>
      <c r="Z851" s="23" t="n">
        <f aca="false">IFERROR(INDEX(PODACI_PRODAJA!I:I,MATCH($A851,PODACI_PRODAJA!$A:$A,0)),0)</f>
        <v>0</v>
      </c>
      <c r="AA851" s="23" t="n">
        <f aca="false">IFERROR(INDEX(PODACI_PRODAJA!J:J,MATCH($A851,PODACI_PRODAJA!$A:$A,0)),0)</f>
        <v>0</v>
      </c>
      <c r="AB851" s="23" t="n">
        <f aca="false">IFERROR(INDEX(PODACI_PRODAJA!K:K,MATCH($A851,PODACI_PRODAJA!$A:$A,0)),0)</f>
        <v>0</v>
      </c>
      <c r="AC851" s="23" t="n">
        <f aca="false">IFERROR(INDEX(PODACI_PRODAJA!L:L,MATCH($A851,PODACI_PRODAJA!$A:$A,0)),0)</f>
        <v>0</v>
      </c>
      <c r="AD851" s="23" t="n">
        <f aca="false">IFERROR(INDEX(PODACI_PRODAJA!M:M,MATCH($A851,PODACI_PRODAJA!$A:$A,0)),0)</f>
        <v>0</v>
      </c>
    </row>
    <row r="852" customFormat="false" ht="15" hidden="false" customHeight="false" outlineLevel="0" collapsed="false">
      <c r="A852" s="11" t="str">
        <f aca="false">PODACI_ZALIHE!A849</f>
        <v>115.882.01.1</v>
      </c>
      <c r="B852" s="8" t="str">
        <f aca="false">PODACI_ZALIHE!B849</f>
        <v>GEBERIT TIPKA SIGMA20, OKRUGLI DIZAJN, BIJELA/SJAJ</v>
      </c>
      <c r="C852" s="9" t="n">
        <f aca="false">PODACI_ZALIHE!C849</f>
        <v>0</v>
      </c>
      <c r="D852" s="8" t="n">
        <f aca="false">PODACI_ZALIHE!D849</f>
        <v>0</v>
      </c>
      <c r="E852" s="19" t="str">
        <f aca="false">IF(PODACI_ZALIHE!E849="","",PODACI_ZALIHE!E849)</f>
        <v/>
      </c>
      <c r="F852" s="20" t="n">
        <f aca="false">PODACI_ZALIHE!F849</f>
        <v>0</v>
      </c>
      <c r="G852" s="19" t="str">
        <f aca="false">IF(E852="","",E852-F852)</f>
        <v/>
      </c>
      <c r="H852" s="9" t="n">
        <f aca="false">PODACI_PRODAJA!N462</f>
        <v>0.25</v>
      </c>
      <c r="I852" s="21" t="n">
        <f aca="false">IF(H852&lt;=0,999,ROUND(F852/H852,1))</f>
        <v>0</v>
      </c>
      <c r="J852" s="9" t="n">
        <f aca="false">SUMIFS(ROBA_U_DOLASKU!$C$6:$C$95,ROBA_U_DOLASKU!$A$6:$A$95,A852,ROBA_U_DOLASKU!$H$6:$H$95,1)</f>
        <v>0</v>
      </c>
      <c r="K852" s="9" t="n">
        <f aca="false">SUMIFS(ROBA_U_DOLASKU!$B$6:$B$95,ROBA_U_DOLASKU!$A$6:$A$95,A852,ROBA_U_DOLASKU!$H$6:$H$95,1)</f>
        <v>0</v>
      </c>
      <c r="L852" s="9" t="n">
        <f aca="false">SUMIFS(ROBA_U_DOLASKU!$C$6:$C$95,ROBA_U_DOLASKU!$A$6:$A$95,A852,ROBA_U_DOLASKU!$H$6:$H$95,2)</f>
        <v>0</v>
      </c>
      <c r="M852" s="9" t="n">
        <f aca="false">SUMIFS(ROBA_U_DOLASKU!$B$6:$B$95,ROBA_U_DOLASKU!$A$6:$A$95,A852,ROBA_U_DOLASKU!$H$6:$H$95,2)</f>
        <v>0</v>
      </c>
      <c r="N852" s="9" t="n">
        <f aca="false">SUMIFS(ROBA_U_DOLASKU!$C$6:$C$95,ROBA_U_DOLASKU!$A$6:$A$95,A852,ROBA_U_DOLASKU!$H$6:$H$95,3)</f>
        <v>0</v>
      </c>
      <c r="O852" s="9" t="n">
        <f aca="false">SUMIFS(ROBA_U_DOLASKU!$B$6:$B$95,ROBA_U_DOLASKU!$A$6:$A$95,A852,ROBA_U_DOLASKU!$H$6:$H$95,3)</f>
        <v>0</v>
      </c>
      <c r="P852" s="9" t="n">
        <f aca="false">IF(H852&lt;=0,999,IF(O852&gt;0,ROUND((F852-H852*N852+K852+M852+O852)/H852,1),IF(M852&gt;0,ROUND((F852-H852*L852+K852+M852)/H852,1),IF(K852&gt;0,ROUND((F852-H852*J852+K852)/H852,1),I852))))</f>
        <v>0</v>
      </c>
      <c r="Q852" s="22" t="str">
        <f aca="false">IF(H852&lt;=0,"Nema prodaje",IF(AND(K852=0,M852=0,O852=0),IF(I852&lt;POSTAVKE!$B$6,"Naruči odmah","Sve u redu"),IF(F852-H852*J852&lt;0,"Rupa za ~"&amp;TEXT(I852,"0.0")&amp;" mj.",IF(AND(M852&gt;0,F852-H852*L852+K852&lt;0),"Rupa nakon 1. dolaska",IF(AND(O852&gt;0,F852-H852*N852+K852+M852&lt;0),"Rupa nakon 2. dolaska",IF(P852&lt;POSTAVKE!$B$6,"Količina nije dovoljna",IF(I852&gt;=POSTAVKE!$B$6,"Sve u redu","Stiže na vrijeme")))))))</f>
        <v>Naruči odmah</v>
      </c>
      <c r="S852" s="23" t="n">
        <f aca="false">IFERROR(INDEX(PODACI_PRODAJA!B:B,MATCH($A852,PODACI_PRODAJA!$A:$A,0)),0)</f>
        <v>0</v>
      </c>
      <c r="T852" s="23" t="n">
        <f aca="false">IFERROR(INDEX(PODACI_PRODAJA!C:C,MATCH($A852,PODACI_PRODAJA!$A:$A,0)),0)</f>
        <v>0</v>
      </c>
      <c r="U852" s="23" t="n">
        <f aca="false">IFERROR(INDEX(PODACI_PRODAJA!D:D,MATCH($A852,PODACI_PRODAJA!$A:$A,0)),0)</f>
        <v>0</v>
      </c>
      <c r="V852" s="23" t="n">
        <f aca="false">IFERROR(INDEX(PODACI_PRODAJA!E:E,MATCH($A852,PODACI_PRODAJA!$A:$A,0)),0)</f>
        <v>2</v>
      </c>
      <c r="W852" s="23" t="n">
        <f aca="false">IFERROR(INDEX(PODACI_PRODAJA!F:F,MATCH($A852,PODACI_PRODAJA!$A:$A,0)),0)</f>
        <v>0</v>
      </c>
      <c r="X852" s="23" t="n">
        <f aca="false">IFERROR(INDEX(PODACI_PRODAJA!G:G,MATCH($A852,PODACI_PRODAJA!$A:$A,0)),0)</f>
        <v>0</v>
      </c>
      <c r="Y852" s="23" t="n">
        <f aca="false">IFERROR(INDEX(PODACI_PRODAJA!H:H,MATCH($A852,PODACI_PRODAJA!$A:$A,0)),0)</f>
        <v>0</v>
      </c>
      <c r="Z852" s="23" t="n">
        <f aca="false">IFERROR(INDEX(PODACI_PRODAJA!I:I,MATCH($A852,PODACI_PRODAJA!$A:$A,0)),0)</f>
        <v>0</v>
      </c>
      <c r="AA852" s="23" t="n">
        <f aca="false">IFERROR(INDEX(PODACI_PRODAJA!J:J,MATCH($A852,PODACI_PRODAJA!$A:$A,0)),0)</f>
        <v>0</v>
      </c>
      <c r="AB852" s="23" t="n">
        <f aca="false">IFERROR(INDEX(PODACI_PRODAJA!K:K,MATCH($A852,PODACI_PRODAJA!$A:$A,0)),0)</f>
        <v>0</v>
      </c>
      <c r="AC852" s="23" t="n">
        <f aca="false">IFERROR(INDEX(PODACI_PRODAJA!L:L,MATCH($A852,PODACI_PRODAJA!$A:$A,0)),0)</f>
        <v>0</v>
      </c>
      <c r="AD852" s="23" t="n">
        <f aca="false">IFERROR(INDEX(PODACI_PRODAJA!M:M,MATCH($A852,PODACI_PRODAJA!$A:$A,0)),0)</f>
        <v>0</v>
      </c>
    </row>
    <row r="853" customFormat="false" ht="15" hidden="false" customHeight="false" outlineLevel="0" collapsed="false">
      <c r="A853" s="11" t="str">
        <f aca="false">PODACI_ZALIHE!A850</f>
        <v>115.883.16.1</v>
      </c>
      <c r="B853" s="8" t="str">
        <f aca="false">PODACI_ZALIHE!B850</f>
        <v>GEBERIT TIPKA SIGMA20, PRAVOKUTNA, CRNA/MAT</v>
      </c>
      <c r="C853" s="9" t="n">
        <f aca="false">PODACI_ZALIHE!C850</f>
        <v>0</v>
      </c>
      <c r="D853" s="8" t="n">
        <f aca="false">PODACI_ZALIHE!D850</f>
        <v>0</v>
      </c>
      <c r="E853" s="19" t="str">
        <f aca="false">IF(PODACI_ZALIHE!E850="","",PODACI_ZALIHE!E850)</f>
        <v/>
      </c>
      <c r="F853" s="20" t="n">
        <f aca="false">PODACI_ZALIHE!F850</f>
        <v>0</v>
      </c>
      <c r="G853" s="19" t="str">
        <f aca="false">IF(E853="","",E853-F853)</f>
        <v/>
      </c>
      <c r="H853" s="9" t="n">
        <f aca="false">PODACI_PRODAJA!N463</f>
        <v>1.5</v>
      </c>
      <c r="I853" s="21" t="n">
        <f aca="false">IF(H853&lt;=0,999,ROUND(F853/H853,1))</f>
        <v>0</v>
      </c>
      <c r="J853" s="9" t="n">
        <f aca="false">SUMIFS(ROBA_U_DOLASKU!$C$6:$C$95,ROBA_U_DOLASKU!$A$6:$A$95,A853,ROBA_U_DOLASKU!$H$6:$H$95,1)</f>
        <v>0</v>
      </c>
      <c r="K853" s="9" t="n">
        <f aca="false">SUMIFS(ROBA_U_DOLASKU!$B$6:$B$95,ROBA_U_DOLASKU!$A$6:$A$95,A853,ROBA_U_DOLASKU!$H$6:$H$95,1)</f>
        <v>0</v>
      </c>
      <c r="L853" s="9" t="n">
        <f aca="false">SUMIFS(ROBA_U_DOLASKU!$C$6:$C$95,ROBA_U_DOLASKU!$A$6:$A$95,A853,ROBA_U_DOLASKU!$H$6:$H$95,2)</f>
        <v>0</v>
      </c>
      <c r="M853" s="9" t="n">
        <f aca="false">SUMIFS(ROBA_U_DOLASKU!$B$6:$B$95,ROBA_U_DOLASKU!$A$6:$A$95,A853,ROBA_U_DOLASKU!$H$6:$H$95,2)</f>
        <v>0</v>
      </c>
      <c r="N853" s="9" t="n">
        <f aca="false">SUMIFS(ROBA_U_DOLASKU!$C$6:$C$95,ROBA_U_DOLASKU!$A$6:$A$95,A853,ROBA_U_DOLASKU!$H$6:$H$95,3)</f>
        <v>0</v>
      </c>
      <c r="O853" s="9" t="n">
        <f aca="false">SUMIFS(ROBA_U_DOLASKU!$B$6:$B$95,ROBA_U_DOLASKU!$A$6:$A$95,A853,ROBA_U_DOLASKU!$H$6:$H$95,3)</f>
        <v>0</v>
      </c>
      <c r="P853" s="9" t="n">
        <f aca="false">IF(H853&lt;=0,999,IF(O853&gt;0,ROUND((F853-H853*N853+K853+M853+O853)/H853,1),IF(M853&gt;0,ROUND((F853-H853*L853+K853+M853)/H853,1),IF(K853&gt;0,ROUND((F853-H853*J853+K853)/H853,1),I853))))</f>
        <v>0</v>
      </c>
      <c r="Q853" s="22" t="str">
        <f aca="false">IF(H853&lt;=0,"Nema prodaje",IF(AND(K853=0,M853=0,O853=0),IF(I853&lt;POSTAVKE!$B$6,"Naruči odmah","Sve u redu"),IF(F853-H853*J853&lt;0,"Rupa za ~"&amp;TEXT(I853,"0.0")&amp;" mj.",IF(AND(M853&gt;0,F853-H853*L853+K853&lt;0),"Rupa nakon 1. dolaska",IF(AND(O853&gt;0,F853-H853*N853+K853+M853&lt;0),"Rupa nakon 2. dolaska",IF(P853&lt;POSTAVKE!$B$6,"Količina nije dovoljna",IF(I853&gt;=POSTAVKE!$B$6,"Sve u redu","Stiže na vrijeme")))))))</f>
        <v>Naruči odmah</v>
      </c>
      <c r="S853" s="23" t="n">
        <f aca="false">IFERROR(INDEX(PODACI_PRODAJA!B:B,MATCH($A853,PODACI_PRODAJA!$A:$A,0)),0)</f>
        <v>0</v>
      </c>
      <c r="T853" s="23" t="n">
        <f aca="false">IFERROR(INDEX(PODACI_PRODAJA!C:C,MATCH($A853,PODACI_PRODAJA!$A:$A,0)),0)</f>
        <v>0</v>
      </c>
      <c r="U853" s="23" t="n">
        <f aca="false">IFERROR(INDEX(PODACI_PRODAJA!D:D,MATCH($A853,PODACI_PRODAJA!$A:$A,0)),0)</f>
        <v>0</v>
      </c>
      <c r="V853" s="23" t="n">
        <f aca="false">IFERROR(INDEX(PODACI_PRODAJA!E:E,MATCH($A853,PODACI_PRODAJA!$A:$A,0)),0)</f>
        <v>0</v>
      </c>
      <c r="W853" s="23" t="n">
        <f aca="false">IFERROR(INDEX(PODACI_PRODAJA!F:F,MATCH($A853,PODACI_PRODAJA!$A:$A,0)),0)</f>
        <v>0</v>
      </c>
      <c r="X853" s="23" t="n">
        <f aca="false">IFERROR(INDEX(PODACI_PRODAJA!G:G,MATCH($A853,PODACI_PRODAJA!$A:$A,0)),0)</f>
        <v>0</v>
      </c>
      <c r="Y853" s="23" t="n">
        <f aca="false">IFERROR(INDEX(PODACI_PRODAJA!H:H,MATCH($A853,PODACI_PRODAJA!$A:$A,0)),0)</f>
        <v>12</v>
      </c>
      <c r="Z853" s="23" t="n">
        <f aca="false">IFERROR(INDEX(PODACI_PRODAJA!I:I,MATCH($A853,PODACI_PRODAJA!$A:$A,0)),0)</f>
        <v>0</v>
      </c>
      <c r="AA853" s="23" t="n">
        <f aca="false">IFERROR(INDEX(PODACI_PRODAJA!J:J,MATCH($A853,PODACI_PRODAJA!$A:$A,0)),0)</f>
        <v>0</v>
      </c>
      <c r="AB853" s="23" t="n">
        <f aca="false">IFERROR(INDEX(PODACI_PRODAJA!K:K,MATCH($A853,PODACI_PRODAJA!$A:$A,0)),0)</f>
        <v>0</v>
      </c>
      <c r="AC853" s="23" t="n">
        <f aca="false">IFERROR(INDEX(PODACI_PRODAJA!L:L,MATCH($A853,PODACI_PRODAJA!$A:$A,0)),0)</f>
        <v>0</v>
      </c>
      <c r="AD853" s="23" t="n">
        <f aca="false">IFERROR(INDEX(PODACI_PRODAJA!M:M,MATCH($A853,PODACI_PRODAJA!$A:$A,0)),0)</f>
        <v>0</v>
      </c>
    </row>
    <row r="854" customFormat="false" ht="15" hidden="false" customHeight="false" outlineLevel="0" collapsed="false">
      <c r="A854" s="11" t="str">
        <f aca="false">PODACI_ZALIHE!A851</f>
        <v>13423000</v>
      </c>
      <c r="B854" s="8" t="str">
        <f aca="false">PODACI_ZALIHE!B851</f>
        <v>HANSGROHE IZLJEV ZA KADU 15.2 CM S PREBACIVAČEM</v>
      </c>
      <c r="C854" s="9" t="n">
        <f aca="false">PODACI_ZALIHE!C851</f>
        <v>0</v>
      </c>
      <c r="D854" s="8" t="n">
        <f aca="false">PODACI_ZALIHE!D851</f>
        <v>0</v>
      </c>
      <c r="E854" s="19" t="str">
        <f aca="false">IF(PODACI_ZALIHE!E851="","",PODACI_ZALIHE!E851)</f>
        <v/>
      </c>
      <c r="F854" s="20" t="n">
        <f aca="false">PODACI_ZALIHE!F851</f>
        <v>0</v>
      </c>
      <c r="G854" s="19" t="str">
        <f aca="false">IF(E854="","",E854-F854)</f>
        <v/>
      </c>
      <c r="H854" s="9" t="n">
        <f aca="false">PODACI_PRODAJA!N464</f>
        <v>0.13</v>
      </c>
      <c r="I854" s="21" t="n">
        <f aca="false">IF(H854&lt;=0,999,ROUND(F854/H854,1))</f>
        <v>0</v>
      </c>
      <c r="J854" s="9" t="n">
        <f aca="false">SUMIFS(ROBA_U_DOLASKU!$C$6:$C$95,ROBA_U_DOLASKU!$A$6:$A$95,A854,ROBA_U_DOLASKU!$H$6:$H$95,1)</f>
        <v>0</v>
      </c>
      <c r="K854" s="9" t="n">
        <f aca="false">SUMIFS(ROBA_U_DOLASKU!$B$6:$B$95,ROBA_U_DOLASKU!$A$6:$A$95,A854,ROBA_U_DOLASKU!$H$6:$H$95,1)</f>
        <v>0</v>
      </c>
      <c r="L854" s="9" t="n">
        <f aca="false">SUMIFS(ROBA_U_DOLASKU!$C$6:$C$95,ROBA_U_DOLASKU!$A$6:$A$95,A854,ROBA_U_DOLASKU!$H$6:$H$95,2)</f>
        <v>0</v>
      </c>
      <c r="M854" s="9" t="n">
        <f aca="false">SUMIFS(ROBA_U_DOLASKU!$B$6:$B$95,ROBA_U_DOLASKU!$A$6:$A$95,A854,ROBA_U_DOLASKU!$H$6:$H$95,2)</f>
        <v>0</v>
      </c>
      <c r="N854" s="9" t="n">
        <f aca="false">SUMIFS(ROBA_U_DOLASKU!$C$6:$C$95,ROBA_U_DOLASKU!$A$6:$A$95,A854,ROBA_U_DOLASKU!$H$6:$H$95,3)</f>
        <v>0</v>
      </c>
      <c r="O854" s="9" t="n">
        <f aca="false">SUMIFS(ROBA_U_DOLASKU!$B$6:$B$95,ROBA_U_DOLASKU!$A$6:$A$95,A854,ROBA_U_DOLASKU!$H$6:$H$95,3)</f>
        <v>0</v>
      </c>
      <c r="P854" s="9" t="n">
        <f aca="false">IF(H854&lt;=0,999,IF(O854&gt;0,ROUND((F854-H854*N854+K854+M854+O854)/H854,1),IF(M854&gt;0,ROUND((F854-H854*L854+K854+M854)/H854,1),IF(K854&gt;0,ROUND((F854-H854*J854+K854)/H854,1),I854))))</f>
        <v>0</v>
      </c>
      <c r="Q854" s="22" t="str">
        <f aca="false">IF(H854&lt;=0,"Nema prodaje",IF(AND(K854=0,M854=0,O854=0),IF(I854&lt;POSTAVKE!$B$6,"Naruči odmah","Sve u redu"),IF(F854-H854*J854&lt;0,"Rupa za ~"&amp;TEXT(I854,"0.0")&amp;" mj.",IF(AND(M854&gt;0,F854-H854*L854+K854&lt;0),"Rupa nakon 1. dolaska",IF(AND(O854&gt;0,F854-H854*N854+K854+M854&lt;0),"Rupa nakon 2. dolaska",IF(P854&lt;POSTAVKE!$B$6,"Količina nije dovoljna",IF(I854&gt;=POSTAVKE!$B$6,"Sve u redu","Stiže na vrijeme")))))))</f>
        <v>Naruči odmah</v>
      </c>
      <c r="S854" s="23" t="n">
        <f aca="false">IFERROR(INDEX(PODACI_PRODAJA!B:B,MATCH($A854,PODACI_PRODAJA!$A:$A,0)),0)</f>
        <v>0</v>
      </c>
      <c r="T854" s="23" t="n">
        <f aca="false">IFERROR(INDEX(PODACI_PRODAJA!C:C,MATCH($A854,PODACI_PRODAJA!$A:$A,0)),0)</f>
        <v>0</v>
      </c>
      <c r="U854" s="23" t="n">
        <f aca="false">IFERROR(INDEX(PODACI_PRODAJA!D:D,MATCH($A854,PODACI_PRODAJA!$A:$A,0)),0)</f>
        <v>0</v>
      </c>
      <c r="V854" s="23" t="n">
        <f aca="false">IFERROR(INDEX(PODACI_PRODAJA!E:E,MATCH($A854,PODACI_PRODAJA!$A:$A,0)),0)</f>
        <v>0</v>
      </c>
      <c r="W854" s="23" t="n">
        <f aca="false">IFERROR(INDEX(PODACI_PRODAJA!F:F,MATCH($A854,PODACI_PRODAJA!$A:$A,0)),0)</f>
        <v>0</v>
      </c>
      <c r="X854" s="23" t="n">
        <f aca="false">IFERROR(INDEX(PODACI_PRODAJA!G:G,MATCH($A854,PODACI_PRODAJA!$A:$A,0)),0)</f>
        <v>0</v>
      </c>
      <c r="Y854" s="23" t="n">
        <f aca="false">IFERROR(INDEX(PODACI_PRODAJA!H:H,MATCH($A854,PODACI_PRODAJA!$A:$A,0)),0)</f>
        <v>1</v>
      </c>
      <c r="Z854" s="23" t="n">
        <f aca="false">IFERROR(INDEX(PODACI_PRODAJA!I:I,MATCH($A854,PODACI_PRODAJA!$A:$A,0)),0)</f>
        <v>0</v>
      </c>
      <c r="AA854" s="23" t="n">
        <f aca="false">IFERROR(INDEX(PODACI_PRODAJA!J:J,MATCH($A854,PODACI_PRODAJA!$A:$A,0)),0)</f>
        <v>0</v>
      </c>
      <c r="AB854" s="23" t="n">
        <f aca="false">IFERROR(INDEX(PODACI_PRODAJA!K:K,MATCH($A854,PODACI_PRODAJA!$A:$A,0)),0)</f>
        <v>0</v>
      </c>
      <c r="AC854" s="23" t="n">
        <f aca="false">IFERROR(INDEX(PODACI_PRODAJA!L:L,MATCH($A854,PODACI_PRODAJA!$A:$A,0)),0)</f>
        <v>0</v>
      </c>
      <c r="AD854" s="23" t="n">
        <f aca="false">IFERROR(INDEX(PODACI_PRODAJA!M:M,MATCH($A854,PODACI_PRODAJA!$A:$A,0)),0)</f>
        <v>0</v>
      </c>
    </row>
    <row r="855" customFormat="false" ht="15" hidden="false" customHeight="false" outlineLevel="0" collapsed="false">
      <c r="A855" s="11" t="str">
        <f aca="false">PODACI_ZALIHE!A852</f>
        <v>136.900.21.2</v>
      </c>
      <c r="B855" s="8" t="str">
        <f aca="false">PODACI_ZALIHE!B852</f>
        <v>GEBERIT TIP 240 IZLJEVNI VENTIL, DVOKOLIČINSKO ISPIRANJE</v>
      </c>
      <c r="C855" s="9" t="n">
        <f aca="false">PODACI_ZALIHE!C852</f>
        <v>0</v>
      </c>
      <c r="D855" s="8" t="n">
        <f aca="false">PODACI_ZALIHE!D852</f>
        <v>0</v>
      </c>
      <c r="E855" s="19" t="str">
        <f aca="false">IF(PODACI_ZALIHE!E852="","",PODACI_ZALIHE!E852)</f>
        <v/>
      </c>
      <c r="F855" s="20" t="n">
        <f aca="false">PODACI_ZALIHE!F852</f>
        <v>0</v>
      </c>
      <c r="G855" s="19" t="str">
        <f aca="false">IF(E855="","",E855-F855)</f>
        <v/>
      </c>
      <c r="H855" s="9" t="n">
        <f aca="false">PODACI_PRODAJA!N465</f>
        <v>1.25</v>
      </c>
      <c r="I855" s="21" t="n">
        <f aca="false">IF(H855&lt;=0,999,ROUND(F855/H855,1))</f>
        <v>0</v>
      </c>
      <c r="J855" s="9" t="n">
        <f aca="false">SUMIFS(ROBA_U_DOLASKU!$C$6:$C$95,ROBA_U_DOLASKU!$A$6:$A$95,A855,ROBA_U_DOLASKU!$H$6:$H$95,1)</f>
        <v>0</v>
      </c>
      <c r="K855" s="9" t="n">
        <f aca="false">SUMIFS(ROBA_U_DOLASKU!$B$6:$B$95,ROBA_U_DOLASKU!$A$6:$A$95,A855,ROBA_U_DOLASKU!$H$6:$H$95,1)</f>
        <v>0</v>
      </c>
      <c r="L855" s="9" t="n">
        <f aca="false">SUMIFS(ROBA_U_DOLASKU!$C$6:$C$95,ROBA_U_DOLASKU!$A$6:$A$95,A855,ROBA_U_DOLASKU!$H$6:$H$95,2)</f>
        <v>0</v>
      </c>
      <c r="M855" s="9" t="n">
        <f aca="false">SUMIFS(ROBA_U_DOLASKU!$B$6:$B$95,ROBA_U_DOLASKU!$A$6:$A$95,A855,ROBA_U_DOLASKU!$H$6:$H$95,2)</f>
        <v>0</v>
      </c>
      <c r="N855" s="9" t="n">
        <f aca="false">SUMIFS(ROBA_U_DOLASKU!$C$6:$C$95,ROBA_U_DOLASKU!$A$6:$A$95,A855,ROBA_U_DOLASKU!$H$6:$H$95,3)</f>
        <v>0</v>
      </c>
      <c r="O855" s="9" t="n">
        <f aca="false">SUMIFS(ROBA_U_DOLASKU!$B$6:$B$95,ROBA_U_DOLASKU!$A$6:$A$95,A855,ROBA_U_DOLASKU!$H$6:$H$95,3)</f>
        <v>0</v>
      </c>
      <c r="P855" s="9" t="n">
        <f aca="false">IF(H855&lt;=0,999,IF(O855&gt;0,ROUND((F855-H855*N855+K855+M855+O855)/H855,1),IF(M855&gt;0,ROUND((F855-H855*L855+K855+M855)/H855,1),IF(K855&gt;0,ROUND((F855-H855*J855+K855)/H855,1),I855))))</f>
        <v>0</v>
      </c>
      <c r="Q855" s="22" t="str">
        <f aca="false">IF(H855&lt;=0,"Nema prodaje",IF(AND(K855=0,M855=0,O855=0),IF(I855&lt;POSTAVKE!$B$6,"Naruči odmah","Sve u redu"),IF(F855-H855*J855&lt;0,"Rupa za ~"&amp;TEXT(I855,"0.0")&amp;" mj.",IF(AND(M855&gt;0,F855-H855*L855+K855&lt;0),"Rupa nakon 1. dolaska",IF(AND(O855&gt;0,F855-H855*N855+K855+M855&lt;0),"Rupa nakon 2. dolaska",IF(P855&lt;POSTAVKE!$B$6,"Količina nije dovoljna",IF(I855&gt;=POSTAVKE!$B$6,"Sve u redu","Stiže na vrijeme")))))))</f>
        <v>Naruči odmah</v>
      </c>
      <c r="S855" s="23" t="n">
        <f aca="false">IFERROR(INDEX(PODACI_PRODAJA!B:B,MATCH($A855,PODACI_PRODAJA!$A:$A,0)),0)</f>
        <v>0</v>
      </c>
      <c r="T855" s="23" t="n">
        <f aca="false">IFERROR(INDEX(PODACI_PRODAJA!C:C,MATCH($A855,PODACI_PRODAJA!$A:$A,0)),0)</f>
        <v>0</v>
      </c>
      <c r="U855" s="23" t="n">
        <f aca="false">IFERROR(INDEX(PODACI_PRODAJA!D:D,MATCH($A855,PODACI_PRODAJA!$A:$A,0)),0)</f>
        <v>0</v>
      </c>
      <c r="V855" s="23" t="n">
        <f aca="false">IFERROR(INDEX(PODACI_PRODAJA!E:E,MATCH($A855,PODACI_PRODAJA!$A:$A,0)),0)</f>
        <v>0</v>
      </c>
      <c r="W855" s="23" t="n">
        <f aca="false">IFERROR(INDEX(PODACI_PRODAJA!F:F,MATCH($A855,PODACI_PRODAJA!$A:$A,0)),0)</f>
        <v>0</v>
      </c>
      <c r="X855" s="23" t="n">
        <f aca="false">IFERROR(INDEX(PODACI_PRODAJA!G:G,MATCH($A855,PODACI_PRODAJA!$A:$A,0)),0)</f>
        <v>10</v>
      </c>
      <c r="Y855" s="23" t="n">
        <f aca="false">IFERROR(INDEX(PODACI_PRODAJA!H:H,MATCH($A855,PODACI_PRODAJA!$A:$A,0)),0)</f>
        <v>0</v>
      </c>
      <c r="Z855" s="23" t="n">
        <f aca="false">IFERROR(INDEX(PODACI_PRODAJA!I:I,MATCH($A855,PODACI_PRODAJA!$A:$A,0)),0)</f>
        <v>0</v>
      </c>
      <c r="AA855" s="23" t="n">
        <f aca="false">IFERROR(INDEX(PODACI_PRODAJA!J:J,MATCH($A855,PODACI_PRODAJA!$A:$A,0)),0)</f>
        <v>0</v>
      </c>
      <c r="AB855" s="23" t="n">
        <f aca="false">IFERROR(INDEX(PODACI_PRODAJA!K:K,MATCH($A855,PODACI_PRODAJA!$A:$A,0)),0)</f>
        <v>0</v>
      </c>
      <c r="AC855" s="23" t="n">
        <f aca="false">IFERROR(INDEX(PODACI_PRODAJA!L:L,MATCH($A855,PODACI_PRODAJA!$A:$A,0)),0)</f>
        <v>0</v>
      </c>
      <c r="AD855" s="23" t="n">
        <f aca="false">IFERROR(INDEX(PODACI_PRODAJA!M:M,MATCH($A855,PODACI_PRODAJA!$A:$A,0)),0)</f>
        <v>0</v>
      </c>
    </row>
    <row r="856" customFormat="false" ht="15" hidden="false" customHeight="false" outlineLevel="0" collapsed="false">
      <c r="A856" s="11" t="str">
        <f aca="false">PODACI_ZALIHE!A853</f>
        <v>151.116.11.1</v>
      </c>
      <c r="B856" s="8" t="str">
        <f aca="false">PODACI_ZALIHE!B853</f>
        <v>GEBERIT DIREKTNI SAMOČISTEĆI SIFON ZA UMIVAONIK, MODEL KOJI ŠTEDI PROSTOR, HORIZONTALNI ODVOD: d=32mm, G=1 1/4”, ALPSKO BIJELA</v>
      </c>
      <c r="C856" s="9" t="n">
        <f aca="false">PODACI_ZALIHE!C853</f>
        <v>0</v>
      </c>
      <c r="D856" s="8" t="n">
        <f aca="false">PODACI_ZALIHE!D853</f>
        <v>0</v>
      </c>
      <c r="E856" s="19" t="str">
        <f aca="false">IF(PODACI_ZALIHE!E853="","",PODACI_ZALIHE!E853)</f>
        <v/>
      </c>
      <c r="F856" s="20" t="n">
        <f aca="false">PODACI_ZALIHE!F853</f>
        <v>0</v>
      </c>
      <c r="G856" s="19" t="str">
        <f aca="false">IF(E856="","",E856-F856)</f>
        <v/>
      </c>
      <c r="H856" s="9" t="n">
        <f aca="false">PODACI_PRODAJA!N466</f>
        <v>0.88</v>
      </c>
      <c r="I856" s="21" t="n">
        <f aca="false">IF(H856&lt;=0,999,ROUND(F856/H856,1))</f>
        <v>0</v>
      </c>
      <c r="J856" s="9" t="n">
        <f aca="false">SUMIFS(ROBA_U_DOLASKU!$C$6:$C$95,ROBA_U_DOLASKU!$A$6:$A$95,A856,ROBA_U_DOLASKU!$H$6:$H$95,1)</f>
        <v>0</v>
      </c>
      <c r="K856" s="9" t="n">
        <f aca="false">SUMIFS(ROBA_U_DOLASKU!$B$6:$B$95,ROBA_U_DOLASKU!$A$6:$A$95,A856,ROBA_U_DOLASKU!$H$6:$H$95,1)</f>
        <v>0</v>
      </c>
      <c r="L856" s="9" t="n">
        <f aca="false">SUMIFS(ROBA_U_DOLASKU!$C$6:$C$95,ROBA_U_DOLASKU!$A$6:$A$95,A856,ROBA_U_DOLASKU!$H$6:$H$95,2)</f>
        <v>0</v>
      </c>
      <c r="M856" s="9" t="n">
        <f aca="false">SUMIFS(ROBA_U_DOLASKU!$B$6:$B$95,ROBA_U_DOLASKU!$A$6:$A$95,A856,ROBA_U_DOLASKU!$H$6:$H$95,2)</f>
        <v>0</v>
      </c>
      <c r="N856" s="9" t="n">
        <f aca="false">SUMIFS(ROBA_U_DOLASKU!$C$6:$C$95,ROBA_U_DOLASKU!$A$6:$A$95,A856,ROBA_U_DOLASKU!$H$6:$H$95,3)</f>
        <v>0</v>
      </c>
      <c r="O856" s="9" t="n">
        <f aca="false">SUMIFS(ROBA_U_DOLASKU!$B$6:$B$95,ROBA_U_DOLASKU!$A$6:$A$95,A856,ROBA_U_DOLASKU!$H$6:$H$95,3)</f>
        <v>0</v>
      </c>
      <c r="P856" s="9" t="n">
        <f aca="false">IF(H856&lt;=0,999,IF(O856&gt;0,ROUND((F856-H856*N856+K856+M856+O856)/H856,1),IF(M856&gt;0,ROUND((F856-H856*L856+K856+M856)/H856,1),IF(K856&gt;0,ROUND((F856-H856*J856+K856)/H856,1),I856))))</f>
        <v>0</v>
      </c>
      <c r="Q856" s="22" t="str">
        <f aca="false">IF(H856&lt;=0,"Nema prodaje",IF(AND(K856=0,M856=0,O856=0),IF(I856&lt;POSTAVKE!$B$6,"Naruči odmah","Sve u redu"),IF(F856-H856*J856&lt;0,"Rupa za ~"&amp;TEXT(I856,"0.0")&amp;" mj.",IF(AND(M856&gt;0,F856-H856*L856+K856&lt;0),"Rupa nakon 1. dolaska",IF(AND(O856&gt;0,F856-H856*N856+K856+M856&lt;0),"Rupa nakon 2. dolaska",IF(P856&lt;POSTAVKE!$B$6,"Količina nije dovoljna",IF(I856&gt;=POSTAVKE!$B$6,"Sve u redu","Stiže na vrijeme")))))))</f>
        <v>Naruči odmah</v>
      </c>
      <c r="S856" s="23" t="n">
        <f aca="false">IFERROR(INDEX(PODACI_PRODAJA!B:B,MATCH($A856,PODACI_PRODAJA!$A:$A,0)),0)</f>
        <v>0</v>
      </c>
      <c r="T856" s="23" t="n">
        <f aca="false">IFERROR(INDEX(PODACI_PRODAJA!C:C,MATCH($A856,PODACI_PRODAJA!$A:$A,0)),0)</f>
        <v>0</v>
      </c>
      <c r="U856" s="23" t="n">
        <f aca="false">IFERROR(INDEX(PODACI_PRODAJA!D:D,MATCH($A856,PODACI_PRODAJA!$A:$A,0)),0)</f>
        <v>0</v>
      </c>
      <c r="V856" s="23" t="n">
        <f aca="false">IFERROR(INDEX(PODACI_PRODAJA!E:E,MATCH($A856,PODACI_PRODAJA!$A:$A,0)),0)</f>
        <v>0</v>
      </c>
      <c r="W856" s="23" t="n">
        <f aca="false">IFERROR(INDEX(PODACI_PRODAJA!F:F,MATCH($A856,PODACI_PRODAJA!$A:$A,0)),0)</f>
        <v>0</v>
      </c>
      <c r="X856" s="23" t="n">
        <f aca="false">IFERROR(INDEX(PODACI_PRODAJA!G:G,MATCH($A856,PODACI_PRODAJA!$A:$A,0)),0)</f>
        <v>7</v>
      </c>
      <c r="Y856" s="23" t="n">
        <f aca="false">IFERROR(INDEX(PODACI_PRODAJA!H:H,MATCH($A856,PODACI_PRODAJA!$A:$A,0)),0)</f>
        <v>0</v>
      </c>
      <c r="Z856" s="23" t="n">
        <f aca="false">IFERROR(INDEX(PODACI_PRODAJA!I:I,MATCH($A856,PODACI_PRODAJA!$A:$A,0)),0)</f>
        <v>0</v>
      </c>
      <c r="AA856" s="23" t="n">
        <f aca="false">IFERROR(INDEX(PODACI_PRODAJA!J:J,MATCH($A856,PODACI_PRODAJA!$A:$A,0)),0)</f>
        <v>0</v>
      </c>
      <c r="AB856" s="23" t="n">
        <f aca="false">IFERROR(INDEX(PODACI_PRODAJA!K:K,MATCH($A856,PODACI_PRODAJA!$A:$A,0)),0)</f>
        <v>0</v>
      </c>
      <c r="AC856" s="23" t="n">
        <f aca="false">IFERROR(INDEX(PODACI_PRODAJA!L:L,MATCH($A856,PODACI_PRODAJA!$A:$A,0)),0)</f>
        <v>0</v>
      </c>
      <c r="AD856" s="23" t="n">
        <f aca="false">IFERROR(INDEX(PODACI_PRODAJA!M:M,MATCH($A856,PODACI_PRODAJA!$A:$A,0)),0)</f>
        <v>0</v>
      </c>
    </row>
    <row r="857" customFormat="false" ht="15" hidden="false" customHeight="false" outlineLevel="0" collapsed="false">
      <c r="A857" s="11" t="str">
        <f aca="false">PODACI_ZALIHE!A854</f>
        <v>15268</v>
      </c>
      <c r="B857" s="8" t="str">
        <f aca="false">PODACI_ZALIHE!B854</f>
        <v>TK MEIRA 90120 PRAVOKUTNA TUŠ KABINA 90x120x195 cm</v>
      </c>
      <c r="C857" s="9" t="n">
        <f aca="false">PODACI_ZALIHE!C854</f>
        <v>0</v>
      </c>
      <c r="D857" s="8" t="n">
        <f aca="false">PODACI_ZALIHE!D854</f>
        <v>0</v>
      </c>
      <c r="E857" s="19" t="str">
        <f aca="false">IF(PODACI_ZALIHE!E854="","",PODACI_ZALIHE!E854)</f>
        <v/>
      </c>
      <c r="F857" s="20" t="n">
        <f aca="false">PODACI_ZALIHE!F854</f>
        <v>0</v>
      </c>
      <c r="G857" s="19" t="str">
        <f aca="false">IF(E857="","",E857-F857)</f>
        <v/>
      </c>
      <c r="H857" s="9" t="n">
        <f aca="false">PODACI_PRODAJA!N473</f>
        <v>0</v>
      </c>
      <c r="I857" s="21" t="n">
        <f aca="false">IF(H857&lt;=0,999,ROUND(F857/H857,1))</f>
        <v>999</v>
      </c>
      <c r="J857" s="9" t="n">
        <f aca="false">SUMIFS(ROBA_U_DOLASKU!$C$6:$C$95,ROBA_U_DOLASKU!$A$6:$A$95,A857,ROBA_U_DOLASKU!$H$6:$H$95,1)</f>
        <v>0</v>
      </c>
      <c r="K857" s="9" t="n">
        <f aca="false">SUMIFS(ROBA_U_DOLASKU!$B$6:$B$95,ROBA_U_DOLASKU!$A$6:$A$95,A857,ROBA_U_DOLASKU!$H$6:$H$95,1)</f>
        <v>0</v>
      </c>
      <c r="L857" s="9" t="n">
        <f aca="false">SUMIFS(ROBA_U_DOLASKU!$C$6:$C$95,ROBA_U_DOLASKU!$A$6:$A$95,A857,ROBA_U_DOLASKU!$H$6:$H$95,2)</f>
        <v>0</v>
      </c>
      <c r="M857" s="9" t="n">
        <f aca="false">SUMIFS(ROBA_U_DOLASKU!$B$6:$B$95,ROBA_U_DOLASKU!$A$6:$A$95,A857,ROBA_U_DOLASKU!$H$6:$H$95,2)</f>
        <v>0</v>
      </c>
      <c r="N857" s="9" t="n">
        <f aca="false">SUMIFS(ROBA_U_DOLASKU!$C$6:$C$95,ROBA_U_DOLASKU!$A$6:$A$95,A857,ROBA_U_DOLASKU!$H$6:$H$95,3)</f>
        <v>0</v>
      </c>
      <c r="O857" s="9" t="n">
        <f aca="false">SUMIFS(ROBA_U_DOLASKU!$B$6:$B$95,ROBA_U_DOLASKU!$A$6:$A$95,A857,ROBA_U_DOLASKU!$H$6:$H$95,3)</f>
        <v>0</v>
      </c>
      <c r="P857" s="9" t="n">
        <f aca="false">IF(H857&lt;=0,999,IF(O857&gt;0,ROUND((F857-H857*N857+K857+M857+O857)/H857,1),IF(M857&gt;0,ROUND((F857-H857*L857+K857+M857)/H857,1),IF(K857&gt;0,ROUND((F857-H857*J857+K857)/H857,1),I857))))</f>
        <v>999</v>
      </c>
      <c r="Q857" s="22" t="str">
        <f aca="false">IF(H857&lt;=0,"Nema prodaje",IF(AND(K857=0,M857=0,O857=0),IF(I857&lt;POSTAVKE!$B$6,"Naruči odmah","Sve u redu"),IF(F857-H857*J857&lt;0,"Rupa za ~"&amp;TEXT(I857,"0.0")&amp;" mj.",IF(AND(M857&gt;0,F857-H857*L857+K857&lt;0),"Rupa nakon 1. dolaska",IF(AND(O857&gt;0,F857-H857*N857+K857+M857&lt;0),"Rupa nakon 2. dolaska",IF(P857&lt;POSTAVKE!$B$6,"Količina nije dovoljna",IF(I857&gt;=POSTAVKE!$B$6,"Sve u redu","Stiže na vrijeme")))))))</f>
        <v>Nema prodaje</v>
      </c>
      <c r="S857" s="23" t="n">
        <f aca="false">IFERROR(INDEX(PODACI_PRODAJA!B:B,MATCH($A857,PODACI_PRODAJA!$A:$A,0)),0)</f>
        <v>0</v>
      </c>
      <c r="T857" s="23" t="n">
        <f aca="false">IFERROR(INDEX(PODACI_PRODAJA!C:C,MATCH($A857,PODACI_PRODAJA!$A:$A,0)),0)</f>
        <v>0</v>
      </c>
      <c r="U857" s="23" t="n">
        <f aca="false">IFERROR(INDEX(PODACI_PRODAJA!D:D,MATCH($A857,PODACI_PRODAJA!$A:$A,0)),0)</f>
        <v>0</v>
      </c>
      <c r="V857" s="23" t="n">
        <f aca="false">IFERROR(INDEX(PODACI_PRODAJA!E:E,MATCH($A857,PODACI_PRODAJA!$A:$A,0)),0)</f>
        <v>0</v>
      </c>
      <c r="W857" s="23" t="n">
        <f aca="false">IFERROR(INDEX(PODACI_PRODAJA!F:F,MATCH($A857,PODACI_PRODAJA!$A:$A,0)),0)</f>
        <v>0</v>
      </c>
      <c r="X857" s="23" t="n">
        <f aca="false">IFERROR(INDEX(PODACI_PRODAJA!G:G,MATCH($A857,PODACI_PRODAJA!$A:$A,0)),0)</f>
        <v>0</v>
      </c>
      <c r="Y857" s="23" t="n">
        <f aca="false">IFERROR(INDEX(PODACI_PRODAJA!H:H,MATCH($A857,PODACI_PRODAJA!$A:$A,0)),0)</f>
        <v>0</v>
      </c>
      <c r="Z857" s="23" t="n">
        <f aca="false">IFERROR(INDEX(PODACI_PRODAJA!I:I,MATCH($A857,PODACI_PRODAJA!$A:$A,0)),0)</f>
        <v>0</v>
      </c>
      <c r="AA857" s="23" t="n">
        <f aca="false">IFERROR(INDEX(PODACI_PRODAJA!J:J,MATCH($A857,PODACI_PRODAJA!$A:$A,0)),0)</f>
        <v>0</v>
      </c>
      <c r="AB857" s="23" t="n">
        <f aca="false">IFERROR(INDEX(PODACI_PRODAJA!K:K,MATCH($A857,PODACI_PRODAJA!$A:$A,0)),0)</f>
        <v>0</v>
      </c>
      <c r="AC857" s="23" t="n">
        <f aca="false">IFERROR(INDEX(PODACI_PRODAJA!L:L,MATCH($A857,PODACI_PRODAJA!$A:$A,0)),0)</f>
        <v>0</v>
      </c>
      <c r="AD857" s="23" t="n">
        <f aca="false">IFERROR(INDEX(PODACI_PRODAJA!M:M,MATCH($A857,PODACI_PRODAJA!$A:$A,0)),0)</f>
        <v>0</v>
      </c>
    </row>
    <row r="858" customFormat="false" ht="15" hidden="false" customHeight="false" outlineLevel="0" collapsed="false">
      <c r="A858" s="11" t="str">
        <f aca="false">PODACI_ZALIHE!A855</f>
        <v>155120</v>
      </c>
      <c r="B858" s="8" t="str">
        <f aca="false">PODACI_ZALIHE!B855</f>
        <v>BOLD BIJELA 80110 MINERALSOLID TUŠ KADA 800x1100x30 mm</v>
      </c>
      <c r="C858" s="9" t="n">
        <f aca="false">PODACI_ZALIHE!C855</f>
        <v>0</v>
      </c>
      <c r="D858" s="8" t="n">
        <f aca="false">PODACI_ZALIHE!D855</f>
        <v>0</v>
      </c>
      <c r="E858" s="19" t="str">
        <f aca="false">IF(PODACI_ZALIHE!E855="","",PODACI_ZALIHE!E855)</f>
        <v/>
      </c>
      <c r="F858" s="20" t="n">
        <f aca="false">PODACI_ZALIHE!F855</f>
        <v>0</v>
      </c>
      <c r="G858" s="19" t="str">
        <f aca="false">IF(E858="","",E858-F858)</f>
        <v/>
      </c>
      <c r="H858" s="9" t="n">
        <f aca="false">PODACI_PRODAJA!N479</f>
        <v>0.75</v>
      </c>
      <c r="I858" s="21" t="n">
        <f aca="false">IF(H858&lt;=0,999,ROUND(F858/H858,1))</f>
        <v>0</v>
      </c>
      <c r="J858" s="9" t="n">
        <f aca="false">SUMIFS(ROBA_U_DOLASKU!$C$6:$C$95,ROBA_U_DOLASKU!$A$6:$A$95,A858,ROBA_U_DOLASKU!$H$6:$H$95,1)</f>
        <v>0</v>
      </c>
      <c r="K858" s="9" t="n">
        <f aca="false">SUMIFS(ROBA_U_DOLASKU!$B$6:$B$95,ROBA_U_DOLASKU!$A$6:$A$95,A858,ROBA_U_DOLASKU!$H$6:$H$95,1)</f>
        <v>0</v>
      </c>
      <c r="L858" s="9" t="n">
        <f aca="false">SUMIFS(ROBA_U_DOLASKU!$C$6:$C$95,ROBA_U_DOLASKU!$A$6:$A$95,A858,ROBA_U_DOLASKU!$H$6:$H$95,2)</f>
        <v>0</v>
      </c>
      <c r="M858" s="9" t="n">
        <f aca="false">SUMIFS(ROBA_U_DOLASKU!$B$6:$B$95,ROBA_U_DOLASKU!$A$6:$A$95,A858,ROBA_U_DOLASKU!$H$6:$H$95,2)</f>
        <v>0</v>
      </c>
      <c r="N858" s="9" t="n">
        <f aca="false">SUMIFS(ROBA_U_DOLASKU!$C$6:$C$95,ROBA_U_DOLASKU!$A$6:$A$95,A858,ROBA_U_DOLASKU!$H$6:$H$95,3)</f>
        <v>0</v>
      </c>
      <c r="O858" s="9" t="n">
        <f aca="false">SUMIFS(ROBA_U_DOLASKU!$B$6:$B$95,ROBA_U_DOLASKU!$A$6:$A$95,A858,ROBA_U_DOLASKU!$H$6:$H$95,3)</f>
        <v>0</v>
      </c>
      <c r="P858" s="9" t="n">
        <f aca="false">IF(H858&lt;=0,999,IF(O858&gt;0,ROUND((F858-H858*N858+K858+M858+O858)/H858,1),IF(M858&gt;0,ROUND((F858-H858*L858+K858+M858)/H858,1),IF(K858&gt;0,ROUND((F858-H858*J858+K858)/H858,1),I858))))</f>
        <v>0</v>
      </c>
      <c r="Q858" s="22" t="str">
        <f aca="false">IF(H858&lt;=0,"Nema prodaje",IF(AND(K858=0,M858=0,O858=0),IF(I858&lt;POSTAVKE!$B$6,"Naruči odmah","Sve u redu"),IF(F858-H858*J858&lt;0,"Rupa za ~"&amp;TEXT(I858,"0.0")&amp;" mj.",IF(AND(M858&gt;0,F858-H858*L858+K858&lt;0),"Rupa nakon 1. dolaska",IF(AND(O858&gt;0,F858-H858*N858+K858+M858&lt;0),"Rupa nakon 2. dolaska",IF(P858&lt;POSTAVKE!$B$6,"Količina nije dovoljna",IF(I858&gt;=POSTAVKE!$B$6,"Sve u redu","Stiže na vrijeme")))))))</f>
        <v>Naruči odmah</v>
      </c>
      <c r="S858" s="23" t="n">
        <f aca="false">IFERROR(INDEX(PODACI_PRODAJA!B:B,MATCH($A858,PODACI_PRODAJA!$A:$A,0)),0)</f>
        <v>0</v>
      </c>
      <c r="T858" s="23" t="n">
        <f aca="false">IFERROR(INDEX(PODACI_PRODAJA!C:C,MATCH($A858,PODACI_PRODAJA!$A:$A,0)),0)</f>
        <v>0</v>
      </c>
      <c r="U858" s="23" t="n">
        <f aca="false">IFERROR(INDEX(PODACI_PRODAJA!D:D,MATCH($A858,PODACI_PRODAJA!$A:$A,0)),0)</f>
        <v>0</v>
      </c>
      <c r="V858" s="23" t="n">
        <f aca="false">IFERROR(INDEX(PODACI_PRODAJA!E:E,MATCH($A858,PODACI_PRODAJA!$A:$A,0)),0)</f>
        <v>3</v>
      </c>
      <c r="W858" s="23" t="n">
        <f aca="false">IFERROR(INDEX(PODACI_PRODAJA!F:F,MATCH($A858,PODACI_PRODAJA!$A:$A,0)),0)</f>
        <v>0</v>
      </c>
      <c r="X858" s="23" t="n">
        <f aca="false">IFERROR(INDEX(PODACI_PRODAJA!G:G,MATCH($A858,PODACI_PRODAJA!$A:$A,0)),0)</f>
        <v>3</v>
      </c>
      <c r="Y858" s="23" t="n">
        <f aca="false">IFERROR(INDEX(PODACI_PRODAJA!H:H,MATCH($A858,PODACI_PRODAJA!$A:$A,0)),0)</f>
        <v>0</v>
      </c>
      <c r="Z858" s="23" t="n">
        <f aca="false">IFERROR(INDEX(PODACI_PRODAJA!I:I,MATCH($A858,PODACI_PRODAJA!$A:$A,0)),0)</f>
        <v>0</v>
      </c>
      <c r="AA858" s="23" t="n">
        <f aca="false">IFERROR(INDEX(PODACI_PRODAJA!J:J,MATCH($A858,PODACI_PRODAJA!$A:$A,0)),0)</f>
        <v>0</v>
      </c>
      <c r="AB858" s="23" t="n">
        <f aca="false">IFERROR(INDEX(PODACI_PRODAJA!K:K,MATCH($A858,PODACI_PRODAJA!$A:$A,0)),0)</f>
        <v>0</v>
      </c>
      <c r="AC858" s="23" t="n">
        <f aca="false">IFERROR(INDEX(PODACI_PRODAJA!L:L,MATCH($A858,PODACI_PRODAJA!$A:$A,0)),0)</f>
        <v>0</v>
      </c>
      <c r="AD858" s="23" t="n">
        <f aca="false">IFERROR(INDEX(PODACI_PRODAJA!M:M,MATCH($A858,PODACI_PRODAJA!$A:$A,0)),0)</f>
        <v>0</v>
      </c>
    </row>
    <row r="859" customFormat="false" ht="15" hidden="false" customHeight="false" outlineLevel="0" collapsed="false">
      <c r="A859" s="11" t="str">
        <f aca="false">PODACI_ZALIHE!A856</f>
        <v>155130</v>
      </c>
      <c r="B859" s="8" t="str">
        <f aca="false">PODACI_ZALIHE!B856</f>
        <v>BOLD BIJELA 80120 MINERALSOLID TUŠ KADA 800x1200x30 mm</v>
      </c>
      <c r="C859" s="9" t="n">
        <f aca="false">PODACI_ZALIHE!C856</f>
        <v>0</v>
      </c>
      <c r="D859" s="8" t="n">
        <f aca="false">PODACI_ZALIHE!D856</f>
        <v>0</v>
      </c>
      <c r="E859" s="19" t="str">
        <f aca="false">IF(PODACI_ZALIHE!E856="","",PODACI_ZALIHE!E856)</f>
        <v/>
      </c>
      <c r="F859" s="20" t="n">
        <f aca="false">PODACI_ZALIHE!F856</f>
        <v>0</v>
      </c>
      <c r="G859" s="19" t="str">
        <f aca="false">IF(E859="","",E859-F859)</f>
        <v/>
      </c>
      <c r="H859" s="9" t="n">
        <f aca="false">PODACI_PRODAJA!N480</f>
        <v>0.88</v>
      </c>
      <c r="I859" s="21" t="n">
        <f aca="false">IF(H859&lt;=0,999,ROUND(F859/H859,1))</f>
        <v>0</v>
      </c>
      <c r="J859" s="9" t="n">
        <f aca="false">SUMIFS(ROBA_U_DOLASKU!$C$6:$C$95,ROBA_U_DOLASKU!$A$6:$A$95,A859,ROBA_U_DOLASKU!$H$6:$H$95,1)</f>
        <v>0</v>
      </c>
      <c r="K859" s="9" t="n">
        <f aca="false">SUMIFS(ROBA_U_DOLASKU!$B$6:$B$95,ROBA_U_DOLASKU!$A$6:$A$95,A859,ROBA_U_DOLASKU!$H$6:$H$95,1)</f>
        <v>0</v>
      </c>
      <c r="L859" s="9" t="n">
        <f aca="false">SUMIFS(ROBA_U_DOLASKU!$C$6:$C$95,ROBA_U_DOLASKU!$A$6:$A$95,A859,ROBA_U_DOLASKU!$H$6:$H$95,2)</f>
        <v>0</v>
      </c>
      <c r="M859" s="9" t="n">
        <f aca="false">SUMIFS(ROBA_U_DOLASKU!$B$6:$B$95,ROBA_U_DOLASKU!$A$6:$A$95,A859,ROBA_U_DOLASKU!$H$6:$H$95,2)</f>
        <v>0</v>
      </c>
      <c r="N859" s="9" t="n">
        <f aca="false">SUMIFS(ROBA_U_DOLASKU!$C$6:$C$95,ROBA_U_DOLASKU!$A$6:$A$95,A859,ROBA_U_DOLASKU!$H$6:$H$95,3)</f>
        <v>0</v>
      </c>
      <c r="O859" s="9" t="n">
        <f aca="false">SUMIFS(ROBA_U_DOLASKU!$B$6:$B$95,ROBA_U_DOLASKU!$A$6:$A$95,A859,ROBA_U_DOLASKU!$H$6:$H$95,3)</f>
        <v>0</v>
      </c>
      <c r="P859" s="9" t="n">
        <f aca="false">IF(H859&lt;=0,999,IF(O859&gt;0,ROUND((F859-H859*N859+K859+M859+O859)/H859,1),IF(M859&gt;0,ROUND((F859-H859*L859+K859+M859)/H859,1),IF(K859&gt;0,ROUND((F859-H859*J859+K859)/H859,1),I859))))</f>
        <v>0</v>
      </c>
      <c r="Q859" s="22" t="str">
        <f aca="false">IF(H859&lt;=0,"Nema prodaje",IF(AND(K859=0,M859=0,O859=0),IF(I859&lt;POSTAVKE!$B$6,"Naruči odmah","Sve u redu"),IF(F859-H859*J859&lt;0,"Rupa za ~"&amp;TEXT(I859,"0.0")&amp;" mj.",IF(AND(M859&gt;0,F859-H859*L859+K859&lt;0),"Rupa nakon 1. dolaska",IF(AND(O859&gt;0,F859-H859*N859+K859+M859&lt;0),"Rupa nakon 2. dolaska",IF(P859&lt;POSTAVKE!$B$6,"Količina nije dovoljna",IF(I859&gt;=POSTAVKE!$B$6,"Sve u redu","Stiže na vrijeme")))))))</f>
        <v>Naruči odmah</v>
      </c>
      <c r="S859" s="23" t="n">
        <f aca="false">IFERROR(INDEX(PODACI_PRODAJA!B:B,MATCH($A859,PODACI_PRODAJA!$A:$A,0)),0)</f>
        <v>0</v>
      </c>
      <c r="T859" s="23" t="n">
        <f aca="false">IFERROR(INDEX(PODACI_PRODAJA!C:C,MATCH($A859,PODACI_PRODAJA!$A:$A,0)),0)</f>
        <v>3</v>
      </c>
      <c r="U859" s="23" t="n">
        <f aca="false">IFERROR(INDEX(PODACI_PRODAJA!D:D,MATCH($A859,PODACI_PRODAJA!$A:$A,0)),0)</f>
        <v>0</v>
      </c>
      <c r="V859" s="23" t="n">
        <f aca="false">IFERROR(INDEX(PODACI_PRODAJA!E:E,MATCH($A859,PODACI_PRODAJA!$A:$A,0)),0)</f>
        <v>0</v>
      </c>
      <c r="W859" s="23" t="n">
        <f aca="false">IFERROR(INDEX(PODACI_PRODAJA!F:F,MATCH($A859,PODACI_PRODAJA!$A:$A,0)),0)</f>
        <v>4</v>
      </c>
      <c r="X859" s="23" t="n">
        <f aca="false">IFERROR(INDEX(PODACI_PRODAJA!G:G,MATCH($A859,PODACI_PRODAJA!$A:$A,0)),0)</f>
        <v>0</v>
      </c>
      <c r="Y859" s="23" t="n">
        <f aca="false">IFERROR(INDEX(PODACI_PRODAJA!H:H,MATCH($A859,PODACI_PRODAJA!$A:$A,0)),0)</f>
        <v>0</v>
      </c>
      <c r="Z859" s="23" t="n">
        <f aca="false">IFERROR(INDEX(PODACI_PRODAJA!I:I,MATCH($A859,PODACI_PRODAJA!$A:$A,0)),0)</f>
        <v>0</v>
      </c>
      <c r="AA859" s="23" t="n">
        <f aca="false">IFERROR(INDEX(PODACI_PRODAJA!J:J,MATCH($A859,PODACI_PRODAJA!$A:$A,0)),0)</f>
        <v>0</v>
      </c>
      <c r="AB859" s="23" t="n">
        <f aca="false">IFERROR(INDEX(PODACI_PRODAJA!K:K,MATCH($A859,PODACI_PRODAJA!$A:$A,0)),0)</f>
        <v>0</v>
      </c>
      <c r="AC859" s="23" t="n">
        <f aca="false">IFERROR(INDEX(PODACI_PRODAJA!L:L,MATCH($A859,PODACI_PRODAJA!$A:$A,0)),0)</f>
        <v>0</v>
      </c>
      <c r="AD859" s="23" t="n">
        <f aca="false">IFERROR(INDEX(PODACI_PRODAJA!M:M,MATCH($A859,PODACI_PRODAJA!$A:$A,0)),0)</f>
        <v>0</v>
      </c>
    </row>
    <row r="860" customFormat="false" ht="15" hidden="false" customHeight="false" outlineLevel="0" collapsed="false">
      <c r="A860" s="11" t="str">
        <f aca="false">PODACI_ZALIHE!A857</f>
        <v>155140</v>
      </c>
      <c r="B860" s="8" t="str">
        <f aca="false">PODACI_ZALIHE!B857</f>
        <v>BOLD BIJELA 80130 MINERALSOLID TUŠ KADA 800x1300x30 mm</v>
      </c>
      <c r="C860" s="9" t="n">
        <f aca="false">PODACI_ZALIHE!C857</f>
        <v>0</v>
      </c>
      <c r="D860" s="8" t="n">
        <f aca="false">PODACI_ZALIHE!D857</f>
        <v>0</v>
      </c>
      <c r="E860" s="19" t="str">
        <f aca="false">IF(PODACI_ZALIHE!E857="","",PODACI_ZALIHE!E857)</f>
        <v/>
      </c>
      <c r="F860" s="20" t="n">
        <f aca="false">PODACI_ZALIHE!F857</f>
        <v>0</v>
      </c>
      <c r="G860" s="19" t="str">
        <f aca="false">IF(E860="","",E860-F860)</f>
        <v/>
      </c>
      <c r="H860" s="9" t="n">
        <f aca="false">PODACI_PRODAJA!N481</f>
        <v>0.5</v>
      </c>
      <c r="I860" s="21" t="n">
        <f aca="false">IF(H860&lt;=0,999,ROUND(F860/H860,1))</f>
        <v>0</v>
      </c>
      <c r="J860" s="9" t="n">
        <f aca="false">SUMIFS(ROBA_U_DOLASKU!$C$6:$C$95,ROBA_U_DOLASKU!$A$6:$A$95,A860,ROBA_U_DOLASKU!$H$6:$H$95,1)</f>
        <v>0</v>
      </c>
      <c r="K860" s="9" t="n">
        <f aca="false">SUMIFS(ROBA_U_DOLASKU!$B$6:$B$95,ROBA_U_DOLASKU!$A$6:$A$95,A860,ROBA_U_DOLASKU!$H$6:$H$95,1)</f>
        <v>0</v>
      </c>
      <c r="L860" s="9" t="n">
        <f aca="false">SUMIFS(ROBA_U_DOLASKU!$C$6:$C$95,ROBA_U_DOLASKU!$A$6:$A$95,A860,ROBA_U_DOLASKU!$H$6:$H$95,2)</f>
        <v>0</v>
      </c>
      <c r="M860" s="9" t="n">
        <f aca="false">SUMIFS(ROBA_U_DOLASKU!$B$6:$B$95,ROBA_U_DOLASKU!$A$6:$A$95,A860,ROBA_U_DOLASKU!$H$6:$H$95,2)</f>
        <v>0</v>
      </c>
      <c r="N860" s="9" t="n">
        <f aca="false">SUMIFS(ROBA_U_DOLASKU!$C$6:$C$95,ROBA_U_DOLASKU!$A$6:$A$95,A860,ROBA_U_DOLASKU!$H$6:$H$95,3)</f>
        <v>0</v>
      </c>
      <c r="O860" s="9" t="n">
        <f aca="false">SUMIFS(ROBA_U_DOLASKU!$B$6:$B$95,ROBA_U_DOLASKU!$A$6:$A$95,A860,ROBA_U_DOLASKU!$H$6:$H$95,3)</f>
        <v>0</v>
      </c>
      <c r="P860" s="9" t="n">
        <f aca="false">IF(H860&lt;=0,999,IF(O860&gt;0,ROUND((F860-H860*N860+K860+M860+O860)/H860,1),IF(M860&gt;0,ROUND((F860-H860*L860+K860+M860)/H860,1),IF(K860&gt;0,ROUND((F860-H860*J860+K860)/H860,1),I860))))</f>
        <v>0</v>
      </c>
      <c r="Q860" s="22" t="str">
        <f aca="false">IF(H860&lt;=0,"Nema prodaje",IF(AND(K860=0,M860=0,O860=0),IF(I860&lt;POSTAVKE!$B$6,"Naruči odmah","Sve u redu"),IF(F860-H860*J860&lt;0,"Rupa za ~"&amp;TEXT(I860,"0.0")&amp;" mj.",IF(AND(M860&gt;0,F860-H860*L860+K860&lt;0),"Rupa nakon 1. dolaska",IF(AND(O860&gt;0,F860-H860*N860+K860+M860&lt;0),"Rupa nakon 2. dolaska",IF(P860&lt;POSTAVKE!$B$6,"Količina nije dovoljna",IF(I860&gt;=POSTAVKE!$B$6,"Sve u redu","Stiže na vrijeme")))))))</f>
        <v>Naruči odmah</v>
      </c>
      <c r="S860" s="23" t="n">
        <f aca="false">IFERROR(INDEX(PODACI_PRODAJA!B:B,MATCH($A860,PODACI_PRODAJA!$A:$A,0)),0)</f>
        <v>0</v>
      </c>
      <c r="T860" s="23" t="n">
        <f aca="false">IFERROR(INDEX(PODACI_PRODAJA!C:C,MATCH($A860,PODACI_PRODAJA!$A:$A,0)),0)</f>
        <v>0</v>
      </c>
      <c r="U860" s="23" t="n">
        <f aca="false">IFERROR(INDEX(PODACI_PRODAJA!D:D,MATCH($A860,PODACI_PRODAJA!$A:$A,0)),0)</f>
        <v>3</v>
      </c>
      <c r="V860" s="23" t="n">
        <f aca="false">IFERROR(INDEX(PODACI_PRODAJA!E:E,MATCH($A860,PODACI_PRODAJA!$A:$A,0)),0)</f>
        <v>0</v>
      </c>
      <c r="W860" s="23" t="n">
        <f aca="false">IFERROR(INDEX(PODACI_PRODAJA!F:F,MATCH($A860,PODACI_PRODAJA!$A:$A,0)),0)</f>
        <v>1</v>
      </c>
      <c r="X860" s="23" t="n">
        <f aca="false">IFERROR(INDEX(PODACI_PRODAJA!G:G,MATCH($A860,PODACI_PRODAJA!$A:$A,0)),0)</f>
        <v>0</v>
      </c>
      <c r="Y860" s="23" t="n">
        <f aca="false">IFERROR(INDEX(PODACI_PRODAJA!H:H,MATCH($A860,PODACI_PRODAJA!$A:$A,0)),0)</f>
        <v>0</v>
      </c>
      <c r="Z860" s="23" t="n">
        <f aca="false">IFERROR(INDEX(PODACI_PRODAJA!I:I,MATCH($A860,PODACI_PRODAJA!$A:$A,0)),0)</f>
        <v>0</v>
      </c>
      <c r="AA860" s="23" t="n">
        <f aca="false">IFERROR(INDEX(PODACI_PRODAJA!J:J,MATCH($A860,PODACI_PRODAJA!$A:$A,0)),0)</f>
        <v>0</v>
      </c>
      <c r="AB860" s="23" t="n">
        <f aca="false">IFERROR(INDEX(PODACI_PRODAJA!K:K,MATCH($A860,PODACI_PRODAJA!$A:$A,0)),0)</f>
        <v>0</v>
      </c>
      <c r="AC860" s="23" t="n">
        <f aca="false">IFERROR(INDEX(PODACI_PRODAJA!L:L,MATCH($A860,PODACI_PRODAJA!$A:$A,0)),0)</f>
        <v>0</v>
      </c>
      <c r="AD860" s="23" t="n">
        <f aca="false">IFERROR(INDEX(PODACI_PRODAJA!M:M,MATCH($A860,PODACI_PRODAJA!$A:$A,0)),0)</f>
        <v>0</v>
      </c>
    </row>
    <row r="861" customFormat="false" ht="15" hidden="false" customHeight="false" outlineLevel="0" collapsed="false">
      <c r="A861" s="11" t="str">
        <f aca="false">PODACI_ZALIHE!A858</f>
        <v>155170</v>
      </c>
      <c r="B861" s="8" t="str">
        <f aca="false">PODACI_ZALIHE!B858</f>
        <v>BOLD BIJELA 80160 MINERALSOLID TUŠ KADA 800x1600x30 mm</v>
      </c>
      <c r="C861" s="9" t="n">
        <f aca="false">PODACI_ZALIHE!C858</f>
        <v>0</v>
      </c>
      <c r="D861" s="8" t="n">
        <f aca="false">PODACI_ZALIHE!D858</f>
        <v>0</v>
      </c>
      <c r="E861" s="19" t="str">
        <f aca="false">IF(PODACI_ZALIHE!E858="","",PODACI_ZALIHE!E858)</f>
        <v/>
      </c>
      <c r="F861" s="20" t="n">
        <f aca="false">PODACI_ZALIHE!F858</f>
        <v>0</v>
      </c>
      <c r="G861" s="19" t="str">
        <f aca="false">IF(E861="","",E861-F861)</f>
        <v/>
      </c>
      <c r="H861" s="9" t="n">
        <f aca="false">PODACI_PRODAJA!N483</f>
        <v>0.13</v>
      </c>
      <c r="I861" s="21" t="n">
        <f aca="false">IF(H861&lt;=0,999,ROUND(F861/H861,1))</f>
        <v>0</v>
      </c>
      <c r="J861" s="9" t="n">
        <f aca="false">SUMIFS(ROBA_U_DOLASKU!$C$6:$C$95,ROBA_U_DOLASKU!$A$6:$A$95,A861,ROBA_U_DOLASKU!$H$6:$H$95,1)</f>
        <v>0</v>
      </c>
      <c r="K861" s="9" t="n">
        <f aca="false">SUMIFS(ROBA_U_DOLASKU!$B$6:$B$95,ROBA_U_DOLASKU!$A$6:$A$95,A861,ROBA_U_DOLASKU!$H$6:$H$95,1)</f>
        <v>0</v>
      </c>
      <c r="L861" s="9" t="n">
        <f aca="false">SUMIFS(ROBA_U_DOLASKU!$C$6:$C$95,ROBA_U_DOLASKU!$A$6:$A$95,A861,ROBA_U_DOLASKU!$H$6:$H$95,2)</f>
        <v>0</v>
      </c>
      <c r="M861" s="9" t="n">
        <f aca="false">SUMIFS(ROBA_U_DOLASKU!$B$6:$B$95,ROBA_U_DOLASKU!$A$6:$A$95,A861,ROBA_U_DOLASKU!$H$6:$H$95,2)</f>
        <v>0</v>
      </c>
      <c r="N861" s="9" t="n">
        <f aca="false">SUMIFS(ROBA_U_DOLASKU!$C$6:$C$95,ROBA_U_DOLASKU!$A$6:$A$95,A861,ROBA_U_DOLASKU!$H$6:$H$95,3)</f>
        <v>0</v>
      </c>
      <c r="O861" s="9" t="n">
        <f aca="false">SUMIFS(ROBA_U_DOLASKU!$B$6:$B$95,ROBA_U_DOLASKU!$A$6:$A$95,A861,ROBA_U_DOLASKU!$H$6:$H$95,3)</f>
        <v>0</v>
      </c>
      <c r="P861" s="9" t="n">
        <f aca="false">IF(H861&lt;=0,999,IF(O861&gt;0,ROUND((F861-H861*N861+K861+M861+O861)/H861,1),IF(M861&gt;0,ROUND((F861-H861*L861+K861+M861)/H861,1),IF(K861&gt;0,ROUND((F861-H861*J861+K861)/H861,1),I861))))</f>
        <v>0</v>
      </c>
      <c r="Q861" s="22" t="str">
        <f aca="false">IF(H861&lt;=0,"Nema prodaje",IF(AND(K861=0,M861=0,O861=0),IF(I861&lt;POSTAVKE!$B$6,"Naruči odmah","Sve u redu"),IF(F861-H861*J861&lt;0,"Rupa za ~"&amp;TEXT(I861,"0.0")&amp;" mj.",IF(AND(M861&gt;0,F861-H861*L861+K861&lt;0),"Rupa nakon 1. dolaska",IF(AND(O861&gt;0,F861-H861*N861+K861+M861&lt;0),"Rupa nakon 2. dolaska",IF(P861&lt;POSTAVKE!$B$6,"Količina nije dovoljna",IF(I861&gt;=POSTAVKE!$B$6,"Sve u redu","Stiže na vrijeme")))))))</f>
        <v>Naruči odmah</v>
      </c>
      <c r="S861" s="23" t="n">
        <f aca="false">IFERROR(INDEX(PODACI_PRODAJA!B:B,MATCH($A861,PODACI_PRODAJA!$A:$A,0)),0)</f>
        <v>0</v>
      </c>
      <c r="T861" s="23" t="n">
        <f aca="false">IFERROR(INDEX(PODACI_PRODAJA!C:C,MATCH($A861,PODACI_PRODAJA!$A:$A,0)),0)</f>
        <v>0</v>
      </c>
      <c r="U861" s="23" t="n">
        <f aca="false">IFERROR(INDEX(PODACI_PRODAJA!D:D,MATCH($A861,PODACI_PRODAJA!$A:$A,0)),0)</f>
        <v>0</v>
      </c>
      <c r="V861" s="23" t="n">
        <f aca="false">IFERROR(INDEX(PODACI_PRODAJA!E:E,MATCH($A861,PODACI_PRODAJA!$A:$A,0)),0)</f>
        <v>0</v>
      </c>
      <c r="W861" s="23" t="n">
        <f aca="false">IFERROR(INDEX(PODACI_PRODAJA!F:F,MATCH($A861,PODACI_PRODAJA!$A:$A,0)),0)</f>
        <v>1</v>
      </c>
      <c r="X861" s="23" t="n">
        <f aca="false">IFERROR(INDEX(PODACI_PRODAJA!G:G,MATCH($A861,PODACI_PRODAJA!$A:$A,0)),0)</f>
        <v>0</v>
      </c>
      <c r="Y861" s="23" t="n">
        <f aca="false">IFERROR(INDEX(PODACI_PRODAJA!H:H,MATCH($A861,PODACI_PRODAJA!$A:$A,0)),0)</f>
        <v>0</v>
      </c>
      <c r="Z861" s="23" t="n">
        <f aca="false">IFERROR(INDEX(PODACI_PRODAJA!I:I,MATCH($A861,PODACI_PRODAJA!$A:$A,0)),0)</f>
        <v>0</v>
      </c>
      <c r="AA861" s="23" t="n">
        <f aca="false">IFERROR(INDEX(PODACI_PRODAJA!J:J,MATCH($A861,PODACI_PRODAJA!$A:$A,0)),0)</f>
        <v>0</v>
      </c>
      <c r="AB861" s="23" t="n">
        <f aca="false">IFERROR(INDEX(PODACI_PRODAJA!K:K,MATCH($A861,PODACI_PRODAJA!$A:$A,0)),0)</f>
        <v>0</v>
      </c>
      <c r="AC861" s="23" t="n">
        <f aca="false">IFERROR(INDEX(PODACI_PRODAJA!L:L,MATCH($A861,PODACI_PRODAJA!$A:$A,0)),0)</f>
        <v>0</v>
      </c>
      <c r="AD861" s="23" t="n">
        <f aca="false">IFERROR(INDEX(PODACI_PRODAJA!M:M,MATCH($A861,PODACI_PRODAJA!$A:$A,0)),0)</f>
        <v>0</v>
      </c>
    </row>
    <row r="862" customFormat="false" ht="15" hidden="false" customHeight="false" outlineLevel="0" collapsed="false">
      <c r="A862" s="11" t="str">
        <f aca="false">PODACI_ZALIHE!A859</f>
        <v>155210</v>
      </c>
      <c r="B862" s="8" t="str">
        <f aca="false">PODACI_ZALIHE!B859</f>
        <v>BOLD BIJELA 90110 MINERALSOLID TUŠ KADA 900x1100x30 mm</v>
      </c>
      <c r="C862" s="9" t="n">
        <f aca="false">PODACI_ZALIHE!C859</f>
        <v>0</v>
      </c>
      <c r="D862" s="8" t="n">
        <f aca="false">PODACI_ZALIHE!D859</f>
        <v>0</v>
      </c>
      <c r="E862" s="19" t="str">
        <f aca="false">IF(PODACI_ZALIHE!E859="","",PODACI_ZALIHE!E859)</f>
        <v/>
      </c>
      <c r="F862" s="20" t="n">
        <f aca="false">PODACI_ZALIHE!F859</f>
        <v>0</v>
      </c>
      <c r="G862" s="19" t="str">
        <f aca="false">IF(E862="","",E862-F862)</f>
        <v/>
      </c>
      <c r="H862" s="9" t="n">
        <f aca="false">PODACI_PRODAJA!N485</f>
        <v>0.75</v>
      </c>
      <c r="I862" s="21" t="n">
        <f aca="false">IF(H862&lt;=0,999,ROUND(F862/H862,1))</f>
        <v>0</v>
      </c>
      <c r="J862" s="9" t="n">
        <f aca="false">SUMIFS(ROBA_U_DOLASKU!$C$6:$C$95,ROBA_U_DOLASKU!$A$6:$A$95,A862,ROBA_U_DOLASKU!$H$6:$H$95,1)</f>
        <v>0</v>
      </c>
      <c r="K862" s="9" t="n">
        <f aca="false">SUMIFS(ROBA_U_DOLASKU!$B$6:$B$95,ROBA_U_DOLASKU!$A$6:$A$95,A862,ROBA_U_DOLASKU!$H$6:$H$95,1)</f>
        <v>0</v>
      </c>
      <c r="L862" s="9" t="n">
        <f aca="false">SUMIFS(ROBA_U_DOLASKU!$C$6:$C$95,ROBA_U_DOLASKU!$A$6:$A$95,A862,ROBA_U_DOLASKU!$H$6:$H$95,2)</f>
        <v>0</v>
      </c>
      <c r="M862" s="9" t="n">
        <f aca="false">SUMIFS(ROBA_U_DOLASKU!$B$6:$B$95,ROBA_U_DOLASKU!$A$6:$A$95,A862,ROBA_U_DOLASKU!$H$6:$H$95,2)</f>
        <v>0</v>
      </c>
      <c r="N862" s="9" t="n">
        <f aca="false">SUMIFS(ROBA_U_DOLASKU!$C$6:$C$95,ROBA_U_DOLASKU!$A$6:$A$95,A862,ROBA_U_DOLASKU!$H$6:$H$95,3)</f>
        <v>0</v>
      </c>
      <c r="O862" s="9" t="n">
        <f aca="false">SUMIFS(ROBA_U_DOLASKU!$B$6:$B$95,ROBA_U_DOLASKU!$A$6:$A$95,A862,ROBA_U_DOLASKU!$H$6:$H$95,3)</f>
        <v>0</v>
      </c>
      <c r="P862" s="9" t="n">
        <f aca="false">IF(H862&lt;=0,999,IF(O862&gt;0,ROUND((F862-H862*N862+K862+M862+O862)/H862,1),IF(M862&gt;0,ROUND((F862-H862*L862+K862+M862)/H862,1),IF(K862&gt;0,ROUND((F862-H862*J862+K862)/H862,1),I862))))</f>
        <v>0</v>
      </c>
      <c r="Q862" s="22" t="str">
        <f aca="false">IF(H862&lt;=0,"Nema prodaje",IF(AND(K862=0,M862=0,O862=0),IF(I862&lt;POSTAVKE!$B$6,"Naruči odmah","Sve u redu"),IF(F862-H862*J862&lt;0,"Rupa za ~"&amp;TEXT(I862,"0.0")&amp;" mj.",IF(AND(M862&gt;0,F862-H862*L862+K862&lt;0),"Rupa nakon 1. dolaska",IF(AND(O862&gt;0,F862-H862*N862+K862+M862&lt;0),"Rupa nakon 2. dolaska",IF(P862&lt;POSTAVKE!$B$6,"Količina nije dovoljna",IF(I862&gt;=POSTAVKE!$B$6,"Sve u redu","Stiže na vrijeme")))))))</f>
        <v>Naruči odmah</v>
      </c>
      <c r="S862" s="23" t="n">
        <f aca="false">IFERROR(INDEX(PODACI_PRODAJA!B:B,MATCH($A862,PODACI_PRODAJA!$A:$A,0)),0)</f>
        <v>0</v>
      </c>
      <c r="T862" s="23" t="n">
        <f aca="false">IFERROR(INDEX(PODACI_PRODAJA!C:C,MATCH($A862,PODACI_PRODAJA!$A:$A,0)),0)</f>
        <v>0</v>
      </c>
      <c r="U862" s="23" t="n">
        <f aca="false">IFERROR(INDEX(PODACI_PRODAJA!D:D,MATCH($A862,PODACI_PRODAJA!$A:$A,0)),0)</f>
        <v>0</v>
      </c>
      <c r="V862" s="23" t="n">
        <f aca="false">IFERROR(INDEX(PODACI_PRODAJA!E:E,MATCH($A862,PODACI_PRODAJA!$A:$A,0)),0)</f>
        <v>0</v>
      </c>
      <c r="W862" s="23" t="n">
        <f aca="false">IFERROR(INDEX(PODACI_PRODAJA!F:F,MATCH($A862,PODACI_PRODAJA!$A:$A,0)),0)</f>
        <v>3</v>
      </c>
      <c r="X862" s="23" t="n">
        <f aca="false">IFERROR(INDEX(PODACI_PRODAJA!G:G,MATCH($A862,PODACI_PRODAJA!$A:$A,0)),0)</f>
        <v>3</v>
      </c>
      <c r="Y862" s="23" t="n">
        <f aca="false">IFERROR(INDEX(PODACI_PRODAJA!H:H,MATCH($A862,PODACI_PRODAJA!$A:$A,0)),0)</f>
        <v>0</v>
      </c>
      <c r="Z862" s="23" t="n">
        <f aca="false">IFERROR(INDEX(PODACI_PRODAJA!I:I,MATCH($A862,PODACI_PRODAJA!$A:$A,0)),0)</f>
        <v>0</v>
      </c>
      <c r="AA862" s="23" t="n">
        <f aca="false">IFERROR(INDEX(PODACI_PRODAJA!J:J,MATCH($A862,PODACI_PRODAJA!$A:$A,0)),0)</f>
        <v>0</v>
      </c>
      <c r="AB862" s="23" t="n">
        <f aca="false">IFERROR(INDEX(PODACI_PRODAJA!K:K,MATCH($A862,PODACI_PRODAJA!$A:$A,0)),0)</f>
        <v>0</v>
      </c>
      <c r="AC862" s="23" t="n">
        <f aca="false">IFERROR(INDEX(PODACI_PRODAJA!L:L,MATCH($A862,PODACI_PRODAJA!$A:$A,0)),0)</f>
        <v>0</v>
      </c>
      <c r="AD862" s="23" t="n">
        <f aca="false">IFERROR(INDEX(PODACI_PRODAJA!M:M,MATCH($A862,PODACI_PRODAJA!$A:$A,0)),0)</f>
        <v>0</v>
      </c>
    </row>
    <row r="863" customFormat="false" ht="15" hidden="false" customHeight="false" outlineLevel="0" collapsed="false">
      <c r="A863" s="11" t="str">
        <f aca="false">PODACI_ZALIHE!A860</f>
        <v>155260</v>
      </c>
      <c r="B863" s="8" t="str">
        <f aca="false">PODACI_ZALIHE!B860</f>
        <v>BOLD BIJELA 90160 MINERALSOLID TUŠ KADA 900x1600x30 mm</v>
      </c>
      <c r="C863" s="9" t="n">
        <f aca="false">PODACI_ZALIHE!C860</f>
        <v>0</v>
      </c>
      <c r="D863" s="8" t="n">
        <f aca="false">PODACI_ZALIHE!D860</f>
        <v>0</v>
      </c>
      <c r="E863" s="19" t="str">
        <f aca="false">IF(PODACI_ZALIHE!E860="","",PODACI_ZALIHE!E860)</f>
        <v/>
      </c>
      <c r="F863" s="20" t="n">
        <f aca="false">PODACI_ZALIHE!F860</f>
        <v>0</v>
      </c>
      <c r="G863" s="19" t="str">
        <f aca="false">IF(E863="","",E863-F863)</f>
        <v/>
      </c>
      <c r="H863" s="9" t="n">
        <f aca="false">PODACI_PRODAJA!N488</f>
        <v>0.88</v>
      </c>
      <c r="I863" s="21" t="n">
        <f aca="false">IF(H863&lt;=0,999,ROUND(F863/H863,1))</f>
        <v>0</v>
      </c>
      <c r="J863" s="9" t="n">
        <f aca="false">SUMIFS(ROBA_U_DOLASKU!$C$6:$C$95,ROBA_U_DOLASKU!$A$6:$A$95,A863,ROBA_U_DOLASKU!$H$6:$H$95,1)</f>
        <v>0</v>
      </c>
      <c r="K863" s="9" t="n">
        <f aca="false">SUMIFS(ROBA_U_DOLASKU!$B$6:$B$95,ROBA_U_DOLASKU!$A$6:$A$95,A863,ROBA_U_DOLASKU!$H$6:$H$95,1)</f>
        <v>0</v>
      </c>
      <c r="L863" s="9" t="n">
        <f aca="false">SUMIFS(ROBA_U_DOLASKU!$C$6:$C$95,ROBA_U_DOLASKU!$A$6:$A$95,A863,ROBA_U_DOLASKU!$H$6:$H$95,2)</f>
        <v>0</v>
      </c>
      <c r="M863" s="9" t="n">
        <f aca="false">SUMIFS(ROBA_U_DOLASKU!$B$6:$B$95,ROBA_U_DOLASKU!$A$6:$A$95,A863,ROBA_U_DOLASKU!$H$6:$H$95,2)</f>
        <v>0</v>
      </c>
      <c r="N863" s="9" t="n">
        <f aca="false">SUMIFS(ROBA_U_DOLASKU!$C$6:$C$95,ROBA_U_DOLASKU!$A$6:$A$95,A863,ROBA_U_DOLASKU!$H$6:$H$95,3)</f>
        <v>0</v>
      </c>
      <c r="O863" s="9" t="n">
        <f aca="false">SUMIFS(ROBA_U_DOLASKU!$B$6:$B$95,ROBA_U_DOLASKU!$A$6:$A$95,A863,ROBA_U_DOLASKU!$H$6:$H$95,3)</f>
        <v>0</v>
      </c>
      <c r="P863" s="9" t="n">
        <f aca="false">IF(H863&lt;=0,999,IF(O863&gt;0,ROUND((F863-H863*N863+K863+M863+O863)/H863,1),IF(M863&gt;0,ROUND((F863-H863*L863+K863+M863)/H863,1),IF(K863&gt;0,ROUND((F863-H863*J863+K863)/H863,1),I863))))</f>
        <v>0</v>
      </c>
      <c r="Q863" s="22" t="str">
        <f aca="false">IF(H863&lt;=0,"Nema prodaje",IF(AND(K863=0,M863=0,O863=0),IF(I863&lt;POSTAVKE!$B$6,"Naruči odmah","Sve u redu"),IF(F863-H863*J863&lt;0,"Rupa za ~"&amp;TEXT(I863,"0.0")&amp;" mj.",IF(AND(M863&gt;0,F863-H863*L863+K863&lt;0),"Rupa nakon 1. dolaska",IF(AND(O863&gt;0,F863-H863*N863+K863+M863&lt;0),"Rupa nakon 2. dolaska",IF(P863&lt;POSTAVKE!$B$6,"Količina nije dovoljna",IF(I863&gt;=POSTAVKE!$B$6,"Sve u redu","Stiže na vrijeme")))))))</f>
        <v>Naruči odmah</v>
      </c>
      <c r="S863" s="23" t="n">
        <f aca="false">IFERROR(INDEX(PODACI_PRODAJA!B:B,MATCH($A863,PODACI_PRODAJA!$A:$A,0)),0)</f>
        <v>0</v>
      </c>
      <c r="T863" s="23" t="n">
        <f aca="false">IFERROR(INDEX(PODACI_PRODAJA!C:C,MATCH($A863,PODACI_PRODAJA!$A:$A,0)),0)</f>
        <v>3</v>
      </c>
      <c r="U863" s="23" t="n">
        <f aca="false">IFERROR(INDEX(PODACI_PRODAJA!D:D,MATCH($A863,PODACI_PRODAJA!$A:$A,0)),0)</f>
        <v>1</v>
      </c>
      <c r="V863" s="23" t="n">
        <f aca="false">IFERROR(INDEX(PODACI_PRODAJA!E:E,MATCH($A863,PODACI_PRODAJA!$A:$A,0)),0)</f>
        <v>0</v>
      </c>
      <c r="W863" s="23" t="n">
        <f aca="false">IFERROR(INDEX(PODACI_PRODAJA!F:F,MATCH($A863,PODACI_PRODAJA!$A:$A,0)),0)</f>
        <v>3</v>
      </c>
      <c r="X863" s="23" t="n">
        <f aca="false">IFERROR(INDEX(PODACI_PRODAJA!G:G,MATCH($A863,PODACI_PRODAJA!$A:$A,0)),0)</f>
        <v>0</v>
      </c>
      <c r="Y863" s="23" t="n">
        <f aca="false">IFERROR(INDEX(PODACI_PRODAJA!H:H,MATCH($A863,PODACI_PRODAJA!$A:$A,0)),0)</f>
        <v>0</v>
      </c>
      <c r="Z863" s="23" t="n">
        <f aca="false">IFERROR(INDEX(PODACI_PRODAJA!I:I,MATCH($A863,PODACI_PRODAJA!$A:$A,0)),0)</f>
        <v>0</v>
      </c>
      <c r="AA863" s="23" t="n">
        <f aca="false">IFERROR(INDEX(PODACI_PRODAJA!J:J,MATCH($A863,PODACI_PRODAJA!$A:$A,0)),0)</f>
        <v>0</v>
      </c>
      <c r="AB863" s="23" t="n">
        <f aca="false">IFERROR(INDEX(PODACI_PRODAJA!K:K,MATCH($A863,PODACI_PRODAJA!$A:$A,0)),0)</f>
        <v>0</v>
      </c>
      <c r="AC863" s="23" t="n">
        <f aca="false">IFERROR(INDEX(PODACI_PRODAJA!L:L,MATCH($A863,PODACI_PRODAJA!$A:$A,0)),0)</f>
        <v>0</v>
      </c>
      <c r="AD863" s="23" t="n">
        <f aca="false">IFERROR(INDEX(PODACI_PRODAJA!M:M,MATCH($A863,PODACI_PRODAJA!$A:$A,0)),0)</f>
        <v>0</v>
      </c>
    </row>
    <row r="864" customFormat="false" ht="15" hidden="false" customHeight="false" outlineLevel="0" collapsed="false">
      <c r="A864" s="11" t="str">
        <f aca="false">PODACI_ZALIHE!A861</f>
        <v>15662R</v>
      </c>
      <c r="B864" s="8" t="str">
        <f aca="false">PODACI_ZALIHE!B861</f>
        <v>BOLD S BIJELA 90R MINERALSOLID TUŠ KADA 900x900x30 mm</v>
      </c>
      <c r="C864" s="9" t="n">
        <f aca="false">PODACI_ZALIHE!C861</f>
        <v>0</v>
      </c>
      <c r="D864" s="8" t="n">
        <f aca="false">PODACI_ZALIHE!D861</f>
        <v>0</v>
      </c>
      <c r="E864" s="19" t="str">
        <f aca="false">IF(PODACI_ZALIHE!E861="","",PODACI_ZALIHE!E861)</f>
        <v/>
      </c>
      <c r="F864" s="20" t="n">
        <f aca="false">PODACI_ZALIHE!F861</f>
        <v>0</v>
      </c>
      <c r="G864" s="19" t="str">
        <f aca="false">IF(E864="","",E864-F864)</f>
        <v/>
      </c>
      <c r="H864" s="9" t="n">
        <f aca="false">PODACI_PRODAJA!N495</f>
        <v>0.13</v>
      </c>
      <c r="I864" s="21" t="n">
        <f aca="false">IF(H864&lt;=0,999,ROUND(F864/H864,1))</f>
        <v>0</v>
      </c>
      <c r="J864" s="9" t="n">
        <f aca="false">SUMIFS(ROBA_U_DOLASKU!$C$6:$C$95,ROBA_U_DOLASKU!$A$6:$A$95,A864,ROBA_U_DOLASKU!$H$6:$H$95,1)</f>
        <v>0</v>
      </c>
      <c r="K864" s="9" t="n">
        <f aca="false">SUMIFS(ROBA_U_DOLASKU!$B$6:$B$95,ROBA_U_DOLASKU!$A$6:$A$95,A864,ROBA_U_DOLASKU!$H$6:$H$95,1)</f>
        <v>0</v>
      </c>
      <c r="L864" s="9" t="n">
        <f aca="false">SUMIFS(ROBA_U_DOLASKU!$C$6:$C$95,ROBA_U_DOLASKU!$A$6:$A$95,A864,ROBA_U_DOLASKU!$H$6:$H$95,2)</f>
        <v>0</v>
      </c>
      <c r="M864" s="9" t="n">
        <f aca="false">SUMIFS(ROBA_U_DOLASKU!$B$6:$B$95,ROBA_U_DOLASKU!$A$6:$A$95,A864,ROBA_U_DOLASKU!$H$6:$H$95,2)</f>
        <v>0</v>
      </c>
      <c r="N864" s="9" t="n">
        <f aca="false">SUMIFS(ROBA_U_DOLASKU!$C$6:$C$95,ROBA_U_DOLASKU!$A$6:$A$95,A864,ROBA_U_DOLASKU!$H$6:$H$95,3)</f>
        <v>0</v>
      </c>
      <c r="O864" s="9" t="n">
        <f aca="false">SUMIFS(ROBA_U_DOLASKU!$B$6:$B$95,ROBA_U_DOLASKU!$A$6:$A$95,A864,ROBA_U_DOLASKU!$H$6:$H$95,3)</f>
        <v>0</v>
      </c>
      <c r="P864" s="9" t="n">
        <f aca="false">IF(H864&lt;=0,999,IF(O864&gt;0,ROUND((F864-H864*N864+K864+M864+O864)/H864,1),IF(M864&gt;0,ROUND((F864-H864*L864+K864+M864)/H864,1),IF(K864&gt;0,ROUND((F864-H864*J864+K864)/H864,1),I864))))</f>
        <v>0</v>
      </c>
      <c r="Q864" s="22" t="str">
        <f aca="false">IF(H864&lt;=0,"Nema prodaje",IF(AND(K864=0,M864=0,O864=0),IF(I864&lt;POSTAVKE!$B$6,"Naruči odmah","Sve u redu"),IF(F864-H864*J864&lt;0,"Rupa za ~"&amp;TEXT(I864,"0.0")&amp;" mj.",IF(AND(M864&gt;0,F864-H864*L864+K864&lt;0),"Rupa nakon 1. dolaska",IF(AND(O864&gt;0,F864-H864*N864+K864+M864&lt;0),"Rupa nakon 2. dolaska",IF(P864&lt;POSTAVKE!$B$6,"Količina nije dovoljna",IF(I864&gt;=POSTAVKE!$B$6,"Sve u redu","Stiže na vrijeme")))))))</f>
        <v>Naruči odmah</v>
      </c>
      <c r="S864" s="23" t="n">
        <f aca="false">IFERROR(INDEX(PODACI_PRODAJA!B:B,MATCH($A864,PODACI_PRODAJA!$A:$A,0)),0)</f>
        <v>0</v>
      </c>
      <c r="T864" s="23" t="n">
        <f aca="false">IFERROR(INDEX(PODACI_PRODAJA!C:C,MATCH($A864,PODACI_PRODAJA!$A:$A,0)),0)</f>
        <v>0</v>
      </c>
      <c r="U864" s="23" t="n">
        <f aca="false">IFERROR(INDEX(PODACI_PRODAJA!D:D,MATCH($A864,PODACI_PRODAJA!$A:$A,0)),0)</f>
        <v>0</v>
      </c>
      <c r="V864" s="23" t="n">
        <f aca="false">IFERROR(INDEX(PODACI_PRODAJA!E:E,MATCH($A864,PODACI_PRODAJA!$A:$A,0)),0)</f>
        <v>0</v>
      </c>
      <c r="W864" s="23" t="n">
        <f aca="false">IFERROR(INDEX(PODACI_PRODAJA!F:F,MATCH($A864,PODACI_PRODAJA!$A:$A,0)),0)</f>
        <v>0</v>
      </c>
      <c r="X864" s="23" t="n">
        <f aca="false">IFERROR(INDEX(PODACI_PRODAJA!G:G,MATCH($A864,PODACI_PRODAJA!$A:$A,0)),0)</f>
        <v>1</v>
      </c>
      <c r="Y864" s="23" t="n">
        <f aca="false">IFERROR(INDEX(PODACI_PRODAJA!H:H,MATCH($A864,PODACI_PRODAJA!$A:$A,0)),0)</f>
        <v>0</v>
      </c>
      <c r="Z864" s="23" t="n">
        <f aca="false">IFERROR(INDEX(PODACI_PRODAJA!I:I,MATCH($A864,PODACI_PRODAJA!$A:$A,0)),0)</f>
        <v>0</v>
      </c>
      <c r="AA864" s="23" t="n">
        <f aca="false">IFERROR(INDEX(PODACI_PRODAJA!J:J,MATCH($A864,PODACI_PRODAJA!$A:$A,0)),0)</f>
        <v>0</v>
      </c>
      <c r="AB864" s="23" t="n">
        <f aca="false">IFERROR(INDEX(PODACI_PRODAJA!K:K,MATCH($A864,PODACI_PRODAJA!$A:$A,0)),0)</f>
        <v>0</v>
      </c>
      <c r="AC864" s="23" t="n">
        <f aca="false">IFERROR(INDEX(PODACI_PRODAJA!L:L,MATCH($A864,PODACI_PRODAJA!$A:$A,0)),0)</f>
        <v>0</v>
      </c>
      <c r="AD864" s="23" t="n">
        <f aca="false">IFERROR(INDEX(PODACI_PRODAJA!M:M,MATCH($A864,PODACI_PRODAJA!$A:$A,0)),0)</f>
        <v>0</v>
      </c>
    </row>
    <row r="865" customFormat="false" ht="15" hidden="false" customHeight="false" outlineLevel="0" collapsed="false">
      <c r="A865" s="11" t="str">
        <f aca="false">PODACI_ZALIHE!A862</f>
        <v>156630</v>
      </c>
      <c r="B865" s="8" t="str">
        <f aca="false">PODACI_ZALIHE!B862</f>
        <v>BOLD S BIJELA 80100 MINERALSOLID TUŠ KADA 800x1000x30 mm</v>
      </c>
      <c r="C865" s="9" t="n">
        <f aca="false">PODACI_ZALIHE!C862</f>
        <v>0</v>
      </c>
      <c r="D865" s="8" t="n">
        <f aca="false">PODACI_ZALIHE!D862</f>
        <v>0</v>
      </c>
      <c r="E865" s="19" t="str">
        <f aca="false">IF(PODACI_ZALIHE!E862="","",PODACI_ZALIHE!E862)</f>
        <v/>
      </c>
      <c r="F865" s="20" t="n">
        <f aca="false">PODACI_ZALIHE!F862</f>
        <v>0</v>
      </c>
      <c r="G865" s="19" t="str">
        <f aca="false">IF(E865="","",E865-F865)</f>
        <v/>
      </c>
      <c r="H865" s="9" t="n">
        <f aca="false">PODACI_PRODAJA!N497</f>
        <v>0.13</v>
      </c>
      <c r="I865" s="21" t="n">
        <f aca="false">IF(H865&lt;=0,999,ROUND(F865/H865,1))</f>
        <v>0</v>
      </c>
      <c r="J865" s="9" t="n">
        <f aca="false">SUMIFS(ROBA_U_DOLASKU!$C$6:$C$95,ROBA_U_DOLASKU!$A$6:$A$95,A865,ROBA_U_DOLASKU!$H$6:$H$95,1)</f>
        <v>0</v>
      </c>
      <c r="K865" s="9" t="n">
        <f aca="false">SUMIFS(ROBA_U_DOLASKU!$B$6:$B$95,ROBA_U_DOLASKU!$A$6:$A$95,A865,ROBA_U_DOLASKU!$H$6:$H$95,1)</f>
        <v>0</v>
      </c>
      <c r="L865" s="9" t="n">
        <f aca="false">SUMIFS(ROBA_U_DOLASKU!$C$6:$C$95,ROBA_U_DOLASKU!$A$6:$A$95,A865,ROBA_U_DOLASKU!$H$6:$H$95,2)</f>
        <v>0</v>
      </c>
      <c r="M865" s="9" t="n">
        <f aca="false">SUMIFS(ROBA_U_DOLASKU!$B$6:$B$95,ROBA_U_DOLASKU!$A$6:$A$95,A865,ROBA_U_DOLASKU!$H$6:$H$95,2)</f>
        <v>0</v>
      </c>
      <c r="N865" s="9" t="n">
        <f aca="false">SUMIFS(ROBA_U_DOLASKU!$C$6:$C$95,ROBA_U_DOLASKU!$A$6:$A$95,A865,ROBA_U_DOLASKU!$H$6:$H$95,3)</f>
        <v>0</v>
      </c>
      <c r="O865" s="9" t="n">
        <f aca="false">SUMIFS(ROBA_U_DOLASKU!$B$6:$B$95,ROBA_U_DOLASKU!$A$6:$A$95,A865,ROBA_U_DOLASKU!$H$6:$H$95,3)</f>
        <v>0</v>
      </c>
      <c r="P865" s="9" t="n">
        <f aca="false">IF(H865&lt;=0,999,IF(O865&gt;0,ROUND((F865-H865*N865+K865+M865+O865)/H865,1),IF(M865&gt;0,ROUND((F865-H865*L865+K865+M865)/H865,1),IF(K865&gt;0,ROUND((F865-H865*J865+K865)/H865,1),I865))))</f>
        <v>0</v>
      </c>
      <c r="Q865" s="22" t="str">
        <f aca="false">IF(H865&lt;=0,"Nema prodaje",IF(AND(K865=0,M865=0,O865=0),IF(I865&lt;POSTAVKE!$B$6,"Naruči odmah","Sve u redu"),IF(F865-H865*J865&lt;0,"Rupa za ~"&amp;TEXT(I865,"0.0")&amp;" mj.",IF(AND(M865&gt;0,F865-H865*L865+K865&lt;0),"Rupa nakon 1. dolaska",IF(AND(O865&gt;0,F865-H865*N865+K865+M865&lt;0),"Rupa nakon 2. dolaska",IF(P865&lt;POSTAVKE!$B$6,"Količina nije dovoljna",IF(I865&gt;=POSTAVKE!$B$6,"Sve u redu","Stiže na vrijeme")))))))</f>
        <v>Naruči odmah</v>
      </c>
      <c r="S865" s="23" t="n">
        <f aca="false">IFERROR(INDEX(PODACI_PRODAJA!B:B,MATCH($A865,PODACI_PRODAJA!$A:$A,0)),0)</f>
        <v>0</v>
      </c>
      <c r="T865" s="23" t="n">
        <f aca="false">IFERROR(INDEX(PODACI_PRODAJA!C:C,MATCH($A865,PODACI_PRODAJA!$A:$A,0)),0)</f>
        <v>1</v>
      </c>
      <c r="U865" s="23" t="n">
        <f aca="false">IFERROR(INDEX(PODACI_PRODAJA!D:D,MATCH($A865,PODACI_PRODAJA!$A:$A,0)),0)</f>
        <v>0</v>
      </c>
      <c r="V865" s="23" t="n">
        <f aca="false">IFERROR(INDEX(PODACI_PRODAJA!E:E,MATCH($A865,PODACI_PRODAJA!$A:$A,0)),0)</f>
        <v>0</v>
      </c>
      <c r="W865" s="23" t="n">
        <f aca="false">IFERROR(INDEX(PODACI_PRODAJA!F:F,MATCH($A865,PODACI_PRODAJA!$A:$A,0)),0)</f>
        <v>0</v>
      </c>
      <c r="X865" s="23" t="n">
        <f aca="false">IFERROR(INDEX(PODACI_PRODAJA!G:G,MATCH($A865,PODACI_PRODAJA!$A:$A,0)),0)</f>
        <v>0</v>
      </c>
      <c r="Y865" s="23" t="n">
        <f aca="false">IFERROR(INDEX(PODACI_PRODAJA!H:H,MATCH($A865,PODACI_PRODAJA!$A:$A,0)),0)</f>
        <v>0</v>
      </c>
      <c r="Z865" s="23" t="n">
        <f aca="false">IFERROR(INDEX(PODACI_PRODAJA!I:I,MATCH($A865,PODACI_PRODAJA!$A:$A,0)),0)</f>
        <v>0</v>
      </c>
      <c r="AA865" s="23" t="n">
        <f aca="false">IFERROR(INDEX(PODACI_PRODAJA!J:J,MATCH($A865,PODACI_PRODAJA!$A:$A,0)),0)</f>
        <v>0</v>
      </c>
      <c r="AB865" s="23" t="n">
        <f aca="false">IFERROR(INDEX(PODACI_PRODAJA!K:K,MATCH($A865,PODACI_PRODAJA!$A:$A,0)),0)</f>
        <v>0</v>
      </c>
      <c r="AC865" s="23" t="n">
        <f aca="false">IFERROR(INDEX(PODACI_PRODAJA!L:L,MATCH($A865,PODACI_PRODAJA!$A:$A,0)),0)</f>
        <v>0</v>
      </c>
      <c r="AD865" s="23" t="n">
        <f aca="false">IFERROR(INDEX(PODACI_PRODAJA!M:M,MATCH($A865,PODACI_PRODAJA!$A:$A,0)),0)</f>
        <v>0</v>
      </c>
    </row>
    <row r="866" customFormat="false" ht="15" hidden="false" customHeight="false" outlineLevel="0" collapsed="false">
      <c r="A866" s="11" t="str">
        <f aca="false">PODACI_ZALIHE!A863</f>
        <v>156800</v>
      </c>
      <c r="B866" s="8" t="str">
        <f aca="false">PODACI_ZALIHE!B863</f>
        <v>BOLD S BIJELA 90180 MINERALSOLID TUŠ KADA 900x1800x30 mm</v>
      </c>
      <c r="C866" s="9" t="n">
        <f aca="false">PODACI_ZALIHE!C863</f>
        <v>0</v>
      </c>
      <c r="D866" s="8" t="n">
        <f aca="false">PODACI_ZALIHE!D863</f>
        <v>0</v>
      </c>
      <c r="E866" s="19" t="str">
        <f aca="false">IF(PODACI_ZALIHE!E863="","",PODACI_ZALIHE!E863)</f>
        <v/>
      </c>
      <c r="F866" s="20" t="n">
        <f aca="false">PODACI_ZALIHE!F863</f>
        <v>0</v>
      </c>
      <c r="G866" s="19" t="str">
        <f aca="false">IF(E866="","",E866-F866)</f>
        <v/>
      </c>
      <c r="H866" s="9" t="n">
        <f aca="false">PODACI_PRODAJA!N514</f>
        <v>1.63</v>
      </c>
      <c r="I866" s="21" t="n">
        <f aca="false">IF(H866&lt;=0,999,ROUND(F866/H866,1))</f>
        <v>0</v>
      </c>
      <c r="J866" s="9" t="n">
        <f aca="false">SUMIFS(ROBA_U_DOLASKU!$C$6:$C$95,ROBA_U_DOLASKU!$A$6:$A$95,A866,ROBA_U_DOLASKU!$H$6:$H$95,1)</f>
        <v>0</v>
      </c>
      <c r="K866" s="9" t="n">
        <f aca="false">SUMIFS(ROBA_U_DOLASKU!$B$6:$B$95,ROBA_U_DOLASKU!$A$6:$A$95,A866,ROBA_U_DOLASKU!$H$6:$H$95,1)</f>
        <v>0</v>
      </c>
      <c r="L866" s="9" t="n">
        <f aca="false">SUMIFS(ROBA_U_DOLASKU!$C$6:$C$95,ROBA_U_DOLASKU!$A$6:$A$95,A866,ROBA_U_DOLASKU!$H$6:$H$95,2)</f>
        <v>0</v>
      </c>
      <c r="M866" s="9" t="n">
        <f aca="false">SUMIFS(ROBA_U_DOLASKU!$B$6:$B$95,ROBA_U_DOLASKU!$A$6:$A$95,A866,ROBA_U_DOLASKU!$H$6:$H$95,2)</f>
        <v>0</v>
      </c>
      <c r="N866" s="9" t="n">
        <f aca="false">SUMIFS(ROBA_U_DOLASKU!$C$6:$C$95,ROBA_U_DOLASKU!$A$6:$A$95,A866,ROBA_U_DOLASKU!$H$6:$H$95,3)</f>
        <v>0</v>
      </c>
      <c r="O866" s="9" t="n">
        <f aca="false">SUMIFS(ROBA_U_DOLASKU!$B$6:$B$95,ROBA_U_DOLASKU!$A$6:$A$95,A866,ROBA_U_DOLASKU!$H$6:$H$95,3)</f>
        <v>0</v>
      </c>
      <c r="P866" s="9" t="n">
        <f aca="false">IF(H866&lt;=0,999,IF(O866&gt;0,ROUND((F866-H866*N866+K866+M866+O866)/H866,1),IF(M866&gt;0,ROUND((F866-H866*L866+K866+M866)/H866,1),IF(K866&gt;0,ROUND((F866-H866*J866+K866)/H866,1),I866))))</f>
        <v>0</v>
      </c>
      <c r="Q866" s="22" t="str">
        <f aca="false">IF(H866&lt;=0,"Nema prodaje",IF(AND(K866=0,M866=0,O866=0),IF(I866&lt;POSTAVKE!$B$6,"Naruči odmah","Sve u redu"),IF(F866-H866*J866&lt;0,"Rupa za ~"&amp;TEXT(I866,"0.0")&amp;" mj.",IF(AND(M866&gt;0,F866-H866*L866+K866&lt;0),"Rupa nakon 1. dolaska",IF(AND(O866&gt;0,F866-H866*N866+K866+M866&lt;0),"Rupa nakon 2. dolaska",IF(P866&lt;POSTAVKE!$B$6,"Količina nije dovoljna",IF(I866&gt;=POSTAVKE!$B$6,"Sve u redu","Stiže na vrijeme")))))))</f>
        <v>Naruči odmah</v>
      </c>
      <c r="S866" s="23" t="n">
        <f aca="false">IFERROR(INDEX(PODACI_PRODAJA!B:B,MATCH($A866,PODACI_PRODAJA!$A:$A,0)),0)</f>
        <v>0</v>
      </c>
      <c r="T866" s="23" t="n">
        <f aca="false">IFERROR(INDEX(PODACI_PRODAJA!C:C,MATCH($A866,PODACI_PRODAJA!$A:$A,0)),0)</f>
        <v>4</v>
      </c>
      <c r="U866" s="23" t="n">
        <f aca="false">IFERROR(INDEX(PODACI_PRODAJA!D:D,MATCH($A866,PODACI_PRODAJA!$A:$A,0)),0)</f>
        <v>0</v>
      </c>
      <c r="V866" s="23" t="n">
        <f aca="false">IFERROR(INDEX(PODACI_PRODAJA!E:E,MATCH($A866,PODACI_PRODAJA!$A:$A,0)),0)</f>
        <v>4</v>
      </c>
      <c r="W866" s="23" t="n">
        <f aca="false">IFERROR(INDEX(PODACI_PRODAJA!F:F,MATCH($A866,PODACI_PRODAJA!$A:$A,0)),0)</f>
        <v>5</v>
      </c>
      <c r="X866" s="23" t="n">
        <f aca="false">IFERROR(INDEX(PODACI_PRODAJA!G:G,MATCH($A866,PODACI_PRODAJA!$A:$A,0)),0)</f>
        <v>0</v>
      </c>
      <c r="Y866" s="23" t="n">
        <f aca="false">IFERROR(INDEX(PODACI_PRODAJA!H:H,MATCH($A866,PODACI_PRODAJA!$A:$A,0)),0)</f>
        <v>0</v>
      </c>
      <c r="Z866" s="23" t="n">
        <f aca="false">IFERROR(INDEX(PODACI_PRODAJA!I:I,MATCH($A866,PODACI_PRODAJA!$A:$A,0)),0)</f>
        <v>0</v>
      </c>
      <c r="AA866" s="23" t="n">
        <f aca="false">IFERROR(INDEX(PODACI_PRODAJA!J:J,MATCH($A866,PODACI_PRODAJA!$A:$A,0)),0)</f>
        <v>0</v>
      </c>
      <c r="AB866" s="23" t="n">
        <f aca="false">IFERROR(INDEX(PODACI_PRODAJA!K:K,MATCH($A866,PODACI_PRODAJA!$A:$A,0)),0)</f>
        <v>0</v>
      </c>
      <c r="AC866" s="23" t="n">
        <f aca="false">IFERROR(INDEX(PODACI_PRODAJA!L:L,MATCH($A866,PODACI_PRODAJA!$A:$A,0)),0)</f>
        <v>0</v>
      </c>
      <c r="AD866" s="23" t="n">
        <f aca="false">IFERROR(INDEX(PODACI_PRODAJA!M:M,MATCH($A866,PODACI_PRODAJA!$A:$A,0)),0)</f>
        <v>0</v>
      </c>
    </row>
    <row r="867" customFormat="false" ht="15" hidden="false" customHeight="false" outlineLevel="0" collapsed="false">
      <c r="A867" s="11" t="str">
        <f aca="false">PODACI_ZALIHE!A864</f>
        <v>156810</v>
      </c>
      <c r="B867" s="8" t="str">
        <f aca="false">PODACI_ZALIHE!B864</f>
        <v>BOLD S BIJELA 100 KV MINERALSOLID TUŠ KADA 1000x1000x30 mm</v>
      </c>
      <c r="C867" s="9" t="n">
        <f aca="false">PODACI_ZALIHE!C864</f>
        <v>0</v>
      </c>
      <c r="D867" s="8" t="n">
        <f aca="false">PODACI_ZALIHE!D864</f>
        <v>0</v>
      </c>
      <c r="E867" s="19" t="str">
        <f aca="false">IF(PODACI_ZALIHE!E864="","",PODACI_ZALIHE!E864)</f>
        <v/>
      </c>
      <c r="F867" s="20" t="n">
        <f aca="false">PODACI_ZALIHE!F864</f>
        <v>0</v>
      </c>
      <c r="G867" s="19" t="str">
        <f aca="false">IF(E867="","",E867-F867)</f>
        <v/>
      </c>
      <c r="H867" s="9" t="n">
        <f aca="false">PODACI_PRODAJA!N515</f>
        <v>0.5</v>
      </c>
      <c r="I867" s="21" t="n">
        <f aca="false">IF(H867&lt;=0,999,ROUND(F867/H867,1))</f>
        <v>0</v>
      </c>
      <c r="J867" s="9" t="n">
        <f aca="false">SUMIFS(ROBA_U_DOLASKU!$C$6:$C$95,ROBA_U_DOLASKU!$A$6:$A$95,A867,ROBA_U_DOLASKU!$H$6:$H$95,1)</f>
        <v>0</v>
      </c>
      <c r="K867" s="9" t="n">
        <f aca="false">SUMIFS(ROBA_U_DOLASKU!$B$6:$B$95,ROBA_U_DOLASKU!$A$6:$A$95,A867,ROBA_U_DOLASKU!$H$6:$H$95,1)</f>
        <v>0</v>
      </c>
      <c r="L867" s="9" t="n">
        <f aca="false">SUMIFS(ROBA_U_DOLASKU!$C$6:$C$95,ROBA_U_DOLASKU!$A$6:$A$95,A867,ROBA_U_DOLASKU!$H$6:$H$95,2)</f>
        <v>0</v>
      </c>
      <c r="M867" s="9" t="n">
        <f aca="false">SUMIFS(ROBA_U_DOLASKU!$B$6:$B$95,ROBA_U_DOLASKU!$A$6:$A$95,A867,ROBA_U_DOLASKU!$H$6:$H$95,2)</f>
        <v>0</v>
      </c>
      <c r="N867" s="9" t="n">
        <f aca="false">SUMIFS(ROBA_U_DOLASKU!$C$6:$C$95,ROBA_U_DOLASKU!$A$6:$A$95,A867,ROBA_U_DOLASKU!$H$6:$H$95,3)</f>
        <v>0</v>
      </c>
      <c r="O867" s="9" t="n">
        <f aca="false">SUMIFS(ROBA_U_DOLASKU!$B$6:$B$95,ROBA_U_DOLASKU!$A$6:$A$95,A867,ROBA_U_DOLASKU!$H$6:$H$95,3)</f>
        <v>0</v>
      </c>
      <c r="P867" s="9" t="n">
        <f aca="false">IF(H867&lt;=0,999,IF(O867&gt;0,ROUND((F867-H867*N867+K867+M867+O867)/H867,1),IF(M867&gt;0,ROUND((F867-H867*L867+K867+M867)/H867,1),IF(K867&gt;0,ROUND((F867-H867*J867+K867)/H867,1),I867))))</f>
        <v>0</v>
      </c>
      <c r="Q867" s="22" t="str">
        <f aca="false">IF(H867&lt;=0,"Nema prodaje",IF(AND(K867=0,M867=0,O867=0),IF(I867&lt;POSTAVKE!$B$6,"Naruči odmah","Sve u redu"),IF(F867-H867*J867&lt;0,"Rupa za ~"&amp;TEXT(I867,"0.0")&amp;" mj.",IF(AND(M867&gt;0,F867-H867*L867+K867&lt;0),"Rupa nakon 1. dolaska",IF(AND(O867&gt;0,F867-H867*N867+K867+M867&lt;0),"Rupa nakon 2. dolaska",IF(P867&lt;POSTAVKE!$B$6,"Količina nije dovoljna",IF(I867&gt;=POSTAVKE!$B$6,"Sve u redu","Stiže na vrijeme")))))))</f>
        <v>Naruči odmah</v>
      </c>
      <c r="S867" s="23" t="n">
        <f aca="false">IFERROR(INDEX(PODACI_PRODAJA!B:B,MATCH($A867,PODACI_PRODAJA!$A:$A,0)),0)</f>
        <v>0</v>
      </c>
      <c r="T867" s="23" t="n">
        <f aca="false">IFERROR(INDEX(PODACI_PRODAJA!C:C,MATCH($A867,PODACI_PRODAJA!$A:$A,0)),0)</f>
        <v>4</v>
      </c>
      <c r="U867" s="23" t="n">
        <f aca="false">IFERROR(INDEX(PODACI_PRODAJA!D:D,MATCH($A867,PODACI_PRODAJA!$A:$A,0)),0)</f>
        <v>0</v>
      </c>
      <c r="V867" s="23" t="n">
        <f aca="false">IFERROR(INDEX(PODACI_PRODAJA!E:E,MATCH($A867,PODACI_PRODAJA!$A:$A,0)),0)</f>
        <v>0</v>
      </c>
      <c r="W867" s="23" t="n">
        <f aca="false">IFERROR(INDEX(PODACI_PRODAJA!F:F,MATCH($A867,PODACI_PRODAJA!$A:$A,0)),0)</f>
        <v>0</v>
      </c>
      <c r="X867" s="23" t="n">
        <f aca="false">IFERROR(INDEX(PODACI_PRODAJA!G:G,MATCH($A867,PODACI_PRODAJA!$A:$A,0)),0)</f>
        <v>0</v>
      </c>
      <c r="Y867" s="23" t="n">
        <f aca="false">IFERROR(INDEX(PODACI_PRODAJA!H:H,MATCH($A867,PODACI_PRODAJA!$A:$A,0)),0)</f>
        <v>0</v>
      </c>
      <c r="Z867" s="23" t="n">
        <f aca="false">IFERROR(INDEX(PODACI_PRODAJA!I:I,MATCH($A867,PODACI_PRODAJA!$A:$A,0)),0)</f>
        <v>0</v>
      </c>
      <c r="AA867" s="23" t="n">
        <f aca="false">IFERROR(INDEX(PODACI_PRODAJA!J:J,MATCH($A867,PODACI_PRODAJA!$A:$A,0)),0)</f>
        <v>0</v>
      </c>
      <c r="AB867" s="23" t="n">
        <f aca="false">IFERROR(INDEX(PODACI_PRODAJA!K:K,MATCH($A867,PODACI_PRODAJA!$A:$A,0)),0)</f>
        <v>0</v>
      </c>
      <c r="AC867" s="23" t="n">
        <f aca="false">IFERROR(INDEX(PODACI_PRODAJA!L:L,MATCH($A867,PODACI_PRODAJA!$A:$A,0)),0)</f>
        <v>0</v>
      </c>
      <c r="AD867" s="23" t="n">
        <f aca="false">IFERROR(INDEX(PODACI_PRODAJA!M:M,MATCH($A867,PODACI_PRODAJA!$A:$A,0)),0)</f>
        <v>0</v>
      </c>
    </row>
    <row r="868" customFormat="false" ht="15" hidden="false" customHeight="false" outlineLevel="0" collapsed="false">
      <c r="A868" s="11" t="str">
        <f aca="false">PODACI_ZALIHE!A865</f>
        <v>156840</v>
      </c>
      <c r="B868" s="8" t="str">
        <f aca="false">PODACI_ZALIHE!B865</f>
        <v>BOLD S BIJELA 100130 MINERALSOLID TUŠ KADA 1000x1300x30 mm</v>
      </c>
      <c r="C868" s="9" t="n">
        <f aca="false">PODACI_ZALIHE!C865</f>
        <v>0</v>
      </c>
      <c r="D868" s="8" t="n">
        <f aca="false">PODACI_ZALIHE!D865</f>
        <v>0</v>
      </c>
      <c r="E868" s="19" t="str">
        <f aca="false">IF(PODACI_ZALIHE!E865="","",PODACI_ZALIHE!E865)</f>
        <v/>
      </c>
      <c r="F868" s="20" t="n">
        <f aca="false">PODACI_ZALIHE!F865</f>
        <v>0</v>
      </c>
      <c r="G868" s="19" t="str">
        <f aca="false">IF(E868="","",E868-F868)</f>
        <v/>
      </c>
      <c r="H868" s="9" t="n">
        <f aca="false">PODACI_PRODAJA!N519</f>
        <v>1.38</v>
      </c>
      <c r="I868" s="21" t="n">
        <f aca="false">IF(H868&lt;=0,999,ROUND(F868/H868,1))</f>
        <v>0</v>
      </c>
      <c r="J868" s="9" t="n">
        <f aca="false">SUMIFS(ROBA_U_DOLASKU!$C$6:$C$95,ROBA_U_DOLASKU!$A$6:$A$95,A868,ROBA_U_DOLASKU!$H$6:$H$95,1)</f>
        <v>0</v>
      </c>
      <c r="K868" s="9" t="n">
        <f aca="false">SUMIFS(ROBA_U_DOLASKU!$B$6:$B$95,ROBA_U_DOLASKU!$A$6:$A$95,A868,ROBA_U_DOLASKU!$H$6:$H$95,1)</f>
        <v>0</v>
      </c>
      <c r="L868" s="9" t="n">
        <f aca="false">SUMIFS(ROBA_U_DOLASKU!$C$6:$C$95,ROBA_U_DOLASKU!$A$6:$A$95,A868,ROBA_U_DOLASKU!$H$6:$H$95,2)</f>
        <v>0</v>
      </c>
      <c r="M868" s="9" t="n">
        <f aca="false">SUMIFS(ROBA_U_DOLASKU!$B$6:$B$95,ROBA_U_DOLASKU!$A$6:$A$95,A868,ROBA_U_DOLASKU!$H$6:$H$95,2)</f>
        <v>0</v>
      </c>
      <c r="N868" s="9" t="n">
        <f aca="false">SUMIFS(ROBA_U_DOLASKU!$C$6:$C$95,ROBA_U_DOLASKU!$A$6:$A$95,A868,ROBA_U_DOLASKU!$H$6:$H$95,3)</f>
        <v>0</v>
      </c>
      <c r="O868" s="9" t="n">
        <f aca="false">SUMIFS(ROBA_U_DOLASKU!$B$6:$B$95,ROBA_U_DOLASKU!$A$6:$A$95,A868,ROBA_U_DOLASKU!$H$6:$H$95,3)</f>
        <v>0</v>
      </c>
      <c r="P868" s="9" t="n">
        <f aca="false">IF(H868&lt;=0,999,IF(O868&gt;0,ROUND((F868-H868*N868+K868+M868+O868)/H868,1),IF(M868&gt;0,ROUND((F868-H868*L868+K868+M868)/H868,1),IF(K868&gt;0,ROUND((F868-H868*J868+K868)/H868,1),I868))))</f>
        <v>0</v>
      </c>
      <c r="Q868" s="22" t="str">
        <f aca="false">IF(H868&lt;=0,"Nema prodaje",IF(AND(K868=0,M868=0,O868=0),IF(I868&lt;POSTAVKE!$B$6,"Naruči odmah","Sve u redu"),IF(F868-H868*J868&lt;0,"Rupa za ~"&amp;TEXT(I868,"0.0")&amp;" mj.",IF(AND(M868&gt;0,F868-H868*L868+K868&lt;0),"Rupa nakon 1. dolaska",IF(AND(O868&gt;0,F868-H868*N868+K868+M868&lt;0),"Rupa nakon 2. dolaska",IF(P868&lt;POSTAVKE!$B$6,"Količina nije dovoljna",IF(I868&gt;=POSTAVKE!$B$6,"Sve u redu","Stiže na vrijeme")))))))</f>
        <v>Naruči odmah</v>
      </c>
      <c r="S868" s="23" t="n">
        <f aca="false">IFERROR(INDEX(PODACI_PRODAJA!B:B,MATCH($A868,PODACI_PRODAJA!$A:$A,0)),0)</f>
        <v>0</v>
      </c>
      <c r="T868" s="23" t="n">
        <f aca="false">IFERROR(INDEX(PODACI_PRODAJA!C:C,MATCH($A868,PODACI_PRODAJA!$A:$A,0)),0)</f>
        <v>3</v>
      </c>
      <c r="U868" s="23" t="n">
        <f aca="false">IFERROR(INDEX(PODACI_PRODAJA!D:D,MATCH($A868,PODACI_PRODAJA!$A:$A,0)),0)</f>
        <v>0</v>
      </c>
      <c r="V868" s="23" t="n">
        <f aca="false">IFERROR(INDEX(PODACI_PRODAJA!E:E,MATCH($A868,PODACI_PRODAJA!$A:$A,0)),0)</f>
        <v>0</v>
      </c>
      <c r="W868" s="23" t="n">
        <f aca="false">IFERROR(INDEX(PODACI_PRODAJA!F:F,MATCH($A868,PODACI_PRODAJA!$A:$A,0)),0)</f>
        <v>3</v>
      </c>
      <c r="X868" s="23" t="n">
        <f aca="false">IFERROR(INDEX(PODACI_PRODAJA!G:G,MATCH($A868,PODACI_PRODAJA!$A:$A,0)),0)</f>
        <v>5</v>
      </c>
      <c r="Y868" s="23" t="n">
        <f aca="false">IFERROR(INDEX(PODACI_PRODAJA!H:H,MATCH($A868,PODACI_PRODAJA!$A:$A,0)),0)</f>
        <v>0</v>
      </c>
      <c r="Z868" s="23" t="n">
        <f aca="false">IFERROR(INDEX(PODACI_PRODAJA!I:I,MATCH($A868,PODACI_PRODAJA!$A:$A,0)),0)</f>
        <v>0</v>
      </c>
      <c r="AA868" s="23" t="n">
        <f aca="false">IFERROR(INDEX(PODACI_PRODAJA!J:J,MATCH($A868,PODACI_PRODAJA!$A:$A,0)),0)</f>
        <v>0</v>
      </c>
      <c r="AB868" s="23" t="n">
        <f aca="false">IFERROR(INDEX(PODACI_PRODAJA!K:K,MATCH($A868,PODACI_PRODAJA!$A:$A,0)),0)</f>
        <v>0</v>
      </c>
      <c r="AC868" s="23" t="n">
        <f aca="false">IFERROR(INDEX(PODACI_PRODAJA!L:L,MATCH($A868,PODACI_PRODAJA!$A:$A,0)),0)</f>
        <v>0</v>
      </c>
      <c r="AD868" s="23" t="n">
        <f aca="false">IFERROR(INDEX(PODACI_PRODAJA!M:M,MATCH($A868,PODACI_PRODAJA!$A:$A,0)),0)</f>
        <v>0</v>
      </c>
    </row>
    <row r="869" customFormat="false" ht="15" hidden="false" customHeight="false" outlineLevel="0" collapsed="false">
      <c r="A869" s="11" t="str">
        <f aca="false">PODACI_ZALIHE!A866</f>
        <v>156850</v>
      </c>
      <c r="B869" s="8" t="str">
        <f aca="false">PODACI_ZALIHE!B866</f>
        <v>BOLD S BIJELA 100140 MINERALSOLID TUŠ KADA 1000x1400x30 mm</v>
      </c>
      <c r="C869" s="9" t="n">
        <f aca="false">PODACI_ZALIHE!C866</f>
        <v>0</v>
      </c>
      <c r="D869" s="8" t="n">
        <f aca="false">PODACI_ZALIHE!D866</f>
        <v>0</v>
      </c>
      <c r="E869" s="19" t="str">
        <f aca="false">IF(PODACI_ZALIHE!E866="","",PODACI_ZALIHE!E866)</f>
        <v/>
      </c>
      <c r="F869" s="20" t="n">
        <f aca="false">PODACI_ZALIHE!F866</f>
        <v>0</v>
      </c>
      <c r="G869" s="19" t="str">
        <f aca="false">IF(E869="","",E869-F869)</f>
        <v/>
      </c>
      <c r="H869" s="9" t="n">
        <f aca="false">PODACI_PRODAJA!N520</f>
        <v>1.63</v>
      </c>
      <c r="I869" s="21" t="n">
        <f aca="false">IF(H869&lt;=0,999,ROUND(F869/H869,1))</f>
        <v>0</v>
      </c>
      <c r="J869" s="9" t="n">
        <f aca="false">SUMIFS(ROBA_U_DOLASKU!$C$6:$C$95,ROBA_U_DOLASKU!$A$6:$A$95,A869,ROBA_U_DOLASKU!$H$6:$H$95,1)</f>
        <v>0</v>
      </c>
      <c r="K869" s="9" t="n">
        <f aca="false">SUMIFS(ROBA_U_DOLASKU!$B$6:$B$95,ROBA_U_DOLASKU!$A$6:$A$95,A869,ROBA_U_DOLASKU!$H$6:$H$95,1)</f>
        <v>0</v>
      </c>
      <c r="L869" s="9" t="n">
        <f aca="false">SUMIFS(ROBA_U_DOLASKU!$C$6:$C$95,ROBA_U_DOLASKU!$A$6:$A$95,A869,ROBA_U_DOLASKU!$H$6:$H$95,2)</f>
        <v>0</v>
      </c>
      <c r="M869" s="9" t="n">
        <f aca="false">SUMIFS(ROBA_U_DOLASKU!$B$6:$B$95,ROBA_U_DOLASKU!$A$6:$A$95,A869,ROBA_U_DOLASKU!$H$6:$H$95,2)</f>
        <v>0</v>
      </c>
      <c r="N869" s="9" t="n">
        <f aca="false">SUMIFS(ROBA_U_DOLASKU!$C$6:$C$95,ROBA_U_DOLASKU!$A$6:$A$95,A869,ROBA_U_DOLASKU!$H$6:$H$95,3)</f>
        <v>0</v>
      </c>
      <c r="O869" s="9" t="n">
        <f aca="false">SUMIFS(ROBA_U_DOLASKU!$B$6:$B$95,ROBA_U_DOLASKU!$A$6:$A$95,A869,ROBA_U_DOLASKU!$H$6:$H$95,3)</f>
        <v>0</v>
      </c>
      <c r="P869" s="9" t="n">
        <f aca="false">IF(H869&lt;=0,999,IF(O869&gt;0,ROUND((F869-H869*N869+K869+M869+O869)/H869,1),IF(M869&gt;0,ROUND((F869-H869*L869+K869+M869)/H869,1),IF(K869&gt;0,ROUND((F869-H869*J869+K869)/H869,1),I869))))</f>
        <v>0</v>
      </c>
      <c r="Q869" s="22" t="str">
        <f aca="false">IF(H869&lt;=0,"Nema prodaje",IF(AND(K869=0,M869=0,O869=0),IF(I869&lt;POSTAVKE!$B$6,"Naruči odmah","Sve u redu"),IF(F869-H869*J869&lt;0,"Rupa za ~"&amp;TEXT(I869,"0.0")&amp;" mj.",IF(AND(M869&gt;0,F869-H869*L869+K869&lt;0),"Rupa nakon 1. dolaska",IF(AND(O869&gt;0,F869-H869*N869+K869+M869&lt;0),"Rupa nakon 2. dolaska",IF(P869&lt;POSTAVKE!$B$6,"Količina nije dovoljna",IF(I869&gt;=POSTAVKE!$B$6,"Sve u redu","Stiže na vrijeme")))))))</f>
        <v>Naruči odmah</v>
      </c>
      <c r="S869" s="23" t="n">
        <f aca="false">IFERROR(INDEX(PODACI_PRODAJA!B:B,MATCH($A869,PODACI_PRODAJA!$A:$A,0)),0)</f>
        <v>0</v>
      </c>
      <c r="T869" s="23" t="n">
        <f aca="false">IFERROR(INDEX(PODACI_PRODAJA!C:C,MATCH($A869,PODACI_PRODAJA!$A:$A,0)),0)</f>
        <v>5</v>
      </c>
      <c r="U869" s="23" t="n">
        <f aca="false">IFERROR(INDEX(PODACI_PRODAJA!D:D,MATCH($A869,PODACI_PRODAJA!$A:$A,0)),0)</f>
        <v>0</v>
      </c>
      <c r="V869" s="23" t="n">
        <f aca="false">IFERROR(INDEX(PODACI_PRODAJA!E:E,MATCH($A869,PODACI_PRODAJA!$A:$A,0)),0)</f>
        <v>0</v>
      </c>
      <c r="W869" s="23" t="n">
        <f aca="false">IFERROR(INDEX(PODACI_PRODAJA!F:F,MATCH($A869,PODACI_PRODAJA!$A:$A,0)),0)</f>
        <v>0</v>
      </c>
      <c r="X869" s="23" t="n">
        <f aca="false">IFERROR(INDEX(PODACI_PRODAJA!G:G,MATCH($A869,PODACI_PRODAJA!$A:$A,0)),0)</f>
        <v>0</v>
      </c>
      <c r="Y869" s="23" t="n">
        <f aca="false">IFERROR(INDEX(PODACI_PRODAJA!H:H,MATCH($A869,PODACI_PRODAJA!$A:$A,0)),0)</f>
        <v>8</v>
      </c>
      <c r="Z869" s="23" t="n">
        <f aca="false">IFERROR(INDEX(PODACI_PRODAJA!I:I,MATCH($A869,PODACI_PRODAJA!$A:$A,0)),0)</f>
        <v>0</v>
      </c>
      <c r="AA869" s="23" t="n">
        <f aca="false">IFERROR(INDEX(PODACI_PRODAJA!J:J,MATCH($A869,PODACI_PRODAJA!$A:$A,0)),0)</f>
        <v>0</v>
      </c>
      <c r="AB869" s="23" t="n">
        <f aca="false">IFERROR(INDEX(PODACI_PRODAJA!K:K,MATCH($A869,PODACI_PRODAJA!$A:$A,0)),0)</f>
        <v>0</v>
      </c>
      <c r="AC869" s="23" t="n">
        <f aca="false">IFERROR(INDEX(PODACI_PRODAJA!L:L,MATCH($A869,PODACI_PRODAJA!$A:$A,0)),0)</f>
        <v>0</v>
      </c>
      <c r="AD869" s="23" t="n">
        <f aca="false">IFERROR(INDEX(PODACI_PRODAJA!M:M,MATCH($A869,PODACI_PRODAJA!$A:$A,0)),0)</f>
        <v>0</v>
      </c>
    </row>
    <row r="870" customFormat="false" ht="15" hidden="false" customHeight="false" outlineLevel="0" collapsed="false">
      <c r="A870" s="11" t="str">
        <f aca="false">PODACI_ZALIHE!A867</f>
        <v>156880</v>
      </c>
      <c r="B870" s="8" t="str">
        <f aca="false">PODACI_ZALIHE!B867</f>
        <v>BOLD S BIJELA 100170 MINERALSOLID TUŠ KADA 1000x1700x30 mm</v>
      </c>
      <c r="C870" s="9" t="n">
        <f aca="false">PODACI_ZALIHE!C867</f>
        <v>0</v>
      </c>
      <c r="D870" s="8" t="n">
        <f aca="false">PODACI_ZALIHE!D867</f>
        <v>0</v>
      </c>
      <c r="E870" s="19" t="str">
        <f aca="false">IF(PODACI_ZALIHE!E867="","",PODACI_ZALIHE!E867)</f>
        <v/>
      </c>
      <c r="F870" s="20" t="n">
        <f aca="false">PODACI_ZALIHE!F867</f>
        <v>0</v>
      </c>
      <c r="G870" s="19" t="str">
        <f aca="false">IF(E870="","",E870-F870)</f>
        <v/>
      </c>
      <c r="H870" s="9" t="n">
        <f aca="false">PODACI_PRODAJA!N524</f>
        <v>0.75</v>
      </c>
      <c r="I870" s="21" t="n">
        <f aca="false">IF(H870&lt;=0,999,ROUND(F870/H870,1))</f>
        <v>0</v>
      </c>
      <c r="J870" s="9" t="n">
        <f aca="false">SUMIFS(ROBA_U_DOLASKU!$C$6:$C$95,ROBA_U_DOLASKU!$A$6:$A$95,A870,ROBA_U_DOLASKU!$H$6:$H$95,1)</f>
        <v>0</v>
      </c>
      <c r="K870" s="9" t="n">
        <f aca="false">SUMIFS(ROBA_U_DOLASKU!$B$6:$B$95,ROBA_U_DOLASKU!$A$6:$A$95,A870,ROBA_U_DOLASKU!$H$6:$H$95,1)</f>
        <v>0</v>
      </c>
      <c r="L870" s="9" t="n">
        <f aca="false">SUMIFS(ROBA_U_DOLASKU!$C$6:$C$95,ROBA_U_DOLASKU!$A$6:$A$95,A870,ROBA_U_DOLASKU!$H$6:$H$95,2)</f>
        <v>0</v>
      </c>
      <c r="M870" s="9" t="n">
        <f aca="false">SUMIFS(ROBA_U_DOLASKU!$B$6:$B$95,ROBA_U_DOLASKU!$A$6:$A$95,A870,ROBA_U_DOLASKU!$H$6:$H$95,2)</f>
        <v>0</v>
      </c>
      <c r="N870" s="9" t="n">
        <f aca="false">SUMIFS(ROBA_U_DOLASKU!$C$6:$C$95,ROBA_U_DOLASKU!$A$6:$A$95,A870,ROBA_U_DOLASKU!$H$6:$H$95,3)</f>
        <v>0</v>
      </c>
      <c r="O870" s="9" t="n">
        <f aca="false">SUMIFS(ROBA_U_DOLASKU!$B$6:$B$95,ROBA_U_DOLASKU!$A$6:$A$95,A870,ROBA_U_DOLASKU!$H$6:$H$95,3)</f>
        <v>0</v>
      </c>
      <c r="P870" s="9" t="n">
        <f aca="false">IF(H870&lt;=0,999,IF(O870&gt;0,ROUND((F870-H870*N870+K870+M870+O870)/H870,1),IF(M870&gt;0,ROUND((F870-H870*L870+K870+M870)/H870,1),IF(K870&gt;0,ROUND((F870-H870*J870+K870)/H870,1),I870))))</f>
        <v>0</v>
      </c>
      <c r="Q870" s="22" t="str">
        <f aca="false">IF(H870&lt;=0,"Nema prodaje",IF(AND(K870=0,M870=0,O870=0),IF(I870&lt;POSTAVKE!$B$6,"Naruči odmah","Sve u redu"),IF(F870-H870*J870&lt;0,"Rupa za ~"&amp;TEXT(I870,"0.0")&amp;" mj.",IF(AND(M870&gt;0,F870-H870*L870+K870&lt;0),"Rupa nakon 1. dolaska",IF(AND(O870&gt;0,F870-H870*N870+K870+M870&lt;0),"Rupa nakon 2. dolaska",IF(P870&lt;POSTAVKE!$B$6,"Količina nije dovoljna",IF(I870&gt;=POSTAVKE!$B$6,"Sve u redu","Stiže na vrijeme")))))))</f>
        <v>Naruči odmah</v>
      </c>
      <c r="S870" s="23" t="n">
        <f aca="false">IFERROR(INDEX(PODACI_PRODAJA!B:B,MATCH($A870,PODACI_PRODAJA!$A:$A,0)),0)</f>
        <v>0</v>
      </c>
      <c r="T870" s="23" t="n">
        <f aca="false">IFERROR(INDEX(PODACI_PRODAJA!C:C,MATCH($A870,PODACI_PRODAJA!$A:$A,0)),0)</f>
        <v>0</v>
      </c>
      <c r="U870" s="23" t="n">
        <f aca="false">IFERROR(INDEX(PODACI_PRODAJA!D:D,MATCH($A870,PODACI_PRODAJA!$A:$A,0)),0)</f>
        <v>4</v>
      </c>
      <c r="V870" s="23" t="n">
        <f aca="false">IFERROR(INDEX(PODACI_PRODAJA!E:E,MATCH($A870,PODACI_PRODAJA!$A:$A,0)),0)</f>
        <v>0</v>
      </c>
      <c r="W870" s="23" t="n">
        <f aca="false">IFERROR(INDEX(PODACI_PRODAJA!F:F,MATCH($A870,PODACI_PRODAJA!$A:$A,0)),0)</f>
        <v>0</v>
      </c>
      <c r="X870" s="23" t="n">
        <f aca="false">IFERROR(INDEX(PODACI_PRODAJA!G:G,MATCH($A870,PODACI_PRODAJA!$A:$A,0)),0)</f>
        <v>2</v>
      </c>
      <c r="Y870" s="23" t="n">
        <f aca="false">IFERROR(INDEX(PODACI_PRODAJA!H:H,MATCH($A870,PODACI_PRODAJA!$A:$A,0)),0)</f>
        <v>0</v>
      </c>
      <c r="Z870" s="23" t="n">
        <f aca="false">IFERROR(INDEX(PODACI_PRODAJA!I:I,MATCH($A870,PODACI_PRODAJA!$A:$A,0)),0)</f>
        <v>0</v>
      </c>
      <c r="AA870" s="23" t="n">
        <f aca="false">IFERROR(INDEX(PODACI_PRODAJA!J:J,MATCH($A870,PODACI_PRODAJA!$A:$A,0)),0)</f>
        <v>0</v>
      </c>
      <c r="AB870" s="23" t="n">
        <f aca="false">IFERROR(INDEX(PODACI_PRODAJA!K:K,MATCH($A870,PODACI_PRODAJA!$A:$A,0)),0)</f>
        <v>0</v>
      </c>
      <c r="AC870" s="23" t="n">
        <f aca="false">IFERROR(INDEX(PODACI_PRODAJA!L:L,MATCH($A870,PODACI_PRODAJA!$A:$A,0)),0)</f>
        <v>0</v>
      </c>
      <c r="AD870" s="23" t="n">
        <f aca="false">IFERROR(INDEX(PODACI_PRODAJA!M:M,MATCH($A870,PODACI_PRODAJA!$A:$A,0)),0)</f>
        <v>0</v>
      </c>
    </row>
    <row r="871" customFormat="false" ht="15" hidden="false" customHeight="false" outlineLevel="0" collapsed="false">
      <c r="A871" s="11" t="str">
        <f aca="false">PODACI_ZALIHE!A868</f>
        <v>156890</v>
      </c>
      <c r="B871" s="8" t="str">
        <f aca="false">PODACI_ZALIHE!B868</f>
        <v>BOLD S BIJELA 100180 MINERALSOLID TUŠ KADA 1000x1800x30 mm</v>
      </c>
      <c r="C871" s="9" t="n">
        <f aca="false">PODACI_ZALIHE!C868</f>
        <v>0</v>
      </c>
      <c r="D871" s="8" t="n">
        <f aca="false">PODACI_ZALIHE!D868</f>
        <v>0</v>
      </c>
      <c r="E871" s="19" t="str">
        <f aca="false">IF(PODACI_ZALIHE!E868="","",PODACI_ZALIHE!E868)</f>
        <v/>
      </c>
      <c r="F871" s="20" t="n">
        <f aca="false">PODACI_ZALIHE!F868</f>
        <v>0</v>
      </c>
      <c r="G871" s="19" t="str">
        <f aca="false">IF(E871="","",E871-F871)</f>
        <v/>
      </c>
      <c r="H871" s="9" t="n">
        <f aca="false">PODACI_PRODAJA!N525</f>
        <v>1</v>
      </c>
      <c r="I871" s="21" t="n">
        <f aca="false">IF(H871&lt;=0,999,ROUND(F871/H871,1))</f>
        <v>0</v>
      </c>
      <c r="J871" s="9" t="n">
        <f aca="false">SUMIFS(ROBA_U_DOLASKU!$C$6:$C$95,ROBA_U_DOLASKU!$A$6:$A$95,A871,ROBA_U_DOLASKU!$H$6:$H$95,1)</f>
        <v>0</v>
      </c>
      <c r="K871" s="9" t="n">
        <f aca="false">SUMIFS(ROBA_U_DOLASKU!$B$6:$B$95,ROBA_U_DOLASKU!$A$6:$A$95,A871,ROBA_U_DOLASKU!$H$6:$H$95,1)</f>
        <v>0</v>
      </c>
      <c r="L871" s="9" t="n">
        <f aca="false">SUMIFS(ROBA_U_DOLASKU!$C$6:$C$95,ROBA_U_DOLASKU!$A$6:$A$95,A871,ROBA_U_DOLASKU!$H$6:$H$95,2)</f>
        <v>0</v>
      </c>
      <c r="M871" s="9" t="n">
        <f aca="false">SUMIFS(ROBA_U_DOLASKU!$B$6:$B$95,ROBA_U_DOLASKU!$A$6:$A$95,A871,ROBA_U_DOLASKU!$H$6:$H$95,2)</f>
        <v>0</v>
      </c>
      <c r="N871" s="9" t="n">
        <f aca="false">SUMIFS(ROBA_U_DOLASKU!$C$6:$C$95,ROBA_U_DOLASKU!$A$6:$A$95,A871,ROBA_U_DOLASKU!$H$6:$H$95,3)</f>
        <v>0</v>
      </c>
      <c r="O871" s="9" t="n">
        <f aca="false">SUMIFS(ROBA_U_DOLASKU!$B$6:$B$95,ROBA_U_DOLASKU!$A$6:$A$95,A871,ROBA_U_DOLASKU!$H$6:$H$95,3)</f>
        <v>0</v>
      </c>
      <c r="P871" s="9" t="n">
        <f aca="false">IF(H871&lt;=0,999,IF(O871&gt;0,ROUND((F871-H871*N871+K871+M871+O871)/H871,1),IF(M871&gt;0,ROUND((F871-H871*L871+K871+M871)/H871,1),IF(K871&gt;0,ROUND((F871-H871*J871+K871)/H871,1),I871))))</f>
        <v>0</v>
      </c>
      <c r="Q871" s="22" t="str">
        <f aca="false">IF(H871&lt;=0,"Nema prodaje",IF(AND(K871=0,M871=0,O871=0),IF(I871&lt;POSTAVKE!$B$6,"Naruči odmah","Sve u redu"),IF(F871-H871*J871&lt;0,"Rupa za ~"&amp;TEXT(I871,"0.0")&amp;" mj.",IF(AND(M871&gt;0,F871-H871*L871+K871&lt;0),"Rupa nakon 1. dolaska",IF(AND(O871&gt;0,F871-H871*N871+K871+M871&lt;0),"Rupa nakon 2. dolaska",IF(P871&lt;POSTAVKE!$B$6,"Količina nije dovoljna",IF(I871&gt;=POSTAVKE!$B$6,"Sve u redu","Stiže na vrijeme")))))))</f>
        <v>Naruči odmah</v>
      </c>
      <c r="S871" s="23" t="n">
        <f aca="false">IFERROR(INDEX(PODACI_PRODAJA!B:B,MATCH($A871,PODACI_PRODAJA!$A:$A,0)),0)</f>
        <v>0</v>
      </c>
      <c r="T871" s="23" t="n">
        <f aca="false">IFERROR(INDEX(PODACI_PRODAJA!C:C,MATCH($A871,PODACI_PRODAJA!$A:$A,0)),0)</f>
        <v>0</v>
      </c>
      <c r="U871" s="23" t="n">
        <f aca="false">IFERROR(INDEX(PODACI_PRODAJA!D:D,MATCH($A871,PODACI_PRODAJA!$A:$A,0)),0)</f>
        <v>3</v>
      </c>
      <c r="V871" s="23" t="n">
        <f aca="false">IFERROR(INDEX(PODACI_PRODAJA!E:E,MATCH($A871,PODACI_PRODAJA!$A:$A,0)),0)</f>
        <v>0</v>
      </c>
      <c r="W871" s="23" t="n">
        <f aca="false">IFERROR(INDEX(PODACI_PRODAJA!F:F,MATCH($A871,PODACI_PRODAJA!$A:$A,0)),0)</f>
        <v>5</v>
      </c>
      <c r="X871" s="23" t="n">
        <f aca="false">IFERROR(INDEX(PODACI_PRODAJA!G:G,MATCH($A871,PODACI_PRODAJA!$A:$A,0)),0)</f>
        <v>0</v>
      </c>
      <c r="Y871" s="23" t="n">
        <f aca="false">IFERROR(INDEX(PODACI_PRODAJA!H:H,MATCH($A871,PODACI_PRODAJA!$A:$A,0)),0)</f>
        <v>0</v>
      </c>
      <c r="Z871" s="23" t="n">
        <f aca="false">IFERROR(INDEX(PODACI_PRODAJA!I:I,MATCH($A871,PODACI_PRODAJA!$A:$A,0)),0)</f>
        <v>0</v>
      </c>
      <c r="AA871" s="23" t="n">
        <f aca="false">IFERROR(INDEX(PODACI_PRODAJA!J:J,MATCH($A871,PODACI_PRODAJA!$A:$A,0)),0)</f>
        <v>0</v>
      </c>
      <c r="AB871" s="23" t="n">
        <f aca="false">IFERROR(INDEX(PODACI_PRODAJA!K:K,MATCH($A871,PODACI_PRODAJA!$A:$A,0)),0)</f>
        <v>0</v>
      </c>
      <c r="AC871" s="23" t="n">
        <f aca="false">IFERROR(INDEX(PODACI_PRODAJA!L:L,MATCH($A871,PODACI_PRODAJA!$A:$A,0)),0)</f>
        <v>0</v>
      </c>
      <c r="AD871" s="23" t="n">
        <f aca="false">IFERROR(INDEX(PODACI_PRODAJA!M:M,MATCH($A871,PODACI_PRODAJA!$A:$A,0)),0)</f>
        <v>0</v>
      </c>
    </row>
    <row r="872" customFormat="false" ht="15" hidden="false" customHeight="false" outlineLevel="0" collapsed="false">
      <c r="A872" s="11" t="str">
        <f aca="false">PODACI_ZALIHE!A869</f>
        <v>15813</v>
      </c>
      <c r="B872" s="8" t="str">
        <f aca="false">PODACI_ZALIHE!B869</f>
        <v>BOLD LUX 80100 MINERALSOLID TUŠ KADA BIJELA SJAJNA</v>
      </c>
      <c r="C872" s="9" t="n">
        <f aca="false">PODACI_ZALIHE!C869</f>
        <v>0</v>
      </c>
      <c r="D872" s="8" t="n">
        <f aca="false">PODACI_ZALIHE!D869</f>
        <v>0</v>
      </c>
      <c r="E872" s="19" t="str">
        <f aca="false">IF(PODACI_ZALIHE!E869="","",PODACI_ZALIHE!E869)</f>
        <v/>
      </c>
      <c r="F872" s="20" t="n">
        <f aca="false">PODACI_ZALIHE!F869</f>
        <v>0</v>
      </c>
      <c r="G872" s="19" t="str">
        <f aca="false">IF(E872="","",E872-F872)</f>
        <v/>
      </c>
      <c r="H872" s="9" t="n">
        <f aca="false">PODACI_PRODAJA!N534</f>
        <v>1</v>
      </c>
      <c r="I872" s="21" t="n">
        <f aca="false">IF(H872&lt;=0,999,ROUND(F872/H872,1))</f>
        <v>0</v>
      </c>
      <c r="J872" s="9" t="n">
        <f aca="false">SUMIFS(ROBA_U_DOLASKU!$C$6:$C$95,ROBA_U_DOLASKU!$A$6:$A$95,A872,ROBA_U_DOLASKU!$H$6:$H$95,1)</f>
        <v>0</v>
      </c>
      <c r="K872" s="9" t="n">
        <f aca="false">SUMIFS(ROBA_U_DOLASKU!$B$6:$B$95,ROBA_U_DOLASKU!$A$6:$A$95,A872,ROBA_U_DOLASKU!$H$6:$H$95,1)</f>
        <v>0</v>
      </c>
      <c r="L872" s="9" t="n">
        <f aca="false">SUMIFS(ROBA_U_DOLASKU!$C$6:$C$95,ROBA_U_DOLASKU!$A$6:$A$95,A872,ROBA_U_DOLASKU!$H$6:$H$95,2)</f>
        <v>0</v>
      </c>
      <c r="M872" s="9" t="n">
        <f aca="false">SUMIFS(ROBA_U_DOLASKU!$B$6:$B$95,ROBA_U_DOLASKU!$A$6:$A$95,A872,ROBA_U_DOLASKU!$H$6:$H$95,2)</f>
        <v>0</v>
      </c>
      <c r="N872" s="9" t="n">
        <f aca="false">SUMIFS(ROBA_U_DOLASKU!$C$6:$C$95,ROBA_U_DOLASKU!$A$6:$A$95,A872,ROBA_U_DOLASKU!$H$6:$H$95,3)</f>
        <v>0</v>
      </c>
      <c r="O872" s="9" t="n">
        <f aca="false">SUMIFS(ROBA_U_DOLASKU!$B$6:$B$95,ROBA_U_DOLASKU!$A$6:$A$95,A872,ROBA_U_DOLASKU!$H$6:$H$95,3)</f>
        <v>0</v>
      </c>
      <c r="P872" s="9" t="n">
        <f aca="false">IF(H872&lt;=0,999,IF(O872&gt;0,ROUND((F872-H872*N872+K872+M872+O872)/H872,1),IF(M872&gt;0,ROUND((F872-H872*L872+K872+M872)/H872,1),IF(K872&gt;0,ROUND((F872-H872*J872+K872)/H872,1),I872))))</f>
        <v>0</v>
      </c>
      <c r="Q872" s="22" t="str">
        <f aca="false">IF(H872&lt;=0,"Nema prodaje",IF(AND(K872=0,M872=0,O872=0),IF(I872&lt;POSTAVKE!$B$6,"Naruči odmah","Sve u redu"),IF(F872-H872*J872&lt;0,"Rupa za ~"&amp;TEXT(I872,"0.0")&amp;" mj.",IF(AND(M872&gt;0,F872-H872*L872+K872&lt;0),"Rupa nakon 1. dolaska",IF(AND(O872&gt;0,F872-H872*N872+K872+M872&lt;0),"Rupa nakon 2. dolaska",IF(P872&lt;POSTAVKE!$B$6,"Količina nije dovoljna",IF(I872&gt;=POSTAVKE!$B$6,"Sve u redu","Stiže na vrijeme")))))))</f>
        <v>Naruči odmah</v>
      </c>
      <c r="S872" s="23" t="n">
        <f aca="false">IFERROR(INDEX(PODACI_PRODAJA!B:B,MATCH($A872,PODACI_PRODAJA!$A:$A,0)),0)</f>
        <v>0</v>
      </c>
      <c r="T872" s="23" t="n">
        <f aca="false">IFERROR(INDEX(PODACI_PRODAJA!C:C,MATCH($A872,PODACI_PRODAJA!$A:$A,0)),0)</f>
        <v>0</v>
      </c>
      <c r="U872" s="23" t="n">
        <f aca="false">IFERROR(INDEX(PODACI_PRODAJA!D:D,MATCH($A872,PODACI_PRODAJA!$A:$A,0)),0)</f>
        <v>2</v>
      </c>
      <c r="V872" s="23" t="n">
        <f aca="false">IFERROR(INDEX(PODACI_PRODAJA!E:E,MATCH($A872,PODACI_PRODAJA!$A:$A,0)),0)</f>
        <v>6</v>
      </c>
      <c r="W872" s="23" t="n">
        <f aca="false">IFERROR(INDEX(PODACI_PRODAJA!F:F,MATCH($A872,PODACI_PRODAJA!$A:$A,0)),0)</f>
        <v>0</v>
      </c>
      <c r="X872" s="23" t="n">
        <f aca="false">IFERROR(INDEX(PODACI_PRODAJA!G:G,MATCH($A872,PODACI_PRODAJA!$A:$A,0)),0)</f>
        <v>0</v>
      </c>
      <c r="Y872" s="23" t="n">
        <f aca="false">IFERROR(INDEX(PODACI_PRODAJA!H:H,MATCH($A872,PODACI_PRODAJA!$A:$A,0)),0)</f>
        <v>0</v>
      </c>
      <c r="Z872" s="23" t="n">
        <f aca="false">IFERROR(INDEX(PODACI_PRODAJA!I:I,MATCH($A872,PODACI_PRODAJA!$A:$A,0)),0)</f>
        <v>0</v>
      </c>
      <c r="AA872" s="23" t="n">
        <f aca="false">IFERROR(INDEX(PODACI_PRODAJA!J:J,MATCH($A872,PODACI_PRODAJA!$A:$A,0)),0)</f>
        <v>0</v>
      </c>
      <c r="AB872" s="23" t="n">
        <f aca="false">IFERROR(INDEX(PODACI_PRODAJA!K:K,MATCH($A872,PODACI_PRODAJA!$A:$A,0)),0)</f>
        <v>0</v>
      </c>
      <c r="AC872" s="23" t="n">
        <f aca="false">IFERROR(INDEX(PODACI_PRODAJA!L:L,MATCH($A872,PODACI_PRODAJA!$A:$A,0)),0)</f>
        <v>0</v>
      </c>
      <c r="AD872" s="23" t="n">
        <f aca="false">IFERROR(INDEX(PODACI_PRODAJA!M:M,MATCH($A872,PODACI_PRODAJA!$A:$A,0)),0)</f>
        <v>0</v>
      </c>
    </row>
    <row r="873" customFormat="false" ht="15" hidden="false" customHeight="false" outlineLevel="0" collapsed="false">
      <c r="A873" s="11" t="str">
        <f aca="false">PODACI_ZALIHE!A870</f>
        <v>15815</v>
      </c>
      <c r="B873" s="8" t="str">
        <f aca="false">PODACI_ZALIHE!B870</f>
        <v>BOLD LUX 90 KV MINERALSOLID TUŠ KADA BIJELA SJAJNA</v>
      </c>
      <c r="C873" s="9" t="n">
        <f aca="false">PODACI_ZALIHE!C870</f>
        <v>0</v>
      </c>
      <c r="D873" s="8" t="n">
        <f aca="false">PODACI_ZALIHE!D870</f>
        <v>0</v>
      </c>
      <c r="E873" s="19" t="str">
        <f aca="false">IF(PODACI_ZALIHE!E870="","",PODACI_ZALIHE!E870)</f>
        <v/>
      </c>
      <c r="F873" s="20" t="n">
        <f aca="false">PODACI_ZALIHE!F870</f>
        <v>0</v>
      </c>
      <c r="G873" s="19" t="str">
        <f aca="false">IF(E873="","",E873-F873)</f>
        <v/>
      </c>
      <c r="H873" s="9" t="n">
        <f aca="false">PODACI_PRODAJA!N535</f>
        <v>4</v>
      </c>
      <c r="I873" s="21" t="n">
        <f aca="false">IF(H873&lt;=0,999,ROUND(F873/H873,1))</f>
        <v>0</v>
      </c>
      <c r="J873" s="9" t="n">
        <f aca="false">SUMIFS(ROBA_U_DOLASKU!$C$6:$C$95,ROBA_U_DOLASKU!$A$6:$A$95,A873,ROBA_U_DOLASKU!$H$6:$H$95,1)</f>
        <v>0</v>
      </c>
      <c r="K873" s="9" t="n">
        <f aca="false">SUMIFS(ROBA_U_DOLASKU!$B$6:$B$95,ROBA_U_DOLASKU!$A$6:$A$95,A873,ROBA_U_DOLASKU!$H$6:$H$95,1)</f>
        <v>0</v>
      </c>
      <c r="L873" s="9" t="n">
        <f aca="false">SUMIFS(ROBA_U_DOLASKU!$C$6:$C$95,ROBA_U_DOLASKU!$A$6:$A$95,A873,ROBA_U_DOLASKU!$H$6:$H$95,2)</f>
        <v>0</v>
      </c>
      <c r="M873" s="9" t="n">
        <f aca="false">SUMIFS(ROBA_U_DOLASKU!$B$6:$B$95,ROBA_U_DOLASKU!$A$6:$A$95,A873,ROBA_U_DOLASKU!$H$6:$H$95,2)</f>
        <v>0</v>
      </c>
      <c r="N873" s="9" t="n">
        <f aca="false">SUMIFS(ROBA_U_DOLASKU!$C$6:$C$95,ROBA_U_DOLASKU!$A$6:$A$95,A873,ROBA_U_DOLASKU!$H$6:$H$95,3)</f>
        <v>0</v>
      </c>
      <c r="O873" s="9" t="n">
        <f aca="false">SUMIFS(ROBA_U_DOLASKU!$B$6:$B$95,ROBA_U_DOLASKU!$A$6:$A$95,A873,ROBA_U_DOLASKU!$H$6:$H$95,3)</f>
        <v>0</v>
      </c>
      <c r="P873" s="9" t="n">
        <f aca="false">IF(H873&lt;=0,999,IF(O873&gt;0,ROUND((F873-H873*N873+K873+M873+O873)/H873,1),IF(M873&gt;0,ROUND((F873-H873*L873+K873+M873)/H873,1),IF(K873&gt;0,ROUND((F873-H873*J873+K873)/H873,1),I873))))</f>
        <v>0</v>
      </c>
      <c r="Q873" s="22" t="str">
        <f aca="false">IF(H873&lt;=0,"Nema prodaje",IF(AND(K873=0,M873=0,O873=0),IF(I873&lt;POSTAVKE!$B$6,"Naruči odmah","Sve u redu"),IF(F873-H873*J873&lt;0,"Rupa za ~"&amp;TEXT(I873,"0.0")&amp;" mj.",IF(AND(M873&gt;0,F873-H873*L873+K873&lt;0),"Rupa nakon 1. dolaska",IF(AND(O873&gt;0,F873-H873*N873+K873+M873&lt;0),"Rupa nakon 2. dolaska",IF(P873&lt;POSTAVKE!$B$6,"Količina nije dovoljna",IF(I873&gt;=POSTAVKE!$B$6,"Sve u redu","Stiže na vrijeme")))))))</f>
        <v>Naruči odmah</v>
      </c>
      <c r="S873" s="23" t="n">
        <f aca="false">IFERROR(INDEX(PODACI_PRODAJA!B:B,MATCH($A873,PODACI_PRODAJA!$A:$A,0)),0)</f>
        <v>0</v>
      </c>
      <c r="T873" s="23" t="n">
        <f aca="false">IFERROR(INDEX(PODACI_PRODAJA!C:C,MATCH($A873,PODACI_PRODAJA!$A:$A,0)),0)</f>
        <v>9</v>
      </c>
      <c r="U873" s="23" t="n">
        <f aca="false">IFERROR(INDEX(PODACI_PRODAJA!D:D,MATCH($A873,PODACI_PRODAJA!$A:$A,0)),0)</f>
        <v>9</v>
      </c>
      <c r="V873" s="23" t="n">
        <f aca="false">IFERROR(INDEX(PODACI_PRODAJA!E:E,MATCH($A873,PODACI_PRODAJA!$A:$A,0)),0)</f>
        <v>14</v>
      </c>
      <c r="W873" s="23" t="n">
        <f aca="false">IFERROR(INDEX(PODACI_PRODAJA!F:F,MATCH($A873,PODACI_PRODAJA!$A:$A,0)),0)</f>
        <v>0</v>
      </c>
      <c r="X873" s="23" t="n">
        <f aca="false">IFERROR(INDEX(PODACI_PRODAJA!G:G,MATCH($A873,PODACI_PRODAJA!$A:$A,0)),0)</f>
        <v>0</v>
      </c>
      <c r="Y873" s="23" t="n">
        <f aca="false">IFERROR(INDEX(PODACI_PRODAJA!H:H,MATCH($A873,PODACI_PRODAJA!$A:$A,0)),0)</f>
        <v>0</v>
      </c>
      <c r="Z873" s="23" t="n">
        <f aca="false">IFERROR(INDEX(PODACI_PRODAJA!I:I,MATCH($A873,PODACI_PRODAJA!$A:$A,0)),0)</f>
        <v>0</v>
      </c>
      <c r="AA873" s="23" t="n">
        <f aca="false">IFERROR(INDEX(PODACI_PRODAJA!J:J,MATCH($A873,PODACI_PRODAJA!$A:$A,0)),0)</f>
        <v>0</v>
      </c>
      <c r="AB873" s="23" t="n">
        <f aca="false">IFERROR(INDEX(PODACI_PRODAJA!K:K,MATCH($A873,PODACI_PRODAJA!$A:$A,0)),0)</f>
        <v>0</v>
      </c>
      <c r="AC873" s="23" t="n">
        <f aca="false">IFERROR(INDEX(PODACI_PRODAJA!L:L,MATCH($A873,PODACI_PRODAJA!$A:$A,0)),0)</f>
        <v>0</v>
      </c>
      <c r="AD873" s="23" t="n">
        <f aca="false">IFERROR(INDEX(PODACI_PRODAJA!M:M,MATCH($A873,PODACI_PRODAJA!$A:$A,0)),0)</f>
        <v>0</v>
      </c>
    </row>
    <row r="874" customFormat="false" ht="15" hidden="false" customHeight="false" outlineLevel="0" collapsed="false">
      <c r="A874" s="11" t="str">
        <f aca="false">PODACI_ZALIHE!A871</f>
        <v>15817</v>
      </c>
      <c r="B874" s="8" t="str">
        <f aca="false">PODACI_ZALIHE!B871</f>
        <v>BOLD LUX 90120 MINERALSOLID TUŠ KADA BIJELA SJAJNA</v>
      </c>
      <c r="C874" s="9" t="n">
        <f aca="false">PODACI_ZALIHE!C871</f>
        <v>0</v>
      </c>
      <c r="D874" s="8" t="n">
        <f aca="false">PODACI_ZALIHE!D871</f>
        <v>0</v>
      </c>
      <c r="E874" s="19" t="str">
        <f aca="false">IF(PODACI_ZALIHE!E871="","",PODACI_ZALIHE!E871)</f>
        <v/>
      </c>
      <c r="F874" s="20" t="n">
        <f aca="false">PODACI_ZALIHE!F871</f>
        <v>0</v>
      </c>
      <c r="G874" s="19" t="str">
        <f aca="false">IF(E874="","",E874-F874)</f>
        <v/>
      </c>
      <c r="H874" s="9" t="n">
        <f aca="false">PODACI_PRODAJA!N536</f>
        <v>0.75</v>
      </c>
      <c r="I874" s="21" t="n">
        <f aca="false">IF(H874&lt;=0,999,ROUND(F874/H874,1))</f>
        <v>0</v>
      </c>
      <c r="J874" s="9" t="n">
        <f aca="false">SUMIFS(ROBA_U_DOLASKU!$C$6:$C$95,ROBA_U_DOLASKU!$A$6:$A$95,A874,ROBA_U_DOLASKU!$H$6:$H$95,1)</f>
        <v>0</v>
      </c>
      <c r="K874" s="9" t="n">
        <f aca="false">SUMIFS(ROBA_U_DOLASKU!$B$6:$B$95,ROBA_U_DOLASKU!$A$6:$A$95,A874,ROBA_U_DOLASKU!$H$6:$H$95,1)</f>
        <v>0</v>
      </c>
      <c r="L874" s="9" t="n">
        <f aca="false">SUMIFS(ROBA_U_DOLASKU!$C$6:$C$95,ROBA_U_DOLASKU!$A$6:$A$95,A874,ROBA_U_DOLASKU!$H$6:$H$95,2)</f>
        <v>0</v>
      </c>
      <c r="M874" s="9" t="n">
        <f aca="false">SUMIFS(ROBA_U_DOLASKU!$B$6:$B$95,ROBA_U_DOLASKU!$A$6:$A$95,A874,ROBA_U_DOLASKU!$H$6:$H$95,2)</f>
        <v>0</v>
      </c>
      <c r="N874" s="9" t="n">
        <f aca="false">SUMIFS(ROBA_U_DOLASKU!$C$6:$C$95,ROBA_U_DOLASKU!$A$6:$A$95,A874,ROBA_U_DOLASKU!$H$6:$H$95,3)</f>
        <v>0</v>
      </c>
      <c r="O874" s="9" t="n">
        <f aca="false">SUMIFS(ROBA_U_DOLASKU!$B$6:$B$95,ROBA_U_DOLASKU!$A$6:$A$95,A874,ROBA_U_DOLASKU!$H$6:$H$95,3)</f>
        <v>0</v>
      </c>
      <c r="P874" s="9" t="n">
        <f aca="false">IF(H874&lt;=0,999,IF(O874&gt;0,ROUND((F874-H874*N874+K874+M874+O874)/H874,1),IF(M874&gt;0,ROUND((F874-H874*L874+K874+M874)/H874,1),IF(K874&gt;0,ROUND((F874-H874*J874+K874)/H874,1),I874))))</f>
        <v>0</v>
      </c>
      <c r="Q874" s="22" t="str">
        <f aca="false">IF(H874&lt;=0,"Nema prodaje",IF(AND(K874=0,M874=0,O874=0),IF(I874&lt;POSTAVKE!$B$6,"Naruči odmah","Sve u redu"),IF(F874-H874*J874&lt;0,"Rupa za ~"&amp;TEXT(I874,"0.0")&amp;" mj.",IF(AND(M874&gt;0,F874-H874*L874+K874&lt;0),"Rupa nakon 1. dolaska",IF(AND(O874&gt;0,F874-H874*N874+K874+M874&lt;0),"Rupa nakon 2. dolaska",IF(P874&lt;POSTAVKE!$B$6,"Količina nije dovoljna",IF(I874&gt;=POSTAVKE!$B$6,"Sve u redu","Stiže na vrijeme")))))))</f>
        <v>Naruči odmah</v>
      </c>
      <c r="S874" s="23" t="n">
        <f aca="false">IFERROR(INDEX(PODACI_PRODAJA!B:B,MATCH($A874,PODACI_PRODAJA!$A:$A,0)),0)</f>
        <v>0</v>
      </c>
      <c r="T874" s="23" t="n">
        <f aca="false">IFERROR(INDEX(PODACI_PRODAJA!C:C,MATCH($A874,PODACI_PRODAJA!$A:$A,0)),0)</f>
        <v>0</v>
      </c>
      <c r="U874" s="23" t="n">
        <f aca="false">IFERROR(INDEX(PODACI_PRODAJA!D:D,MATCH($A874,PODACI_PRODAJA!$A:$A,0)),0)</f>
        <v>2</v>
      </c>
      <c r="V874" s="23" t="n">
        <f aca="false">IFERROR(INDEX(PODACI_PRODAJA!E:E,MATCH($A874,PODACI_PRODAJA!$A:$A,0)),0)</f>
        <v>2</v>
      </c>
      <c r="W874" s="23" t="n">
        <f aca="false">IFERROR(INDEX(PODACI_PRODAJA!F:F,MATCH($A874,PODACI_PRODAJA!$A:$A,0)),0)</f>
        <v>0</v>
      </c>
      <c r="X874" s="23" t="n">
        <f aca="false">IFERROR(INDEX(PODACI_PRODAJA!G:G,MATCH($A874,PODACI_PRODAJA!$A:$A,0)),0)</f>
        <v>2</v>
      </c>
      <c r="Y874" s="23" t="n">
        <f aca="false">IFERROR(INDEX(PODACI_PRODAJA!H:H,MATCH($A874,PODACI_PRODAJA!$A:$A,0)),0)</f>
        <v>0</v>
      </c>
      <c r="Z874" s="23" t="n">
        <f aca="false">IFERROR(INDEX(PODACI_PRODAJA!I:I,MATCH($A874,PODACI_PRODAJA!$A:$A,0)),0)</f>
        <v>0</v>
      </c>
      <c r="AA874" s="23" t="n">
        <f aca="false">IFERROR(INDEX(PODACI_PRODAJA!J:J,MATCH($A874,PODACI_PRODAJA!$A:$A,0)),0)</f>
        <v>0</v>
      </c>
      <c r="AB874" s="23" t="n">
        <f aca="false">IFERROR(INDEX(PODACI_PRODAJA!K:K,MATCH($A874,PODACI_PRODAJA!$A:$A,0)),0)</f>
        <v>0</v>
      </c>
      <c r="AC874" s="23" t="n">
        <f aca="false">IFERROR(INDEX(PODACI_PRODAJA!L:L,MATCH($A874,PODACI_PRODAJA!$A:$A,0)),0)</f>
        <v>0</v>
      </c>
      <c r="AD874" s="23" t="n">
        <f aca="false">IFERROR(INDEX(PODACI_PRODAJA!M:M,MATCH($A874,PODACI_PRODAJA!$A:$A,0)),0)</f>
        <v>0</v>
      </c>
    </row>
    <row r="875" customFormat="false" ht="15" hidden="false" customHeight="false" outlineLevel="0" collapsed="false">
      <c r="A875" s="11" t="str">
        <f aca="false">PODACI_ZALIHE!A872</f>
        <v>15823</v>
      </c>
      <c r="B875" s="8" t="str">
        <f aca="false">PODACI_ZALIHE!B872</f>
        <v>BOLD LUX 90 PK MINERALSOLID TUŠ KADA BIJELA SJAJNA</v>
      </c>
      <c r="C875" s="9" t="n">
        <f aca="false">PODACI_ZALIHE!C872</f>
        <v>0</v>
      </c>
      <c r="D875" s="8" t="n">
        <f aca="false">PODACI_ZALIHE!D872</f>
        <v>0</v>
      </c>
      <c r="E875" s="19" t="str">
        <f aca="false">IF(PODACI_ZALIHE!E872="","",PODACI_ZALIHE!E872)</f>
        <v/>
      </c>
      <c r="F875" s="20" t="n">
        <f aca="false">PODACI_ZALIHE!F872</f>
        <v>0</v>
      </c>
      <c r="G875" s="19" t="str">
        <f aca="false">IF(E875="","",E875-F875)</f>
        <v/>
      </c>
      <c r="H875" s="9" t="n">
        <f aca="false">PODACI_PRODAJA!N540</f>
        <v>2.5</v>
      </c>
      <c r="I875" s="21" t="n">
        <f aca="false">IF(H875&lt;=0,999,ROUND(F875/H875,1))</f>
        <v>0</v>
      </c>
      <c r="J875" s="9" t="n">
        <f aca="false">SUMIFS(ROBA_U_DOLASKU!$C$6:$C$95,ROBA_U_DOLASKU!$A$6:$A$95,A875,ROBA_U_DOLASKU!$H$6:$H$95,1)</f>
        <v>0</v>
      </c>
      <c r="K875" s="9" t="n">
        <f aca="false">SUMIFS(ROBA_U_DOLASKU!$B$6:$B$95,ROBA_U_DOLASKU!$A$6:$A$95,A875,ROBA_U_DOLASKU!$H$6:$H$95,1)</f>
        <v>0</v>
      </c>
      <c r="L875" s="9" t="n">
        <f aca="false">SUMIFS(ROBA_U_DOLASKU!$C$6:$C$95,ROBA_U_DOLASKU!$A$6:$A$95,A875,ROBA_U_DOLASKU!$H$6:$H$95,2)</f>
        <v>0</v>
      </c>
      <c r="M875" s="9" t="n">
        <f aca="false">SUMIFS(ROBA_U_DOLASKU!$B$6:$B$95,ROBA_U_DOLASKU!$A$6:$A$95,A875,ROBA_U_DOLASKU!$H$6:$H$95,2)</f>
        <v>0</v>
      </c>
      <c r="N875" s="9" t="n">
        <f aca="false">SUMIFS(ROBA_U_DOLASKU!$C$6:$C$95,ROBA_U_DOLASKU!$A$6:$A$95,A875,ROBA_U_DOLASKU!$H$6:$H$95,3)</f>
        <v>0</v>
      </c>
      <c r="O875" s="9" t="n">
        <f aca="false">SUMIFS(ROBA_U_DOLASKU!$B$6:$B$95,ROBA_U_DOLASKU!$A$6:$A$95,A875,ROBA_U_DOLASKU!$H$6:$H$95,3)</f>
        <v>0</v>
      </c>
      <c r="P875" s="9" t="n">
        <f aca="false">IF(H875&lt;=0,999,IF(O875&gt;0,ROUND((F875-H875*N875+K875+M875+O875)/H875,1),IF(M875&gt;0,ROUND((F875-H875*L875+K875+M875)/H875,1),IF(K875&gt;0,ROUND((F875-H875*J875+K875)/H875,1),I875))))</f>
        <v>0</v>
      </c>
      <c r="Q875" s="22" t="str">
        <f aca="false">IF(H875&lt;=0,"Nema prodaje",IF(AND(K875=0,M875=0,O875=0),IF(I875&lt;POSTAVKE!$B$6,"Naruči odmah","Sve u redu"),IF(F875-H875*J875&lt;0,"Rupa za ~"&amp;TEXT(I875,"0.0")&amp;" mj.",IF(AND(M875&gt;0,F875-H875*L875+K875&lt;0),"Rupa nakon 1. dolaska",IF(AND(O875&gt;0,F875-H875*N875+K875+M875&lt;0),"Rupa nakon 2. dolaska",IF(P875&lt;POSTAVKE!$B$6,"Količina nije dovoljna",IF(I875&gt;=POSTAVKE!$B$6,"Sve u redu","Stiže na vrijeme")))))))</f>
        <v>Naruči odmah</v>
      </c>
      <c r="S875" s="23" t="n">
        <f aca="false">IFERROR(INDEX(PODACI_PRODAJA!B:B,MATCH($A875,PODACI_PRODAJA!$A:$A,0)),0)</f>
        <v>0</v>
      </c>
      <c r="T875" s="23" t="n">
        <f aca="false">IFERROR(INDEX(PODACI_PRODAJA!C:C,MATCH($A875,PODACI_PRODAJA!$A:$A,0)),0)</f>
        <v>0</v>
      </c>
      <c r="U875" s="23" t="n">
        <f aca="false">IFERROR(INDEX(PODACI_PRODAJA!D:D,MATCH($A875,PODACI_PRODAJA!$A:$A,0)),0)</f>
        <v>9</v>
      </c>
      <c r="V875" s="23" t="n">
        <f aca="false">IFERROR(INDEX(PODACI_PRODAJA!E:E,MATCH($A875,PODACI_PRODAJA!$A:$A,0)),0)</f>
        <v>0</v>
      </c>
      <c r="W875" s="23" t="n">
        <f aca="false">IFERROR(INDEX(PODACI_PRODAJA!F:F,MATCH($A875,PODACI_PRODAJA!$A:$A,0)),0)</f>
        <v>0</v>
      </c>
      <c r="X875" s="23" t="n">
        <f aca="false">IFERROR(INDEX(PODACI_PRODAJA!G:G,MATCH($A875,PODACI_PRODAJA!$A:$A,0)),0)</f>
        <v>11</v>
      </c>
      <c r="Y875" s="23" t="n">
        <f aca="false">IFERROR(INDEX(PODACI_PRODAJA!H:H,MATCH($A875,PODACI_PRODAJA!$A:$A,0)),0)</f>
        <v>0</v>
      </c>
      <c r="Z875" s="23" t="n">
        <f aca="false">IFERROR(INDEX(PODACI_PRODAJA!I:I,MATCH($A875,PODACI_PRODAJA!$A:$A,0)),0)</f>
        <v>0</v>
      </c>
      <c r="AA875" s="23" t="n">
        <f aca="false">IFERROR(INDEX(PODACI_PRODAJA!J:J,MATCH($A875,PODACI_PRODAJA!$A:$A,0)),0)</f>
        <v>0</v>
      </c>
      <c r="AB875" s="23" t="n">
        <f aca="false">IFERROR(INDEX(PODACI_PRODAJA!K:K,MATCH($A875,PODACI_PRODAJA!$A:$A,0)),0)</f>
        <v>0</v>
      </c>
      <c r="AC875" s="23" t="n">
        <f aca="false">IFERROR(INDEX(PODACI_PRODAJA!L:L,MATCH($A875,PODACI_PRODAJA!$A:$A,0)),0)</f>
        <v>0</v>
      </c>
      <c r="AD875" s="23" t="n">
        <f aca="false">IFERROR(INDEX(PODACI_PRODAJA!M:M,MATCH($A875,PODACI_PRODAJA!$A:$A,0)),0)</f>
        <v>0</v>
      </c>
    </row>
    <row r="876" customFormat="false" ht="15" hidden="false" customHeight="false" outlineLevel="0" collapsed="false">
      <c r="A876" s="11" t="str">
        <f aca="false">PODACI_ZALIHE!A873</f>
        <v>15824</v>
      </c>
      <c r="B876" s="8" t="str">
        <f aca="false">PODACI_ZALIHE!B873</f>
        <v>BOLD LUX 100 PK MINERALSOLID TUŠ KADA BIJELA SJAJNA</v>
      </c>
      <c r="C876" s="9" t="n">
        <f aca="false">PODACI_ZALIHE!C873</f>
        <v>0</v>
      </c>
      <c r="D876" s="8" t="n">
        <f aca="false">PODACI_ZALIHE!D873</f>
        <v>0</v>
      </c>
      <c r="E876" s="19" t="str">
        <f aca="false">IF(PODACI_ZALIHE!E873="","",PODACI_ZALIHE!E873)</f>
        <v/>
      </c>
      <c r="F876" s="20" t="n">
        <f aca="false">PODACI_ZALIHE!F873</f>
        <v>0</v>
      </c>
      <c r="G876" s="19" t="str">
        <f aca="false">IF(E876="","",E876-F876)</f>
        <v/>
      </c>
      <c r="H876" s="9" t="n">
        <f aca="false">PODACI_PRODAJA!N541</f>
        <v>0.38</v>
      </c>
      <c r="I876" s="21" t="n">
        <f aca="false">IF(H876&lt;=0,999,ROUND(F876/H876,1))</f>
        <v>0</v>
      </c>
      <c r="J876" s="9" t="n">
        <f aca="false">SUMIFS(ROBA_U_DOLASKU!$C$6:$C$95,ROBA_U_DOLASKU!$A$6:$A$95,A876,ROBA_U_DOLASKU!$H$6:$H$95,1)</f>
        <v>0</v>
      </c>
      <c r="K876" s="9" t="n">
        <f aca="false">SUMIFS(ROBA_U_DOLASKU!$B$6:$B$95,ROBA_U_DOLASKU!$A$6:$A$95,A876,ROBA_U_DOLASKU!$H$6:$H$95,1)</f>
        <v>0</v>
      </c>
      <c r="L876" s="9" t="n">
        <f aca="false">SUMIFS(ROBA_U_DOLASKU!$C$6:$C$95,ROBA_U_DOLASKU!$A$6:$A$95,A876,ROBA_U_DOLASKU!$H$6:$H$95,2)</f>
        <v>0</v>
      </c>
      <c r="M876" s="9" t="n">
        <f aca="false">SUMIFS(ROBA_U_DOLASKU!$B$6:$B$95,ROBA_U_DOLASKU!$A$6:$A$95,A876,ROBA_U_DOLASKU!$H$6:$H$95,2)</f>
        <v>0</v>
      </c>
      <c r="N876" s="9" t="n">
        <f aca="false">SUMIFS(ROBA_U_DOLASKU!$C$6:$C$95,ROBA_U_DOLASKU!$A$6:$A$95,A876,ROBA_U_DOLASKU!$H$6:$H$95,3)</f>
        <v>0</v>
      </c>
      <c r="O876" s="9" t="n">
        <f aca="false">SUMIFS(ROBA_U_DOLASKU!$B$6:$B$95,ROBA_U_DOLASKU!$A$6:$A$95,A876,ROBA_U_DOLASKU!$H$6:$H$95,3)</f>
        <v>0</v>
      </c>
      <c r="P876" s="9" t="n">
        <f aca="false">IF(H876&lt;=0,999,IF(O876&gt;0,ROUND((F876-H876*N876+K876+M876+O876)/H876,1),IF(M876&gt;0,ROUND((F876-H876*L876+K876+M876)/H876,1),IF(K876&gt;0,ROUND((F876-H876*J876+K876)/H876,1),I876))))</f>
        <v>0</v>
      </c>
      <c r="Q876" s="22" t="str">
        <f aca="false">IF(H876&lt;=0,"Nema prodaje",IF(AND(K876=0,M876=0,O876=0),IF(I876&lt;POSTAVKE!$B$6,"Naruči odmah","Sve u redu"),IF(F876-H876*J876&lt;0,"Rupa za ~"&amp;TEXT(I876,"0.0")&amp;" mj.",IF(AND(M876&gt;0,F876-H876*L876+K876&lt;0),"Rupa nakon 1. dolaska",IF(AND(O876&gt;0,F876-H876*N876+K876+M876&lt;0),"Rupa nakon 2. dolaska",IF(P876&lt;POSTAVKE!$B$6,"Količina nije dovoljna",IF(I876&gt;=POSTAVKE!$B$6,"Sve u redu","Stiže na vrijeme")))))))</f>
        <v>Naruči odmah</v>
      </c>
      <c r="S876" s="23" t="n">
        <f aca="false">IFERROR(INDEX(PODACI_PRODAJA!B:B,MATCH($A876,PODACI_PRODAJA!$A:$A,0)),0)</f>
        <v>0</v>
      </c>
      <c r="T876" s="23" t="n">
        <f aca="false">IFERROR(INDEX(PODACI_PRODAJA!C:C,MATCH($A876,PODACI_PRODAJA!$A:$A,0)),0)</f>
        <v>0</v>
      </c>
      <c r="U876" s="23" t="n">
        <f aca="false">IFERROR(INDEX(PODACI_PRODAJA!D:D,MATCH($A876,PODACI_PRODAJA!$A:$A,0)),0)</f>
        <v>3</v>
      </c>
      <c r="V876" s="23" t="n">
        <f aca="false">IFERROR(INDEX(PODACI_PRODAJA!E:E,MATCH($A876,PODACI_PRODAJA!$A:$A,0)),0)</f>
        <v>0</v>
      </c>
      <c r="W876" s="23" t="n">
        <f aca="false">IFERROR(INDEX(PODACI_PRODAJA!F:F,MATCH($A876,PODACI_PRODAJA!$A:$A,0)),0)</f>
        <v>0</v>
      </c>
      <c r="X876" s="23" t="n">
        <f aca="false">IFERROR(INDEX(PODACI_PRODAJA!G:G,MATCH($A876,PODACI_PRODAJA!$A:$A,0)),0)</f>
        <v>0</v>
      </c>
      <c r="Y876" s="23" t="n">
        <f aca="false">IFERROR(INDEX(PODACI_PRODAJA!H:H,MATCH($A876,PODACI_PRODAJA!$A:$A,0)),0)</f>
        <v>0</v>
      </c>
      <c r="Z876" s="23" t="n">
        <f aca="false">IFERROR(INDEX(PODACI_PRODAJA!I:I,MATCH($A876,PODACI_PRODAJA!$A:$A,0)),0)</f>
        <v>0</v>
      </c>
      <c r="AA876" s="23" t="n">
        <f aca="false">IFERROR(INDEX(PODACI_PRODAJA!J:J,MATCH($A876,PODACI_PRODAJA!$A:$A,0)),0)</f>
        <v>0</v>
      </c>
      <c r="AB876" s="23" t="n">
        <f aca="false">IFERROR(INDEX(PODACI_PRODAJA!K:K,MATCH($A876,PODACI_PRODAJA!$A:$A,0)),0)</f>
        <v>0</v>
      </c>
      <c r="AC876" s="23" t="n">
        <f aca="false">IFERROR(INDEX(PODACI_PRODAJA!L:L,MATCH($A876,PODACI_PRODAJA!$A:$A,0)),0)</f>
        <v>0</v>
      </c>
      <c r="AD876" s="23" t="n">
        <f aca="false">IFERROR(INDEX(PODACI_PRODAJA!M:M,MATCH($A876,PODACI_PRODAJA!$A:$A,0)),0)</f>
        <v>0</v>
      </c>
    </row>
    <row r="877" customFormat="false" ht="15" hidden="false" customHeight="false" outlineLevel="0" collapsed="false">
      <c r="A877" s="11" t="str">
        <f aca="false">PODACI_ZALIHE!A874</f>
        <v>159540</v>
      </c>
      <c r="B877" s="8" t="str">
        <f aca="false">PODACI_ZALIHE!B874</f>
        <v>TK NEVA 80R POLUKRUŽNA TUŠ KABINA 80x80x180 cm</v>
      </c>
      <c r="C877" s="9" t="n">
        <f aca="false">PODACI_ZALIHE!C874</f>
        <v>0</v>
      </c>
      <c r="D877" s="8" t="n">
        <f aca="false">PODACI_ZALIHE!D874</f>
        <v>0</v>
      </c>
      <c r="E877" s="19" t="str">
        <f aca="false">IF(PODACI_ZALIHE!E874="","",PODACI_ZALIHE!E874)</f>
        <v/>
      </c>
      <c r="F877" s="20" t="n">
        <f aca="false">PODACI_ZALIHE!F874</f>
        <v>0</v>
      </c>
      <c r="G877" s="19" t="str">
        <f aca="false">IF(E877="","",E877-F877)</f>
        <v/>
      </c>
      <c r="H877" s="9" t="n">
        <f aca="false">PODACI_PRODAJA!N546</f>
        <v>2</v>
      </c>
      <c r="I877" s="21" t="n">
        <f aca="false">IF(H877&lt;=0,999,ROUND(F877/H877,1))</f>
        <v>0</v>
      </c>
      <c r="J877" s="9" t="n">
        <f aca="false">SUMIFS(ROBA_U_DOLASKU!$C$6:$C$95,ROBA_U_DOLASKU!$A$6:$A$95,A877,ROBA_U_DOLASKU!$H$6:$H$95,1)</f>
        <v>0</v>
      </c>
      <c r="K877" s="9" t="n">
        <f aca="false">SUMIFS(ROBA_U_DOLASKU!$B$6:$B$95,ROBA_U_DOLASKU!$A$6:$A$95,A877,ROBA_U_DOLASKU!$H$6:$H$95,1)</f>
        <v>0</v>
      </c>
      <c r="L877" s="9" t="n">
        <f aca="false">SUMIFS(ROBA_U_DOLASKU!$C$6:$C$95,ROBA_U_DOLASKU!$A$6:$A$95,A877,ROBA_U_DOLASKU!$H$6:$H$95,2)</f>
        <v>0</v>
      </c>
      <c r="M877" s="9" t="n">
        <f aca="false">SUMIFS(ROBA_U_DOLASKU!$B$6:$B$95,ROBA_U_DOLASKU!$A$6:$A$95,A877,ROBA_U_DOLASKU!$H$6:$H$95,2)</f>
        <v>0</v>
      </c>
      <c r="N877" s="9" t="n">
        <f aca="false">SUMIFS(ROBA_U_DOLASKU!$C$6:$C$95,ROBA_U_DOLASKU!$A$6:$A$95,A877,ROBA_U_DOLASKU!$H$6:$H$95,3)</f>
        <v>0</v>
      </c>
      <c r="O877" s="9" t="n">
        <f aca="false">SUMIFS(ROBA_U_DOLASKU!$B$6:$B$95,ROBA_U_DOLASKU!$A$6:$A$95,A877,ROBA_U_DOLASKU!$H$6:$H$95,3)</f>
        <v>0</v>
      </c>
      <c r="P877" s="9" t="n">
        <f aca="false">IF(H877&lt;=0,999,IF(O877&gt;0,ROUND((F877-H877*N877+K877+M877+O877)/H877,1),IF(M877&gt;0,ROUND((F877-H877*L877+K877+M877)/H877,1),IF(K877&gt;0,ROUND((F877-H877*J877+K877)/H877,1),I877))))</f>
        <v>0</v>
      </c>
      <c r="Q877" s="22" t="str">
        <f aca="false">IF(H877&lt;=0,"Nema prodaje",IF(AND(K877=0,M877=0,O877=0),IF(I877&lt;POSTAVKE!$B$6,"Naruči odmah","Sve u redu"),IF(F877-H877*J877&lt;0,"Rupa za ~"&amp;TEXT(I877,"0.0")&amp;" mj.",IF(AND(M877&gt;0,F877-H877*L877+K877&lt;0),"Rupa nakon 1. dolaska",IF(AND(O877&gt;0,F877-H877*N877+K877+M877&lt;0),"Rupa nakon 2. dolaska",IF(P877&lt;POSTAVKE!$B$6,"Količina nije dovoljna",IF(I877&gt;=POSTAVKE!$B$6,"Sve u redu","Stiže na vrijeme")))))))</f>
        <v>Naruči odmah</v>
      </c>
      <c r="S877" s="23" t="n">
        <f aca="false">IFERROR(INDEX(PODACI_PRODAJA!B:B,MATCH($A877,PODACI_PRODAJA!$A:$A,0)),0)</f>
        <v>0</v>
      </c>
      <c r="T877" s="23" t="n">
        <f aca="false">IFERROR(INDEX(PODACI_PRODAJA!C:C,MATCH($A877,PODACI_PRODAJA!$A:$A,0)),0)</f>
        <v>0</v>
      </c>
      <c r="U877" s="23" t="n">
        <f aca="false">IFERROR(INDEX(PODACI_PRODAJA!D:D,MATCH($A877,PODACI_PRODAJA!$A:$A,0)),0)</f>
        <v>16</v>
      </c>
      <c r="V877" s="23" t="n">
        <f aca="false">IFERROR(INDEX(PODACI_PRODAJA!E:E,MATCH($A877,PODACI_PRODAJA!$A:$A,0)),0)</f>
        <v>0</v>
      </c>
      <c r="W877" s="23" t="n">
        <f aca="false">IFERROR(INDEX(PODACI_PRODAJA!F:F,MATCH($A877,PODACI_PRODAJA!$A:$A,0)),0)</f>
        <v>0</v>
      </c>
      <c r="X877" s="23" t="n">
        <f aca="false">IFERROR(INDEX(PODACI_PRODAJA!G:G,MATCH($A877,PODACI_PRODAJA!$A:$A,0)),0)</f>
        <v>0</v>
      </c>
      <c r="Y877" s="23" t="n">
        <f aca="false">IFERROR(INDEX(PODACI_PRODAJA!H:H,MATCH($A877,PODACI_PRODAJA!$A:$A,0)),0)</f>
        <v>0</v>
      </c>
      <c r="Z877" s="23" t="n">
        <f aca="false">IFERROR(INDEX(PODACI_PRODAJA!I:I,MATCH($A877,PODACI_PRODAJA!$A:$A,0)),0)</f>
        <v>0</v>
      </c>
      <c r="AA877" s="23" t="n">
        <f aca="false">IFERROR(INDEX(PODACI_PRODAJA!J:J,MATCH($A877,PODACI_PRODAJA!$A:$A,0)),0)</f>
        <v>0</v>
      </c>
      <c r="AB877" s="23" t="n">
        <f aca="false">IFERROR(INDEX(PODACI_PRODAJA!K:K,MATCH($A877,PODACI_PRODAJA!$A:$A,0)),0)</f>
        <v>0</v>
      </c>
      <c r="AC877" s="23" t="n">
        <f aca="false">IFERROR(INDEX(PODACI_PRODAJA!L:L,MATCH($A877,PODACI_PRODAJA!$A:$A,0)),0)</f>
        <v>0</v>
      </c>
      <c r="AD877" s="23" t="n">
        <f aca="false">IFERROR(INDEX(PODACI_PRODAJA!M:M,MATCH($A877,PODACI_PRODAJA!$A:$A,0)),0)</f>
        <v>0</v>
      </c>
    </row>
    <row r="878" customFormat="false" ht="15" hidden="false" customHeight="false" outlineLevel="0" collapsed="false">
      <c r="A878" s="11" t="str">
        <f aca="false">PODACI_ZALIHE!A875</f>
        <v>159550</v>
      </c>
      <c r="B878" s="8" t="str">
        <f aca="false">PODACI_ZALIHE!B875</f>
        <v>TK NEVA 90R POLUKRUŽNA TUŠ KABINA 90x90x180 cm</v>
      </c>
      <c r="C878" s="9" t="n">
        <f aca="false">PODACI_ZALIHE!C875</f>
        <v>0</v>
      </c>
      <c r="D878" s="8" t="n">
        <f aca="false">PODACI_ZALIHE!D875</f>
        <v>0</v>
      </c>
      <c r="E878" s="19" t="str">
        <f aca="false">IF(PODACI_ZALIHE!E875="","",PODACI_ZALIHE!E875)</f>
        <v/>
      </c>
      <c r="F878" s="20" t="n">
        <f aca="false">PODACI_ZALIHE!F875</f>
        <v>0</v>
      </c>
      <c r="G878" s="19" t="str">
        <f aca="false">IF(E878="","",E878-F878)</f>
        <v/>
      </c>
      <c r="H878" s="9" t="n">
        <f aca="false">PODACI_PRODAJA!N547</f>
        <v>0</v>
      </c>
      <c r="I878" s="21" t="n">
        <f aca="false">IF(H878&lt;=0,999,ROUND(F878/H878,1))</f>
        <v>999</v>
      </c>
      <c r="J878" s="9" t="n">
        <f aca="false">SUMIFS(ROBA_U_DOLASKU!$C$6:$C$95,ROBA_U_DOLASKU!$A$6:$A$95,A878,ROBA_U_DOLASKU!$H$6:$H$95,1)</f>
        <v>0</v>
      </c>
      <c r="K878" s="9" t="n">
        <f aca="false">SUMIFS(ROBA_U_DOLASKU!$B$6:$B$95,ROBA_U_DOLASKU!$A$6:$A$95,A878,ROBA_U_DOLASKU!$H$6:$H$95,1)</f>
        <v>0</v>
      </c>
      <c r="L878" s="9" t="n">
        <f aca="false">SUMIFS(ROBA_U_DOLASKU!$C$6:$C$95,ROBA_U_DOLASKU!$A$6:$A$95,A878,ROBA_U_DOLASKU!$H$6:$H$95,2)</f>
        <v>0</v>
      </c>
      <c r="M878" s="9" t="n">
        <f aca="false">SUMIFS(ROBA_U_DOLASKU!$B$6:$B$95,ROBA_U_DOLASKU!$A$6:$A$95,A878,ROBA_U_DOLASKU!$H$6:$H$95,2)</f>
        <v>0</v>
      </c>
      <c r="N878" s="9" t="n">
        <f aca="false">SUMIFS(ROBA_U_DOLASKU!$C$6:$C$95,ROBA_U_DOLASKU!$A$6:$A$95,A878,ROBA_U_DOLASKU!$H$6:$H$95,3)</f>
        <v>0</v>
      </c>
      <c r="O878" s="9" t="n">
        <f aca="false">SUMIFS(ROBA_U_DOLASKU!$B$6:$B$95,ROBA_U_DOLASKU!$A$6:$A$95,A878,ROBA_U_DOLASKU!$H$6:$H$95,3)</f>
        <v>0</v>
      </c>
      <c r="P878" s="9" t="n">
        <f aca="false">IF(H878&lt;=0,999,IF(O878&gt;0,ROUND((F878-H878*N878+K878+M878+O878)/H878,1),IF(M878&gt;0,ROUND((F878-H878*L878+K878+M878)/H878,1),IF(K878&gt;0,ROUND((F878-H878*J878+K878)/H878,1),I878))))</f>
        <v>999</v>
      </c>
      <c r="Q878" s="22" t="str">
        <f aca="false">IF(H878&lt;=0,"Nema prodaje",IF(AND(K878=0,M878=0,O878=0),IF(I878&lt;POSTAVKE!$B$6,"Naruči odmah","Sve u redu"),IF(F878-H878*J878&lt;0,"Rupa za ~"&amp;TEXT(I878,"0.0")&amp;" mj.",IF(AND(M878&gt;0,F878-H878*L878+K878&lt;0),"Rupa nakon 1. dolaska",IF(AND(O878&gt;0,F878-H878*N878+K878+M878&lt;0),"Rupa nakon 2. dolaska",IF(P878&lt;POSTAVKE!$B$6,"Količina nije dovoljna",IF(I878&gt;=POSTAVKE!$B$6,"Sve u redu","Stiže na vrijeme")))))))</f>
        <v>Nema prodaje</v>
      </c>
      <c r="S878" s="23" t="n">
        <f aca="false">IFERROR(INDEX(PODACI_PRODAJA!B:B,MATCH($A878,PODACI_PRODAJA!$A:$A,0)),0)</f>
        <v>0</v>
      </c>
      <c r="T878" s="23" t="n">
        <f aca="false">IFERROR(INDEX(PODACI_PRODAJA!C:C,MATCH($A878,PODACI_PRODAJA!$A:$A,0)),0)</f>
        <v>0</v>
      </c>
      <c r="U878" s="23" t="n">
        <f aca="false">IFERROR(INDEX(PODACI_PRODAJA!D:D,MATCH($A878,PODACI_PRODAJA!$A:$A,0)),0)</f>
        <v>0</v>
      </c>
      <c r="V878" s="23" t="n">
        <f aca="false">IFERROR(INDEX(PODACI_PRODAJA!E:E,MATCH($A878,PODACI_PRODAJA!$A:$A,0)),0)</f>
        <v>0</v>
      </c>
      <c r="W878" s="23" t="n">
        <f aca="false">IFERROR(INDEX(PODACI_PRODAJA!F:F,MATCH($A878,PODACI_PRODAJA!$A:$A,0)),0)</f>
        <v>0</v>
      </c>
      <c r="X878" s="23" t="n">
        <f aca="false">IFERROR(INDEX(PODACI_PRODAJA!G:G,MATCH($A878,PODACI_PRODAJA!$A:$A,0)),0)</f>
        <v>0</v>
      </c>
      <c r="Y878" s="23" t="n">
        <f aca="false">IFERROR(INDEX(PODACI_PRODAJA!H:H,MATCH($A878,PODACI_PRODAJA!$A:$A,0)),0)</f>
        <v>0</v>
      </c>
      <c r="Z878" s="23" t="n">
        <f aca="false">IFERROR(INDEX(PODACI_PRODAJA!I:I,MATCH($A878,PODACI_PRODAJA!$A:$A,0)),0)</f>
        <v>0</v>
      </c>
      <c r="AA878" s="23" t="n">
        <f aca="false">IFERROR(INDEX(PODACI_PRODAJA!J:J,MATCH($A878,PODACI_PRODAJA!$A:$A,0)),0)</f>
        <v>0</v>
      </c>
      <c r="AB878" s="23" t="n">
        <f aca="false">IFERROR(INDEX(PODACI_PRODAJA!K:K,MATCH($A878,PODACI_PRODAJA!$A:$A,0)),0)</f>
        <v>0</v>
      </c>
      <c r="AC878" s="23" t="n">
        <f aca="false">IFERROR(INDEX(PODACI_PRODAJA!L:L,MATCH($A878,PODACI_PRODAJA!$A:$A,0)),0)</f>
        <v>0</v>
      </c>
      <c r="AD878" s="23" t="n">
        <f aca="false">IFERROR(INDEX(PODACI_PRODAJA!M:M,MATCH($A878,PODACI_PRODAJA!$A:$A,0)),0)</f>
        <v>0</v>
      </c>
    </row>
    <row r="879" customFormat="false" ht="15" hidden="false" customHeight="false" outlineLevel="0" collapsed="false">
      <c r="A879" s="11" t="str">
        <f aca="false">PODACI_ZALIHE!A876</f>
        <v>16028</v>
      </c>
      <c r="B879" s="8" t="str">
        <f aca="false">PODACI_ZALIHE!B876</f>
        <v>BLACK WALL 100 TUŠ PARAVAN 100x195 cm</v>
      </c>
      <c r="C879" s="9" t="n">
        <f aca="false">PODACI_ZALIHE!C876</f>
        <v>0</v>
      </c>
      <c r="D879" s="8" t="n">
        <f aca="false">PODACI_ZALIHE!D876</f>
        <v>0</v>
      </c>
      <c r="E879" s="19" t="str">
        <f aca="false">IF(PODACI_ZALIHE!E876="","",PODACI_ZALIHE!E876)</f>
        <v/>
      </c>
      <c r="F879" s="20" t="n">
        <f aca="false">PODACI_ZALIHE!F876</f>
        <v>0</v>
      </c>
      <c r="G879" s="19" t="str">
        <f aca="false">IF(E879="","",E879-F879)</f>
        <v/>
      </c>
      <c r="H879" s="9" t="n">
        <f aca="false">PODACI_PRODAJA!N552</f>
        <v>0</v>
      </c>
      <c r="I879" s="21" t="n">
        <f aca="false">IF(H879&lt;=0,999,ROUND(F879/H879,1))</f>
        <v>999</v>
      </c>
      <c r="J879" s="9" t="n">
        <f aca="false">SUMIFS(ROBA_U_DOLASKU!$C$6:$C$95,ROBA_U_DOLASKU!$A$6:$A$95,A879,ROBA_U_DOLASKU!$H$6:$H$95,1)</f>
        <v>0</v>
      </c>
      <c r="K879" s="9" t="n">
        <f aca="false">SUMIFS(ROBA_U_DOLASKU!$B$6:$B$95,ROBA_U_DOLASKU!$A$6:$A$95,A879,ROBA_U_DOLASKU!$H$6:$H$95,1)</f>
        <v>0</v>
      </c>
      <c r="L879" s="9" t="n">
        <f aca="false">SUMIFS(ROBA_U_DOLASKU!$C$6:$C$95,ROBA_U_DOLASKU!$A$6:$A$95,A879,ROBA_U_DOLASKU!$H$6:$H$95,2)</f>
        <v>0</v>
      </c>
      <c r="M879" s="9" t="n">
        <f aca="false">SUMIFS(ROBA_U_DOLASKU!$B$6:$B$95,ROBA_U_DOLASKU!$A$6:$A$95,A879,ROBA_U_DOLASKU!$H$6:$H$95,2)</f>
        <v>0</v>
      </c>
      <c r="N879" s="9" t="n">
        <f aca="false">SUMIFS(ROBA_U_DOLASKU!$C$6:$C$95,ROBA_U_DOLASKU!$A$6:$A$95,A879,ROBA_U_DOLASKU!$H$6:$H$95,3)</f>
        <v>0</v>
      </c>
      <c r="O879" s="9" t="n">
        <f aca="false">SUMIFS(ROBA_U_DOLASKU!$B$6:$B$95,ROBA_U_DOLASKU!$A$6:$A$95,A879,ROBA_U_DOLASKU!$H$6:$H$95,3)</f>
        <v>0</v>
      </c>
      <c r="P879" s="9" t="n">
        <f aca="false">IF(H879&lt;=0,999,IF(O879&gt;0,ROUND((F879-H879*N879+K879+M879+O879)/H879,1),IF(M879&gt;0,ROUND((F879-H879*L879+K879+M879)/H879,1),IF(K879&gt;0,ROUND((F879-H879*J879+K879)/H879,1),I879))))</f>
        <v>999</v>
      </c>
      <c r="Q879" s="22" t="str">
        <f aca="false">IF(H879&lt;=0,"Nema prodaje",IF(AND(K879=0,M879=0,O879=0),IF(I879&lt;POSTAVKE!$B$6,"Naruči odmah","Sve u redu"),IF(F879-H879*J879&lt;0,"Rupa za ~"&amp;TEXT(I879,"0.0")&amp;" mj.",IF(AND(M879&gt;0,F879-H879*L879+K879&lt;0),"Rupa nakon 1. dolaska",IF(AND(O879&gt;0,F879-H879*N879+K879+M879&lt;0),"Rupa nakon 2. dolaska",IF(P879&lt;POSTAVKE!$B$6,"Količina nije dovoljna",IF(I879&gt;=POSTAVKE!$B$6,"Sve u redu","Stiže na vrijeme")))))))</f>
        <v>Nema prodaje</v>
      </c>
      <c r="S879" s="23" t="n">
        <f aca="false">IFERROR(INDEX(PODACI_PRODAJA!B:B,MATCH($A879,PODACI_PRODAJA!$A:$A,0)),0)</f>
        <v>0</v>
      </c>
      <c r="T879" s="23" t="n">
        <f aca="false">IFERROR(INDEX(PODACI_PRODAJA!C:C,MATCH($A879,PODACI_PRODAJA!$A:$A,0)),0)</f>
        <v>0</v>
      </c>
      <c r="U879" s="23" t="n">
        <f aca="false">IFERROR(INDEX(PODACI_PRODAJA!D:D,MATCH($A879,PODACI_PRODAJA!$A:$A,0)),0)</f>
        <v>0</v>
      </c>
      <c r="V879" s="23" t="n">
        <f aca="false">IFERROR(INDEX(PODACI_PRODAJA!E:E,MATCH($A879,PODACI_PRODAJA!$A:$A,0)),0)</f>
        <v>0</v>
      </c>
      <c r="W879" s="23" t="n">
        <f aca="false">IFERROR(INDEX(PODACI_PRODAJA!F:F,MATCH($A879,PODACI_PRODAJA!$A:$A,0)),0)</f>
        <v>0</v>
      </c>
      <c r="X879" s="23" t="n">
        <f aca="false">IFERROR(INDEX(PODACI_PRODAJA!G:G,MATCH($A879,PODACI_PRODAJA!$A:$A,0)),0)</f>
        <v>0</v>
      </c>
      <c r="Y879" s="23" t="n">
        <f aca="false">IFERROR(INDEX(PODACI_PRODAJA!H:H,MATCH($A879,PODACI_PRODAJA!$A:$A,0)),0)</f>
        <v>0</v>
      </c>
      <c r="Z879" s="23" t="n">
        <f aca="false">IFERROR(INDEX(PODACI_PRODAJA!I:I,MATCH($A879,PODACI_PRODAJA!$A:$A,0)),0)</f>
        <v>0</v>
      </c>
      <c r="AA879" s="23" t="n">
        <f aca="false">IFERROR(INDEX(PODACI_PRODAJA!J:J,MATCH($A879,PODACI_PRODAJA!$A:$A,0)),0)</f>
        <v>0</v>
      </c>
      <c r="AB879" s="23" t="n">
        <f aca="false">IFERROR(INDEX(PODACI_PRODAJA!K:K,MATCH($A879,PODACI_PRODAJA!$A:$A,0)),0)</f>
        <v>0</v>
      </c>
      <c r="AC879" s="23" t="n">
        <f aca="false">IFERROR(INDEX(PODACI_PRODAJA!L:L,MATCH($A879,PODACI_PRODAJA!$A:$A,0)),0)</f>
        <v>0</v>
      </c>
      <c r="AD879" s="23" t="n">
        <f aca="false">IFERROR(INDEX(PODACI_PRODAJA!M:M,MATCH($A879,PODACI_PRODAJA!$A:$A,0)),0)</f>
        <v>0</v>
      </c>
    </row>
    <row r="880" customFormat="false" ht="15" hidden="false" customHeight="false" outlineLevel="0" collapsed="false">
      <c r="A880" s="11" t="str">
        <f aca="false">PODACI_ZALIHE!A877</f>
        <v>16089</v>
      </c>
      <c r="B880" s="8" t="str">
        <f aca="false">PODACI_ZALIHE!B877</f>
        <v>TULI LED OGLEDALO 80x60 cm</v>
      </c>
      <c r="C880" s="9" t="n">
        <f aca="false">PODACI_ZALIHE!C877</f>
        <v>0</v>
      </c>
      <c r="D880" s="8" t="n">
        <f aca="false">PODACI_ZALIHE!D877</f>
        <v>0</v>
      </c>
      <c r="E880" s="19" t="str">
        <f aca="false">IF(PODACI_ZALIHE!E877="","",PODACI_ZALIHE!E877)</f>
        <v/>
      </c>
      <c r="F880" s="20" t="n">
        <f aca="false">PODACI_ZALIHE!F877</f>
        <v>0</v>
      </c>
      <c r="G880" s="19" t="str">
        <f aca="false">IF(E880="","",E880-F880)</f>
        <v/>
      </c>
      <c r="H880" s="9" t="n">
        <f aca="false">PODACI_PRODAJA!N558</f>
        <v>0</v>
      </c>
      <c r="I880" s="21" t="n">
        <f aca="false">IF(H880&lt;=0,999,ROUND(F880/H880,1))</f>
        <v>999</v>
      </c>
      <c r="J880" s="9" t="n">
        <f aca="false">SUMIFS(ROBA_U_DOLASKU!$C$6:$C$95,ROBA_U_DOLASKU!$A$6:$A$95,A880,ROBA_U_DOLASKU!$H$6:$H$95,1)</f>
        <v>0</v>
      </c>
      <c r="K880" s="9" t="n">
        <f aca="false">SUMIFS(ROBA_U_DOLASKU!$B$6:$B$95,ROBA_U_DOLASKU!$A$6:$A$95,A880,ROBA_U_DOLASKU!$H$6:$H$95,1)</f>
        <v>0</v>
      </c>
      <c r="L880" s="9" t="n">
        <f aca="false">SUMIFS(ROBA_U_DOLASKU!$C$6:$C$95,ROBA_U_DOLASKU!$A$6:$A$95,A880,ROBA_U_DOLASKU!$H$6:$H$95,2)</f>
        <v>0</v>
      </c>
      <c r="M880" s="9" t="n">
        <f aca="false">SUMIFS(ROBA_U_DOLASKU!$B$6:$B$95,ROBA_U_DOLASKU!$A$6:$A$95,A880,ROBA_U_DOLASKU!$H$6:$H$95,2)</f>
        <v>0</v>
      </c>
      <c r="N880" s="9" t="n">
        <f aca="false">SUMIFS(ROBA_U_DOLASKU!$C$6:$C$95,ROBA_U_DOLASKU!$A$6:$A$95,A880,ROBA_U_DOLASKU!$H$6:$H$95,3)</f>
        <v>0</v>
      </c>
      <c r="O880" s="9" t="n">
        <f aca="false">SUMIFS(ROBA_U_DOLASKU!$B$6:$B$95,ROBA_U_DOLASKU!$A$6:$A$95,A880,ROBA_U_DOLASKU!$H$6:$H$95,3)</f>
        <v>0</v>
      </c>
      <c r="P880" s="9" t="n">
        <f aca="false">IF(H880&lt;=0,999,IF(O880&gt;0,ROUND((F880-H880*N880+K880+M880+O880)/H880,1),IF(M880&gt;0,ROUND((F880-H880*L880+K880+M880)/H880,1),IF(K880&gt;0,ROUND((F880-H880*J880+K880)/H880,1),I880))))</f>
        <v>999</v>
      </c>
      <c r="Q880" s="22" t="str">
        <f aca="false">IF(H880&lt;=0,"Nema prodaje",IF(AND(K880=0,M880=0,O880=0),IF(I880&lt;POSTAVKE!$B$6,"Naruči odmah","Sve u redu"),IF(F880-H880*J880&lt;0,"Rupa za ~"&amp;TEXT(I880,"0.0")&amp;" mj.",IF(AND(M880&gt;0,F880-H880*L880+K880&lt;0),"Rupa nakon 1. dolaska",IF(AND(O880&gt;0,F880-H880*N880+K880+M880&lt;0),"Rupa nakon 2. dolaska",IF(P880&lt;POSTAVKE!$B$6,"Količina nije dovoljna",IF(I880&gt;=POSTAVKE!$B$6,"Sve u redu","Stiže na vrijeme")))))))</f>
        <v>Nema prodaje</v>
      </c>
      <c r="S880" s="23" t="n">
        <f aca="false">IFERROR(INDEX(PODACI_PRODAJA!B:B,MATCH($A880,PODACI_PRODAJA!$A:$A,0)),0)</f>
        <v>0</v>
      </c>
      <c r="T880" s="23" t="n">
        <f aca="false">IFERROR(INDEX(PODACI_PRODAJA!C:C,MATCH($A880,PODACI_PRODAJA!$A:$A,0)),0)</f>
        <v>1</v>
      </c>
      <c r="U880" s="23" t="n">
        <f aca="false">IFERROR(INDEX(PODACI_PRODAJA!D:D,MATCH($A880,PODACI_PRODAJA!$A:$A,0)),0)</f>
        <v>0</v>
      </c>
      <c r="V880" s="23" t="n">
        <f aca="false">IFERROR(INDEX(PODACI_PRODAJA!E:E,MATCH($A880,PODACI_PRODAJA!$A:$A,0)),0)</f>
        <v>-1</v>
      </c>
      <c r="W880" s="23" t="n">
        <f aca="false">IFERROR(INDEX(PODACI_PRODAJA!F:F,MATCH($A880,PODACI_PRODAJA!$A:$A,0)),0)</f>
        <v>0</v>
      </c>
      <c r="X880" s="23" t="n">
        <f aca="false">IFERROR(INDEX(PODACI_PRODAJA!G:G,MATCH($A880,PODACI_PRODAJA!$A:$A,0)),0)</f>
        <v>0</v>
      </c>
      <c r="Y880" s="23" t="n">
        <f aca="false">IFERROR(INDEX(PODACI_PRODAJA!H:H,MATCH($A880,PODACI_PRODAJA!$A:$A,0)),0)</f>
        <v>0</v>
      </c>
      <c r="Z880" s="23" t="n">
        <f aca="false">IFERROR(INDEX(PODACI_PRODAJA!I:I,MATCH($A880,PODACI_PRODAJA!$A:$A,0)),0)</f>
        <v>0</v>
      </c>
      <c r="AA880" s="23" t="n">
        <f aca="false">IFERROR(INDEX(PODACI_PRODAJA!J:J,MATCH($A880,PODACI_PRODAJA!$A:$A,0)),0)</f>
        <v>0</v>
      </c>
      <c r="AB880" s="23" t="n">
        <f aca="false">IFERROR(INDEX(PODACI_PRODAJA!K:K,MATCH($A880,PODACI_PRODAJA!$A:$A,0)),0)</f>
        <v>0</v>
      </c>
      <c r="AC880" s="23" t="n">
        <f aca="false">IFERROR(INDEX(PODACI_PRODAJA!L:L,MATCH($A880,PODACI_PRODAJA!$A:$A,0)),0)</f>
        <v>0</v>
      </c>
      <c r="AD880" s="23" t="n">
        <f aca="false">IFERROR(INDEX(PODACI_PRODAJA!M:M,MATCH($A880,PODACI_PRODAJA!$A:$A,0)),0)</f>
        <v>0</v>
      </c>
    </row>
    <row r="881" customFormat="false" ht="15" hidden="false" customHeight="false" outlineLevel="0" collapsed="false">
      <c r="A881" s="11" t="str">
        <f aca="false">PODACI_ZALIHE!A878</f>
        <v>16134</v>
      </c>
      <c r="B881" s="8" t="str">
        <f aca="false">PODACI_ZALIHE!B878</f>
        <v>AURA CHROME MIJEŠALICA ZA UMIVAONIK</v>
      </c>
      <c r="C881" s="9" t="n">
        <f aca="false">PODACI_ZALIHE!C878</f>
        <v>0</v>
      </c>
      <c r="D881" s="8" t="n">
        <f aca="false">PODACI_ZALIHE!D878</f>
        <v>0</v>
      </c>
      <c r="E881" s="19" t="str">
        <f aca="false">IF(PODACI_ZALIHE!E878="","",PODACI_ZALIHE!E878)</f>
        <v/>
      </c>
      <c r="F881" s="20" t="n">
        <f aca="false">PODACI_ZALIHE!F878</f>
        <v>0</v>
      </c>
      <c r="G881" s="19" t="str">
        <f aca="false">IF(E881="","",E881-F881)</f>
        <v/>
      </c>
      <c r="H881" s="9" t="n">
        <f aca="false">PODACI_PRODAJA!N564</f>
        <v>-0.13</v>
      </c>
      <c r="I881" s="21" t="n">
        <f aca="false">IF(H881&lt;=0,999,ROUND(F881/H881,1))</f>
        <v>999</v>
      </c>
      <c r="J881" s="9" t="n">
        <f aca="false">SUMIFS(ROBA_U_DOLASKU!$C$6:$C$95,ROBA_U_DOLASKU!$A$6:$A$95,A881,ROBA_U_DOLASKU!$H$6:$H$95,1)</f>
        <v>0</v>
      </c>
      <c r="K881" s="9" t="n">
        <f aca="false">SUMIFS(ROBA_U_DOLASKU!$B$6:$B$95,ROBA_U_DOLASKU!$A$6:$A$95,A881,ROBA_U_DOLASKU!$H$6:$H$95,1)</f>
        <v>0</v>
      </c>
      <c r="L881" s="9" t="n">
        <f aca="false">SUMIFS(ROBA_U_DOLASKU!$C$6:$C$95,ROBA_U_DOLASKU!$A$6:$A$95,A881,ROBA_U_DOLASKU!$H$6:$H$95,2)</f>
        <v>0</v>
      </c>
      <c r="M881" s="9" t="n">
        <f aca="false">SUMIFS(ROBA_U_DOLASKU!$B$6:$B$95,ROBA_U_DOLASKU!$A$6:$A$95,A881,ROBA_U_DOLASKU!$H$6:$H$95,2)</f>
        <v>0</v>
      </c>
      <c r="N881" s="9" t="n">
        <f aca="false">SUMIFS(ROBA_U_DOLASKU!$C$6:$C$95,ROBA_U_DOLASKU!$A$6:$A$95,A881,ROBA_U_DOLASKU!$H$6:$H$95,3)</f>
        <v>0</v>
      </c>
      <c r="O881" s="9" t="n">
        <f aca="false">SUMIFS(ROBA_U_DOLASKU!$B$6:$B$95,ROBA_U_DOLASKU!$A$6:$A$95,A881,ROBA_U_DOLASKU!$H$6:$H$95,3)</f>
        <v>0</v>
      </c>
      <c r="P881" s="9" t="n">
        <f aca="false">IF(H881&lt;=0,999,IF(O881&gt;0,ROUND((F881-H881*N881+K881+M881+O881)/H881,1),IF(M881&gt;0,ROUND((F881-H881*L881+K881+M881)/H881,1),IF(K881&gt;0,ROUND((F881-H881*J881+K881)/H881,1),I881))))</f>
        <v>999</v>
      </c>
      <c r="Q881" s="22" t="str">
        <f aca="false">IF(H881&lt;=0,"Nema prodaje",IF(AND(K881=0,M881=0,O881=0),IF(I881&lt;POSTAVKE!$B$6,"Naruči odmah","Sve u redu"),IF(F881-H881*J881&lt;0,"Rupa za ~"&amp;TEXT(I881,"0.0")&amp;" mj.",IF(AND(M881&gt;0,F881-H881*L881+K881&lt;0),"Rupa nakon 1. dolaska",IF(AND(O881&gt;0,F881-H881*N881+K881+M881&lt;0),"Rupa nakon 2. dolaska",IF(P881&lt;POSTAVKE!$B$6,"Količina nije dovoljna",IF(I881&gt;=POSTAVKE!$B$6,"Sve u redu","Stiže na vrijeme")))))))</f>
        <v>Nema prodaje</v>
      </c>
      <c r="S881" s="23" t="n">
        <f aca="false">IFERROR(INDEX(PODACI_PRODAJA!B:B,MATCH($A881,PODACI_PRODAJA!$A:$A,0)),0)</f>
        <v>0</v>
      </c>
      <c r="T881" s="23" t="n">
        <f aca="false">IFERROR(INDEX(PODACI_PRODAJA!C:C,MATCH($A881,PODACI_PRODAJA!$A:$A,0)),0)</f>
        <v>-1</v>
      </c>
      <c r="U881" s="23" t="n">
        <f aca="false">IFERROR(INDEX(PODACI_PRODAJA!D:D,MATCH($A881,PODACI_PRODAJA!$A:$A,0)),0)</f>
        <v>0</v>
      </c>
      <c r="V881" s="23" t="n">
        <f aca="false">IFERROR(INDEX(PODACI_PRODAJA!E:E,MATCH($A881,PODACI_PRODAJA!$A:$A,0)),0)</f>
        <v>0</v>
      </c>
      <c r="W881" s="23" t="n">
        <f aca="false">IFERROR(INDEX(PODACI_PRODAJA!F:F,MATCH($A881,PODACI_PRODAJA!$A:$A,0)),0)</f>
        <v>0</v>
      </c>
      <c r="X881" s="23" t="n">
        <f aca="false">IFERROR(INDEX(PODACI_PRODAJA!G:G,MATCH($A881,PODACI_PRODAJA!$A:$A,0)),0)</f>
        <v>0</v>
      </c>
      <c r="Y881" s="23" t="n">
        <f aca="false">IFERROR(INDEX(PODACI_PRODAJA!H:H,MATCH($A881,PODACI_PRODAJA!$A:$A,0)),0)</f>
        <v>0</v>
      </c>
      <c r="Z881" s="23" t="n">
        <f aca="false">IFERROR(INDEX(PODACI_PRODAJA!I:I,MATCH($A881,PODACI_PRODAJA!$A:$A,0)),0)</f>
        <v>0</v>
      </c>
      <c r="AA881" s="23" t="n">
        <f aca="false">IFERROR(INDEX(PODACI_PRODAJA!J:J,MATCH($A881,PODACI_PRODAJA!$A:$A,0)),0)</f>
        <v>0</v>
      </c>
      <c r="AB881" s="23" t="n">
        <f aca="false">IFERROR(INDEX(PODACI_PRODAJA!K:K,MATCH($A881,PODACI_PRODAJA!$A:$A,0)),0)</f>
        <v>0</v>
      </c>
      <c r="AC881" s="23" t="n">
        <f aca="false">IFERROR(INDEX(PODACI_PRODAJA!L:L,MATCH($A881,PODACI_PRODAJA!$A:$A,0)),0)</f>
        <v>0</v>
      </c>
      <c r="AD881" s="23" t="n">
        <f aca="false">IFERROR(INDEX(PODACI_PRODAJA!M:M,MATCH($A881,PODACI_PRODAJA!$A:$A,0)),0)</f>
        <v>0</v>
      </c>
    </row>
    <row r="882" customFormat="false" ht="15" hidden="false" customHeight="false" outlineLevel="0" collapsed="false">
      <c r="A882" s="11" t="str">
        <f aca="false">PODACI_ZALIHE!A879</f>
        <v>16138</v>
      </c>
      <c r="B882" s="8" t="str">
        <f aca="false">PODACI_ZALIHE!B879</f>
        <v>AURA BRONZE  MIJEŠALICA ZA UMIVAONIK</v>
      </c>
      <c r="C882" s="9" t="n">
        <f aca="false">PODACI_ZALIHE!C879</f>
        <v>0</v>
      </c>
      <c r="D882" s="8" t="n">
        <f aca="false">PODACI_ZALIHE!D879</f>
        <v>0</v>
      </c>
      <c r="E882" s="19" t="str">
        <f aca="false">IF(PODACI_ZALIHE!E879="","",PODACI_ZALIHE!E879)</f>
        <v/>
      </c>
      <c r="F882" s="20" t="n">
        <f aca="false">PODACI_ZALIHE!F879</f>
        <v>0</v>
      </c>
      <c r="G882" s="19" t="str">
        <f aca="false">IF(E882="","",E882-F882)</f>
        <v/>
      </c>
      <c r="H882" s="9" t="n">
        <f aca="false">PODACI_PRODAJA!N566</f>
        <v>0.13</v>
      </c>
      <c r="I882" s="21" t="n">
        <f aca="false">IF(H882&lt;=0,999,ROUND(F882/H882,1))</f>
        <v>0</v>
      </c>
      <c r="J882" s="9" t="n">
        <f aca="false">SUMIFS(ROBA_U_DOLASKU!$C$6:$C$95,ROBA_U_DOLASKU!$A$6:$A$95,A882,ROBA_U_DOLASKU!$H$6:$H$95,1)</f>
        <v>0</v>
      </c>
      <c r="K882" s="9" t="n">
        <f aca="false">SUMIFS(ROBA_U_DOLASKU!$B$6:$B$95,ROBA_U_DOLASKU!$A$6:$A$95,A882,ROBA_U_DOLASKU!$H$6:$H$95,1)</f>
        <v>0</v>
      </c>
      <c r="L882" s="9" t="n">
        <f aca="false">SUMIFS(ROBA_U_DOLASKU!$C$6:$C$95,ROBA_U_DOLASKU!$A$6:$A$95,A882,ROBA_U_DOLASKU!$H$6:$H$95,2)</f>
        <v>0</v>
      </c>
      <c r="M882" s="9" t="n">
        <f aca="false">SUMIFS(ROBA_U_DOLASKU!$B$6:$B$95,ROBA_U_DOLASKU!$A$6:$A$95,A882,ROBA_U_DOLASKU!$H$6:$H$95,2)</f>
        <v>0</v>
      </c>
      <c r="N882" s="9" t="n">
        <f aca="false">SUMIFS(ROBA_U_DOLASKU!$C$6:$C$95,ROBA_U_DOLASKU!$A$6:$A$95,A882,ROBA_U_DOLASKU!$H$6:$H$95,3)</f>
        <v>0</v>
      </c>
      <c r="O882" s="9" t="n">
        <f aca="false">SUMIFS(ROBA_U_DOLASKU!$B$6:$B$95,ROBA_U_DOLASKU!$A$6:$A$95,A882,ROBA_U_DOLASKU!$H$6:$H$95,3)</f>
        <v>0</v>
      </c>
      <c r="P882" s="9" t="n">
        <f aca="false">IF(H882&lt;=0,999,IF(O882&gt;0,ROUND((F882-H882*N882+K882+M882+O882)/H882,1),IF(M882&gt;0,ROUND((F882-H882*L882+K882+M882)/H882,1),IF(K882&gt;0,ROUND((F882-H882*J882+K882)/H882,1),I882))))</f>
        <v>0</v>
      </c>
      <c r="Q882" s="22" t="str">
        <f aca="false">IF(H882&lt;=0,"Nema prodaje",IF(AND(K882=0,M882=0,O882=0),IF(I882&lt;POSTAVKE!$B$6,"Naruči odmah","Sve u redu"),IF(F882-H882*J882&lt;0,"Rupa za ~"&amp;TEXT(I882,"0.0")&amp;" mj.",IF(AND(M882&gt;0,F882-H882*L882+K882&lt;0),"Rupa nakon 1. dolaska",IF(AND(O882&gt;0,F882-H882*N882+K882+M882&lt;0),"Rupa nakon 2. dolaska",IF(P882&lt;POSTAVKE!$B$6,"Količina nije dovoljna",IF(I882&gt;=POSTAVKE!$B$6,"Sve u redu","Stiže na vrijeme")))))))</f>
        <v>Naruči odmah</v>
      </c>
      <c r="S882" s="23" t="n">
        <f aca="false">IFERROR(INDEX(PODACI_PRODAJA!B:B,MATCH($A882,PODACI_PRODAJA!$A:$A,0)),0)</f>
        <v>0</v>
      </c>
      <c r="T882" s="23" t="n">
        <f aca="false">IFERROR(INDEX(PODACI_PRODAJA!C:C,MATCH($A882,PODACI_PRODAJA!$A:$A,0)),0)</f>
        <v>0</v>
      </c>
      <c r="U882" s="23" t="n">
        <f aca="false">IFERROR(INDEX(PODACI_PRODAJA!D:D,MATCH($A882,PODACI_PRODAJA!$A:$A,0)),0)</f>
        <v>0</v>
      </c>
      <c r="V882" s="23" t="n">
        <f aca="false">IFERROR(INDEX(PODACI_PRODAJA!E:E,MATCH($A882,PODACI_PRODAJA!$A:$A,0)),0)</f>
        <v>1</v>
      </c>
      <c r="W882" s="23" t="n">
        <f aca="false">IFERROR(INDEX(PODACI_PRODAJA!F:F,MATCH($A882,PODACI_PRODAJA!$A:$A,0)),0)</f>
        <v>0</v>
      </c>
      <c r="X882" s="23" t="n">
        <f aca="false">IFERROR(INDEX(PODACI_PRODAJA!G:G,MATCH($A882,PODACI_PRODAJA!$A:$A,0)),0)</f>
        <v>0</v>
      </c>
      <c r="Y882" s="23" t="n">
        <f aca="false">IFERROR(INDEX(PODACI_PRODAJA!H:H,MATCH($A882,PODACI_PRODAJA!$A:$A,0)),0)</f>
        <v>0</v>
      </c>
      <c r="Z882" s="23" t="n">
        <f aca="false">IFERROR(INDEX(PODACI_PRODAJA!I:I,MATCH($A882,PODACI_PRODAJA!$A:$A,0)),0)</f>
        <v>0</v>
      </c>
      <c r="AA882" s="23" t="n">
        <f aca="false">IFERROR(INDEX(PODACI_PRODAJA!J:J,MATCH($A882,PODACI_PRODAJA!$A:$A,0)),0)</f>
        <v>0</v>
      </c>
      <c r="AB882" s="23" t="n">
        <f aca="false">IFERROR(INDEX(PODACI_PRODAJA!K:K,MATCH($A882,PODACI_PRODAJA!$A:$A,0)),0)</f>
        <v>0</v>
      </c>
      <c r="AC882" s="23" t="n">
        <f aca="false">IFERROR(INDEX(PODACI_PRODAJA!L:L,MATCH($A882,PODACI_PRODAJA!$A:$A,0)),0)</f>
        <v>0</v>
      </c>
      <c r="AD882" s="23" t="n">
        <f aca="false">IFERROR(INDEX(PODACI_PRODAJA!M:M,MATCH($A882,PODACI_PRODAJA!$A:$A,0)),0)</f>
        <v>0</v>
      </c>
    </row>
    <row r="883" customFormat="false" ht="15" hidden="false" customHeight="false" outlineLevel="0" collapsed="false">
      <c r="A883" s="11" t="str">
        <f aca="false">PODACI_ZALIHE!A880</f>
        <v>16141</v>
      </c>
      <c r="B883" s="8" t="str">
        <f aca="false">PODACI_ZALIHE!B880</f>
        <v>AURA BRONZE MIJEŠALICA ZA KADU</v>
      </c>
      <c r="C883" s="9" t="n">
        <f aca="false">PODACI_ZALIHE!C880</f>
        <v>0</v>
      </c>
      <c r="D883" s="8" t="n">
        <f aca="false">PODACI_ZALIHE!D880</f>
        <v>0</v>
      </c>
      <c r="E883" s="19" t="str">
        <f aca="false">IF(PODACI_ZALIHE!E880="","",PODACI_ZALIHE!E880)</f>
        <v/>
      </c>
      <c r="F883" s="20" t="n">
        <f aca="false">PODACI_ZALIHE!F880</f>
        <v>0</v>
      </c>
      <c r="G883" s="19" t="str">
        <f aca="false">IF(E883="","",E883-F883)</f>
        <v/>
      </c>
      <c r="H883" s="9" t="n">
        <f aca="false">PODACI_PRODAJA!N569</f>
        <v>0.13</v>
      </c>
      <c r="I883" s="21" t="n">
        <f aca="false">IF(H883&lt;=0,999,ROUND(F883/H883,1))</f>
        <v>0</v>
      </c>
      <c r="J883" s="9" t="n">
        <f aca="false">SUMIFS(ROBA_U_DOLASKU!$C$6:$C$95,ROBA_U_DOLASKU!$A$6:$A$95,A883,ROBA_U_DOLASKU!$H$6:$H$95,1)</f>
        <v>0</v>
      </c>
      <c r="K883" s="9" t="n">
        <f aca="false">SUMIFS(ROBA_U_DOLASKU!$B$6:$B$95,ROBA_U_DOLASKU!$A$6:$A$95,A883,ROBA_U_DOLASKU!$H$6:$H$95,1)</f>
        <v>0</v>
      </c>
      <c r="L883" s="9" t="n">
        <f aca="false">SUMIFS(ROBA_U_DOLASKU!$C$6:$C$95,ROBA_U_DOLASKU!$A$6:$A$95,A883,ROBA_U_DOLASKU!$H$6:$H$95,2)</f>
        <v>0</v>
      </c>
      <c r="M883" s="9" t="n">
        <f aca="false">SUMIFS(ROBA_U_DOLASKU!$B$6:$B$95,ROBA_U_DOLASKU!$A$6:$A$95,A883,ROBA_U_DOLASKU!$H$6:$H$95,2)</f>
        <v>0</v>
      </c>
      <c r="N883" s="9" t="n">
        <f aca="false">SUMIFS(ROBA_U_DOLASKU!$C$6:$C$95,ROBA_U_DOLASKU!$A$6:$A$95,A883,ROBA_U_DOLASKU!$H$6:$H$95,3)</f>
        <v>0</v>
      </c>
      <c r="O883" s="9" t="n">
        <f aca="false">SUMIFS(ROBA_U_DOLASKU!$B$6:$B$95,ROBA_U_DOLASKU!$A$6:$A$95,A883,ROBA_U_DOLASKU!$H$6:$H$95,3)</f>
        <v>0</v>
      </c>
      <c r="P883" s="9" t="n">
        <f aca="false">IF(H883&lt;=0,999,IF(O883&gt;0,ROUND((F883-H883*N883+K883+M883+O883)/H883,1),IF(M883&gt;0,ROUND((F883-H883*L883+K883+M883)/H883,1),IF(K883&gt;0,ROUND((F883-H883*J883+K883)/H883,1),I883))))</f>
        <v>0</v>
      </c>
      <c r="Q883" s="22" t="str">
        <f aca="false">IF(H883&lt;=0,"Nema prodaje",IF(AND(K883=0,M883=0,O883=0),IF(I883&lt;POSTAVKE!$B$6,"Naruči odmah","Sve u redu"),IF(F883-H883*J883&lt;0,"Rupa za ~"&amp;TEXT(I883,"0.0")&amp;" mj.",IF(AND(M883&gt;0,F883-H883*L883+K883&lt;0),"Rupa nakon 1. dolaska",IF(AND(O883&gt;0,F883-H883*N883+K883+M883&lt;0),"Rupa nakon 2. dolaska",IF(P883&lt;POSTAVKE!$B$6,"Količina nije dovoljna",IF(I883&gt;=POSTAVKE!$B$6,"Sve u redu","Stiže na vrijeme")))))))</f>
        <v>Naruči odmah</v>
      </c>
      <c r="S883" s="23" t="n">
        <f aca="false">IFERROR(INDEX(PODACI_PRODAJA!B:B,MATCH($A883,PODACI_PRODAJA!$A:$A,0)),0)</f>
        <v>0</v>
      </c>
      <c r="T883" s="23" t="n">
        <f aca="false">IFERROR(INDEX(PODACI_PRODAJA!C:C,MATCH($A883,PODACI_PRODAJA!$A:$A,0)),0)</f>
        <v>0</v>
      </c>
      <c r="U883" s="23" t="n">
        <f aca="false">IFERROR(INDEX(PODACI_PRODAJA!D:D,MATCH($A883,PODACI_PRODAJA!$A:$A,0)),0)</f>
        <v>0</v>
      </c>
      <c r="V883" s="23" t="n">
        <f aca="false">IFERROR(INDEX(PODACI_PRODAJA!E:E,MATCH($A883,PODACI_PRODAJA!$A:$A,0)),0)</f>
        <v>1</v>
      </c>
      <c r="W883" s="23" t="n">
        <f aca="false">IFERROR(INDEX(PODACI_PRODAJA!F:F,MATCH($A883,PODACI_PRODAJA!$A:$A,0)),0)</f>
        <v>0</v>
      </c>
      <c r="X883" s="23" t="n">
        <f aca="false">IFERROR(INDEX(PODACI_PRODAJA!G:G,MATCH($A883,PODACI_PRODAJA!$A:$A,0)),0)</f>
        <v>0</v>
      </c>
      <c r="Y883" s="23" t="n">
        <f aca="false">IFERROR(INDEX(PODACI_PRODAJA!H:H,MATCH($A883,PODACI_PRODAJA!$A:$A,0)),0)</f>
        <v>0</v>
      </c>
      <c r="Z883" s="23" t="n">
        <f aca="false">IFERROR(INDEX(PODACI_PRODAJA!I:I,MATCH($A883,PODACI_PRODAJA!$A:$A,0)),0)</f>
        <v>0</v>
      </c>
      <c r="AA883" s="23" t="n">
        <f aca="false">IFERROR(INDEX(PODACI_PRODAJA!J:J,MATCH($A883,PODACI_PRODAJA!$A:$A,0)),0)</f>
        <v>0</v>
      </c>
      <c r="AB883" s="23" t="n">
        <f aca="false">IFERROR(INDEX(PODACI_PRODAJA!K:K,MATCH($A883,PODACI_PRODAJA!$A:$A,0)),0)</f>
        <v>0</v>
      </c>
      <c r="AC883" s="23" t="n">
        <f aca="false">IFERROR(INDEX(PODACI_PRODAJA!L:L,MATCH($A883,PODACI_PRODAJA!$A:$A,0)),0)</f>
        <v>0</v>
      </c>
      <c r="AD883" s="23" t="n">
        <f aca="false">IFERROR(INDEX(PODACI_PRODAJA!M:M,MATCH($A883,PODACI_PRODAJA!$A:$A,0)),0)</f>
        <v>0</v>
      </c>
    </row>
    <row r="884" customFormat="false" ht="15" hidden="false" customHeight="false" outlineLevel="0" collapsed="false">
      <c r="A884" s="11" t="str">
        <f aca="false">PODACI_ZALIHE!A881</f>
        <v>16142</v>
      </c>
      <c r="B884" s="8" t="str">
        <f aca="false">PODACI_ZALIHE!B881</f>
        <v>NOVARA MIJEŠALICA ZA SUDOPER</v>
      </c>
      <c r="C884" s="9" t="n">
        <f aca="false">PODACI_ZALIHE!C881</f>
        <v>0</v>
      </c>
      <c r="D884" s="8" t="n">
        <f aca="false">PODACI_ZALIHE!D881</f>
        <v>0</v>
      </c>
      <c r="E884" s="19" t="str">
        <f aca="false">IF(PODACI_ZALIHE!E881="","",PODACI_ZALIHE!E881)</f>
        <v/>
      </c>
      <c r="F884" s="20" t="n">
        <f aca="false">PODACI_ZALIHE!F881</f>
        <v>0</v>
      </c>
      <c r="G884" s="19" t="str">
        <f aca="false">IF(E884="","",E884-F884)</f>
        <v/>
      </c>
      <c r="H884" s="9" t="n">
        <f aca="false">PODACI_PRODAJA!N570</f>
        <v>-0.13</v>
      </c>
      <c r="I884" s="21" t="n">
        <f aca="false">IF(H884&lt;=0,999,ROUND(F884/H884,1))</f>
        <v>999</v>
      </c>
      <c r="J884" s="9" t="n">
        <f aca="false">SUMIFS(ROBA_U_DOLASKU!$C$6:$C$95,ROBA_U_DOLASKU!$A$6:$A$95,A884,ROBA_U_DOLASKU!$H$6:$H$95,1)</f>
        <v>0</v>
      </c>
      <c r="K884" s="9" t="n">
        <f aca="false">SUMIFS(ROBA_U_DOLASKU!$B$6:$B$95,ROBA_U_DOLASKU!$A$6:$A$95,A884,ROBA_U_DOLASKU!$H$6:$H$95,1)</f>
        <v>0</v>
      </c>
      <c r="L884" s="9" t="n">
        <f aca="false">SUMIFS(ROBA_U_DOLASKU!$C$6:$C$95,ROBA_U_DOLASKU!$A$6:$A$95,A884,ROBA_U_DOLASKU!$H$6:$H$95,2)</f>
        <v>0</v>
      </c>
      <c r="M884" s="9" t="n">
        <f aca="false">SUMIFS(ROBA_U_DOLASKU!$B$6:$B$95,ROBA_U_DOLASKU!$A$6:$A$95,A884,ROBA_U_DOLASKU!$H$6:$H$95,2)</f>
        <v>0</v>
      </c>
      <c r="N884" s="9" t="n">
        <f aca="false">SUMIFS(ROBA_U_DOLASKU!$C$6:$C$95,ROBA_U_DOLASKU!$A$6:$A$95,A884,ROBA_U_DOLASKU!$H$6:$H$95,3)</f>
        <v>0</v>
      </c>
      <c r="O884" s="9" t="n">
        <f aca="false">SUMIFS(ROBA_U_DOLASKU!$B$6:$B$95,ROBA_U_DOLASKU!$A$6:$A$95,A884,ROBA_U_DOLASKU!$H$6:$H$95,3)</f>
        <v>0</v>
      </c>
      <c r="P884" s="9" t="n">
        <f aca="false">IF(H884&lt;=0,999,IF(O884&gt;0,ROUND((F884-H884*N884+K884+M884+O884)/H884,1),IF(M884&gt;0,ROUND((F884-H884*L884+K884+M884)/H884,1),IF(K884&gt;0,ROUND((F884-H884*J884+K884)/H884,1),I884))))</f>
        <v>999</v>
      </c>
      <c r="Q884" s="22" t="str">
        <f aca="false">IF(H884&lt;=0,"Nema prodaje",IF(AND(K884=0,M884=0,O884=0),IF(I884&lt;POSTAVKE!$B$6,"Naruči odmah","Sve u redu"),IF(F884-H884*J884&lt;0,"Rupa za ~"&amp;TEXT(I884,"0.0")&amp;" mj.",IF(AND(M884&gt;0,F884-H884*L884+K884&lt;0),"Rupa nakon 1. dolaska",IF(AND(O884&gt;0,F884-H884*N884+K884+M884&lt;0),"Rupa nakon 2. dolaska",IF(P884&lt;POSTAVKE!$B$6,"Količina nije dovoljna",IF(I884&gt;=POSTAVKE!$B$6,"Sve u redu","Stiže na vrijeme")))))))</f>
        <v>Nema prodaje</v>
      </c>
      <c r="S884" s="23" t="n">
        <f aca="false">IFERROR(INDEX(PODACI_PRODAJA!B:B,MATCH($A884,PODACI_PRODAJA!$A:$A,0)),0)</f>
        <v>0</v>
      </c>
      <c r="T884" s="23" t="n">
        <f aca="false">IFERROR(INDEX(PODACI_PRODAJA!C:C,MATCH($A884,PODACI_PRODAJA!$A:$A,0)),0)</f>
        <v>0</v>
      </c>
      <c r="U884" s="23" t="n">
        <f aca="false">IFERROR(INDEX(PODACI_PRODAJA!D:D,MATCH($A884,PODACI_PRODAJA!$A:$A,0)),0)</f>
        <v>0</v>
      </c>
      <c r="V884" s="23" t="n">
        <f aca="false">IFERROR(INDEX(PODACI_PRODAJA!E:E,MATCH($A884,PODACI_PRODAJA!$A:$A,0)),0)</f>
        <v>-1</v>
      </c>
      <c r="W884" s="23" t="n">
        <f aca="false">IFERROR(INDEX(PODACI_PRODAJA!F:F,MATCH($A884,PODACI_PRODAJA!$A:$A,0)),0)</f>
        <v>0</v>
      </c>
      <c r="X884" s="23" t="n">
        <f aca="false">IFERROR(INDEX(PODACI_PRODAJA!G:G,MATCH($A884,PODACI_PRODAJA!$A:$A,0)),0)</f>
        <v>0</v>
      </c>
      <c r="Y884" s="23" t="n">
        <f aca="false">IFERROR(INDEX(PODACI_PRODAJA!H:H,MATCH($A884,PODACI_PRODAJA!$A:$A,0)),0)</f>
        <v>0</v>
      </c>
      <c r="Z884" s="23" t="n">
        <f aca="false">IFERROR(INDEX(PODACI_PRODAJA!I:I,MATCH($A884,PODACI_PRODAJA!$A:$A,0)),0)</f>
        <v>0</v>
      </c>
      <c r="AA884" s="23" t="n">
        <f aca="false">IFERROR(INDEX(PODACI_PRODAJA!J:J,MATCH($A884,PODACI_PRODAJA!$A:$A,0)),0)</f>
        <v>0</v>
      </c>
      <c r="AB884" s="23" t="n">
        <f aca="false">IFERROR(INDEX(PODACI_PRODAJA!K:K,MATCH($A884,PODACI_PRODAJA!$A:$A,0)),0)</f>
        <v>0</v>
      </c>
      <c r="AC884" s="23" t="n">
        <f aca="false">IFERROR(INDEX(PODACI_PRODAJA!L:L,MATCH($A884,PODACI_PRODAJA!$A:$A,0)),0)</f>
        <v>0</v>
      </c>
      <c r="AD884" s="23" t="n">
        <f aca="false">IFERROR(INDEX(PODACI_PRODAJA!M:M,MATCH($A884,PODACI_PRODAJA!$A:$A,0)),0)</f>
        <v>0</v>
      </c>
    </row>
    <row r="885" customFormat="false" ht="15" hidden="false" customHeight="false" outlineLevel="0" collapsed="false">
      <c r="A885" s="11" t="str">
        <f aca="false">PODACI_ZALIHE!A882</f>
        <v>16194</v>
      </c>
      <c r="B885" s="8" t="str">
        <f aca="false">PODACI_ZALIHE!B882</f>
        <v>EMBER UGRADBENI KERAMIČKI UMIVAONIK BIJELI 600x450x155 mm</v>
      </c>
      <c r="C885" s="9" t="n">
        <f aca="false">PODACI_ZALIHE!C882</f>
        <v>0</v>
      </c>
      <c r="D885" s="8" t="n">
        <f aca="false">PODACI_ZALIHE!D882</f>
        <v>0</v>
      </c>
      <c r="E885" s="19" t="str">
        <f aca="false">IF(PODACI_ZALIHE!E882="","",PODACI_ZALIHE!E882)</f>
        <v/>
      </c>
      <c r="F885" s="20" t="n">
        <f aca="false">PODACI_ZALIHE!F882</f>
        <v>0</v>
      </c>
      <c r="G885" s="19" t="str">
        <f aca="false">IF(E885="","",E885-F885)</f>
        <v/>
      </c>
      <c r="H885" s="9" t="n">
        <f aca="false">PODACI_PRODAJA!N573</f>
        <v>0.13</v>
      </c>
      <c r="I885" s="21" t="n">
        <f aca="false">IF(H885&lt;=0,999,ROUND(F885/H885,1))</f>
        <v>0</v>
      </c>
      <c r="J885" s="9" t="n">
        <f aca="false">SUMIFS(ROBA_U_DOLASKU!$C$6:$C$95,ROBA_U_DOLASKU!$A$6:$A$95,A885,ROBA_U_DOLASKU!$H$6:$H$95,1)</f>
        <v>0</v>
      </c>
      <c r="K885" s="9" t="n">
        <f aca="false">SUMIFS(ROBA_U_DOLASKU!$B$6:$B$95,ROBA_U_DOLASKU!$A$6:$A$95,A885,ROBA_U_DOLASKU!$H$6:$H$95,1)</f>
        <v>0</v>
      </c>
      <c r="L885" s="9" t="n">
        <f aca="false">SUMIFS(ROBA_U_DOLASKU!$C$6:$C$95,ROBA_U_DOLASKU!$A$6:$A$95,A885,ROBA_U_DOLASKU!$H$6:$H$95,2)</f>
        <v>0</v>
      </c>
      <c r="M885" s="9" t="n">
        <f aca="false">SUMIFS(ROBA_U_DOLASKU!$B$6:$B$95,ROBA_U_DOLASKU!$A$6:$A$95,A885,ROBA_U_DOLASKU!$H$6:$H$95,2)</f>
        <v>0</v>
      </c>
      <c r="N885" s="9" t="n">
        <f aca="false">SUMIFS(ROBA_U_DOLASKU!$C$6:$C$95,ROBA_U_DOLASKU!$A$6:$A$95,A885,ROBA_U_DOLASKU!$H$6:$H$95,3)</f>
        <v>0</v>
      </c>
      <c r="O885" s="9" t="n">
        <f aca="false">SUMIFS(ROBA_U_DOLASKU!$B$6:$B$95,ROBA_U_DOLASKU!$A$6:$A$95,A885,ROBA_U_DOLASKU!$H$6:$H$95,3)</f>
        <v>0</v>
      </c>
      <c r="P885" s="9" t="n">
        <f aca="false">IF(H885&lt;=0,999,IF(O885&gt;0,ROUND((F885-H885*N885+K885+M885+O885)/H885,1),IF(M885&gt;0,ROUND((F885-H885*L885+K885+M885)/H885,1),IF(K885&gt;0,ROUND((F885-H885*J885+K885)/H885,1),I885))))</f>
        <v>0</v>
      </c>
      <c r="Q885" s="22" t="str">
        <f aca="false">IF(H885&lt;=0,"Nema prodaje",IF(AND(K885=0,M885=0,O885=0),IF(I885&lt;POSTAVKE!$B$6,"Naruči odmah","Sve u redu"),IF(F885-H885*J885&lt;0,"Rupa za ~"&amp;TEXT(I885,"0.0")&amp;" mj.",IF(AND(M885&gt;0,F885-H885*L885+K885&lt;0),"Rupa nakon 1. dolaska",IF(AND(O885&gt;0,F885-H885*N885+K885+M885&lt;0),"Rupa nakon 2. dolaska",IF(P885&lt;POSTAVKE!$B$6,"Količina nije dovoljna",IF(I885&gt;=POSTAVKE!$B$6,"Sve u redu","Stiže na vrijeme")))))))</f>
        <v>Naruči odmah</v>
      </c>
      <c r="S885" s="23" t="n">
        <f aca="false">IFERROR(INDEX(PODACI_PRODAJA!B:B,MATCH($A885,PODACI_PRODAJA!$A:$A,0)),0)</f>
        <v>0</v>
      </c>
      <c r="T885" s="23" t="n">
        <f aca="false">IFERROR(INDEX(PODACI_PRODAJA!C:C,MATCH($A885,PODACI_PRODAJA!$A:$A,0)),0)</f>
        <v>0</v>
      </c>
      <c r="U885" s="23" t="n">
        <f aca="false">IFERROR(INDEX(PODACI_PRODAJA!D:D,MATCH($A885,PODACI_PRODAJA!$A:$A,0)),0)</f>
        <v>0</v>
      </c>
      <c r="V885" s="23" t="n">
        <f aca="false">IFERROR(INDEX(PODACI_PRODAJA!E:E,MATCH($A885,PODACI_PRODAJA!$A:$A,0)),0)</f>
        <v>0</v>
      </c>
      <c r="W885" s="23" t="n">
        <f aca="false">IFERROR(INDEX(PODACI_PRODAJA!F:F,MATCH($A885,PODACI_PRODAJA!$A:$A,0)),0)</f>
        <v>0</v>
      </c>
      <c r="X885" s="23" t="n">
        <f aca="false">IFERROR(INDEX(PODACI_PRODAJA!G:G,MATCH($A885,PODACI_PRODAJA!$A:$A,0)),0)</f>
        <v>0</v>
      </c>
      <c r="Y885" s="23" t="n">
        <f aca="false">IFERROR(INDEX(PODACI_PRODAJA!H:H,MATCH($A885,PODACI_PRODAJA!$A:$A,0)),0)</f>
        <v>0</v>
      </c>
      <c r="Z885" s="23" t="n">
        <f aca="false">IFERROR(INDEX(PODACI_PRODAJA!I:I,MATCH($A885,PODACI_PRODAJA!$A:$A,0)),0)</f>
        <v>1</v>
      </c>
      <c r="AA885" s="23" t="n">
        <f aca="false">IFERROR(INDEX(PODACI_PRODAJA!J:J,MATCH($A885,PODACI_PRODAJA!$A:$A,0)),0)</f>
        <v>0</v>
      </c>
      <c r="AB885" s="23" t="n">
        <f aca="false">IFERROR(INDEX(PODACI_PRODAJA!K:K,MATCH($A885,PODACI_PRODAJA!$A:$A,0)),0)</f>
        <v>0</v>
      </c>
      <c r="AC885" s="23" t="n">
        <f aca="false">IFERROR(INDEX(PODACI_PRODAJA!L:L,MATCH($A885,PODACI_PRODAJA!$A:$A,0)),0)</f>
        <v>0</v>
      </c>
      <c r="AD885" s="23" t="n">
        <f aca="false">IFERROR(INDEX(PODACI_PRODAJA!M:M,MATCH($A885,PODACI_PRODAJA!$A:$A,0)),0)</f>
        <v>0</v>
      </c>
    </row>
    <row r="886" customFormat="false" ht="15" hidden="false" customHeight="false" outlineLevel="0" collapsed="false">
      <c r="A886" s="11" t="str">
        <f aca="false">PODACI_ZALIHE!A883</f>
        <v>16302</v>
      </c>
      <c r="B886" s="8" t="str">
        <f aca="false">PODACI_ZALIHE!B883</f>
        <v>OLIVIA UGRADBENI KERAMIČKI UMIVAONIK BIJELI 700x455x100 mm</v>
      </c>
      <c r="C886" s="9" t="n">
        <f aca="false">PODACI_ZALIHE!C883</f>
        <v>0</v>
      </c>
      <c r="D886" s="8" t="n">
        <f aca="false">PODACI_ZALIHE!D883</f>
        <v>0</v>
      </c>
      <c r="E886" s="19" t="str">
        <f aca="false">IF(PODACI_ZALIHE!E883="","",PODACI_ZALIHE!E883)</f>
        <v/>
      </c>
      <c r="F886" s="20" t="n">
        <f aca="false">PODACI_ZALIHE!F883</f>
        <v>0</v>
      </c>
      <c r="G886" s="19" t="str">
        <f aca="false">IF(E886="","",E886-F886)</f>
        <v/>
      </c>
      <c r="H886" s="9" t="n">
        <f aca="false">PODACI_PRODAJA!N574</f>
        <v>-0.13</v>
      </c>
      <c r="I886" s="21" t="n">
        <f aca="false">IF(H886&lt;=0,999,ROUND(F886/H886,1))</f>
        <v>999</v>
      </c>
      <c r="J886" s="9" t="n">
        <f aca="false">SUMIFS(ROBA_U_DOLASKU!$C$6:$C$95,ROBA_U_DOLASKU!$A$6:$A$95,A886,ROBA_U_DOLASKU!$H$6:$H$95,1)</f>
        <v>0</v>
      </c>
      <c r="K886" s="9" t="n">
        <f aca="false">SUMIFS(ROBA_U_DOLASKU!$B$6:$B$95,ROBA_U_DOLASKU!$A$6:$A$95,A886,ROBA_U_DOLASKU!$H$6:$H$95,1)</f>
        <v>0</v>
      </c>
      <c r="L886" s="9" t="n">
        <f aca="false">SUMIFS(ROBA_U_DOLASKU!$C$6:$C$95,ROBA_U_DOLASKU!$A$6:$A$95,A886,ROBA_U_DOLASKU!$H$6:$H$95,2)</f>
        <v>0</v>
      </c>
      <c r="M886" s="9" t="n">
        <f aca="false">SUMIFS(ROBA_U_DOLASKU!$B$6:$B$95,ROBA_U_DOLASKU!$A$6:$A$95,A886,ROBA_U_DOLASKU!$H$6:$H$95,2)</f>
        <v>0</v>
      </c>
      <c r="N886" s="9" t="n">
        <f aca="false">SUMIFS(ROBA_U_DOLASKU!$C$6:$C$95,ROBA_U_DOLASKU!$A$6:$A$95,A886,ROBA_U_DOLASKU!$H$6:$H$95,3)</f>
        <v>0</v>
      </c>
      <c r="O886" s="9" t="n">
        <f aca="false">SUMIFS(ROBA_U_DOLASKU!$B$6:$B$95,ROBA_U_DOLASKU!$A$6:$A$95,A886,ROBA_U_DOLASKU!$H$6:$H$95,3)</f>
        <v>0</v>
      </c>
      <c r="P886" s="9" t="n">
        <f aca="false">IF(H886&lt;=0,999,IF(O886&gt;0,ROUND((F886-H886*N886+K886+M886+O886)/H886,1),IF(M886&gt;0,ROUND((F886-H886*L886+K886+M886)/H886,1),IF(K886&gt;0,ROUND((F886-H886*J886+K886)/H886,1),I886))))</f>
        <v>999</v>
      </c>
      <c r="Q886" s="22" t="str">
        <f aca="false">IF(H886&lt;=0,"Nema prodaje",IF(AND(K886=0,M886=0,O886=0),IF(I886&lt;POSTAVKE!$B$6,"Naruči odmah","Sve u redu"),IF(F886-H886*J886&lt;0,"Rupa za ~"&amp;TEXT(I886,"0.0")&amp;" mj.",IF(AND(M886&gt;0,F886-H886*L886+K886&lt;0),"Rupa nakon 1. dolaska",IF(AND(O886&gt;0,F886-H886*N886+K886+M886&lt;0),"Rupa nakon 2. dolaska",IF(P886&lt;POSTAVKE!$B$6,"Količina nije dovoljna",IF(I886&gt;=POSTAVKE!$B$6,"Sve u redu","Stiže na vrijeme")))))))</f>
        <v>Nema prodaje</v>
      </c>
      <c r="S886" s="23" t="n">
        <f aca="false">IFERROR(INDEX(PODACI_PRODAJA!B:B,MATCH($A886,PODACI_PRODAJA!$A:$A,0)),0)</f>
        <v>0</v>
      </c>
      <c r="T886" s="23" t="n">
        <f aca="false">IFERROR(INDEX(PODACI_PRODAJA!C:C,MATCH($A886,PODACI_PRODAJA!$A:$A,0)),0)</f>
        <v>0</v>
      </c>
      <c r="U886" s="23" t="n">
        <f aca="false">IFERROR(INDEX(PODACI_PRODAJA!D:D,MATCH($A886,PODACI_PRODAJA!$A:$A,0)),0)</f>
        <v>0</v>
      </c>
      <c r="V886" s="23" t="n">
        <f aca="false">IFERROR(INDEX(PODACI_PRODAJA!E:E,MATCH($A886,PODACI_PRODAJA!$A:$A,0)),0)</f>
        <v>0</v>
      </c>
      <c r="W886" s="23" t="n">
        <f aca="false">IFERROR(INDEX(PODACI_PRODAJA!F:F,MATCH($A886,PODACI_PRODAJA!$A:$A,0)),0)</f>
        <v>-1</v>
      </c>
      <c r="X886" s="23" t="n">
        <f aca="false">IFERROR(INDEX(PODACI_PRODAJA!G:G,MATCH($A886,PODACI_PRODAJA!$A:$A,0)),0)</f>
        <v>0</v>
      </c>
      <c r="Y886" s="23" t="n">
        <f aca="false">IFERROR(INDEX(PODACI_PRODAJA!H:H,MATCH($A886,PODACI_PRODAJA!$A:$A,0)),0)</f>
        <v>0</v>
      </c>
      <c r="Z886" s="23" t="n">
        <f aca="false">IFERROR(INDEX(PODACI_PRODAJA!I:I,MATCH($A886,PODACI_PRODAJA!$A:$A,0)),0)</f>
        <v>0</v>
      </c>
      <c r="AA886" s="23" t="n">
        <f aca="false">IFERROR(INDEX(PODACI_PRODAJA!J:J,MATCH($A886,PODACI_PRODAJA!$A:$A,0)),0)</f>
        <v>0</v>
      </c>
      <c r="AB886" s="23" t="n">
        <f aca="false">IFERROR(INDEX(PODACI_PRODAJA!K:K,MATCH($A886,PODACI_PRODAJA!$A:$A,0)),0)</f>
        <v>0</v>
      </c>
      <c r="AC886" s="23" t="n">
        <f aca="false">IFERROR(INDEX(PODACI_PRODAJA!L:L,MATCH($A886,PODACI_PRODAJA!$A:$A,0)),0)</f>
        <v>0</v>
      </c>
      <c r="AD886" s="23" t="n">
        <f aca="false">IFERROR(INDEX(PODACI_PRODAJA!M:M,MATCH($A886,PODACI_PRODAJA!$A:$A,0)),0)</f>
        <v>0</v>
      </c>
    </row>
    <row r="887" customFormat="false" ht="15" hidden="false" customHeight="false" outlineLevel="0" collapsed="false">
      <c r="A887" s="11" t="str">
        <f aca="false">PODACI_ZALIHE!A884</f>
        <v>16303</v>
      </c>
      <c r="B887" s="8" t="str">
        <f aca="false">PODACI_ZALIHE!B884</f>
        <v>OLIVIA UGRADBENI KERAMIČKI UMIVAONIK CRNI MAT 700x455x100 mm</v>
      </c>
      <c r="C887" s="9" t="n">
        <f aca="false">PODACI_ZALIHE!C884</f>
        <v>0</v>
      </c>
      <c r="D887" s="8" t="n">
        <f aca="false">PODACI_ZALIHE!D884</f>
        <v>0</v>
      </c>
      <c r="E887" s="19" t="str">
        <f aca="false">IF(PODACI_ZALIHE!E884="","",PODACI_ZALIHE!E884)</f>
        <v/>
      </c>
      <c r="F887" s="20" t="n">
        <f aca="false">PODACI_ZALIHE!F884</f>
        <v>0</v>
      </c>
      <c r="G887" s="19" t="str">
        <f aca="false">IF(E887="","",E887-F887)</f>
        <v/>
      </c>
      <c r="H887" s="9" t="n">
        <f aca="false">PODACI_PRODAJA!N575</f>
        <v>0.13</v>
      </c>
      <c r="I887" s="21" t="n">
        <f aca="false">IF(H887&lt;=0,999,ROUND(F887/H887,1))</f>
        <v>0</v>
      </c>
      <c r="J887" s="9" t="n">
        <f aca="false">SUMIFS(ROBA_U_DOLASKU!$C$6:$C$95,ROBA_U_DOLASKU!$A$6:$A$95,A887,ROBA_U_DOLASKU!$H$6:$H$95,1)</f>
        <v>0</v>
      </c>
      <c r="K887" s="9" t="n">
        <f aca="false">SUMIFS(ROBA_U_DOLASKU!$B$6:$B$95,ROBA_U_DOLASKU!$A$6:$A$95,A887,ROBA_U_DOLASKU!$H$6:$H$95,1)</f>
        <v>0</v>
      </c>
      <c r="L887" s="9" t="n">
        <f aca="false">SUMIFS(ROBA_U_DOLASKU!$C$6:$C$95,ROBA_U_DOLASKU!$A$6:$A$95,A887,ROBA_U_DOLASKU!$H$6:$H$95,2)</f>
        <v>0</v>
      </c>
      <c r="M887" s="9" t="n">
        <f aca="false">SUMIFS(ROBA_U_DOLASKU!$B$6:$B$95,ROBA_U_DOLASKU!$A$6:$A$95,A887,ROBA_U_DOLASKU!$H$6:$H$95,2)</f>
        <v>0</v>
      </c>
      <c r="N887" s="9" t="n">
        <f aca="false">SUMIFS(ROBA_U_DOLASKU!$C$6:$C$95,ROBA_U_DOLASKU!$A$6:$A$95,A887,ROBA_U_DOLASKU!$H$6:$H$95,3)</f>
        <v>0</v>
      </c>
      <c r="O887" s="9" t="n">
        <f aca="false">SUMIFS(ROBA_U_DOLASKU!$B$6:$B$95,ROBA_U_DOLASKU!$A$6:$A$95,A887,ROBA_U_DOLASKU!$H$6:$H$95,3)</f>
        <v>0</v>
      </c>
      <c r="P887" s="9" t="n">
        <f aca="false">IF(H887&lt;=0,999,IF(O887&gt;0,ROUND((F887-H887*N887+K887+M887+O887)/H887,1),IF(M887&gt;0,ROUND((F887-H887*L887+K887+M887)/H887,1),IF(K887&gt;0,ROUND((F887-H887*J887+K887)/H887,1),I887))))</f>
        <v>0</v>
      </c>
      <c r="Q887" s="22" t="str">
        <f aca="false">IF(H887&lt;=0,"Nema prodaje",IF(AND(K887=0,M887=0,O887=0),IF(I887&lt;POSTAVKE!$B$6,"Naruči odmah","Sve u redu"),IF(F887-H887*J887&lt;0,"Rupa za ~"&amp;TEXT(I887,"0.0")&amp;" mj.",IF(AND(M887&gt;0,F887-H887*L887+K887&lt;0),"Rupa nakon 1. dolaska",IF(AND(O887&gt;0,F887-H887*N887+K887+M887&lt;0),"Rupa nakon 2. dolaska",IF(P887&lt;POSTAVKE!$B$6,"Količina nije dovoljna",IF(I887&gt;=POSTAVKE!$B$6,"Sve u redu","Stiže na vrijeme")))))))</f>
        <v>Naruči odmah</v>
      </c>
      <c r="S887" s="23" t="n">
        <f aca="false">IFERROR(INDEX(PODACI_PRODAJA!B:B,MATCH($A887,PODACI_PRODAJA!$A:$A,0)),0)</f>
        <v>0</v>
      </c>
      <c r="T887" s="23" t="n">
        <f aca="false">IFERROR(INDEX(PODACI_PRODAJA!C:C,MATCH($A887,PODACI_PRODAJA!$A:$A,0)),0)</f>
        <v>0</v>
      </c>
      <c r="U887" s="23" t="n">
        <f aca="false">IFERROR(INDEX(PODACI_PRODAJA!D:D,MATCH($A887,PODACI_PRODAJA!$A:$A,0)),0)</f>
        <v>0</v>
      </c>
      <c r="V887" s="23" t="n">
        <f aca="false">IFERROR(INDEX(PODACI_PRODAJA!E:E,MATCH($A887,PODACI_PRODAJA!$A:$A,0)),0)</f>
        <v>0</v>
      </c>
      <c r="W887" s="23" t="n">
        <f aca="false">IFERROR(INDEX(PODACI_PRODAJA!F:F,MATCH($A887,PODACI_PRODAJA!$A:$A,0)),0)</f>
        <v>1</v>
      </c>
      <c r="X887" s="23" t="n">
        <f aca="false">IFERROR(INDEX(PODACI_PRODAJA!G:G,MATCH($A887,PODACI_PRODAJA!$A:$A,0)),0)</f>
        <v>0</v>
      </c>
      <c r="Y887" s="23" t="n">
        <f aca="false">IFERROR(INDEX(PODACI_PRODAJA!H:H,MATCH($A887,PODACI_PRODAJA!$A:$A,0)),0)</f>
        <v>0</v>
      </c>
      <c r="Z887" s="23" t="n">
        <f aca="false">IFERROR(INDEX(PODACI_PRODAJA!I:I,MATCH($A887,PODACI_PRODAJA!$A:$A,0)),0)</f>
        <v>0</v>
      </c>
      <c r="AA887" s="23" t="n">
        <f aca="false">IFERROR(INDEX(PODACI_PRODAJA!J:J,MATCH($A887,PODACI_PRODAJA!$A:$A,0)),0)</f>
        <v>0</v>
      </c>
      <c r="AB887" s="23" t="n">
        <f aca="false">IFERROR(INDEX(PODACI_PRODAJA!K:K,MATCH($A887,PODACI_PRODAJA!$A:$A,0)),0)</f>
        <v>0</v>
      </c>
      <c r="AC887" s="23" t="n">
        <f aca="false">IFERROR(INDEX(PODACI_PRODAJA!L:L,MATCH($A887,PODACI_PRODAJA!$A:$A,0)),0)</f>
        <v>0</v>
      </c>
      <c r="AD887" s="23" t="n">
        <f aca="false">IFERROR(INDEX(PODACI_PRODAJA!M:M,MATCH($A887,PODACI_PRODAJA!$A:$A,0)),0)</f>
        <v>0</v>
      </c>
    </row>
    <row r="888" customFormat="false" ht="15" hidden="false" customHeight="false" outlineLevel="0" collapsed="false">
      <c r="A888" s="11" t="str">
        <f aca="false">PODACI_ZALIHE!A885</f>
        <v>16784</v>
      </c>
      <c r="B888" s="8" t="str">
        <f aca="false">PODACI_ZALIHE!B885</f>
        <v>FAIRY 80R - POLUKRUŽNA TUŠ KABINA 80X80X193 CM</v>
      </c>
      <c r="C888" s="9" t="n">
        <f aca="false">PODACI_ZALIHE!C885</f>
        <v>0</v>
      </c>
      <c r="D888" s="8" t="n">
        <f aca="false">PODACI_ZALIHE!D885</f>
        <v>0</v>
      </c>
      <c r="E888" s="19" t="str">
        <f aca="false">IF(PODACI_ZALIHE!E885="","",PODACI_ZALIHE!E885)</f>
        <v/>
      </c>
      <c r="F888" s="20" t="n">
        <f aca="false">PODACI_ZALIHE!F885</f>
        <v>0</v>
      </c>
      <c r="G888" s="19" t="str">
        <f aca="false">IF(E888="","",E888-F888)</f>
        <v/>
      </c>
      <c r="H888" s="9" t="n">
        <f aca="false">PODACI_PRODAJA!N577</f>
        <v>0.63</v>
      </c>
      <c r="I888" s="21" t="n">
        <f aca="false">IF(H888&lt;=0,999,ROUND(F888/H888,1))</f>
        <v>0</v>
      </c>
      <c r="J888" s="9" t="n">
        <f aca="false">SUMIFS(ROBA_U_DOLASKU!$C$6:$C$95,ROBA_U_DOLASKU!$A$6:$A$95,A888,ROBA_U_DOLASKU!$H$6:$H$95,1)</f>
        <v>0</v>
      </c>
      <c r="K888" s="9" t="n">
        <f aca="false">SUMIFS(ROBA_U_DOLASKU!$B$6:$B$95,ROBA_U_DOLASKU!$A$6:$A$95,A888,ROBA_U_DOLASKU!$H$6:$H$95,1)</f>
        <v>0</v>
      </c>
      <c r="L888" s="9" t="n">
        <f aca="false">SUMIFS(ROBA_U_DOLASKU!$C$6:$C$95,ROBA_U_DOLASKU!$A$6:$A$95,A888,ROBA_U_DOLASKU!$H$6:$H$95,2)</f>
        <v>0</v>
      </c>
      <c r="M888" s="9" t="n">
        <f aca="false">SUMIFS(ROBA_U_DOLASKU!$B$6:$B$95,ROBA_U_DOLASKU!$A$6:$A$95,A888,ROBA_U_DOLASKU!$H$6:$H$95,2)</f>
        <v>0</v>
      </c>
      <c r="N888" s="9" t="n">
        <f aca="false">SUMIFS(ROBA_U_DOLASKU!$C$6:$C$95,ROBA_U_DOLASKU!$A$6:$A$95,A888,ROBA_U_DOLASKU!$H$6:$H$95,3)</f>
        <v>0</v>
      </c>
      <c r="O888" s="9" t="n">
        <f aca="false">SUMIFS(ROBA_U_DOLASKU!$B$6:$B$95,ROBA_U_DOLASKU!$A$6:$A$95,A888,ROBA_U_DOLASKU!$H$6:$H$95,3)</f>
        <v>0</v>
      </c>
      <c r="P888" s="9" t="n">
        <f aca="false">IF(H888&lt;=0,999,IF(O888&gt;0,ROUND((F888-H888*N888+K888+M888+O888)/H888,1),IF(M888&gt;0,ROUND((F888-H888*L888+K888+M888)/H888,1),IF(K888&gt;0,ROUND((F888-H888*J888+K888)/H888,1),I888))))</f>
        <v>0</v>
      </c>
      <c r="Q888" s="22" t="str">
        <f aca="false">IF(H888&lt;=0,"Nema prodaje",IF(AND(K888=0,M888=0,O888=0),IF(I888&lt;POSTAVKE!$B$6,"Naruči odmah","Sve u redu"),IF(F888-H888*J888&lt;0,"Rupa za ~"&amp;TEXT(I888,"0.0")&amp;" mj.",IF(AND(M888&gt;0,F888-H888*L888+K888&lt;0),"Rupa nakon 1. dolaska",IF(AND(O888&gt;0,F888-H888*N888+K888+M888&lt;0),"Rupa nakon 2. dolaska",IF(P888&lt;POSTAVKE!$B$6,"Količina nije dovoljna",IF(I888&gt;=POSTAVKE!$B$6,"Sve u redu","Stiže na vrijeme")))))))</f>
        <v>Naruči odmah</v>
      </c>
      <c r="S888" s="23" t="n">
        <f aca="false">IFERROR(INDEX(PODACI_PRODAJA!B:B,MATCH($A888,PODACI_PRODAJA!$A:$A,0)),0)</f>
        <v>0</v>
      </c>
      <c r="T888" s="23" t="n">
        <f aca="false">IFERROR(INDEX(PODACI_PRODAJA!C:C,MATCH($A888,PODACI_PRODAJA!$A:$A,0)),0)</f>
        <v>0</v>
      </c>
      <c r="U888" s="23" t="n">
        <f aca="false">IFERROR(INDEX(PODACI_PRODAJA!D:D,MATCH($A888,PODACI_PRODAJA!$A:$A,0)),0)</f>
        <v>5</v>
      </c>
      <c r="V888" s="23" t="n">
        <f aca="false">IFERROR(INDEX(PODACI_PRODAJA!E:E,MATCH($A888,PODACI_PRODAJA!$A:$A,0)),0)</f>
        <v>0</v>
      </c>
      <c r="W888" s="23" t="n">
        <f aca="false">IFERROR(INDEX(PODACI_PRODAJA!F:F,MATCH($A888,PODACI_PRODAJA!$A:$A,0)),0)</f>
        <v>0</v>
      </c>
      <c r="X888" s="23" t="n">
        <f aca="false">IFERROR(INDEX(PODACI_PRODAJA!G:G,MATCH($A888,PODACI_PRODAJA!$A:$A,0)),0)</f>
        <v>0</v>
      </c>
      <c r="Y888" s="23" t="n">
        <f aca="false">IFERROR(INDEX(PODACI_PRODAJA!H:H,MATCH($A888,PODACI_PRODAJA!$A:$A,0)),0)</f>
        <v>0</v>
      </c>
      <c r="Z888" s="23" t="n">
        <f aca="false">IFERROR(INDEX(PODACI_PRODAJA!I:I,MATCH($A888,PODACI_PRODAJA!$A:$A,0)),0)</f>
        <v>0</v>
      </c>
      <c r="AA888" s="23" t="n">
        <f aca="false">IFERROR(INDEX(PODACI_PRODAJA!J:J,MATCH($A888,PODACI_PRODAJA!$A:$A,0)),0)</f>
        <v>0</v>
      </c>
      <c r="AB888" s="23" t="n">
        <f aca="false">IFERROR(INDEX(PODACI_PRODAJA!K:K,MATCH($A888,PODACI_PRODAJA!$A:$A,0)),0)</f>
        <v>0</v>
      </c>
      <c r="AC888" s="23" t="n">
        <f aca="false">IFERROR(INDEX(PODACI_PRODAJA!L:L,MATCH($A888,PODACI_PRODAJA!$A:$A,0)),0)</f>
        <v>0</v>
      </c>
      <c r="AD888" s="23" t="n">
        <f aca="false">IFERROR(INDEX(PODACI_PRODAJA!M:M,MATCH($A888,PODACI_PRODAJA!$A:$A,0)),0)</f>
        <v>0</v>
      </c>
    </row>
    <row r="889" customFormat="false" ht="15" hidden="false" customHeight="false" outlineLevel="0" collapsed="false">
      <c r="A889" s="11" t="str">
        <f aca="false">PODACI_ZALIHE!A886</f>
        <v>16785</v>
      </c>
      <c r="B889" s="8" t="str">
        <f aca="false">PODACI_ZALIHE!B886</f>
        <v>FAIRY 90R - POLUKRUŽNA TUŠ KABINA 90X90X193 CM</v>
      </c>
      <c r="C889" s="9" t="n">
        <f aca="false">PODACI_ZALIHE!C886</f>
        <v>0</v>
      </c>
      <c r="D889" s="8" t="n">
        <f aca="false">PODACI_ZALIHE!D886</f>
        <v>0</v>
      </c>
      <c r="E889" s="19" t="str">
        <f aca="false">IF(PODACI_ZALIHE!E886="","",PODACI_ZALIHE!E886)</f>
        <v/>
      </c>
      <c r="F889" s="20" t="n">
        <f aca="false">PODACI_ZALIHE!F886</f>
        <v>0</v>
      </c>
      <c r="G889" s="19" t="str">
        <f aca="false">IF(E889="","",E889-F889)</f>
        <v/>
      </c>
      <c r="H889" s="9" t="n">
        <f aca="false">PODACI_PRODAJA!N578</f>
        <v>1</v>
      </c>
      <c r="I889" s="21" t="n">
        <f aca="false">IF(H889&lt;=0,999,ROUND(F889/H889,1))</f>
        <v>0</v>
      </c>
      <c r="J889" s="9" t="n">
        <f aca="false">SUMIFS(ROBA_U_DOLASKU!$C$6:$C$95,ROBA_U_DOLASKU!$A$6:$A$95,A889,ROBA_U_DOLASKU!$H$6:$H$95,1)</f>
        <v>0</v>
      </c>
      <c r="K889" s="9" t="n">
        <f aca="false">SUMIFS(ROBA_U_DOLASKU!$B$6:$B$95,ROBA_U_DOLASKU!$A$6:$A$95,A889,ROBA_U_DOLASKU!$H$6:$H$95,1)</f>
        <v>0</v>
      </c>
      <c r="L889" s="9" t="n">
        <f aca="false">SUMIFS(ROBA_U_DOLASKU!$C$6:$C$95,ROBA_U_DOLASKU!$A$6:$A$95,A889,ROBA_U_DOLASKU!$H$6:$H$95,2)</f>
        <v>0</v>
      </c>
      <c r="M889" s="9" t="n">
        <f aca="false">SUMIFS(ROBA_U_DOLASKU!$B$6:$B$95,ROBA_U_DOLASKU!$A$6:$A$95,A889,ROBA_U_DOLASKU!$H$6:$H$95,2)</f>
        <v>0</v>
      </c>
      <c r="N889" s="9" t="n">
        <f aca="false">SUMIFS(ROBA_U_DOLASKU!$C$6:$C$95,ROBA_U_DOLASKU!$A$6:$A$95,A889,ROBA_U_DOLASKU!$H$6:$H$95,3)</f>
        <v>0</v>
      </c>
      <c r="O889" s="9" t="n">
        <f aca="false">SUMIFS(ROBA_U_DOLASKU!$B$6:$B$95,ROBA_U_DOLASKU!$A$6:$A$95,A889,ROBA_U_DOLASKU!$H$6:$H$95,3)</f>
        <v>0</v>
      </c>
      <c r="P889" s="9" t="n">
        <f aca="false">IF(H889&lt;=0,999,IF(O889&gt;0,ROUND((F889-H889*N889+K889+M889+O889)/H889,1),IF(M889&gt;0,ROUND((F889-H889*L889+K889+M889)/H889,1),IF(K889&gt;0,ROUND((F889-H889*J889+K889)/H889,1),I889))))</f>
        <v>0</v>
      </c>
      <c r="Q889" s="22" t="str">
        <f aca="false">IF(H889&lt;=0,"Nema prodaje",IF(AND(K889=0,M889=0,O889=0),IF(I889&lt;POSTAVKE!$B$6,"Naruči odmah","Sve u redu"),IF(F889-H889*J889&lt;0,"Rupa za ~"&amp;TEXT(I889,"0.0")&amp;" mj.",IF(AND(M889&gt;0,F889-H889*L889+K889&lt;0),"Rupa nakon 1. dolaska",IF(AND(O889&gt;0,F889-H889*N889+K889+M889&lt;0),"Rupa nakon 2. dolaska",IF(P889&lt;POSTAVKE!$B$6,"Količina nije dovoljna",IF(I889&gt;=POSTAVKE!$B$6,"Sve u redu","Stiže na vrijeme")))))))</f>
        <v>Naruči odmah</v>
      </c>
      <c r="S889" s="23" t="n">
        <f aca="false">IFERROR(INDEX(PODACI_PRODAJA!B:B,MATCH($A889,PODACI_PRODAJA!$A:$A,0)),0)</f>
        <v>0</v>
      </c>
      <c r="T889" s="23" t="n">
        <f aca="false">IFERROR(INDEX(PODACI_PRODAJA!C:C,MATCH($A889,PODACI_PRODAJA!$A:$A,0)),0)</f>
        <v>0</v>
      </c>
      <c r="U889" s="23" t="n">
        <f aca="false">IFERROR(INDEX(PODACI_PRODAJA!D:D,MATCH($A889,PODACI_PRODAJA!$A:$A,0)),0)</f>
        <v>8</v>
      </c>
      <c r="V889" s="23" t="n">
        <f aca="false">IFERROR(INDEX(PODACI_PRODAJA!E:E,MATCH($A889,PODACI_PRODAJA!$A:$A,0)),0)</f>
        <v>0</v>
      </c>
      <c r="W889" s="23" t="n">
        <f aca="false">IFERROR(INDEX(PODACI_PRODAJA!F:F,MATCH($A889,PODACI_PRODAJA!$A:$A,0)),0)</f>
        <v>0</v>
      </c>
      <c r="X889" s="23" t="n">
        <f aca="false">IFERROR(INDEX(PODACI_PRODAJA!G:G,MATCH($A889,PODACI_PRODAJA!$A:$A,0)),0)</f>
        <v>0</v>
      </c>
      <c r="Y889" s="23" t="n">
        <f aca="false">IFERROR(INDEX(PODACI_PRODAJA!H:H,MATCH($A889,PODACI_PRODAJA!$A:$A,0)),0)</f>
        <v>0</v>
      </c>
      <c r="Z889" s="23" t="n">
        <f aca="false">IFERROR(INDEX(PODACI_PRODAJA!I:I,MATCH($A889,PODACI_PRODAJA!$A:$A,0)),0)</f>
        <v>0</v>
      </c>
      <c r="AA889" s="23" t="n">
        <f aca="false">IFERROR(INDEX(PODACI_PRODAJA!J:J,MATCH($A889,PODACI_PRODAJA!$A:$A,0)),0)</f>
        <v>0</v>
      </c>
      <c r="AB889" s="23" t="n">
        <f aca="false">IFERROR(INDEX(PODACI_PRODAJA!K:K,MATCH($A889,PODACI_PRODAJA!$A:$A,0)),0)</f>
        <v>0</v>
      </c>
      <c r="AC889" s="23" t="n">
        <f aca="false">IFERROR(INDEX(PODACI_PRODAJA!L:L,MATCH($A889,PODACI_PRODAJA!$A:$A,0)),0)</f>
        <v>0</v>
      </c>
      <c r="AD889" s="23" t="n">
        <f aca="false">IFERROR(INDEX(PODACI_PRODAJA!M:M,MATCH($A889,PODACI_PRODAJA!$A:$A,0)),0)</f>
        <v>0</v>
      </c>
    </row>
    <row r="890" customFormat="false" ht="15" hidden="false" customHeight="false" outlineLevel="0" collapsed="false">
      <c r="A890" s="11" t="str">
        <f aca="false">PODACI_ZALIHE!A887</f>
        <v>171450</v>
      </c>
      <c r="B890" s="8" t="str">
        <f aca="false">PODACI_ZALIHE!B887</f>
        <v>VETRO GOLD TRS 130 TUŠ STIJENA 130x200 cm</v>
      </c>
      <c r="C890" s="9" t="n">
        <f aca="false">PODACI_ZALIHE!C887</f>
        <v>0</v>
      </c>
      <c r="D890" s="8" t="n">
        <f aca="false">PODACI_ZALIHE!D887</f>
        <v>0</v>
      </c>
      <c r="E890" s="19" t="str">
        <f aca="false">IF(PODACI_ZALIHE!E887="","",PODACI_ZALIHE!E887)</f>
        <v/>
      </c>
      <c r="F890" s="20" t="n">
        <f aca="false">PODACI_ZALIHE!F887</f>
        <v>0</v>
      </c>
      <c r="G890" s="19" t="str">
        <f aca="false">IF(E890="","",E890-F890)</f>
        <v/>
      </c>
      <c r="H890" s="9" t="n">
        <f aca="false">PODACI_PRODAJA!N590</f>
        <v>0.25</v>
      </c>
      <c r="I890" s="21" t="n">
        <f aca="false">IF(H890&lt;=0,999,ROUND(F890/H890,1))</f>
        <v>0</v>
      </c>
      <c r="J890" s="9" t="n">
        <f aca="false">SUMIFS(ROBA_U_DOLASKU!$C$6:$C$95,ROBA_U_DOLASKU!$A$6:$A$95,A890,ROBA_U_DOLASKU!$H$6:$H$95,1)</f>
        <v>0</v>
      </c>
      <c r="K890" s="9" t="n">
        <f aca="false">SUMIFS(ROBA_U_DOLASKU!$B$6:$B$95,ROBA_U_DOLASKU!$A$6:$A$95,A890,ROBA_U_DOLASKU!$H$6:$H$95,1)</f>
        <v>0</v>
      </c>
      <c r="L890" s="9" t="n">
        <f aca="false">SUMIFS(ROBA_U_DOLASKU!$C$6:$C$95,ROBA_U_DOLASKU!$A$6:$A$95,A890,ROBA_U_DOLASKU!$H$6:$H$95,2)</f>
        <v>0</v>
      </c>
      <c r="M890" s="9" t="n">
        <f aca="false">SUMIFS(ROBA_U_DOLASKU!$B$6:$B$95,ROBA_U_DOLASKU!$A$6:$A$95,A890,ROBA_U_DOLASKU!$H$6:$H$95,2)</f>
        <v>0</v>
      </c>
      <c r="N890" s="9" t="n">
        <f aca="false">SUMIFS(ROBA_U_DOLASKU!$C$6:$C$95,ROBA_U_DOLASKU!$A$6:$A$95,A890,ROBA_U_DOLASKU!$H$6:$H$95,3)</f>
        <v>0</v>
      </c>
      <c r="O890" s="9" t="n">
        <f aca="false">SUMIFS(ROBA_U_DOLASKU!$B$6:$B$95,ROBA_U_DOLASKU!$A$6:$A$95,A890,ROBA_U_DOLASKU!$H$6:$H$95,3)</f>
        <v>0</v>
      </c>
      <c r="P890" s="9" t="n">
        <f aca="false">IF(H890&lt;=0,999,IF(O890&gt;0,ROUND((F890-H890*N890+K890+M890+O890)/H890,1),IF(M890&gt;0,ROUND((F890-H890*L890+K890+M890)/H890,1),IF(K890&gt;0,ROUND((F890-H890*J890+K890)/H890,1),I890))))</f>
        <v>0</v>
      </c>
      <c r="Q890" s="22" t="str">
        <f aca="false">IF(H890&lt;=0,"Nema prodaje",IF(AND(K890=0,M890=0,O890=0),IF(I890&lt;POSTAVKE!$B$6,"Naruči odmah","Sve u redu"),IF(F890-H890*J890&lt;0,"Rupa za ~"&amp;TEXT(I890,"0.0")&amp;" mj.",IF(AND(M890&gt;0,F890-H890*L890+K890&lt;0),"Rupa nakon 1. dolaska",IF(AND(O890&gt;0,F890-H890*N890+K890+M890&lt;0),"Rupa nakon 2. dolaska",IF(P890&lt;POSTAVKE!$B$6,"Količina nije dovoljna",IF(I890&gt;=POSTAVKE!$B$6,"Sve u redu","Stiže na vrijeme")))))))</f>
        <v>Naruči odmah</v>
      </c>
      <c r="S890" s="23" t="n">
        <f aca="false">IFERROR(INDEX(PODACI_PRODAJA!B:B,MATCH($A890,PODACI_PRODAJA!$A:$A,0)),0)</f>
        <v>0</v>
      </c>
      <c r="T890" s="23" t="n">
        <f aca="false">IFERROR(INDEX(PODACI_PRODAJA!C:C,MATCH($A890,PODACI_PRODAJA!$A:$A,0)),0)</f>
        <v>0</v>
      </c>
      <c r="U890" s="23" t="n">
        <f aca="false">IFERROR(INDEX(PODACI_PRODAJA!D:D,MATCH($A890,PODACI_PRODAJA!$A:$A,0)),0)</f>
        <v>0</v>
      </c>
      <c r="V890" s="23" t="n">
        <f aca="false">IFERROR(INDEX(PODACI_PRODAJA!E:E,MATCH($A890,PODACI_PRODAJA!$A:$A,0)),0)</f>
        <v>0</v>
      </c>
      <c r="W890" s="23" t="n">
        <f aca="false">IFERROR(INDEX(PODACI_PRODAJA!F:F,MATCH($A890,PODACI_PRODAJA!$A:$A,0)),0)</f>
        <v>0</v>
      </c>
      <c r="X890" s="23" t="n">
        <f aca="false">IFERROR(INDEX(PODACI_PRODAJA!G:G,MATCH($A890,PODACI_PRODAJA!$A:$A,0)),0)</f>
        <v>1</v>
      </c>
      <c r="Y890" s="23" t="n">
        <f aca="false">IFERROR(INDEX(PODACI_PRODAJA!H:H,MATCH($A890,PODACI_PRODAJA!$A:$A,0)),0)</f>
        <v>0</v>
      </c>
      <c r="Z890" s="23" t="n">
        <f aca="false">IFERROR(INDEX(PODACI_PRODAJA!I:I,MATCH($A890,PODACI_PRODAJA!$A:$A,0)),0)</f>
        <v>1</v>
      </c>
      <c r="AA890" s="23" t="n">
        <f aca="false">IFERROR(INDEX(PODACI_PRODAJA!J:J,MATCH($A890,PODACI_PRODAJA!$A:$A,0)),0)</f>
        <v>0</v>
      </c>
      <c r="AB890" s="23" t="n">
        <f aca="false">IFERROR(INDEX(PODACI_PRODAJA!K:K,MATCH($A890,PODACI_PRODAJA!$A:$A,0)),0)</f>
        <v>0</v>
      </c>
      <c r="AC890" s="23" t="n">
        <f aca="false">IFERROR(INDEX(PODACI_PRODAJA!L:L,MATCH($A890,PODACI_PRODAJA!$A:$A,0)),0)</f>
        <v>0</v>
      </c>
      <c r="AD890" s="23" t="n">
        <f aca="false">IFERROR(INDEX(PODACI_PRODAJA!M:M,MATCH($A890,PODACI_PRODAJA!$A:$A,0)),0)</f>
        <v>0</v>
      </c>
    </row>
    <row r="891" customFormat="false" ht="15" hidden="false" customHeight="false" outlineLevel="0" collapsed="false">
      <c r="A891" s="11" t="str">
        <f aca="false">PODACI_ZALIHE!A888</f>
        <v>17201</v>
      </c>
      <c r="B891" s="8" t="str">
        <f aca="false">PODACI_ZALIHE!B888</f>
        <v>SIMPLE MIJEŠALICA ZA UMIVAONIK</v>
      </c>
      <c r="C891" s="9" t="n">
        <f aca="false">PODACI_ZALIHE!C888</f>
        <v>0</v>
      </c>
      <c r="D891" s="8" t="n">
        <f aca="false">PODACI_ZALIHE!D888</f>
        <v>0</v>
      </c>
      <c r="E891" s="19" t="str">
        <f aca="false">IF(PODACI_ZALIHE!E888="","",PODACI_ZALIHE!E888)</f>
        <v/>
      </c>
      <c r="F891" s="20" t="n">
        <f aca="false">PODACI_ZALIHE!F888</f>
        <v>0</v>
      </c>
      <c r="G891" s="19" t="str">
        <f aca="false">IF(E891="","",E891-F891)</f>
        <v/>
      </c>
      <c r="H891" s="9" t="n">
        <f aca="false">PODACI_PRODAJA!N601</f>
        <v>-0.13</v>
      </c>
      <c r="I891" s="21" t="n">
        <f aca="false">IF(H891&lt;=0,999,ROUND(F891/H891,1))</f>
        <v>999</v>
      </c>
      <c r="J891" s="9" t="n">
        <f aca="false">SUMIFS(ROBA_U_DOLASKU!$C$6:$C$95,ROBA_U_DOLASKU!$A$6:$A$95,A891,ROBA_U_DOLASKU!$H$6:$H$95,1)</f>
        <v>0</v>
      </c>
      <c r="K891" s="9" t="n">
        <f aca="false">SUMIFS(ROBA_U_DOLASKU!$B$6:$B$95,ROBA_U_DOLASKU!$A$6:$A$95,A891,ROBA_U_DOLASKU!$H$6:$H$95,1)</f>
        <v>0</v>
      </c>
      <c r="L891" s="9" t="n">
        <f aca="false">SUMIFS(ROBA_U_DOLASKU!$C$6:$C$95,ROBA_U_DOLASKU!$A$6:$A$95,A891,ROBA_U_DOLASKU!$H$6:$H$95,2)</f>
        <v>0</v>
      </c>
      <c r="M891" s="9" t="n">
        <f aca="false">SUMIFS(ROBA_U_DOLASKU!$B$6:$B$95,ROBA_U_DOLASKU!$A$6:$A$95,A891,ROBA_U_DOLASKU!$H$6:$H$95,2)</f>
        <v>0</v>
      </c>
      <c r="N891" s="9" t="n">
        <f aca="false">SUMIFS(ROBA_U_DOLASKU!$C$6:$C$95,ROBA_U_DOLASKU!$A$6:$A$95,A891,ROBA_U_DOLASKU!$H$6:$H$95,3)</f>
        <v>0</v>
      </c>
      <c r="O891" s="9" t="n">
        <f aca="false">SUMIFS(ROBA_U_DOLASKU!$B$6:$B$95,ROBA_U_DOLASKU!$A$6:$A$95,A891,ROBA_U_DOLASKU!$H$6:$H$95,3)</f>
        <v>0</v>
      </c>
      <c r="P891" s="9" t="n">
        <f aca="false">IF(H891&lt;=0,999,IF(O891&gt;0,ROUND((F891-H891*N891+K891+M891+O891)/H891,1),IF(M891&gt;0,ROUND((F891-H891*L891+K891+M891)/H891,1),IF(K891&gt;0,ROUND((F891-H891*J891+K891)/H891,1),I891))))</f>
        <v>999</v>
      </c>
      <c r="Q891" s="22" t="str">
        <f aca="false">IF(H891&lt;=0,"Nema prodaje",IF(AND(K891=0,M891=0,O891=0),IF(I891&lt;POSTAVKE!$B$6,"Naruči odmah","Sve u redu"),IF(F891-H891*J891&lt;0,"Rupa za ~"&amp;TEXT(I891,"0.0")&amp;" mj.",IF(AND(M891&gt;0,F891-H891*L891+K891&lt;0),"Rupa nakon 1. dolaska",IF(AND(O891&gt;0,F891-H891*N891+K891+M891&lt;0),"Rupa nakon 2. dolaska",IF(P891&lt;POSTAVKE!$B$6,"Količina nije dovoljna",IF(I891&gt;=POSTAVKE!$B$6,"Sve u redu","Stiže na vrijeme")))))))</f>
        <v>Nema prodaje</v>
      </c>
      <c r="S891" s="23" t="n">
        <f aca="false">IFERROR(INDEX(PODACI_PRODAJA!B:B,MATCH($A891,PODACI_PRODAJA!$A:$A,0)),0)</f>
        <v>0</v>
      </c>
      <c r="T891" s="23" t="n">
        <f aca="false">IFERROR(INDEX(PODACI_PRODAJA!C:C,MATCH($A891,PODACI_PRODAJA!$A:$A,0)),0)</f>
        <v>0</v>
      </c>
      <c r="U891" s="23" t="n">
        <f aca="false">IFERROR(INDEX(PODACI_PRODAJA!D:D,MATCH($A891,PODACI_PRODAJA!$A:$A,0)),0)</f>
        <v>-1</v>
      </c>
      <c r="V891" s="23" t="n">
        <f aca="false">IFERROR(INDEX(PODACI_PRODAJA!E:E,MATCH($A891,PODACI_PRODAJA!$A:$A,0)),0)</f>
        <v>0</v>
      </c>
      <c r="W891" s="23" t="n">
        <f aca="false">IFERROR(INDEX(PODACI_PRODAJA!F:F,MATCH($A891,PODACI_PRODAJA!$A:$A,0)),0)</f>
        <v>0</v>
      </c>
      <c r="X891" s="23" t="n">
        <f aca="false">IFERROR(INDEX(PODACI_PRODAJA!G:G,MATCH($A891,PODACI_PRODAJA!$A:$A,0)),0)</f>
        <v>0</v>
      </c>
      <c r="Y891" s="23" t="n">
        <f aca="false">IFERROR(INDEX(PODACI_PRODAJA!H:H,MATCH($A891,PODACI_PRODAJA!$A:$A,0)),0)</f>
        <v>0</v>
      </c>
      <c r="Z891" s="23" t="n">
        <f aca="false">IFERROR(INDEX(PODACI_PRODAJA!I:I,MATCH($A891,PODACI_PRODAJA!$A:$A,0)),0)</f>
        <v>0</v>
      </c>
      <c r="AA891" s="23" t="n">
        <f aca="false">IFERROR(INDEX(PODACI_PRODAJA!J:J,MATCH($A891,PODACI_PRODAJA!$A:$A,0)),0)</f>
        <v>0</v>
      </c>
      <c r="AB891" s="23" t="n">
        <f aca="false">IFERROR(INDEX(PODACI_PRODAJA!K:K,MATCH($A891,PODACI_PRODAJA!$A:$A,0)),0)</f>
        <v>0</v>
      </c>
      <c r="AC891" s="23" t="n">
        <f aca="false">IFERROR(INDEX(PODACI_PRODAJA!L:L,MATCH($A891,PODACI_PRODAJA!$A:$A,0)),0)</f>
        <v>0</v>
      </c>
      <c r="AD891" s="23" t="n">
        <f aca="false">IFERROR(INDEX(PODACI_PRODAJA!M:M,MATCH($A891,PODACI_PRODAJA!$A:$A,0)),0)</f>
        <v>0</v>
      </c>
    </row>
    <row r="892" customFormat="false" ht="15" hidden="false" customHeight="false" outlineLevel="0" collapsed="false">
      <c r="A892" s="11" t="str">
        <f aca="false">PODACI_ZALIHE!A889</f>
        <v>17284</v>
      </c>
      <c r="B892" s="8" t="str">
        <f aca="false">PODACI_ZALIHE!B889</f>
        <v>BOLOGNA SAMOSTOJEĆA KUPAONSKA KADA WHITE MATTE 170x80x58,5 cm</v>
      </c>
      <c r="C892" s="9" t="n">
        <f aca="false">PODACI_ZALIHE!C889</f>
        <v>0</v>
      </c>
      <c r="D892" s="8" t="n">
        <f aca="false">PODACI_ZALIHE!D889</f>
        <v>0</v>
      </c>
      <c r="E892" s="19" t="str">
        <f aca="false">IF(PODACI_ZALIHE!E889="","",PODACI_ZALIHE!E889)</f>
        <v/>
      </c>
      <c r="F892" s="20" t="n">
        <f aca="false">PODACI_ZALIHE!F889</f>
        <v>0</v>
      </c>
      <c r="G892" s="19" t="str">
        <f aca="false">IF(E892="","",E892-F892)</f>
        <v/>
      </c>
      <c r="H892" s="9" t="n">
        <f aca="false">PODACI_PRODAJA!N640</f>
        <v>0</v>
      </c>
      <c r="I892" s="21" t="n">
        <f aca="false">IF(H892&lt;=0,999,ROUND(F892/H892,1))</f>
        <v>999</v>
      </c>
      <c r="J892" s="9" t="n">
        <f aca="false">SUMIFS(ROBA_U_DOLASKU!$C$6:$C$95,ROBA_U_DOLASKU!$A$6:$A$95,A892,ROBA_U_DOLASKU!$H$6:$H$95,1)</f>
        <v>0</v>
      </c>
      <c r="K892" s="9" t="n">
        <f aca="false">SUMIFS(ROBA_U_DOLASKU!$B$6:$B$95,ROBA_U_DOLASKU!$A$6:$A$95,A892,ROBA_U_DOLASKU!$H$6:$H$95,1)</f>
        <v>0</v>
      </c>
      <c r="L892" s="9" t="n">
        <f aca="false">SUMIFS(ROBA_U_DOLASKU!$C$6:$C$95,ROBA_U_DOLASKU!$A$6:$A$95,A892,ROBA_U_DOLASKU!$H$6:$H$95,2)</f>
        <v>0</v>
      </c>
      <c r="M892" s="9" t="n">
        <f aca="false">SUMIFS(ROBA_U_DOLASKU!$B$6:$B$95,ROBA_U_DOLASKU!$A$6:$A$95,A892,ROBA_U_DOLASKU!$H$6:$H$95,2)</f>
        <v>0</v>
      </c>
      <c r="N892" s="9" t="n">
        <f aca="false">SUMIFS(ROBA_U_DOLASKU!$C$6:$C$95,ROBA_U_DOLASKU!$A$6:$A$95,A892,ROBA_U_DOLASKU!$H$6:$H$95,3)</f>
        <v>0</v>
      </c>
      <c r="O892" s="9" t="n">
        <f aca="false">SUMIFS(ROBA_U_DOLASKU!$B$6:$B$95,ROBA_U_DOLASKU!$A$6:$A$95,A892,ROBA_U_DOLASKU!$H$6:$H$95,3)</f>
        <v>0</v>
      </c>
      <c r="P892" s="9" t="n">
        <f aca="false">IF(H892&lt;=0,999,IF(O892&gt;0,ROUND((F892-H892*N892+K892+M892+O892)/H892,1),IF(M892&gt;0,ROUND((F892-H892*L892+K892+M892)/H892,1),IF(K892&gt;0,ROUND((F892-H892*J892+K892)/H892,1),I892))))</f>
        <v>999</v>
      </c>
      <c r="Q892" s="22" t="str">
        <f aca="false">IF(H892&lt;=0,"Nema prodaje",IF(AND(K892=0,M892=0,O892=0),IF(I892&lt;POSTAVKE!$B$6,"Naruči odmah","Sve u redu"),IF(F892-H892*J892&lt;0,"Rupa za ~"&amp;TEXT(I892,"0.0")&amp;" mj.",IF(AND(M892&gt;0,F892-H892*L892+K892&lt;0),"Rupa nakon 1. dolaska",IF(AND(O892&gt;0,F892-H892*N892+K892+M892&lt;0),"Rupa nakon 2. dolaska",IF(P892&lt;POSTAVKE!$B$6,"Količina nije dovoljna",IF(I892&gt;=POSTAVKE!$B$6,"Sve u redu","Stiže na vrijeme")))))))</f>
        <v>Nema prodaje</v>
      </c>
      <c r="S892" s="23" t="n">
        <f aca="false">IFERROR(INDEX(PODACI_PRODAJA!B:B,MATCH($A892,PODACI_PRODAJA!$A:$A,0)),0)</f>
        <v>0</v>
      </c>
      <c r="T892" s="23" t="n">
        <f aca="false">IFERROR(INDEX(PODACI_PRODAJA!C:C,MATCH($A892,PODACI_PRODAJA!$A:$A,0)),0)</f>
        <v>0</v>
      </c>
      <c r="U892" s="23" t="n">
        <f aca="false">IFERROR(INDEX(PODACI_PRODAJA!D:D,MATCH($A892,PODACI_PRODAJA!$A:$A,0)),0)</f>
        <v>0</v>
      </c>
      <c r="V892" s="23" t="n">
        <f aca="false">IFERROR(INDEX(PODACI_PRODAJA!E:E,MATCH($A892,PODACI_PRODAJA!$A:$A,0)),0)</f>
        <v>0</v>
      </c>
      <c r="W892" s="23" t="n">
        <f aca="false">IFERROR(INDEX(PODACI_PRODAJA!F:F,MATCH($A892,PODACI_PRODAJA!$A:$A,0)),0)</f>
        <v>0</v>
      </c>
      <c r="X892" s="23" t="n">
        <f aca="false">IFERROR(INDEX(PODACI_PRODAJA!G:G,MATCH($A892,PODACI_PRODAJA!$A:$A,0)),0)</f>
        <v>0</v>
      </c>
      <c r="Y892" s="23" t="n">
        <f aca="false">IFERROR(INDEX(PODACI_PRODAJA!H:H,MATCH($A892,PODACI_PRODAJA!$A:$A,0)),0)</f>
        <v>0</v>
      </c>
      <c r="Z892" s="23" t="n">
        <f aca="false">IFERROR(INDEX(PODACI_PRODAJA!I:I,MATCH($A892,PODACI_PRODAJA!$A:$A,0)),0)</f>
        <v>0</v>
      </c>
      <c r="AA892" s="23" t="n">
        <f aca="false">IFERROR(INDEX(PODACI_PRODAJA!J:J,MATCH($A892,PODACI_PRODAJA!$A:$A,0)),0)</f>
        <v>0</v>
      </c>
      <c r="AB892" s="23" t="n">
        <f aca="false">IFERROR(INDEX(PODACI_PRODAJA!K:K,MATCH($A892,PODACI_PRODAJA!$A:$A,0)),0)</f>
        <v>0</v>
      </c>
      <c r="AC892" s="23" t="n">
        <f aca="false">IFERROR(INDEX(PODACI_PRODAJA!L:L,MATCH($A892,PODACI_PRODAJA!$A:$A,0)),0)</f>
        <v>0</v>
      </c>
      <c r="AD892" s="23" t="n">
        <f aca="false">IFERROR(INDEX(PODACI_PRODAJA!M:M,MATCH($A892,PODACI_PRODAJA!$A:$A,0)),0)</f>
        <v>0</v>
      </c>
    </row>
    <row r="893" customFormat="false" ht="15" hidden="false" customHeight="false" outlineLevel="0" collapsed="false">
      <c r="A893" s="11" t="str">
        <f aca="false">PODACI_ZALIHE!A890</f>
        <v>18738</v>
      </c>
      <c r="B893" s="8" t="str">
        <f aca="false">PODACI_ZALIHE!B890</f>
        <v>TK MADERA 7080 PRAVOKUTNA TUŠ KABINA 70x80x185cm</v>
      </c>
      <c r="C893" s="9" t="n">
        <f aca="false">PODACI_ZALIHE!C890</f>
        <v>0</v>
      </c>
      <c r="D893" s="8" t="n">
        <f aca="false">PODACI_ZALIHE!D890</f>
        <v>0</v>
      </c>
      <c r="E893" s="19" t="str">
        <f aca="false">IF(PODACI_ZALIHE!E890="","",PODACI_ZALIHE!E890)</f>
        <v/>
      </c>
      <c r="F893" s="20" t="n">
        <f aca="false">PODACI_ZALIHE!F890</f>
        <v>0</v>
      </c>
      <c r="G893" s="19" t="str">
        <f aca="false">IF(E893="","",E893-F893)</f>
        <v/>
      </c>
      <c r="H893" s="9" t="n">
        <f aca="false">PODACI_PRODAJA!N702</f>
        <v>0.25</v>
      </c>
      <c r="I893" s="21" t="n">
        <f aca="false">IF(H893&lt;=0,999,ROUND(F893/H893,1))</f>
        <v>0</v>
      </c>
      <c r="J893" s="9" t="n">
        <f aca="false">SUMIFS(ROBA_U_DOLASKU!$C$6:$C$95,ROBA_U_DOLASKU!$A$6:$A$95,A893,ROBA_U_DOLASKU!$H$6:$H$95,1)</f>
        <v>0</v>
      </c>
      <c r="K893" s="9" t="n">
        <f aca="false">SUMIFS(ROBA_U_DOLASKU!$B$6:$B$95,ROBA_U_DOLASKU!$A$6:$A$95,A893,ROBA_U_DOLASKU!$H$6:$H$95,1)</f>
        <v>0</v>
      </c>
      <c r="L893" s="9" t="n">
        <f aca="false">SUMIFS(ROBA_U_DOLASKU!$C$6:$C$95,ROBA_U_DOLASKU!$A$6:$A$95,A893,ROBA_U_DOLASKU!$H$6:$H$95,2)</f>
        <v>0</v>
      </c>
      <c r="M893" s="9" t="n">
        <f aca="false">SUMIFS(ROBA_U_DOLASKU!$B$6:$B$95,ROBA_U_DOLASKU!$A$6:$A$95,A893,ROBA_U_DOLASKU!$H$6:$H$95,2)</f>
        <v>0</v>
      </c>
      <c r="N893" s="9" t="n">
        <f aca="false">SUMIFS(ROBA_U_DOLASKU!$C$6:$C$95,ROBA_U_DOLASKU!$A$6:$A$95,A893,ROBA_U_DOLASKU!$H$6:$H$95,3)</f>
        <v>0</v>
      </c>
      <c r="O893" s="9" t="n">
        <f aca="false">SUMIFS(ROBA_U_DOLASKU!$B$6:$B$95,ROBA_U_DOLASKU!$A$6:$A$95,A893,ROBA_U_DOLASKU!$H$6:$H$95,3)</f>
        <v>0</v>
      </c>
      <c r="P893" s="9" t="n">
        <f aca="false">IF(H893&lt;=0,999,IF(O893&gt;0,ROUND((F893-H893*N893+K893+M893+O893)/H893,1),IF(M893&gt;0,ROUND((F893-H893*L893+K893+M893)/H893,1),IF(K893&gt;0,ROUND((F893-H893*J893+K893)/H893,1),I893))))</f>
        <v>0</v>
      </c>
      <c r="Q893" s="22" t="str">
        <f aca="false">IF(H893&lt;=0,"Nema prodaje",IF(AND(K893=0,M893=0,O893=0),IF(I893&lt;POSTAVKE!$B$6,"Naruči odmah","Sve u redu"),IF(F893-H893*J893&lt;0,"Rupa za ~"&amp;TEXT(I893,"0.0")&amp;" mj.",IF(AND(M893&gt;0,F893-H893*L893+K893&lt;0),"Rupa nakon 1. dolaska",IF(AND(O893&gt;0,F893-H893*N893+K893+M893&lt;0),"Rupa nakon 2. dolaska",IF(P893&lt;POSTAVKE!$B$6,"Količina nije dovoljna",IF(I893&gt;=POSTAVKE!$B$6,"Sve u redu","Stiže na vrijeme")))))))</f>
        <v>Naruči odmah</v>
      </c>
      <c r="S893" s="23" t="n">
        <f aca="false">IFERROR(INDEX(PODACI_PRODAJA!B:B,MATCH($A893,PODACI_PRODAJA!$A:$A,0)),0)</f>
        <v>0</v>
      </c>
      <c r="T893" s="23" t="n">
        <f aca="false">IFERROR(INDEX(PODACI_PRODAJA!C:C,MATCH($A893,PODACI_PRODAJA!$A:$A,0)),0)</f>
        <v>0</v>
      </c>
      <c r="U893" s="23" t="n">
        <f aca="false">IFERROR(INDEX(PODACI_PRODAJA!D:D,MATCH($A893,PODACI_PRODAJA!$A:$A,0)),0)</f>
        <v>2</v>
      </c>
      <c r="V893" s="23" t="n">
        <f aca="false">IFERROR(INDEX(PODACI_PRODAJA!E:E,MATCH($A893,PODACI_PRODAJA!$A:$A,0)),0)</f>
        <v>0</v>
      </c>
      <c r="W893" s="23" t="n">
        <f aca="false">IFERROR(INDEX(PODACI_PRODAJA!F:F,MATCH($A893,PODACI_PRODAJA!$A:$A,0)),0)</f>
        <v>0</v>
      </c>
      <c r="X893" s="23" t="n">
        <f aca="false">IFERROR(INDEX(PODACI_PRODAJA!G:G,MATCH($A893,PODACI_PRODAJA!$A:$A,0)),0)</f>
        <v>0</v>
      </c>
      <c r="Y893" s="23" t="n">
        <f aca="false">IFERROR(INDEX(PODACI_PRODAJA!H:H,MATCH($A893,PODACI_PRODAJA!$A:$A,0)),0)</f>
        <v>0</v>
      </c>
      <c r="Z893" s="23" t="n">
        <f aca="false">IFERROR(INDEX(PODACI_PRODAJA!I:I,MATCH($A893,PODACI_PRODAJA!$A:$A,0)),0)</f>
        <v>0</v>
      </c>
      <c r="AA893" s="23" t="n">
        <f aca="false">IFERROR(INDEX(PODACI_PRODAJA!J:J,MATCH($A893,PODACI_PRODAJA!$A:$A,0)),0)</f>
        <v>0</v>
      </c>
      <c r="AB893" s="23" t="n">
        <f aca="false">IFERROR(INDEX(PODACI_PRODAJA!K:K,MATCH($A893,PODACI_PRODAJA!$A:$A,0)),0)</f>
        <v>0</v>
      </c>
      <c r="AC893" s="23" t="n">
        <f aca="false">IFERROR(INDEX(PODACI_PRODAJA!L:L,MATCH($A893,PODACI_PRODAJA!$A:$A,0)),0)</f>
        <v>0</v>
      </c>
      <c r="AD893" s="23" t="n">
        <f aca="false">IFERROR(INDEX(PODACI_PRODAJA!M:M,MATCH($A893,PODACI_PRODAJA!$A:$A,0)),0)</f>
        <v>0</v>
      </c>
    </row>
    <row r="894" customFormat="false" ht="15" hidden="false" customHeight="false" outlineLevel="0" collapsed="false">
      <c r="A894" s="11" t="str">
        <f aca="false">PODACI_ZALIHE!A891</f>
        <v>18748</v>
      </c>
      <c r="B894" s="8" t="str">
        <f aca="false">PODACI_ZALIHE!B891</f>
        <v>Tuš Ruža Parma</v>
      </c>
      <c r="C894" s="9" t="n">
        <f aca="false">PODACI_ZALIHE!C891</f>
        <v>0</v>
      </c>
      <c r="D894" s="8" t="n">
        <f aca="false">PODACI_ZALIHE!D891</f>
        <v>0</v>
      </c>
      <c r="E894" s="19" t="str">
        <f aca="false">IF(PODACI_ZALIHE!E891="","",PODACI_ZALIHE!E891)</f>
        <v/>
      </c>
      <c r="F894" s="20" t="n">
        <f aca="false">PODACI_ZALIHE!F891</f>
        <v>0</v>
      </c>
      <c r="G894" s="19" t="str">
        <f aca="false">IF(E894="","",E894-F894)</f>
        <v/>
      </c>
      <c r="H894" s="9" t="n">
        <f aca="false">PODACI_PRODAJA!N703</f>
        <v>0</v>
      </c>
      <c r="I894" s="21" t="n">
        <f aca="false">IF(H894&lt;=0,999,ROUND(F894/H894,1))</f>
        <v>999</v>
      </c>
      <c r="J894" s="9" t="n">
        <f aca="false">SUMIFS(ROBA_U_DOLASKU!$C$6:$C$95,ROBA_U_DOLASKU!$A$6:$A$95,A894,ROBA_U_DOLASKU!$H$6:$H$95,1)</f>
        <v>0</v>
      </c>
      <c r="K894" s="9" t="n">
        <f aca="false">SUMIFS(ROBA_U_DOLASKU!$B$6:$B$95,ROBA_U_DOLASKU!$A$6:$A$95,A894,ROBA_U_DOLASKU!$H$6:$H$95,1)</f>
        <v>0</v>
      </c>
      <c r="L894" s="9" t="n">
        <f aca="false">SUMIFS(ROBA_U_DOLASKU!$C$6:$C$95,ROBA_U_DOLASKU!$A$6:$A$95,A894,ROBA_U_DOLASKU!$H$6:$H$95,2)</f>
        <v>0</v>
      </c>
      <c r="M894" s="9" t="n">
        <f aca="false">SUMIFS(ROBA_U_DOLASKU!$B$6:$B$95,ROBA_U_DOLASKU!$A$6:$A$95,A894,ROBA_U_DOLASKU!$H$6:$H$95,2)</f>
        <v>0</v>
      </c>
      <c r="N894" s="9" t="n">
        <f aca="false">SUMIFS(ROBA_U_DOLASKU!$C$6:$C$95,ROBA_U_DOLASKU!$A$6:$A$95,A894,ROBA_U_DOLASKU!$H$6:$H$95,3)</f>
        <v>0</v>
      </c>
      <c r="O894" s="9" t="n">
        <f aca="false">SUMIFS(ROBA_U_DOLASKU!$B$6:$B$95,ROBA_U_DOLASKU!$A$6:$A$95,A894,ROBA_U_DOLASKU!$H$6:$H$95,3)</f>
        <v>0</v>
      </c>
      <c r="P894" s="9" t="n">
        <f aca="false">IF(H894&lt;=0,999,IF(O894&gt;0,ROUND((F894-H894*N894+K894+M894+O894)/H894,1),IF(M894&gt;0,ROUND((F894-H894*L894+K894+M894)/H894,1),IF(K894&gt;0,ROUND((F894-H894*J894+K894)/H894,1),I894))))</f>
        <v>999</v>
      </c>
      <c r="Q894" s="22" t="str">
        <f aca="false">IF(H894&lt;=0,"Nema prodaje",IF(AND(K894=0,M894=0,O894=0),IF(I894&lt;POSTAVKE!$B$6,"Naruči odmah","Sve u redu"),IF(F894-H894*J894&lt;0,"Rupa za ~"&amp;TEXT(I894,"0.0")&amp;" mj.",IF(AND(M894&gt;0,F894-H894*L894+K894&lt;0),"Rupa nakon 1. dolaska",IF(AND(O894&gt;0,F894-H894*N894+K894+M894&lt;0),"Rupa nakon 2. dolaska",IF(P894&lt;POSTAVKE!$B$6,"Količina nije dovoljna",IF(I894&gt;=POSTAVKE!$B$6,"Sve u redu","Stiže na vrijeme")))))))</f>
        <v>Nema prodaje</v>
      </c>
      <c r="S894" s="23" t="n">
        <f aca="false">IFERROR(INDEX(PODACI_PRODAJA!B:B,MATCH($A894,PODACI_PRODAJA!$A:$A,0)),0)</f>
        <v>0</v>
      </c>
      <c r="T894" s="23" t="n">
        <f aca="false">IFERROR(INDEX(PODACI_PRODAJA!C:C,MATCH($A894,PODACI_PRODAJA!$A:$A,0)),0)</f>
        <v>0</v>
      </c>
      <c r="U894" s="23" t="n">
        <f aca="false">IFERROR(INDEX(PODACI_PRODAJA!D:D,MATCH($A894,PODACI_PRODAJA!$A:$A,0)),0)</f>
        <v>0</v>
      </c>
      <c r="V894" s="23" t="n">
        <f aca="false">IFERROR(INDEX(PODACI_PRODAJA!E:E,MATCH($A894,PODACI_PRODAJA!$A:$A,0)),0)</f>
        <v>0</v>
      </c>
      <c r="W894" s="23" t="n">
        <f aca="false">IFERROR(INDEX(PODACI_PRODAJA!F:F,MATCH($A894,PODACI_PRODAJA!$A:$A,0)),0)</f>
        <v>0</v>
      </c>
      <c r="X894" s="23" t="n">
        <f aca="false">IFERROR(INDEX(PODACI_PRODAJA!G:G,MATCH($A894,PODACI_PRODAJA!$A:$A,0)),0)</f>
        <v>0</v>
      </c>
      <c r="Y894" s="23" t="n">
        <f aca="false">IFERROR(INDEX(PODACI_PRODAJA!H:H,MATCH($A894,PODACI_PRODAJA!$A:$A,0)),0)</f>
        <v>0</v>
      </c>
      <c r="Z894" s="23" t="n">
        <f aca="false">IFERROR(INDEX(PODACI_PRODAJA!I:I,MATCH($A894,PODACI_PRODAJA!$A:$A,0)),0)</f>
        <v>0</v>
      </c>
      <c r="AA894" s="23" t="n">
        <f aca="false">IFERROR(INDEX(PODACI_PRODAJA!J:J,MATCH($A894,PODACI_PRODAJA!$A:$A,0)),0)</f>
        <v>0</v>
      </c>
      <c r="AB894" s="23" t="n">
        <f aca="false">IFERROR(INDEX(PODACI_PRODAJA!K:K,MATCH($A894,PODACI_PRODAJA!$A:$A,0)),0)</f>
        <v>0</v>
      </c>
      <c r="AC894" s="23" t="n">
        <f aca="false">IFERROR(INDEX(PODACI_PRODAJA!L:L,MATCH($A894,PODACI_PRODAJA!$A:$A,0)),0)</f>
        <v>0</v>
      </c>
      <c r="AD894" s="23" t="n">
        <f aca="false">IFERROR(INDEX(PODACI_PRODAJA!M:M,MATCH($A894,PODACI_PRODAJA!$A:$A,0)),0)</f>
        <v>0</v>
      </c>
    </row>
    <row r="895" customFormat="false" ht="15" hidden="false" customHeight="false" outlineLevel="0" collapsed="false">
      <c r="A895" s="11" t="str">
        <f aca="false">PODACI_ZALIHE!A892</f>
        <v>18790</v>
      </c>
      <c r="B895" s="8" t="str">
        <f aca="false">PODACI_ZALIHE!B892</f>
        <v>TECE NEO SET 9700205+9700603+9300302+9880046</v>
      </c>
      <c r="C895" s="9" t="n">
        <f aca="false">PODACI_ZALIHE!C892</f>
        <v>0</v>
      </c>
      <c r="D895" s="8" t="n">
        <f aca="false">PODACI_ZALIHE!D892</f>
        <v>0</v>
      </c>
      <c r="E895" s="19" t="str">
        <f aca="false">IF(PODACI_ZALIHE!E892="","",PODACI_ZALIHE!E892)</f>
        <v/>
      </c>
      <c r="F895" s="20" t="n">
        <f aca="false">PODACI_ZALIHE!F892</f>
        <v>0</v>
      </c>
      <c r="G895" s="19" t="str">
        <f aca="false">IF(E895="","",E895-F895)</f>
        <v/>
      </c>
      <c r="H895" s="9" t="n">
        <f aca="false">PODACI_PRODAJA!N712</f>
        <v>0.13</v>
      </c>
      <c r="I895" s="21" t="n">
        <f aca="false">IF(H895&lt;=0,999,ROUND(F895/H895,1))</f>
        <v>0</v>
      </c>
      <c r="J895" s="9" t="n">
        <f aca="false">SUMIFS(ROBA_U_DOLASKU!$C$6:$C$95,ROBA_U_DOLASKU!$A$6:$A$95,A895,ROBA_U_DOLASKU!$H$6:$H$95,1)</f>
        <v>0</v>
      </c>
      <c r="K895" s="9" t="n">
        <f aca="false">SUMIFS(ROBA_U_DOLASKU!$B$6:$B$95,ROBA_U_DOLASKU!$A$6:$A$95,A895,ROBA_U_DOLASKU!$H$6:$H$95,1)</f>
        <v>0</v>
      </c>
      <c r="L895" s="9" t="n">
        <f aca="false">SUMIFS(ROBA_U_DOLASKU!$C$6:$C$95,ROBA_U_DOLASKU!$A$6:$A$95,A895,ROBA_U_DOLASKU!$H$6:$H$95,2)</f>
        <v>0</v>
      </c>
      <c r="M895" s="9" t="n">
        <f aca="false">SUMIFS(ROBA_U_DOLASKU!$B$6:$B$95,ROBA_U_DOLASKU!$A$6:$A$95,A895,ROBA_U_DOLASKU!$H$6:$H$95,2)</f>
        <v>0</v>
      </c>
      <c r="N895" s="9" t="n">
        <f aca="false">SUMIFS(ROBA_U_DOLASKU!$C$6:$C$95,ROBA_U_DOLASKU!$A$6:$A$95,A895,ROBA_U_DOLASKU!$H$6:$H$95,3)</f>
        <v>0</v>
      </c>
      <c r="O895" s="9" t="n">
        <f aca="false">SUMIFS(ROBA_U_DOLASKU!$B$6:$B$95,ROBA_U_DOLASKU!$A$6:$A$95,A895,ROBA_U_DOLASKU!$H$6:$H$95,3)</f>
        <v>0</v>
      </c>
      <c r="P895" s="9" t="n">
        <f aca="false">IF(H895&lt;=0,999,IF(O895&gt;0,ROUND((F895-H895*N895+K895+M895+O895)/H895,1),IF(M895&gt;0,ROUND((F895-H895*L895+K895+M895)/H895,1),IF(K895&gt;0,ROUND((F895-H895*J895+K895)/H895,1),I895))))</f>
        <v>0</v>
      </c>
      <c r="Q895" s="22" t="str">
        <f aca="false">IF(H895&lt;=0,"Nema prodaje",IF(AND(K895=0,M895=0,O895=0),IF(I895&lt;POSTAVKE!$B$6,"Naruči odmah","Sve u redu"),IF(F895-H895*J895&lt;0,"Rupa za ~"&amp;TEXT(I895,"0.0")&amp;" mj.",IF(AND(M895&gt;0,F895-H895*L895+K895&lt;0),"Rupa nakon 1. dolaska",IF(AND(O895&gt;0,F895-H895*N895+K895+M895&lt;0),"Rupa nakon 2. dolaska",IF(P895&lt;POSTAVKE!$B$6,"Količina nije dovoljna",IF(I895&gt;=POSTAVKE!$B$6,"Sve u redu","Stiže na vrijeme")))))))</f>
        <v>Naruči odmah</v>
      </c>
      <c r="S895" s="23" t="n">
        <f aca="false">IFERROR(INDEX(PODACI_PRODAJA!B:B,MATCH($A895,PODACI_PRODAJA!$A:$A,0)),0)</f>
        <v>0</v>
      </c>
      <c r="T895" s="23" t="n">
        <f aca="false">IFERROR(INDEX(PODACI_PRODAJA!C:C,MATCH($A895,PODACI_PRODAJA!$A:$A,0)),0)</f>
        <v>0</v>
      </c>
      <c r="U895" s="23" t="n">
        <f aca="false">IFERROR(INDEX(PODACI_PRODAJA!D:D,MATCH($A895,PODACI_PRODAJA!$A:$A,0)),0)</f>
        <v>0</v>
      </c>
      <c r="V895" s="23" t="n">
        <f aca="false">IFERROR(INDEX(PODACI_PRODAJA!E:E,MATCH($A895,PODACI_PRODAJA!$A:$A,0)),0)</f>
        <v>0</v>
      </c>
      <c r="W895" s="23" t="n">
        <f aca="false">IFERROR(INDEX(PODACI_PRODAJA!F:F,MATCH($A895,PODACI_PRODAJA!$A:$A,0)),0)</f>
        <v>0</v>
      </c>
      <c r="X895" s="23" t="n">
        <f aca="false">IFERROR(INDEX(PODACI_PRODAJA!G:G,MATCH($A895,PODACI_PRODAJA!$A:$A,0)),0)</f>
        <v>1</v>
      </c>
      <c r="Y895" s="23" t="n">
        <f aca="false">IFERROR(INDEX(PODACI_PRODAJA!H:H,MATCH($A895,PODACI_PRODAJA!$A:$A,0)),0)</f>
        <v>0</v>
      </c>
      <c r="Z895" s="23" t="n">
        <f aca="false">IFERROR(INDEX(PODACI_PRODAJA!I:I,MATCH($A895,PODACI_PRODAJA!$A:$A,0)),0)</f>
        <v>0</v>
      </c>
      <c r="AA895" s="23" t="n">
        <f aca="false">IFERROR(INDEX(PODACI_PRODAJA!J:J,MATCH($A895,PODACI_PRODAJA!$A:$A,0)),0)</f>
        <v>0</v>
      </c>
      <c r="AB895" s="23" t="n">
        <f aca="false">IFERROR(INDEX(PODACI_PRODAJA!K:K,MATCH($A895,PODACI_PRODAJA!$A:$A,0)),0)</f>
        <v>0</v>
      </c>
      <c r="AC895" s="23" t="n">
        <f aca="false">IFERROR(INDEX(PODACI_PRODAJA!L:L,MATCH($A895,PODACI_PRODAJA!$A:$A,0)),0)</f>
        <v>0</v>
      </c>
      <c r="AD895" s="23" t="n">
        <f aca="false">IFERROR(INDEX(PODACI_PRODAJA!M:M,MATCH($A895,PODACI_PRODAJA!$A:$A,0)),0)</f>
        <v>0</v>
      </c>
    </row>
    <row r="896" customFormat="false" ht="15" hidden="false" customHeight="false" outlineLevel="0" collapsed="false">
      <c r="A896" s="11" t="str">
        <f aca="false">PODACI_ZALIHE!A893</f>
        <v>201433915</v>
      </c>
      <c r="B896" s="8" t="str">
        <f aca="false">PODACI_ZALIHE!B893</f>
        <v>KLUDI Nova Fonte Puristic armaturatura za umivaonik sa tri rupe</v>
      </c>
      <c r="C896" s="9" t="n">
        <f aca="false">PODACI_ZALIHE!C893</f>
        <v>0</v>
      </c>
      <c r="D896" s="8" t="n">
        <f aca="false">PODACI_ZALIHE!D893</f>
        <v>0</v>
      </c>
      <c r="E896" s="19" t="str">
        <f aca="false">IF(PODACI_ZALIHE!E893="","",PODACI_ZALIHE!E893)</f>
        <v/>
      </c>
      <c r="F896" s="20" t="n">
        <f aca="false">PODACI_ZALIHE!F893</f>
        <v>0</v>
      </c>
      <c r="G896" s="19" t="str">
        <f aca="false">IF(E896="","",E896-F896)</f>
        <v/>
      </c>
      <c r="H896" s="9" t="n">
        <f aca="false">PODACI_PRODAJA!N713</f>
        <v>0.25</v>
      </c>
      <c r="I896" s="21" t="n">
        <f aca="false">IF(H896&lt;=0,999,ROUND(F896/H896,1))</f>
        <v>0</v>
      </c>
      <c r="J896" s="9" t="n">
        <f aca="false">SUMIFS(ROBA_U_DOLASKU!$C$6:$C$95,ROBA_U_DOLASKU!$A$6:$A$95,A896,ROBA_U_DOLASKU!$H$6:$H$95,1)</f>
        <v>0</v>
      </c>
      <c r="K896" s="9" t="n">
        <f aca="false">SUMIFS(ROBA_U_DOLASKU!$B$6:$B$95,ROBA_U_DOLASKU!$A$6:$A$95,A896,ROBA_U_DOLASKU!$H$6:$H$95,1)</f>
        <v>0</v>
      </c>
      <c r="L896" s="9" t="n">
        <f aca="false">SUMIFS(ROBA_U_DOLASKU!$C$6:$C$95,ROBA_U_DOLASKU!$A$6:$A$95,A896,ROBA_U_DOLASKU!$H$6:$H$95,2)</f>
        <v>0</v>
      </c>
      <c r="M896" s="9" t="n">
        <f aca="false">SUMIFS(ROBA_U_DOLASKU!$B$6:$B$95,ROBA_U_DOLASKU!$A$6:$A$95,A896,ROBA_U_DOLASKU!$H$6:$H$95,2)</f>
        <v>0</v>
      </c>
      <c r="N896" s="9" t="n">
        <f aca="false">SUMIFS(ROBA_U_DOLASKU!$C$6:$C$95,ROBA_U_DOLASKU!$A$6:$A$95,A896,ROBA_U_DOLASKU!$H$6:$H$95,3)</f>
        <v>0</v>
      </c>
      <c r="O896" s="9" t="n">
        <f aca="false">SUMIFS(ROBA_U_DOLASKU!$B$6:$B$95,ROBA_U_DOLASKU!$A$6:$A$95,A896,ROBA_U_DOLASKU!$H$6:$H$95,3)</f>
        <v>0</v>
      </c>
      <c r="P896" s="9" t="n">
        <f aca="false">IF(H896&lt;=0,999,IF(O896&gt;0,ROUND((F896-H896*N896+K896+M896+O896)/H896,1),IF(M896&gt;0,ROUND((F896-H896*L896+K896+M896)/H896,1),IF(K896&gt;0,ROUND((F896-H896*J896+K896)/H896,1),I896))))</f>
        <v>0</v>
      </c>
      <c r="Q896" s="22" t="str">
        <f aca="false">IF(H896&lt;=0,"Nema prodaje",IF(AND(K896=0,M896=0,O896=0),IF(I896&lt;POSTAVKE!$B$6,"Naruči odmah","Sve u redu"),IF(F896-H896*J896&lt;0,"Rupa za ~"&amp;TEXT(I896,"0.0")&amp;" mj.",IF(AND(M896&gt;0,F896-H896*L896+K896&lt;0),"Rupa nakon 1. dolaska",IF(AND(O896&gt;0,F896-H896*N896+K896+M896&lt;0),"Rupa nakon 2. dolaska",IF(P896&lt;POSTAVKE!$B$6,"Količina nije dovoljna",IF(I896&gt;=POSTAVKE!$B$6,"Sve u redu","Stiže na vrijeme")))))))</f>
        <v>Naruči odmah</v>
      </c>
      <c r="S896" s="23" t="n">
        <f aca="false">IFERROR(INDEX(PODACI_PRODAJA!B:B,MATCH($A896,PODACI_PRODAJA!$A:$A,0)),0)</f>
        <v>0</v>
      </c>
      <c r="T896" s="23" t="n">
        <f aca="false">IFERROR(INDEX(PODACI_PRODAJA!C:C,MATCH($A896,PODACI_PRODAJA!$A:$A,0)),0)</f>
        <v>0</v>
      </c>
      <c r="U896" s="23" t="n">
        <f aca="false">IFERROR(INDEX(PODACI_PRODAJA!D:D,MATCH($A896,PODACI_PRODAJA!$A:$A,0)),0)</f>
        <v>0</v>
      </c>
      <c r="V896" s="23" t="n">
        <f aca="false">IFERROR(INDEX(PODACI_PRODAJA!E:E,MATCH($A896,PODACI_PRODAJA!$A:$A,0)),0)</f>
        <v>0</v>
      </c>
      <c r="W896" s="23" t="n">
        <f aca="false">IFERROR(INDEX(PODACI_PRODAJA!F:F,MATCH($A896,PODACI_PRODAJA!$A:$A,0)),0)</f>
        <v>0</v>
      </c>
      <c r="X896" s="23" t="n">
        <f aca="false">IFERROR(INDEX(PODACI_PRODAJA!G:G,MATCH($A896,PODACI_PRODAJA!$A:$A,0)),0)</f>
        <v>2</v>
      </c>
      <c r="Y896" s="23" t="n">
        <f aca="false">IFERROR(INDEX(PODACI_PRODAJA!H:H,MATCH($A896,PODACI_PRODAJA!$A:$A,0)),0)</f>
        <v>0</v>
      </c>
      <c r="Z896" s="23" t="n">
        <f aca="false">IFERROR(INDEX(PODACI_PRODAJA!I:I,MATCH($A896,PODACI_PRODAJA!$A:$A,0)),0)</f>
        <v>0</v>
      </c>
      <c r="AA896" s="23" t="n">
        <f aca="false">IFERROR(INDEX(PODACI_PRODAJA!J:J,MATCH($A896,PODACI_PRODAJA!$A:$A,0)),0)</f>
        <v>0</v>
      </c>
      <c r="AB896" s="23" t="n">
        <f aca="false">IFERROR(INDEX(PODACI_PRODAJA!K:K,MATCH($A896,PODACI_PRODAJA!$A:$A,0)),0)</f>
        <v>0</v>
      </c>
      <c r="AC896" s="23" t="n">
        <f aca="false">IFERROR(INDEX(PODACI_PRODAJA!L:L,MATCH($A896,PODACI_PRODAJA!$A:$A,0)),0)</f>
        <v>0</v>
      </c>
      <c r="AD896" s="23" t="n">
        <f aca="false">IFERROR(INDEX(PODACI_PRODAJA!M:M,MATCH($A896,PODACI_PRODAJA!$A:$A,0)),0)</f>
        <v>0</v>
      </c>
    </row>
    <row r="897" customFormat="false" ht="15" hidden="false" customHeight="false" outlineLevel="0" collapsed="false">
      <c r="A897" s="11" t="str">
        <f aca="false">PODACI_ZALIHE!A894</f>
        <v>201443915</v>
      </c>
      <c r="B897" s="8" t="str">
        <f aca="false">PODACI_ZALIHE!B894</f>
        <v>KLUDI NOVA FONTE PURISTIC ZIDNA ARMATURA</v>
      </c>
      <c r="C897" s="9" t="n">
        <f aca="false">PODACI_ZALIHE!C894</f>
        <v>0</v>
      </c>
      <c r="D897" s="8" t="n">
        <f aca="false">PODACI_ZALIHE!D894</f>
        <v>0</v>
      </c>
      <c r="E897" s="19" t="str">
        <f aca="false">IF(PODACI_ZALIHE!E894="","",PODACI_ZALIHE!E894)</f>
        <v/>
      </c>
      <c r="F897" s="20" t="n">
        <f aca="false">PODACI_ZALIHE!F894</f>
        <v>0</v>
      </c>
      <c r="G897" s="19" t="str">
        <f aca="false">IF(E897="","",E897-F897)</f>
        <v/>
      </c>
      <c r="H897" s="9" t="n">
        <f aca="false">PODACI_PRODAJA!N714</f>
        <v>0.13</v>
      </c>
      <c r="I897" s="21" t="n">
        <f aca="false">IF(H897&lt;=0,999,ROUND(F897/H897,1))</f>
        <v>0</v>
      </c>
      <c r="J897" s="9" t="n">
        <f aca="false">SUMIFS(ROBA_U_DOLASKU!$C$6:$C$95,ROBA_U_DOLASKU!$A$6:$A$95,A897,ROBA_U_DOLASKU!$H$6:$H$95,1)</f>
        <v>0</v>
      </c>
      <c r="K897" s="9" t="n">
        <f aca="false">SUMIFS(ROBA_U_DOLASKU!$B$6:$B$95,ROBA_U_DOLASKU!$A$6:$A$95,A897,ROBA_U_DOLASKU!$H$6:$H$95,1)</f>
        <v>0</v>
      </c>
      <c r="L897" s="9" t="n">
        <f aca="false">SUMIFS(ROBA_U_DOLASKU!$C$6:$C$95,ROBA_U_DOLASKU!$A$6:$A$95,A897,ROBA_U_DOLASKU!$H$6:$H$95,2)</f>
        <v>0</v>
      </c>
      <c r="M897" s="9" t="n">
        <f aca="false">SUMIFS(ROBA_U_DOLASKU!$B$6:$B$95,ROBA_U_DOLASKU!$A$6:$A$95,A897,ROBA_U_DOLASKU!$H$6:$H$95,2)</f>
        <v>0</v>
      </c>
      <c r="N897" s="9" t="n">
        <f aca="false">SUMIFS(ROBA_U_DOLASKU!$C$6:$C$95,ROBA_U_DOLASKU!$A$6:$A$95,A897,ROBA_U_DOLASKU!$H$6:$H$95,3)</f>
        <v>0</v>
      </c>
      <c r="O897" s="9" t="n">
        <f aca="false">SUMIFS(ROBA_U_DOLASKU!$B$6:$B$95,ROBA_U_DOLASKU!$A$6:$A$95,A897,ROBA_U_DOLASKU!$H$6:$H$95,3)</f>
        <v>0</v>
      </c>
      <c r="P897" s="9" t="n">
        <f aca="false">IF(H897&lt;=0,999,IF(O897&gt;0,ROUND((F897-H897*N897+K897+M897+O897)/H897,1),IF(M897&gt;0,ROUND((F897-H897*L897+K897+M897)/H897,1),IF(K897&gt;0,ROUND((F897-H897*J897+K897)/H897,1),I897))))</f>
        <v>0</v>
      </c>
      <c r="Q897" s="22" t="str">
        <f aca="false">IF(H897&lt;=0,"Nema prodaje",IF(AND(K897=0,M897=0,O897=0),IF(I897&lt;POSTAVKE!$B$6,"Naruči odmah","Sve u redu"),IF(F897-H897*J897&lt;0,"Rupa za ~"&amp;TEXT(I897,"0.0")&amp;" mj.",IF(AND(M897&gt;0,F897-H897*L897+K897&lt;0),"Rupa nakon 1. dolaska",IF(AND(O897&gt;0,F897-H897*N897+K897+M897&lt;0),"Rupa nakon 2. dolaska",IF(P897&lt;POSTAVKE!$B$6,"Količina nije dovoljna",IF(I897&gt;=POSTAVKE!$B$6,"Sve u redu","Stiže na vrijeme")))))))</f>
        <v>Naruči odmah</v>
      </c>
      <c r="S897" s="23" t="n">
        <f aca="false">IFERROR(INDEX(PODACI_PRODAJA!B:B,MATCH($A897,PODACI_PRODAJA!$A:$A,0)),0)</f>
        <v>0</v>
      </c>
      <c r="T897" s="23" t="n">
        <f aca="false">IFERROR(INDEX(PODACI_PRODAJA!C:C,MATCH($A897,PODACI_PRODAJA!$A:$A,0)),0)</f>
        <v>0</v>
      </c>
      <c r="U897" s="23" t="n">
        <f aca="false">IFERROR(INDEX(PODACI_PRODAJA!D:D,MATCH($A897,PODACI_PRODAJA!$A:$A,0)),0)</f>
        <v>0</v>
      </c>
      <c r="V897" s="23" t="n">
        <f aca="false">IFERROR(INDEX(PODACI_PRODAJA!E:E,MATCH($A897,PODACI_PRODAJA!$A:$A,0)),0)</f>
        <v>0</v>
      </c>
      <c r="W897" s="23" t="n">
        <f aca="false">IFERROR(INDEX(PODACI_PRODAJA!F:F,MATCH($A897,PODACI_PRODAJA!$A:$A,0)),0)</f>
        <v>0</v>
      </c>
      <c r="X897" s="23" t="n">
        <f aca="false">IFERROR(INDEX(PODACI_PRODAJA!G:G,MATCH($A897,PODACI_PRODAJA!$A:$A,0)),0)</f>
        <v>0</v>
      </c>
      <c r="Y897" s="23" t="n">
        <f aca="false">IFERROR(INDEX(PODACI_PRODAJA!H:H,MATCH($A897,PODACI_PRODAJA!$A:$A,0)),0)</f>
        <v>1</v>
      </c>
      <c r="Z897" s="23" t="n">
        <f aca="false">IFERROR(INDEX(PODACI_PRODAJA!I:I,MATCH($A897,PODACI_PRODAJA!$A:$A,0)),0)</f>
        <v>0</v>
      </c>
      <c r="AA897" s="23" t="n">
        <f aca="false">IFERROR(INDEX(PODACI_PRODAJA!J:J,MATCH($A897,PODACI_PRODAJA!$A:$A,0)),0)</f>
        <v>0</v>
      </c>
      <c r="AB897" s="23" t="n">
        <f aca="false">IFERROR(INDEX(PODACI_PRODAJA!K:K,MATCH($A897,PODACI_PRODAJA!$A:$A,0)),0)</f>
        <v>0</v>
      </c>
      <c r="AC897" s="23" t="n">
        <f aca="false">IFERROR(INDEX(PODACI_PRODAJA!L:L,MATCH($A897,PODACI_PRODAJA!$A:$A,0)),0)</f>
        <v>0</v>
      </c>
      <c r="AD897" s="23" t="n">
        <f aca="false">IFERROR(INDEX(PODACI_PRODAJA!M:M,MATCH($A897,PODACI_PRODAJA!$A:$A,0)),0)</f>
        <v>0</v>
      </c>
    </row>
    <row r="898" customFormat="false" ht="15" hidden="false" customHeight="false" outlineLevel="0" collapsed="false">
      <c r="A898" s="11" t="str">
        <f aca="false">PODACI_ZALIHE!A895</f>
        <v>202443915</v>
      </c>
      <c r="B898" s="8" t="str">
        <f aca="false">PODACI_ZALIHE!B895</f>
        <v>KLUDI Nova Fonte Pura podžbukna zidna armatura za umivaonik</v>
      </c>
      <c r="C898" s="9" t="n">
        <f aca="false">PODACI_ZALIHE!C895</f>
        <v>0</v>
      </c>
      <c r="D898" s="8" t="n">
        <f aca="false">PODACI_ZALIHE!D895</f>
        <v>0</v>
      </c>
      <c r="E898" s="19" t="str">
        <f aca="false">IF(PODACI_ZALIHE!E895="","",PODACI_ZALIHE!E895)</f>
        <v/>
      </c>
      <c r="F898" s="20" t="n">
        <f aca="false">PODACI_ZALIHE!F895</f>
        <v>0</v>
      </c>
      <c r="G898" s="19" t="str">
        <f aca="false">IF(E898="","",E898-F898)</f>
        <v/>
      </c>
      <c r="H898" s="9" t="n">
        <f aca="false">PODACI_PRODAJA!N715</f>
        <v>0.25</v>
      </c>
      <c r="I898" s="21" t="n">
        <f aca="false">IF(H898&lt;=0,999,ROUND(F898/H898,1))</f>
        <v>0</v>
      </c>
      <c r="J898" s="9" t="n">
        <f aca="false">SUMIFS(ROBA_U_DOLASKU!$C$6:$C$95,ROBA_U_DOLASKU!$A$6:$A$95,A898,ROBA_U_DOLASKU!$H$6:$H$95,1)</f>
        <v>0</v>
      </c>
      <c r="K898" s="9" t="n">
        <f aca="false">SUMIFS(ROBA_U_DOLASKU!$B$6:$B$95,ROBA_U_DOLASKU!$A$6:$A$95,A898,ROBA_U_DOLASKU!$H$6:$H$95,1)</f>
        <v>0</v>
      </c>
      <c r="L898" s="9" t="n">
        <f aca="false">SUMIFS(ROBA_U_DOLASKU!$C$6:$C$95,ROBA_U_DOLASKU!$A$6:$A$95,A898,ROBA_U_DOLASKU!$H$6:$H$95,2)</f>
        <v>0</v>
      </c>
      <c r="M898" s="9" t="n">
        <f aca="false">SUMIFS(ROBA_U_DOLASKU!$B$6:$B$95,ROBA_U_DOLASKU!$A$6:$A$95,A898,ROBA_U_DOLASKU!$H$6:$H$95,2)</f>
        <v>0</v>
      </c>
      <c r="N898" s="9" t="n">
        <f aca="false">SUMIFS(ROBA_U_DOLASKU!$C$6:$C$95,ROBA_U_DOLASKU!$A$6:$A$95,A898,ROBA_U_DOLASKU!$H$6:$H$95,3)</f>
        <v>0</v>
      </c>
      <c r="O898" s="9" t="n">
        <f aca="false">SUMIFS(ROBA_U_DOLASKU!$B$6:$B$95,ROBA_U_DOLASKU!$A$6:$A$95,A898,ROBA_U_DOLASKU!$H$6:$H$95,3)</f>
        <v>0</v>
      </c>
      <c r="P898" s="9" t="n">
        <f aca="false">IF(H898&lt;=0,999,IF(O898&gt;0,ROUND((F898-H898*N898+K898+M898+O898)/H898,1),IF(M898&gt;0,ROUND((F898-H898*L898+K898+M898)/H898,1),IF(K898&gt;0,ROUND((F898-H898*J898+K898)/H898,1),I898))))</f>
        <v>0</v>
      </c>
      <c r="Q898" s="22" t="str">
        <f aca="false">IF(H898&lt;=0,"Nema prodaje",IF(AND(K898=0,M898=0,O898=0),IF(I898&lt;POSTAVKE!$B$6,"Naruči odmah","Sve u redu"),IF(F898-H898*J898&lt;0,"Rupa za ~"&amp;TEXT(I898,"0.0")&amp;" mj.",IF(AND(M898&gt;0,F898-H898*L898+K898&lt;0),"Rupa nakon 1. dolaska",IF(AND(O898&gt;0,F898-H898*N898+K898+M898&lt;0),"Rupa nakon 2. dolaska",IF(P898&lt;POSTAVKE!$B$6,"Količina nije dovoljna",IF(I898&gt;=POSTAVKE!$B$6,"Sve u redu","Stiže na vrijeme")))))))</f>
        <v>Naruči odmah</v>
      </c>
      <c r="S898" s="23" t="n">
        <f aca="false">IFERROR(INDEX(PODACI_PRODAJA!B:B,MATCH($A898,PODACI_PRODAJA!$A:$A,0)),0)</f>
        <v>0</v>
      </c>
      <c r="T898" s="23" t="n">
        <f aca="false">IFERROR(INDEX(PODACI_PRODAJA!C:C,MATCH($A898,PODACI_PRODAJA!$A:$A,0)),0)</f>
        <v>0</v>
      </c>
      <c r="U898" s="23" t="n">
        <f aca="false">IFERROR(INDEX(PODACI_PRODAJA!D:D,MATCH($A898,PODACI_PRODAJA!$A:$A,0)),0)</f>
        <v>0</v>
      </c>
      <c r="V898" s="23" t="n">
        <f aca="false">IFERROR(INDEX(PODACI_PRODAJA!E:E,MATCH($A898,PODACI_PRODAJA!$A:$A,0)),0)</f>
        <v>2</v>
      </c>
      <c r="W898" s="23" t="n">
        <f aca="false">IFERROR(INDEX(PODACI_PRODAJA!F:F,MATCH($A898,PODACI_PRODAJA!$A:$A,0)),0)</f>
        <v>0</v>
      </c>
      <c r="X898" s="23" t="n">
        <f aca="false">IFERROR(INDEX(PODACI_PRODAJA!G:G,MATCH($A898,PODACI_PRODAJA!$A:$A,0)),0)</f>
        <v>0</v>
      </c>
      <c r="Y898" s="23" t="n">
        <f aca="false">IFERROR(INDEX(PODACI_PRODAJA!H:H,MATCH($A898,PODACI_PRODAJA!$A:$A,0)),0)</f>
        <v>0</v>
      </c>
      <c r="Z898" s="23" t="n">
        <f aca="false">IFERROR(INDEX(PODACI_PRODAJA!I:I,MATCH($A898,PODACI_PRODAJA!$A:$A,0)),0)</f>
        <v>0</v>
      </c>
      <c r="AA898" s="23" t="n">
        <f aca="false">IFERROR(INDEX(PODACI_PRODAJA!J:J,MATCH($A898,PODACI_PRODAJA!$A:$A,0)),0)</f>
        <v>0</v>
      </c>
      <c r="AB898" s="23" t="n">
        <f aca="false">IFERROR(INDEX(PODACI_PRODAJA!K:K,MATCH($A898,PODACI_PRODAJA!$A:$A,0)),0)</f>
        <v>0</v>
      </c>
      <c r="AC898" s="23" t="n">
        <f aca="false">IFERROR(INDEX(PODACI_PRODAJA!L:L,MATCH($A898,PODACI_PRODAJA!$A:$A,0)),0)</f>
        <v>0</v>
      </c>
      <c r="AD898" s="23" t="n">
        <f aca="false">IFERROR(INDEX(PODACI_PRODAJA!M:M,MATCH($A898,PODACI_PRODAJA!$A:$A,0)),0)</f>
        <v>0</v>
      </c>
    </row>
    <row r="899" customFormat="false" ht="15" hidden="false" customHeight="false" outlineLevel="0" collapsed="false">
      <c r="A899" s="11" t="str">
        <f aca="false">PODACI_ZALIHE!A896</f>
        <v>2054339-15</v>
      </c>
      <c r="B899" s="8" t="str">
        <f aca="false">PODACI_ZALIHE!B896</f>
        <v>KLUDI Nova Fonte Puristic zidno koljeno za priključak</v>
      </c>
      <c r="C899" s="9" t="n">
        <f aca="false">PODACI_ZALIHE!C896</f>
        <v>0</v>
      </c>
      <c r="D899" s="8" t="n">
        <f aca="false">PODACI_ZALIHE!D896</f>
        <v>0</v>
      </c>
      <c r="E899" s="19" t="str">
        <f aca="false">IF(PODACI_ZALIHE!E896="","",PODACI_ZALIHE!E896)</f>
        <v/>
      </c>
      <c r="F899" s="20" t="n">
        <f aca="false">PODACI_ZALIHE!F896</f>
        <v>0</v>
      </c>
      <c r="G899" s="19" t="str">
        <f aca="false">IF(E899="","",E899-F899)</f>
        <v/>
      </c>
      <c r="H899" s="9" t="n">
        <f aca="false">PODACI_PRODAJA!N723</f>
        <v>0.13</v>
      </c>
      <c r="I899" s="21" t="n">
        <f aca="false">IF(H899&lt;=0,999,ROUND(F899/H899,1))</f>
        <v>0</v>
      </c>
      <c r="J899" s="9" t="n">
        <f aca="false">SUMIFS(ROBA_U_DOLASKU!$C$6:$C$95,ROBA_U_DOLASKU!$A$6:$A$95,A899,ROBA_U_DOLASKU!$H$6:$H$95,1)</f>
        <v>0</v>
      </c>
      <c r="K899" s="9" t="n">
        <f aca="false">SUMIFS(ROBA_U_DOLASKU!$B$6:$B$95,ROBA_U_DOLASKU!$A$6:$A$95,A899,ROBA_U_DOLASKU!$H$6:$H$95,1)</f>
        <v>0</v>
      </c>
      <c r="L899" s="9" t="n">
        <f aca="false">SUMIFS(ROBA_U_DOLASKU!$C$6:$C$95,ROBA_U_DOLASKU!$A$6:$A$95,A899,ROBA_U_DOLASKU!$H$6:$H$95,2)</f>
        <v>0</v>
      </c>
      <c r="M899" s="9" t="n">
        <f aca="false">SUMIFS(ROBA_U_DOLASKU!$B$6:$B$95,ROBA_U_DOLASKU!$A$6:$A$95,A899,ROBA_U_DOLASKU!$H$6:$H$95,2)</f>
        <v>0</v>
      </c>
      <c r="N899" s="9" t="n">
        <f aca="false">SUMIFS(ROBA_U_DOLASKU!$C$6:$C$95,ROBA_U_DOLASKU!$A$6:$A$95,A899,ROBA_U_DOLASKU!$H$6:$H$95,3)</f>
        <v>0</v>
      </c>
      <c r="O899" s="9" t="n">
        <f aca="false">SUMIFS(ROBA_U_DOLASKU!$B$6:$B$95,ROBA_U_DOLASKU!$A$6:$A$95,A899,ROBA_U_DOLASKU!$H$6:$H$95,3)</f>
        <v>0</v>
      </c>
      <c r="P899" s="9" t="n">
        <f aca="false">IF(H899&lt;=0,999,IF(O899&gt;0,ROUND((F899-H899*N899+K899+M899+O899)/H899,1),IF(M899&gt;0,ROUND((F899-H899*L899+K899+M899)/H899,1),IF(K899&gt;0,ROUND((F899-H899*J899+K899)/H899,1),I899))))</f>
        <v>0</v>
      </c>
      <c r="Q899" s="22" t="str">
        <f aca="false">IF(H899&lt;=0,"Nema prodaje",IF(AND(K899=0,M899=0,O899=0),IF(I899&lt;POSTAVKE!$B$6,"Naruči odmah","Sve u redu"),IF(F899-H899*J899&lt;0,"Rupa za ~"&amp;TEXT(I899,"0.0")&amp;" mj.",IF(AND(M899&gt;0,F899-H899*L899+K899&lt;0),"Rupa nakon 1. dolaska",IF(AND(O899&gt;0,F899-H899*N899+K899+M899&lt;0),"Rupa nakon 2. dolaska",IF(P899&lt;POSTAVKE!$B$6,"Količina nije dovoljna",IF(I899&gt;=POSTAVKE!$B$6,"Sve u redu","Stiže na vrijeme")))))))</f>
        <v>Naruči odmah</v>
      </c>
      <c r="S899" s="23" t="n">
        <f aca="false">IFERROR(INDEX(PODACI_PRODAJA!B:B,MATCH($A899,PODACI_PRODAJA!$A:$A,0)),0)</f>
        <v>0</v>
      </c>
      <c r="T899" s="23" t="n">
        <f aca="false">IFERROR(INDEX(PODACI_PRODAJA!C:C,MATCH($A899,PODACI_PRODAJA!$A:$A,0)),0)</f>
        <v>0</v>
      </c>
      <c r="U899" s="23" t="n">
        <f aca="false">IFERROR(INDEX(PODACI_PRODAJA!D:D,MATCH($A899,PODACI_PRODAJA!$A:$A,0)),0)</f>
        <v>0</v>
      </c>
      <c r="V899" s="23" t="n">
        <f aca="false">IFERROR(INDEX(PODACI_PRODAJA!E:E,MATCH($A899,PODACI_PRODAJA!$A:$A,0)),0)</f>
        <v>1</v>
      </c>
      <c r="W899" s="23" t="n">
        <f aca="false">IFERROR(INDEX(PODACI_PRODAJA!F:F,MATCH($A899,PODACI_PRODAJA!$A:$A,0)),0)</f>
        <v>0</v>
      </c>
      <c r="X899" s="23" t="n">
        <f aca="false">IFERROR(INDEX(PODACI_PRODAJA!G:G,MATCH($A899,PODACI_PRODAJA!$A:$A,0)),0)</f>
        <v>0</v>
      </c>
      <c r="Y899" s="23" t="n">
        <f aca="false">IFERROR(INDEX(PODACI_PRODAJA!H:H,MATCH($A899,PODACI_PRODAJA!$A:$A,0)),0)</f>
        <v>0</v>
      </c>
      <c r="Z899" s="23" t="n">
        <f aca="false">IFERROR(INDEX(PODACI_PRODAJA!I:I,MATCH($A899,PODACI_PRODAJA!$A:$A,0)),0)</f>
        <v>0</v>
      </c>
      <c r="AA899" s="23" t="n">
        <f aca="false">IFERROR(INDEX(PODACI_PRODAJA!J:J,MATCH($A899,PODACI_PRODAJA!$A:$A,0)),0)</f>
        <v>0</v>
      </c>
      <c r="AB899" s="23" t="n">
        <f aca="false">IFERROR(INDEX(PODACI_PRODAJA!K:K,MATCH($A899,PODACI_PRODAJA!$A:$A,0)),0)</f>
        <v>0</v>
      </c>
      <c r="AC899" s="23" t="n">
        <f aca="false">IFERROR(INDEX(PODACI_PRODAJA!L:L,MATCH($A899,PODACI_PRODAJA!$A:$A,0)),0)</f>
        <v>0</v>
      </c>
      <c r="AD899" s="23" t="n">
        <f aca="false">IFERROR(INDEX(PODACI_PRODAJA!M:M,MATCH($A899,PODACI_PRODAJA!$A:$A,0)),0)</f>
        <v>0</v>
      </c>
    </row>
    <row r="900" customFormat="false" ht="15" hidden="false" customHeight="false" outlineLevel="0" collapsed="false">
      <c r="A900" s="11" t="str">
        <f aca="false">PODACI_ZALIHE!A897</f>
        <v>208103915</v>
      </c>
      <c r="B900" s="8" t="str">
        <f aca="false">PODACI_ZALIHE!B897</f>
        <v>KLUDI Nova Fonte Pura podžbukna termos. armatura za kadu i tuš</v>
      </c>
      <c r="C900" s="9" t="n">
        <f aca="false">PODACI_ZALIHE!C897</f>
        <v>0</v>
      </c>
      <c r="D900" s="8" t="n">
        <f aca="false">PODACI_ZALIHE!D897</f>
        <v>0</v>
      </c>
      <c r="E900" s="19" t="str">
        <f aca="false">IF(PODACI_ZALIHE!E897="","",PODACI_ZALIHE!E897)</f>
        <v/>
      </c>
      <c r="F900" s="20" t="n">
        <f aca="false">PODACI_ZALIHE!F897</f>
        <v>0</v>
      </c>
      <c r="G900" s="19" t="str">
        <f aca="false">IF(E900="","",E900-F900)</f>
        <v/>
      </c>
      <c r="H900" s="9" t="n">
        <f aca="false">PODACI_PRODAJA!N724</f>
        <v>0.13</v>
      </c>
      <c r="I900" s="21" t="n">
        <f aca="false">IF(H900&lt;=0,999,ROUND(F900/H900,1))</f>
        <v>0</v>
      </c>
      <c r="J900" s="9" t="n">
        <f aca="false">SUMIFS(ROBA_U_DOLASKU!$C$6:$C$95,ROBA_U_DOLASKU!$A$6:$A$95,A900,ROBA_U_DOLASKU!$H$6:$H$95,1)</f>
        <v>0</v>
      </c>
      <c r="K900" s="9" t="n">
        <f aca="false">SUMIFS(ROBA_U_DOLASKU!$B$6:$B$95,ROBA_U_DOLASKU!$A$6:$A$95,A900,ROBA_U_DOLASKU!$H$6:$H$95,1)</f>
        <v>0</v>
      </c>
      <c r="L900" s="9" t="n">
        <f aca="false">SUMIFS(ROBA_U_DOLASKU!$C$6:$C$95,ROBA_U_DOLASKU!$A$6:$A$95,A900,ROBA_U_DOLASKU!$H$6:$H$95,2)</f>
        <v>0</v>
      </c>
      <c r="M900" s="9" t="n">
        <f aca="false">SUMIFS(ROBA_U_DOLASKU!$B$6:$B$95,ROBA_U_DOLASKU!$A$6:$A$95,A900,ROBA_U_DOLASKU!$H$6:$H$95,2)</f>
        <v>0</v>
      </c>
      <c r="N900" s="9" t="n">
        <f aca="false">SUMIFS(ROBA_U_DOLASKU!$C$6:$C$95,ROBA_U_DOLASKU!$A$6:$A$95,A900,ROBA_U_DOLASKU!$H$6:$H$95,3)</f>
        <v>0</v>
      </c>
      <c r="O900" s="9" t="n">
        <f aca="false">SUMIFS(ROBA_U_DOLASKU!$B$6:$B$95,ROBA_U_DOLASKU!$A$6:$A$95,A900,ROBA_U_DOLASKU!$H$6:$H$95,3)</f>
        <v>0</v>
      </c>
      <c r="P900" s="9" t="n">
        <f aca="false">IF(H900&lt;=0,999,IF(O900&gt;0,ROUND((F900-H900*N900+K900+M900+O900)/H900,1),IF(M900&gt;0,ROUND((F900-H900*L900+K900+M900)/H900,1),IF(K900&gt;0,ROUND((F900-H900*J900+K900)/H900,1),I900))))</f>
        <v>0</v>
      </c>
      <c r="Q900" s="22" t="str">
        <f aca="false">IF(H900&lt;=0,"Nema prodaje",IF(AND(K900=0,M900=0,O900=0),IF(I900&lt;POSTAVKE!$B$6,"Naruči odmah","Sve u redu"),IF(F900-H900*J900&lt;0,"Rupa za ~"&amp;TEXT(I900,"0.0")&amp;" mj.",IF(AND(M900&gt;0,F900-H900*L900+K900&lt;0),"Rupa nakon 1. dolaska",IF(AND(O900&gt;0,F900-H900*N900+K900+M900&lt;0),"Rupa nakon 2. dolaska",IF(P900&lt;POSTAVKE!$B$6,"Količina nije dovoljna",IF(I900&gt;=POSTAVKE!$B$6,"Sve u redu","Stiže na vrijeme")))))))</f>
        <v>Naruči odmah</v>
      </c>
      <c r="S900" s="23" t="n">
        <f aca="false">IFERROR(INDEX(PODACI_PRODAJA!B:B,MATCH($A900,PODACI_PRODAJA!$A:$A,0)),0)</f>
        <v>0</v>
      </c>
      <c r="T900" s="23" t="n">
        <f aca="false">IFERROR(INDEX(PODACI_PRODAJA!C:C,MATCH($A900,PODACI_PRODAJA!$A:$A,0)),0)</f>
        <v>0</v>
      </c>
      <c r="U900" s="23" t="n">
        <f aca="false">IFERROR(INDEX(PODACI_PRODAJA!D:D,MATCH($A900,PODACI_PRODAJA!$A:$A,0)),0)</f>
        <v>0</v>
      </c>
      <c r="V900" s="23" t="n">
        <f aca="false">IFERROR(INDEX(PODACI_PRODAJA!E:E,MATCH($A900,PODACI_PRODAJA!$A:$A,0)),0)</f>
        <v>1</v>
      </c>
      <c r="W900" s="23" t="n">
        <f aca="false">IFERROR(INDEX(PODACI_PRODAJA!F:F,MATCH($A900,PODACI_PRODAJA!$A:$A,0)),0)</f>
        <v>0</v>
      </c>
      <c r="X900" s="23" t="n">
        <f aca="false">IFERROR(INDEX(PODACI_PRODAJA!G:G,MATCH($A900,PODACI_PRODAJA!$A:$A,0)),0)</f>
        <v>0</v>
      </c>
      <c r="Y900" s="23" t="n">
        <f aca="false">IFERROR(INDEX(PODACI_PRODAJA!H:H,MATCH($A900,PODACI_PRODAJA!$A:$A,0)),0)</f>
        <v>0</v>
      </c>
      <c r="Z900" s="23" t="n">
        <f aca="false">IFERROR(INDEX(PODACI_PRODAJA!I:I,MATCH($A900,PODACI_PRODAJA!$A:$A,0)),0)</f>
        <v>0</v>
      </c>
      <c r="AA900" s="23" t="n">
        <f aca="false">IFERROR(INDEX(PODACI_PRODAJA!J:J,MATCH($A900,PODACI_PRODAJA!$A:$A,0)),0)</f>
        <v>0</v>
      </c>
      <c r="AB900" s="23" t="n">
        <f aca="false">IFERROR(INDEX(PODACI_PRODAJA!K:K,MATCH($A900,PODACI_PRODAJA!$A:$A,0)),0)</f>
        <v>0</v>
      </c>
      <c r="AC900" s="23" t="n">
        <f aca="false">IFERROR(INDEX(PODACI_PRODAJA!L:L,MATCH($A900,PODACI_PRODAJA!$A:$A,0)),0)</f>
        <v>0</v>
      </c>
      <c r="AD900" s="23" t="n">
        <f aca="false">IFERROR(INDEX(PODACI_PRODAJA!M:M,MATCH($A900,PODACI_PRODAJA!$A:$A,0)),0)</f>
        <v>0</v>
      </c>
    </row>
    <row r="901" customFormat="false" ht="15" hidden="false" customHeight="false" outlineLevel="0" collapsed="false">
      <c r="A901" s="11" t="str">
        <f aca="false">PODACI_ZALIHE!A898</f>
        <v>2085039-15</v>
      </c>
      <c r="B901" s="8" t="str">
        <f aca="false">PODACI_ZALIHE!B898</f>
        <v>KLUDI Nova Fonte Puristic tuš set za kadu</v>
      </c>
      <c r="C901" s="9" t="n">
        <f aca="false">PODACI_ZALIHE!C898</f>
        <v>0</v>
      </c>
      <c r="D901" s="8" t="n">
        <f aca="false">PODACI_ZALIHE!D898</f>
        <v>0</v>
      </c>
      <c r="E901" s="19" t="str">
        <f aca="false">IF(PODACI_ZALIHE!E898="","",PODACI_ZALIHE!E898)</f>
        <v/>
      </c>
      <c r="F901" s="20" t="n">
        <f aca="false">PODACI_ZALIHE!F898</f>
        <v>0</v>
      </c>
      <c r="G901" s="19" t="str">
        <f aca="false">IF(E901="","",E901-F901)</f>
        <v/>
      </c>
      <c r="H901" s="9" t="n">
        <f aca="false">PODACI_PRODAJA!N725</f>
        <v>0.13</v>
      </c>
      <c r="I901" s="21" t="n">
        <f aca="false">IF(H901&lt;=0,999,ROUND(F901/H901,1))</f>
        <v>0</v>
      </c>
      <c r="J901" s="9" t="n">
        <f aca="false">SUMIFS(ROBA_U_DOLASKU!$C$6:$C$95,ROBA_U_DOLASKU!$A$6:$A$95,A901,ROBA_U_DOLASKU!$H$6:$H$95,1)</f>
        <v>0</v>
      </c>
      <c r="K901" s="9" t="n">
        <f aca="false">SUMIFS(ROBA_U_DOLASKU!$B$6:$B$95,ROBA_U_DOLASKU!$A$6:$A$95,A901,ROBA_U_DOLASKU!$H$6:$H$95,1)</f>
        <v>0</v>
      </c>
      <c r="L901" s="9" t="n">
        <f aca="false">SUMIFS(ROBA_U_DOLASKU!$C$6:$C$95,ROBA_U_DOLASKU!$A$6:$A$95,A901,ROBA_U_DOLASKU!$H$6:$H$95,2)</f>
        <v>0</v>
      </c>
      <c r="M901" s="9" t="n">
        <f aca="false">SUMIFS(ROBA_U_DOLASKU!$B$6:$B$95,ROBA_U_DOLASKU!$A$6:$A$95,A901,ROBA_U_DOLASKU!$H$6:$H$95,2)</f>
        <v>0</v>
      </c>
      <c r="N901" s="9" t="n">
        <f aca="false">SUMIFS(ROBA_U_DOLASKU!$C$6:$C$95,ROBA_U_DOLASKU!$A$6:$A$95,A901,ROBA_U_DOLASKU!$H$6:$H$95,3)</f>
        <v>0</v>
      </c>
      <c r="O901" s="9" t="n">
        <f aca="false">SUMIFS(ROBA_U_DOLASKU!$B$6:$B$95,ROBA_U_DOLASKU!$A$6:$A$95,A901,ROBA_U_DOLASKU!$H$6:$H$95,3)</f>
        <v>0</v>
      </c>
      <c r="P901" s="9" t="n">
        <f aca="false">IF(H901&lt;=0,999,IF(O901&gt;0,ROUND((F901-H901*N901+K901+M901+O901)/H901,1),IF(M901&gt;0,ROUND((F901-H901*L901+K901+M901)/H901,1),IF(K901&gt;0,ROUND((F901-H901*J901+K901)/H901,1),I901))))</f>
        <v>0</v>
      </c>
      <c r="Q901" s="22" t="str">
        <f aca="false">IF(H901&lt;=0,"Nema prodaje",IF(AND(K901=0,M901=0,O901=0),IF(I901&lt;POSTAVKE!$B$6,"Naruči odmah","Sve u redu"),IF(F901-H901*J901&lt;0,"Rupa za ~"&amp;TEXT(I901,"0.0")&amp;" mj.",IF(AND(M901&gt;0,F901-H901*L901+K901&lt;0),"Rupa nakon 1. dolaska",IF(AND(O901&gt;0,F901-H901*N901+K901+M901&lt;0),"Rupa nakon 2. dolaska",IF(P901&lt;POSTAVKE!$B$6,"Količina nije dovoljna",IF(I901&gt;=POSTAVKE!$B$6,"Sve u redu","Stiže na vrijeme")))))))</f>
        <v>Naruči odmah</v>
      </c>
      <c r="S901" s="23" t="n">
        <f aca="false">IFERROR(INDEX(PODACI_PRODAJA!B:B,MATCH($A901,PODACI_PRODAJA!$A:$A,0)),0)</f>
        <v>0</v>
      </c>
      <c r="T901" s="23" t="n">
        <f aca="false">IFERROR(INDEX(PODACI_PRODAJA!C:C,MATCH($A901,PODACI_PRODAJA!$A:$A,0)),0)</f>
        <v>0</v>
      </c>
      <c r="U901" s="23" t="n">
        <f aca="false">IFERROR(INDEX(PODACI_PRODAJA!D:D,MATCH($A901,PODACI_PRODAJA!$A:$A,0)),0)</f>
        <v>0</v>
      </c>
      <c r="V901" s="23" t="n">
        <f aca="false">IFERROR(INDEX(PODACI_PRODAJA!E:E,MATCH($A901,PODACI_PRODAJA!$A:$A,0)),0)</f>
        <v>1</v>
      </c>
      <c r="W901" s="23" t="n">
        <f aca="false">IFERROR(INDEX(PODACI_PRODAJA!F:F,MATCH($A901,PODACI_PRODAJA!$A:$A,0)),0)</f>
        <v>0</v>
      </c>
      <c r="X901" s="23" t="n">
        <f aca="false">IFERROR(INDEX(PODACI_PRODAJA!G:G,MATCH($A901,PODACI_PRODAJA!$A:$A,0)),0)</f>
        <v>0</v>
      </c>
      <c r="Y901" s="23" t="n">
        <f aca="false">IFERROR(INDEX(PODACI_PRODAJA!H:H,MATCH($A901,PODACI_PRODAJA!$A:$A,0)),0)</f>
        <v>0</v>
      </c>
      <c r="Z901" s="23" t="n">
        <f aca="false">IFERROR(INDEX(PODACI_PRODAJA!I:I,MATCH($A901,PODACI_PRODAJA!$A:$A,0)),0)</f>
        <v>0</v>
      </c>
      <c r="AA901" s="23" t="n">
        <f aca="false">IFERROR(INDEX(PODACI_PRODAJA!J:J,MATCH($A901,PODACI_PRODAJA!$A:$A,0)),0)</f>
        <v>0</v>
      </c>
      <c r="AB901" s="23" t="n">
        <f aca="false">IFERROR(INDEX(PODACI_PRODAJA!K:K,MATCH($A901,PODACI_PRODAJA!$A:$A,0)),0)</f>
        <v>0</v>
      </c>
      <c r="AC901" s="23" t="n">
        <f aca="false">IFERROR(INDEX(PODACI_PRODAJA!L:L,MATCH($A901,PODACI_PRODAJA!$A:$A,0)),0)</f>
        <v>0</v>
      </c>
      <c r="AD901" s="23" t="n">
        <f aca="false">IFERROR(INDEX(PODACI_PRODAJA!M:M,MATCH($A901,PODACI_PRODAJA!$A:$A,0)),0)</f>
        <v>0</v>
      </c>
    </row>
    <row r="902" customFormat="false" ht="15" hidden="false" customHeight="false" outlineLevel="0" collapsed="false">
      <c r="A902" s="11" t="str">
        <f aca="false">PODACI_ZALIHE!A899</f>
        <v>23106001</v>
      </c>
      <c r="B902" s="8" t="str">
        <f aca="false">PODACI_ZALIHE!B899</f>
        <v>GROHE LINEARE JEDNORUČNA MIJEŠALICA ZA UMIVAONIK S, KROM</v>
      </c>
      <c r="C902" s="9" t="n">
        <f aca="false">PODACI_ZALIHE!C899</f>
        <v>0</v>
      </c>
      <c r="D902" s="8" t="n">
        <f aca="false">PODACI_ZALIHE!D899</f>
        <v>0</v>
      </c>
      <c r="E902" s="19" t="str">
        <f aca="false">IF(PODACI_ZALIHE!E899="","",PODACI_ZALIHE!E899)</f>
        <v/>
      </c>
      <c r="F902" s="20" t="n">
        <f aca="false">PODACI_ZALIHE!F899</f>
        <v>0</v>
      </c>
      <c r="G902" s="19" t="str">
        <f aca="false">IF(E902="","",E902-F902)</f>
        <v/>
      </c>
      <c r="H902" s="9" t="n">
        <f aca="false">PODACI_PRODAJA!N726</f>
        <v>0.25</v>
      </c>
      <c r="I902" s="21" t="n">
        <f aca="false">IF(H902&lt;=0,999,ROUND(F902/H902,1))</f>
        <v>0</v>
      </c>
      <c r="J902" s="9" t="n">
        <f aca="false">SUMIFS(ROBA_U_DOLASKU!$C$6:$C$95,ROBA_U_DOLASKU!$A$6:$A$95,A902,ROBA_U_DOLASKU!$H$6:$H$95,1)</f>
        <v>0</v>
      </c>
      <c r="K902" s="9" t="n">
        <f aca="false">SUMIFS(ROBA_U_DOLASKU!$B$6:$B$95,ROBA_U_DOLASKU!$A$6:$A$95,A902,ROBA_U_DOLASKU!$H$6:$H$95,1)</f>
        <v>0</v>
      </c>
      <c r="L902" s="9" t="n">
        <f aca="false">SUMIFS(ROBA_U_DOLASKU!$C$6:$C$95,ROBA_U_DOLASKU!$A$6:$A$95,A902,ROBA_U_DOLASKU!$H$6:$H$95,2)</f>
        <v>0</v>
      </c>
      <c r="M902" s="9" t="n">
        <f aca="false">SUMIFS(ROBA_U_DOLASKU!$B$6:$B$95,ROBA_U_DOLASKU!$A$6:$A$95,A902,ROBA_U_DOLASKU!$H$6:$H$95,2)</f>
        <v>0</v>
      </c>
      <c r="N902" s="9" t="n">
        <f aca="false">SUMIFS(ROBA_U_DOLASKU!$C$6:$C$95,ROBA_U_DOLASKU!$A$6:$A$95,A902,ROBA_U_DOLASKU!$H$6:$H$95,3)</f>
        <v>0</v>
      </c>
      <c r="O902" s="9" t="n">
        <f aca="false">SUMIFS(ROBA_U_DOLASKU!$B$6:$B$95,ROBA_U_DOLASKU!$A$6:$A$95,A902,ROBA_U_DOLASKU!$H$6:$H$95,3)</f>
        <v>0</v>
      </c>
      <c r="P902" s="9" t="n">
        <f aca="false">IF(H902&lt;=0,999,IF(O902&gt;0,ROUND((F902-H902*N902+K902+M902+O902)/H902,1),IF(M902&gt;0,ROUND((F902-H902*L902+K902+M902)/H902,1),IF(K902&gt;0,ROUND((F902-H902*J902+K902)/H902,1),I902))))</f>
        <v>0</v>
      </c>
      <c r="Q902" s="22" t="str">
        <f aca="false">IF(H902&lt;=0,"Nema prodaje",IF(AND(K902=0,M902=0,O902=0),IF(I902&lt;POSTAVKE!$B$6,"Naruči odmah","Sve u redu"),IF(F902-H902*J902&lt;0,"Rupa za ~"&amp;TEXT(I902,"0.0")&amp;" mj.",IF(AND(M902&gt;0,F902-H902*L902+K902&lt;0),"Rupa nakon 1. dolaska",IF(AND(O902&gt;0,F902-H902*N902+K902+M902&lt;0),"Rupa nakon 2. dolaska",IF(P902&lt;POSTAVKE!$B$6,"Količina nije dovoljna",IF(I902&gt;=POSTAVKE!$B$6,"Sve u redu","Stiže na vrijeme")))))))</f>
        <v>Naruči odmah</v>
      </c>
      <c r="S902" s="23" t="n">
        <f aca="false">IFERROR(INDEX(PODACI_PRODAJA!B:B,MATCH($A902,PODACI_PRODAJA!$A:$A,0)),0)</f>
        <v>0</v>
      </c>
      <c r="T902" s="23" t="n">
        <f aca="false">IFERROR(INDEX(PODACI_PRODAJA!C:C,MATCH($A902,PODACI_PRODAJA!$A:$A,0)),0)</f>
        <v>0</v>
      </c>
      <c r="U902" s="23" t="n">
        <f aca="false">IFERROR(INDEX(PODACI_PRODAJA!D:D,MATCH($A902,PODACI_PRODAJA!$A:$A,0)),0)</f>
        <v>0</v>
      </c>
      <c r="V902" s="23" t="n">
        <f aca="false">IFERROR(INDEX(PODACI_PRODAJA!E:E,MATCH($A902,PODACI_PRODAJA!$A:$A,0)),0)</f>
        <v>0</v>
      </c>
      <c r="W902" s="23" t="n">
        <f aca="false">IFERROR(INDEX(PODACI_PRODAJA!F:F,MATCH($A902,PODACI_PRODAJA!$A:$A,0)),0)</f>
        <v>0</v>
      </c>
      <c r="X902" s="23" t="n">
        <f aca="false">IFERROR(INDEX(PODACI_PRODAJA!G:G,MATCH($A902,PODACI_PRODAJA!$A:$A,0)),0)</f>
        <v>0</v>
      </c>
      <c r="Y902" s="23" t="n">
        <f aca="false">IFERROR(INDEX(PODACI_PRODAJA!H:H,MATCH($A902,PODACI_PRODAJA!$A:$A,0)),0)</f>
        <v>0</v>
      </c>
      <c r="Z902" s="23" t="n">
        <f aca="false">IFERROR(INDEX(PODACI_PRODAJA!I:I,MATCH($A902,PODACI_PRODAJA!$A:$A,0)),0)</f>
        <v>2</v>
      </c>
      <c r="AA902" s="23" t="n">
        <f aca="false">IFERROR(INDEX(PODACI_PRODAJA!J:J,MATCH($A902,PODACI_PRODAJA!$A:$A,0)),0)</f>
        <v>0</v>
      </c>
      <c r="AB902" s="23" t="n">
        <f aca="false">IFERROR(INDEX(PODACI_PRODAJA!K:K,MATCH($A902,PODACI_PRODAJA!$A:$A,0)),0)</f>
        <v>0</v>
      </c>
      <c r="AC902" s="23" t="n">
        <f aca="false">IFERROR(INDEX(PODACI_PRODAJA!L:L,MATCH($A902,PODACI_PRODAJA!$A:$A,0)),0)</f>
        <v>0</v>
      </c>
      <c r="AD902" s="23" t="n">
        <f aca="false">IFERROR(INDEX(PODACI_PRODAJA!M:M,MATCH($A902,PODACI_PRODAJA!$A:$A,0)),0)</f>
        <v>0</v>
      </c>
    </row>
    <row r="903" customFormat="false" ht="15" hidden="false" customHeight="false" outlineLevel="0" collapsed="false">
      <c r="A903" s="11" t="str">
        <f aca="false">PODACI_ZALIHE!A900</f>
        <v>240.715.00.5</v>
      </c>
      <c r="B903" s="8" t="str">
        <f aca="false">PODACI_ZALIHE!B900</f>
        <v>GEBERIT ULJEVNI VENTIL TIP 383</v>
      </c>
      <c r="C903" s="9" t="n">
        <f aca="false">PODACI_ZALIHE!C900</f>
        <v>0</v>
      </c>
      <c r="D903" s="8" t="n">
        <f aca="false">PODACI_ZALIHE!D900</f>
        <v>0</v>
      </c>
      <c r="E903" s="19" t="str">
        <f aca="false">IF(PODACI_ZALIHE!E900="","",PODACI_ZALIHE!E900)</f>
        <v/>
      </c>
      <c r="F903" s="20" t="n">
        <f aca="false">PODACI_ZALIHE!F900</f>
        <v>0</v>
      </c>
      <c r="G903" s="19" t="str">
        <f aca="false">IF(E903="","",E903-F903)</f>
        <v/>
      </c>
      <c r="H903" s="9" t="n">
        <f aca="false">PODACI_PRODAJA!N734</f>
        <v>1.25</v>
      </c>
      <c r="I903" s="21" t="n">
        <f aca="false">IF(H903&lt;=0,999,ROUND(F903/H903,1))</f>
        <v>0</v>
      </c>
      <c r="J903" s="9" t="n">
        <f aca="false">SUMIFS(ROBA_U_DOLASKU!$C$6:$C$95,ROBA_U_DOLASKU!$A$6:$A$95,A903,ROBA_U_DOLASKU!$H$6:$H$95,1)</f>
        <v>0</v>
      </c>
      <c r="K903" s="9" t="n">
        <f aca="false">SUMIFS(ROBA_U_DOLASKU!$B$6:$B$95,ROBA_U_DOLASKU!$A$6:$A$95,A903,ROBA_U_DOLASKU!$H$6:$H$95,1)</f>
        <v>0</v>
      </c>
      <c r="L903" s="9" t="n">
        <f aca="false">SUMIFS(ROBA_U_DOLASKU!$C$6:$C$95,ROBA_U_DOLASKU!$A$6:$A$95,A903,ROBA_U_DOLASKU!$H$6:$H$95,2)</f>
        <v>0</v>
      </c>
      <c r="M903" s="9" t="n">
        <f aca="false">SUMIFS(ROBA_U_DOLASKU!$B$6:$B$95,ROBA_U_DOLASKU!$A$6:$A$95,A903,ROBA_U_DOLASKU!$H$6:$H$95,2)</f>
        <v>0</v>
      </c>
      <c r="N903" s="9" t="n">
        <f aca="false">SUMIFS(ROBA_U_DOLASKU!$C$6:$C$95,ROBA_U_DOLASKU!$A$6:$A$95,A903,ROBA_U_DOLASKU!$H$6:$H$95,3)</f>
        <v>0</v>
      </c>
      <c r="O903" s="9" t="n">
        <f aca="false">SUMIFS(ROBA_U_DOLASKU!$B$6:$B$95,ROBA_U_DOLASKU!$A$6:$A$95,A903,ROBA_U_DOLASKU!$H$6:$H$95,3)</f>
        <v>0</v>
      </c>
      <c r="P903" s="9" t="n">
        <f aca="false">IF(H903&lt;=0,999,IF(O903&gt;0,ROUND((F903-H903*N903+K903+M903+O903)/H903,1),IF(M903&gt;0,ROUND((F903-H903*L903+K903+M903)/H903,1),IF(K903&gt;0,ROUND((F903-H903*J903+K903)/H903,1),I903))))</f>
        <v>0</v>
      </c>
      <c r="Q903" s="22" t="str">
        <f aca="false">IF(H903&lt;=0,"Nema prodaje",IF(AND(K903=0,M903=0,O903=0),IF(I903&lt;POSTAVKE!$B$6,"Naruči odmah","Sve u redu"),IF(F903-H903*J903&lt;0,"Rupa za ~"&amp;TEXT(I903,"0.0")&amp;" mj.",IF(AND(M903&gt;0,F903-H903*L903+K903&lt;0),"Rupa nakon 1. dolaska",IF(AND(O903&gt;0,F903-H903*N903+K903+M903&lt;0),"Rupa nakon 2. dolaska",IF(P903&lt;POSTAVKE!$B$6,"Količina nije dovoljna",IF(I903&gt;=POSTAVKE!$B$6,"Sve u redu","Stiže na vrijeme")))))))</f>
        <v>Naruči odmah</v>
      </c>
      <c r="S903" s="23" t="n">
        <f aca="false">IFERROR(INDEX(PODACI_PRODAJA!B:B,MATCH($A903,PODACI_PRODAJA!$A:$A,0)),0)</f>
        <v>0</v>
      </c>
      <c r="T903" s="23" t="n">
        <f aca="false">IFERROR(INDEX(PODACI_PRODAJA!C:C,MATCH($A903,PODACI_PRODAJA!$A:$A,0)),0)</f>
        <v>0</v>
      </c>
      <c r="U903" s="23" t="n">
        <f aca="false">IFERROR(INDEX(PODACI_PRODAJA!D:D,MATCH($A903,PODACI_PRODAJA!$A:$A,0)),0)</f>
        <v>0</v>
      </c>
      <c r="V903" s="23" t="n">
        <f aca="false">IFERROR(INDEX(PODACI_PRODAJA!E:E,MATCH($A903,PODACI_PRODAJA!$A:$A,0)),0)</f>
        <v>0</v>
      </c>
      <c r="W903" s="23" t="n">
        <f aca="false">IFERROR(INDEX(PODACI_PRODAJA!F:F,MATCH($A903,PODACI_PRODAJA!$A:$A,0)),0)</f>
        <v>0</v>
      </c>
      <c r="X903" s="23" t="n">
        <f aca="false">IFERROR(INDEX(PODACI_PRODAJA!G:G,MATCH($A903,PODACI_PRODAJA!$A:$A,0)),0)</f>
        <v>10</v>
      </c>
      <c r="Y903" s="23" t="n">
        <f aca="false">IFERROR(INDEX(PODACI_PRODAJA!H:H,MATCH($A903,PODACI_PRODAJA!$A:$A,0)),0)</f>
        <v>0</v>
      </c>
      <c r="Z903" s="23" t="n">
        <f aca="false">IFERROR(INDEX(PODACI_PRODAJA!I:I,MATCH($A903,PODACI_PRODAJA!$A:$A,0)),0)</f>
        <v>0</v>
      </c>
      <c r="AA903" s="23" t="n">
        <f aca="false">IFERROR(INDEX(PODACI_PRODAJA!J:J,MATCH($A903,PODACI_PRODAJA!$A:$A,0)),0)</f>
        <v>0</v>
      </c>
      <c r="AB903" s="23" t="n">
        <f aca="false">IFERROR(INDEX(PODACI_PRODAJA!K:K,MATCH($A903,PODACI_PRODAJA!$A:$A,0)),0)</f>
        <v>0</v>
      </c>
      <c r="AC903" s="23" t="n">
        <f aca="false">IFERROR(INDEX(PODACI_PRODAJA!L:L,MATCH($A903,PODACI_PRODAJA!$A:$A,0)),0)</f>
        <v>0</v>
      </c>
      <c r="AD903" s="23" t="n">
        <f aca="false">IFERROR(INDEX(PODACI_PRODAJA!M:M,MATCH($A903,PODACI_PRODAJA!$A:$A,0)),0)</f>
        <v>0</v>
      </c>
    </row>
    <row r="904" customFormat="false" ht="15" hidden="false" customHeight="false" outlineLevel="0" collapsed="false">
      <c r="A904" s="11" t="str">
        <f aca="false">PODACI_ZALIHE!A901</f>
        <v>33848001</v>
      </c>
      <c r="B904" s="8" t="str">
        <f aca="false">PODACI_ZALIHE!B901</f>
        <v>GROHE LINEARE JEDNORUČNA MIJEŠALICA ZA BIDE S, KROM</v>
      </c>
      <c r="C904" s="9" t="n">
        <f aca="false">PODACI_ZALIHE!C901</f>
        <v>0</v>
      </c>
      <c r="D904" s="8" t="n">
        <f aca="false">PODACI_ZALIHE!D901</f>
        <v>0</v>
      </c>
      <c r="E904" s="19" t="str">
        <f aca="false">IF(PODACI_ZALIHE!E901="","",PODACI_ZALIHE!E901)</f>
        <v/>
      </c>
      <c r="F904" s="20" t="n">
        <f aca="false">PODACI_ZALIHE!F901</f>
        <v>0</v>
      </c>
      <c r="G904" s="19" t="str">
        <f aca="false">IF(E904="","",E904-F904)</f>
        <v/>
      </c>
      <c r="H904" s="9" t="n">
        <f aca="false">PODACI_PRODAJA!N760</f>
        <v>0.13</v>
      </c>
      <c r="I904" s="21" t="n">
        <f aca="false">IF(H904&lt;=0,999,ROUND(F904/H904,1))</f>
        <v>0</v>
      </c>
      <c r="J904" s="9" t="n">
        <f aca="false">SUMIFS(ROBA_U_DOLASKU!$C$6:$C$95,ROBA_U_DOLASKU!$A$6:$A$95,A904,ROBA_U_DOLASKU!$H$6:$H$95,1)</f>
        <v>0</v>
      </c>
      <c r="K904" s="9" t="n">
        <f aca="false">SUMIFS(ROBA_U_DOLASKU!$B$6:$B$95,ROBA_U_DOLASKU!$A$6:$A$95,A904,ROBA_U_DOLASKU!$H$6:$H$95,1)</f>
        <v>0</v>
      </c>
      <c r="L904" s="9" t="n">
        <f aca="false">SUMIFS(ROBA_U_DOLASKU!$C$6:$C$95,ROBA_U_DOLASKU!$A$6:$A$95,A904,ROBA_U_DOLASKU!$H$6:$H$95,2)</f>
        <v>0</v>
      </c>
      <c r="M904" s="9" t="n">
        <f aca="false">SUMIFS(ROBA_U_DOLASKU!$B$6:$B$95,ROBA_U_DOLASKU!$A$6:$A$95,A904,ROBA_U_DOLASKU!$H$6:$H$95,2)</f>
        <v>0</v>
      </c>
      <c r="N904" s="9" t="n">
        <f aca="false">SUMIFS(ROBA_U_DOLASKU!$C$6:$C$95,ROBA_U_DOLASKU!$A$6:$A$95,A904,ROBA_U_DOLASKU!$H$6:$H$95,3)</f>
        <v>0</v>
      </c>
      <c r="O904" s="9" t="n">
        <f aca="false">SUMIFS(ROBA_U_DOLASKU!$B$6:$B$95,ROBA_U_DOLASKU!$A$6:$A$95,A904,ROBA_U_DOLASKU!$H$6:$H$95,3)</f>
        <v>0</v>
      </c>
      <c r="P904" s="9" t="n">
        <f aca="false">IF(H904&lt;=0,999,IF(O904&gt;0,ROUND((F904-H904*N904+K904+M904+O904)/H904,1),IF(M904&gt;0,ROUND((F904-H904*L904+K904+M904)/H904,1),IF(K904&gt;0,ROUND((F904-H904*J904+K904)/H904,1),I904))))</f>
        <v>0</v>
      </c>
      <c r="Q904" s="22" t="str">
        <f aca="false">IF(H904&lt;=0,"Nema prodaje",IF(AND(K904=0,M904=0,O904=0),IF(I904&lt;POSTAVKE!$B$6,"Naruči odmah","Sve u redu"),IF(F904-H904*J904&lt;0,"Rupa za ~"&amp;TEXT(I904,"0.0")&amp;" mj.",IF(AND(M904&gt;0,F904-H904*L904+K904&lt;0),"Rupa nakon 1. dolaska",IF(AND(O904&gt;0,F904-H904*N904+K904+M904&lt;0),"Rupa nakon 2. dolaska",IF(P904&lt;POSTAVKE!$B$6,"Količina nije dovoljna",IF(I904&gt;=POSTAVKE!$B$6,"Sve u redu","Stiže na vrijeme")))))))</f>
        <v>Naruči odmah</v>
      </c>
      <c r="S904" s="23" t="n">
        <f aca="false">IFERROR(INDEX(PODACI_PRODAJA!B:B,MATCH($A904,PODACI_PRODAJA!$A:$A,0)),0)</f>
        <v>0</v>
      </c>
      <c r="T904" s="23" t="n">
        <f aca="false">IFERROR(INDEX(PODACI_PRODAJA!C:C,MATCH($A904,PODACI_PRODAJA!$A:$A,0)),0)</f>
        <v>0</v>
      </c>
      <c r="U904" s="23" t="n">
        <f aca="false">IFERROR(INDEX(PODACI_PRODAJA!D:D,MATCH($A904,PODACI_PRODAJA!$A:$A,0)),0)</f>
        <v>0</v>
      </c>
      <c r="V904" s="23" t="n">
        <f aca="false">IFERROR(INDEX(PODACI_PRODAJA!E:E,MATCH($A904,PODACI_PRODAJA!$A:$A,0)),0)</f>
        <v>0</v>
      </c>
      <c r="W904" s="23" t="n">
        <f aca="false">IFERROR(INDEX(PODACI_PRODAJA!F:F,MATCH($A904,PODACI_PRODAJA!$A:$A,0)),0)</f>
        <v>0</v>
      </c>
      <c r="X904" s="23" t="n">
        <f aca="false">IFERROR(INDEX(PODACI_PRODAJA!G:G,MATCH($A904,PODACI_PRODAJA!$A:$A,0)),0)</f>
        <v>0</v>
      </c>
      <c r="Y904" s="23" t="n">
        <f aca="false">IFERROR(INDEX(PODACI_PRODAJA!H:H,MATCH($A904,PODACI_PRODAJA!$A:$A,0)),0)</f>
        <v>0</v>
      </c>
      <c r="Z904" s="23" t="n">
        <f aca="false">IFERROR(INDEX(PODACI_PRODAJA!I:I,MATCH($A904,PODACI_PRODAJA!$A:$A,0)),0)</f>
        <v>1</v>
      </c>
      <c r="AA904" s="23" t="n">
        <f aca="false">IFERROR(INDEX(PODACI_PRODAJA!J:J,MATCH($A904,PODACI_PRODAJA!$A:$A,0)),0)</f>
        <v>0</v>
      </c>
      <c r="AB904" s="23" t="n">
        <f aca="false">IFERROR(INDEX(PODACI_PRODAJA!K:K,MATCH($A904,PODACI_PRODAJA!$A:$A,0)),0)</f>
        <v>0</v>
      </c>
      <c r="AC904" s="23" t="n">
        <f aca="false">IFERROR(INDEX(PODACI_PRODAJA!L:L,MATCH($A904,PODACI_PRODAJA!$A:$A,0)),0)</f>
        <v>0</v>
      </c>
      <c r="AD904" s="23" t="n">
        <f aca="false">IFERROR(INDEX(PODACI_PRODAJA!M:M,MATCH($A904,PODACI_PRODAJA!$A:$A,0)),0)</f>
        <v>0</v>
      </c>
    </row>
    <row r="905" customFormat="false" ht="15" hidden="false" customHeight="false" outlineLevel="0" collapsed="false">
      <c r="A905" s="11" t="str">
        <f aca="false">PODACI_ZALIHE!A902</f>
        <v>33865001</v>
      </c>
      <c r="B905" s="8" t="str">
        <f aca="false">PODACI_ZALIHE!B902</f>
        <v>GROHE LINEARE JEDNORUČNA MIJEŠALICA ZA TUŠ, KROM</v>
      </c>
      <c r="C905" s="9" t="n">
        <f aca="false">PODACI_ZALIHE!C902</f>
        <v>0</v>
      </c>
      <c r="D905" s="8" t="n">
        <f aca="false">PODACI_ZALIHE!D902</f>
        <v>0</v>
      </c>
      <c r="E905" s="19" t="str">
        <f aca="false">IF(PODACI_ZALIHE!E902="","",PODACI_ZALIHE!E902)</f>
        <v/>
      </c>
      <c r="F905" s="20" t="n">
        <f aca="false">PODACI_ZALIHE!F902</f>
        <v>0</v>
      </c>
      <c r="G905" s="19" t="str">
        <f aca="false">IF(E905="","",E905-F905)</f>
        <v/>
      </c>
      <c r="H905" s="9" t="n">
        <f aca="false">PODACI_PRODAJA!N761</f>
        <v>0.13</v>
      </c>
      <c r="I905" s="21" t="n">
        <f aca="false">IF(H905&lt;=0,999,ROUND(F905/H905,1))</f>
        <v>0</v>
      </c>
      <c r="J905" s="9" t="n">
        <f aca="false">SUMIFS(ROBA_U_DOLASKU!$C$6:$C$95,ROBA_U_DOLASKU!$A$6:$A$95,A905,ROBA_U_DOLASKU!$H$6:$H$95,1)</f>
        <v>0</v>
      </c>
      <c r="K905" s="9" t="n">
        <f aca="false">SUMIFS(ROBA_U_DOLASKU!$B$6:$B$95,ROBA_U_DOLASKU!$A$6:$A$95,A905,ROBA_U_DOLASKU!$H$6:$H$95,1)</f>
        <v>0</v>
      </c>
      <c r="L905" s="9" t="n">
        <f aca="false">SUMIFS(ROBA_U_DOLASKU!$C$6:$C$95,ROBA_U_DOLASKU!$A$6:$A$95,A905,ROBA_U_DOLASKU!$H$6:$H$95,2)</f>
        <v>0</v>
      </c>
      <c r="M905" s="9" t="n">
        <f aca="false">SUMIFS(ROBA_U_DOLASKU!$B$6:$B$95,ROBA_U_DOLASKU!$A$6:$A$95,A905,ROBA_U_DOLASKU!$H$6:$H$95,2)</f>
        <v>0</v>
      </c>
      <c r="N905" s="9" t="n">
        <f aca="false">SUMIFS(ROBA_U_DOLASKU!$C$6:$C$95,ROBA_U_DOLASKU!$A$6:$A$95,A905,ROBA_U_DOLASKU!$H$6:$H$95,3)</f>
        <v>0</v>
      </c>
      <c r="O905" s="9" t="n">
        <f aca="false">SUMIFS(ROBA_U_DOLASKU!$B$6:$B$95,ROBA_U_DOLASKU!$A$6:$A$95,A905,ROBA_U_DOLASKU!$H$6:$H$95,3)</f>
        <v>0</v>
      </c>
      <c r="P905" s="9" t="n">
        <f aca="false">IF(H905&lt;=0,999,IF(O905&gt;0,ROUND((F905-H905*N905+K905+M905+O905)/H905,1),IF(M905&gt;0,ROUND((F905-H905*L905+K905+M905)/H905,1),IF(K905&gt;0,ROUND((F905-H905*J905+K905)/H905,1),I905))))</f>
        <v>0</v>
      </c>
      <c r="Q905" s="22" t="str">
        <f aca="false">IF(H905&lt;=0,"Nema prodaje",IF(AND(K905=0,M905=0,O905=0),IF(I905&lt;POSTAVKE!$B$6,"Naruči odmah","Sve u redu"),IF(F905-H905*J905&lt;0,"Rupa za ~"&amp;TEXT(I905,"0.0")&amp;" mj.",IF(AND(M905&gt;0,F905-H905*L905+K905&lt;0),"Rupa nakon 1. dolaska",IF(AND(O905&gt;0,F905-H905*N905+K905+M905&lt;0),"Rupa nakon 2. dolaska",IF(P905&lt;POSTAVKE!$B$6,"Količina nije dovoljna",IF(I905&gt;=POSTAVKE!$B$6,"Sve u redu","Stiže na vrijeme")))))))</f>
        <v>Naruči odmah</v>
      </c>
      <c r="S905" s="23" t="n">
        <f aca="false">IFERROR(INDEX(PODACI_PRODAJA!B:B,MATCH($A905,PODACI_PRODAJA!$A:$A,0)),0)</f>
        <v>0</v>
      </c>
      <c r="T905" s="23" t="n">
        <f aca="false">IFERROR(INDEX(PODACI_PRODAJA!C:C,MATCH($A905,PODACI_PRODAJA!$A:$A,0)),0)</f>
        <v>0</v>
      </c>
      <c r="U905" s="23" t="n">
        <f aca="false">IFERROR(INDEX(PODACI_PRODAJA!D:D,MATCH($A905,PODACI_PRODAJA!$A:$A,0)),0)</f>
        <v>0</v>
      </c>
      <c r="V905" s="23" t="n">
        <f aca="false">IFERROR(INDEX(PODACI_PRODAJA!E:E,MATCH($A905,PODACI_PRODAJA!$A:$A,0)),0)</f>
        <v>0</v>
      </c>
      <c r="W905" s="23" t="n">
        <f aca="false">IFERROR(INDEX(PODACI_PRODAJA!F:F,MATCH($A905,PODACI_PRODAJA!$A:$A,0)),0)</f>
        <v>0</v>
      </c>
      <c r="X905" s="23" t="n">
        <f aca="false">IFERROR(INDEX(PODACI_PRODAJA!G:G,MATCH($A905,PODACI_PRODAJA!$A:$A,0)),0)</f>
        <v>0</v>
      </c>
      <c r="Y905" s="23" t="n">
        <f aca="false">IFERROR(INDEX(PODACI_PRODAJA!H:H,MATCH($A905,PODACI_PRODAJA!$A:$A,0)),0)</f>
        <v>0</v>
      </c>
      <c r="Z905" s="23" t="n">
        <f aca="false">IFERROR(INDEX(PODACI_PRODAJA!I:I,MATCH($A905,PODACI_PRODAJA!$A:$A,0)),0)</f>
        <v>1</v>
      </c>
      <c r="AA905" s="23" t="n">
        <f aca="false">IFERROR(INDEX(PODACI_PRODAJA!J:J,MATCH($A905,PODACI_PRODAJA!$A:$A,0)),0)</f>
        <v>0</v>
      </c>
      <c r="AB905" s="23" t="n">
        <f aca="false">IFERROR(INDEX(PODACI_PRODAJA!K:K,MATCH($A905,PODACI_PRODAJA!$A:$A,0)),0)</f>
        <v>0</v>
      </c>
      <c r="AC905" s="23" t="n">
        <f aca="false">IFERROR(INDEX(PODACI_PRODAJA!L:L,MATCH($A905,PODACI_PRODAJA!$A:$A,0)),0)</f>
        <v>0</v>
      </c>
      <c r="AD905" s="23" t="n">
        <f aca="false">IFERROR(INDEX(PODACI_PRODAJA!M:M,MATCH($A905,PODACI_PRODAJA!$A:$A,0)),0)</f>
        <v>0</v>
      </c>
    </row>
    <row r="906" customFormat="false" ht="15" hidden="false" customHeight="false" outlineLevel="0" collapsed="false">
      <c r="A906" s="11" t="str">
        <f aca="false">PODACI_ZALIHE!A903</f>
        <v>6433087-00</v>
      </c>
      <c r="B906" s="8" t="str">
        <f aca="false">PODACI_ZALIHE!B903</f>
        <v>KLUDI A-QA tuš ruža fi300</v>
      </c>
      <c r="C906" s="9" t="n">
        <f aca="false">PODACI_ZALIHE!C903</f>
        <v>0</v>
      </c>
      <c r="D906" s="8" t="n">
        <f aca="false">PODACI_ZALIHE!D903</f>
        <v>0</v>
      </c>
      <c r="E906" s="19" t="str">
        <f aca="false">IF(PODACI_ZALIHE!E903="","",PODACI_ZALIHE!E903)</f>
        <v/>
      </c>
      <c r="F906" s="20" t="n">
        <f aca="false">PODACI_ZALIHE!F903</f>
        <v>0</v>
      </c>
      <c r="G906" s="19" t="str">
        <f aca="false">IF(E906="","",E906-F906)</f>
        <v/>
      </c>
      <c r="H906" s="9" t="n">
        <f aca="false">PODACI_PRODAJA!N802</f>
        <v>0.13</v>
      </c>
      <c r="I906" s="21" t="n">
        <f aca="false">IF(H906&lt;=0,999,ROUND(F906/H906,1))</f>
        <v>0</v>
      </c>
      <c r="J906" s="9" t="n">
        <f aca="false">SUMIFS(ROBA_U_DOLASKU!$C$6:$C$95,ROBA_U_DOLASKU!$A$6:$A$95,A906,ROBA_U_DOLASKU!$H$6:$H$95,1)</f>
        <v>0</v>
      </c>
      <c r="K906" s="9" t="n">
        <f aca="false">SUMIFS(ROBA_U_DOLASKU!$B$6:$B$95,ROBA_U_DOLASKU!$A$6:$A$95,A906,ROBA_U_DOLASKU!$H$6:$H$95,1)</f>
        <v>0</v>
      </c>
      <c r="L906" s="9" t="n">
        <f aca="false">SUMIFS(ROBA_U_DOLASKU!$C$6:$C$95,ROBA_U_DOLASKU!$A$6:$A$95,A906,ROBA_U_DOLASKU!$H$6:$H$95,2)</f>
        <v>0</v>
      </c>
      <c r="M906" s="9" t="n">
        <f aca="false">SUMIFS(ROBA_U_DOLASKU!$B$6:$B$95,ROBA_U_DOLASKU!$A$6:$A$95,A906,ROBA_U_DOLASKU!$H$6:$H$95,2)</f>
        <v>0</v>
      </c>
      <c r="N906" s="9" t="n">
        <f aca="false">SUMIFS(ROBA_U_DOLASKU!$C$6:$C$95,ROBA_U_DOLASKU!$A$6:$A$95,A906,ROBA_U_DOLASKU!$H$6:$H$95,3)</f>
        <v>0</v>
      </c>
      <c r="O906" s="9" t="n">
        <f aca="false">SUMIFS(ROBA_U_DOLASKU!$B$6:$B$95,ROBA_U_DOLASKU!$A$6:$A$95,A906,ROBA_U_DOLASKU!$H$6:$H$95,3)</f>
        <v>0</v>
      </c>
      <c r="P906" s="9" t="n">
        <f aca="false">IF(H906&lt;=0,999,IF(O906&gt;0,ROUND((F906-H906*N906+K906+M906+O906)/H906,1),IF(M906&gt;0,ROUND((F906-H906*L906+K906+M906)/H906,1),IF(K906&gt;0,ROUND((F906-H906*J906+K906)/H906,1),I906))))</f>
        <v>0</v>
      </c>
      <c r="Q906" s="22" t="str">
        <f aca="false">IF(H906&lt;=0,"Nema prodaje",IF(AND(K906=0,M906=0,O906=0),IF(I906&lt;POSTAVKE!$B$6,"Naruči odmah","Sve u redu"),IF(F906-H906*J906&lt;0,"Rupa za ~"&amp;TEXT(I906,"0.0")&amp;" mj.",IF(AND(M906&gt;0,F906-H906*L906+K906&lt;0),"Rupa nakon 1. dolaska",IF(AND(O906&gt;0,F906-H906*N906+K906+M906&lt;0),"Rupa nakon 2. dolaska",IF(P906&lt;POSTAVKE!$B$6,"Količina nije dovoljna",IF(I906&gt;=POSTAVKE!$B$6,"Sve u redu","Stiže na vrijeme")))))))</f>
        <v>Naruči odmah</v>
      </c>
      <c r="S906" s="23" t="n">
        <f aca="false">IFERROR(INDEX(PODACI_PRODAJA!B:B,MATCH($A906,PODACI_PRODAJA!$A:$A,0)),0)</f>
        <v>0</v>
      </c>
      <c r="T906" s="23" t="n">
        <f aca="false">IFERROR(INDEX(PODACI_PRODAJA!C:C,MATCH($A906,PODACI_PRODAJA!$A:$A,0)),0)</f>
        <v>0</v>
      </c>
      <c r="U906" s="23" t="n">
        <f aca="false">IFERROR(INDEX(PODACI_PRODAJA!D:D,MATCH($A906,PODACI_PRODAJA!$A:$A,0)),0)</f>
        <v>0</v>
      </c>
      <c r="V906" s="23" t="n">
        <f aca="false">IFERROR(INDEX(PODACI_PRODAJA!E:E,MATCH($A906,PODACI_PRODAJA!$A:$A,0)),0)</f>
        <v>1</v>
      </c>
      <c r="W906" s="23" t="n">
        <f aca="false">IFERROR(INDEX(PODACI_PRODAJA!F:F,MATCH($A906,PODACI_PRODAJA!$A:$A,0)),0)</f>
        <v>0</v>
      </c>
      <c r="X906" s="23" t="n">
        <f aca="false">IFERROR(INDEX(PODACI_PRODAJA!G:G,MATCH($A906,PODACI_PRODAJA!$A:$A,0)),0)</f>
        <v>0</v>
      </c>
      <c r="Y906" s="23" t="n">
        <f aca="false">IFERROR(INDEX(PODACI_PRODAJA!H:H,MATCH($A906,PODACI_PRODAJA!$A:$A,0)),0)</f>
        <v>0</v>
      </c>
      <c r="Z906" s="23" t="n">
        <f aca="false">IFERROR(INDEX(PODACI_PRODAJA!I:I,MATCH($A906,PODACI_PRODAJA!$A:$A,0)),0)</f>
        <v>0</v>
      </c>
      <c r="AA906" s="23" t="n">
        <f aca="false">IFERROR(INDEX(PODACI_PRODAJA!J:J,MATCH($A906,PODACI_PRODAJA!$A:$A,0)),0)</f>
        <v>0</v>
      </c>
      <c r="AB906" s="23" t="n">
        <f aca="false">IFERROR(INDEX(PODACI_PRODAJA!K:K,MATCH($A906,PODACI_PRODAJA!$A:$A,0)),0)</f>
        <v>0</v>
      </c>
      <c r="AC906" s="23" t="n">
        <f aca="false">IFERROR(INDEX(PODACI_PRODAJA!L:L,MATCH($A906,PODACI_PRODAJA!$A:$A,0)),0)</f>
        <v>0</v>
      </c>
      <c r="AD906" s="23" t="n">
        <f aca="false">IFERROR(INDEX(PODACI_PRODAJA!M:M,MATCH($A906,PODACI_PRODAJA!$A:$A,0)),0)</f>
        <v>0</v>
      </c>
    </row>
    <row r="907" customFormat="false" ht="15" hidden="false" customHeight="false" outlineLevel="0" collapsed="false">
      <c r="A907" s="11" t="str">
        <f aca="false">PODACI_ZALIHE!A904</f>
        <v>6651439-00</v>
      </c>
      <c r="B907" s="8" t="str">
        <f aca="false">PODACI_ZALIHE!B904</f>
        <v>KLUDI A-QA nosač ruže 400 mm</v>
      </c>
      <c r="C907" s="9" t="n">
        <f aca="false">PODACI_ZALIHE!C904</f>
        <v>0</v>
      </c>
      <c r="D907" s="8" t="n">
        <f aca="false">PODACI_ZALIHE!D904</f>
        <v>0</v>
      </c>
      <c r="E907" s="19" t="str">
        <f aca="false">IF(PODACI_ZALIHE!E904="","",PODACI_ZALIHE!E904)</f>
        <v/>
      </c>
      <c r="F907" s="20" t="n">
        <f aca="false">PODACI_ZALIHE!F904</f>
        <v>0</v>
      </c>
      <c r="G907" s="19" t="str">
        <f aca="false">IF(E907="","",E907-F907)</f>
        <v/>
      </c>
      <c r="H907" s="9" t="n">
        <f aca="false">PODACI_PRODAJA!N809</f>
        <v>0.13</v>
      </c>
      <c r="I907" s="21" t="n">
        <f aca="false">IF(H907&lt;=0,999,ROUND(F907/H907,1))</f>
        <v>0</v>
      </c>
      <c r="J907" s="9" t="n">
        <f aca="false">SUMIFS(ROBA_U_DOLASKU!$C$6:$C$95,ROBA_U_DOLASKU!$A$6:$A$95,A907,ROBA_U_DOLASKU!$H$6:$H$95,1)</f>
        <v>0</v>
      </c>
      <c r="K907" s="9" t="n">
        <f aca="false">SUMIFS(ROBA_U_DOLASKU!$B$6:$B$95,ROBA_U_DOLASKU!$A$6:$A$95,A907,ROBA_U_DOLASKU!$H$6:$H$95,1)</f>
        <v>0</v>
      </c>
      <c r="L907" s="9" t="n">
        <f aca="false">SUMIFS(ROBA_U_DOLASKU!$C$6:$C$95,ROBA_U_DOLASKU!$A$6:$A$95,A907,ROBA_U_DOLASKU!$H$6:$H$95,2)</f>
        <v>0</v>
      </c>
      <c r="M907" s="9" t="n">
        <f aca="false">SUMIFS(ROBA_U_DOLASKU!$B$6:$B$95,ROBA_U_DOLASKU!$A$6:$A$95,A907,ROBA_U_DOLASKU!$H$6:$H$95,2)</f>
        <v>0</v>
      </c>
      <c r="N907" s="9" t="n">
        <f aca="false">SUMIFS(ROBA_U_DOLASKU!$C$6:$C$95,ROBA_U_DOLASKU!$A$6:$A$95,A907,ROBA_U_DOLASKU!$H$6:$H$95,3)</f>
        <v>0</v>
      </c>
      <c r="O907" s="9" t="n">
        <f aca="false">SUMIFS(ROBA_U_DOLASKU!$B$6:$B$95,ROBA_U_DOLASKU!$A$6:$A$95,A907,ROBA_U_DOLASKU!$H$6:$H$95,3)</f>
        <v>0</v>
      </c>
      <c r="P907" s="9" t="n">
        <f aca="false">IF(H907&lt;=0,999,IF(O907&gt;0,ROUND((F907-H907*N907+K907+M907+O907)/H907,1),IF(M907&gt;0,ROUND((F907-H907*L907+K907+M907)/H907,1),IF(K907&gt;0,ROUND((F907-H907*J907+K907)/H907,1),I907))))</f>
        <v>0</v>
      </c>
      <c r="Q907" s="22" t="str">
        <f aca="false">IF(H907&lt;=0,"Nema prodaje",IF(AND(K907=0,M907=0,O907=0),IF(I907&lt;POSTAVKE!$B$6,"Naruči odmah","Sve u redu"),IF(F907-H907*J907&lt;0,"Rupa za ~"&amp;TEXT(I907,"0.0")&amp;" mj.",IF(AND(M907&gt;0,F907-H907*L907+K907&lt;0),"Rupa nakon 1. dolaska",IF(AND(O907&gt;0,F907-H907*N907+K907+M907&lt;0),"Rupa nakon 2. dolaska",IF(P907&lt;POSTAVKE!$B$6,"Količina nije dovoljna",IF(I907&gt;=POSTAVKE!$B$6,"Sve u redu","Stiže na vrijeme")))))))</f>
        <v>Naruči odmah</v>
      </c>
      <c r="S907" s="23" t="n">
        <f aca="false">IFERROR(INDEX(PODACI_PRODAJA!B:B,MATCH($A907,PODACI_PRODAJA!$A:$A,0)),0)</f>
        <v>0</v>
      </c>
      <c r="T907" s="23" t="n">
        <f aca="false">IFERROR(INDEX(PODACI_PRODAJA!C:C,MATCH($A907,PODACI_PRODAJA!$A:$A,0)),0)</f>
        <v>0</v>
      </c>
      <c r="U907" s="23" t="n">
        <f aca="false">IFERROR(INDEX(PODACI_PRODAJA!D:D,MATCH($A907,PODACI_PRODAJA!$A:$A,0)),0)</f>
        <v>0</v>
      </c>
      <c r="V907" s="23" t="n">
        <f aca="false">IFERROR(INDEX(PODACI_PRODAJA!E:E,MATCH($A907,PODACI_PRODAJA!$A:$A,0)),0)</f>
        <v>1</v>
      </c>
      <c r="W907" s="23" t="n">
        <f aca="false">IFERROR(INDEX(PODACI_PRODAJA!F:F,MATCH($A907,PODACI_PRODAJA!$A:$A,0)),0)</f>
        <v>0</v>
      </c>
      <c r="X907" s="23" t="n">
        <f aca="false">IFERROR(INDEX(PODACI_PRODAJA!G:G,MATCH($A907,PODACI_PRODAJA!$A:$A,0)),0)</f>
        <v>0</v>
      </c>
      <c r="Y907" s="23" t="n">
        <f aca="false">IFERROR(INDEX(PODACI_PRODAJA!H:H,MATCH($A907,PODACI_PRODAJA!$A:$A,0)),0)</f>
        <v>0</v>
      </c>
      <c r="Z907" s="23" t="n">
        <f aca="false">IFERROR(INDEX(PODACI_PRODAJA!I:I,MATCH($A907,PODACI_PRODAJA!$A:$A,0)),0)</f>
        <v>0</v>
      </c>
      <c r="AA907" s="23" t="n">
        <f aca="false">IFERROR(INDEX(PODACI_PRODAJA!J:J,MATCH($A907,PODACI_PRODAJA!$A:$A,0)),0)</f>
        <v>0</v>
      </c>
      <c r="AB907" s="23" t="n">
        <f aca="false">IFERROR(INDEX(PODACI_PRODAJA!K:K,MATCH($A907,PODACI_PRODAJA!$A:$A,0)),0)</f>
        <v>0</v>
      </c>
      <c r="AC907" s="23" t="n">
        <f aca="false">IFERROR(INDEX(PODACI_PRODAJA!L:L,MATCH($A907,PODACI_PRODAJA!$A:$A,0)),0)</f>
        <v>0</v>
      </c>
      <c r="AD907" s="23" t="n">
        <f aca="false">IFERROR(INDEX(PODACI_PRODAJA!M:M,MATCH($A907,PODACI_PRODAJA!$A:$A,0)),0)</f>
        <v>0</v>
      </c>
    </row>
    <row r="908" customFormat="false" ht="15" hidden="false" customHeight="false" outlineLevel="0" collapsed="false">
      <c r="A908" s="11" t="str">
        <f aca="false">PODACI_ZALIHE!A905</f>
        <v>79101</v>
      </c>
      <c r="B908" s="8" t="str">
        <f aca="false">PODACI_ZALIHE!B905</f>
        <v>KLUDI UNIFIX 120 PODŽBUKNI ELEMENT ZA WC ŠKOLJKU</v>
      </c>
      <c r="C908" s="9" t="n">
        <f aca="false">PODACI_ZALIHE!C905</f>
        <v>0</v>
      </c>
      <c r="D908" s="8" t="n">
        <f aca="false">PODACI_ZALIHE!D905</f>
        <v>0</v>
      </c>
      <c r="E908" s="19" t="str">
        <f aca="false">IF(PODACI_ZALIHE!E905="","",PODACI_ZALIHE!E905)</f>
        <v/>
      </c>
      <c r="F908" s="20" t="n">
        <f aca="false">PODACI_ZALIHE!F905</f>
        <v>0</v>
      </c>
      <c r="G908" s="19" t="str">
        <f aca="false">IF(E908="","",E908-F908)</f>
        <v/>
      </c>
      <c r="H908" s="9" t="n">
        <f aca="false">PODACI_PRODAJA!N818</f>
        <v>0.63</v>
      </c>
      <c r="I908" s="21" t="n">
        <f aca="false">IF(H908&lt;=0,999,ROUND(F908/H908,1))</f>
        <v>0</v>
      </c>
      <c r="J908" s="9" t="n">
        <f aca="false">SUMIFS(ROBA_U_DOLASKU!$C$6:$C$95,ROBA_U_DOLASKU!$A$6:$A$95,A908,ROBA_U_DOLASKU!$H$6:$H$95,1)</f>
        <v>0</v>
      </c>
      <c r="K908" s="9" t="n">
        <f aca="false">SUMIFS(ROBA_U_DOLASKU!$B$6:$B$95,ROBA_U_DOLASKU!$A$6:$A$95,A908,ROBA_U_DOLASKU!$H$6:$H$95,1)</f>
        <v>0</v>
      </c>
      <c r="L908" s="9" t="n">
        <f aca="false">SUMIFS(ROBA_U_DOLASKU!$C$6:$C$95,ROBA_U_DOLASKU!$A$6:$A$95,A908,ROBA_U_DOLASKU!$H$6:$H$95,2)</f>
        <v>0</v>
      </c>
      <c r="M908" s="9" t="n">
        <f aca="false">SUMIFS(ROBA_U_DOLASKU!$B$6:$B$95,ROBA_U_DOLASKU!$A$6:$A$95,A908,ROBA_U_DOLASKU!$H$6:$H$95,2)</f>
        <v>0</v>
      </c>
      <c r="N908" s="9" t="n">
        <f aca="false">SUMIFS(ROBA_U_DOLASKU!$C$6:$C$95,ROBA_U_DOLASKU!$A$6:$A$95,A908,ROBA_U_DOLASKU!$H$6:$H$95,3)</f>
        <v>0</v>
      </c>
      <c r="O908" s="9" t="n">
        <f aca="false">SUMIFS(ROBA_U_DOLASKU!$B$6:$B$95,ROBA_U_DOLASKU!$A$6:$A$95,A908,ROBA_U_DOLASKU!$H$6:$H$95,3)</f>
        <v>0</v>
      </c>
      <c r="P908" s="9" t="n">
        <f aca="false">IF(H908&lt;=0,999,IF(O908&gt;0,ROUND((F908-H908*N908+K908+M908+O908)/H908,1),IF(M908&gt;0,ROUND((F908-H908*L908+K908+M908)/H908,1),IF(K908&gt;0,ROUND((F908-H908*J908+K908)/H908,1),I908))))</f>
        <v>0</v>
      </c>
      <c r="Q908" s="22" t="str">
        <f aca="false">IF(H908&lt;=0,"Nema prodaje",IF(AND(K908=0,M908=0,O908=0),IF(I908&lt;POSTAVKE!$B$6,"Naruči odmah","Sve u redu"),IF(F908-H908*J908&lt;0,"Rupa za ~"&amp;TEXT(I908,"0.0")&amp;" mj.",IF(AND(M908&gt;0,F908-H908*L908+K908&lt;0),"Rupa nakon 1. dolaska",IF(AND(O908&gt;0,F908-H908*N908+K908+M908&lt;0),"Rupa nakon 2. dolaska",IF(P908&lt;POSTAVKE!$B$6,"Količina nije dovoljna",IF(I908&gt;=POSTAVKE!$B$6,"Sve u redu","Stiže na vrijeme")))))))</f>
        <v>Naruči odmah</v>
      </c>
      <c r="S908" s="23" t="n">
        <f aca="false">IFERROR(INDEX(PODACI_PRODAJA!B:B,MATCH($A908,PODACI_PRODAJA!$A:$A,0)),0)</f>
        <v>0</v>
      </c>
      <c r="T908" s="23" t="n">
        <f aca="false">IFERROR(INDEX(PODACI_PRODAJA!C:C,MATCH($A908,PODACI_PRODAJA!$A:$A,0)),0)</f>
        <v>0</v>
      </c>
      <c r="U908" s="23" t="n">
        <f aca="false">IFERROR(INDEX(PODACI_PRODAJA!D:D,MATCH($A908,PODACI_PRODAJA!$A:$A,0)),0)</f>
        <v>0</v>
      </c>
      <c r="V908" s="23" t="n">
        <f aca="false">IFERROR(INDEX(PODACI_PRODAJA!E:E,MATCH($A908,PODACI_PRODAJA!$A:$A,0)),0)</f>
        <v>0</v>
      </c>
      <c r="W908" s="23" t="n">
        <f aca="false">IFERROR(INDEX(PODACI_PRODAJA!F:F,MATCH($A908,PODACI_PRODAJA!$A:$A,0)),0)</f>
        <v>0</v>
      </c>
      <c r="X908" s="23" t="n">
        <f aca="false">IFERROR(INDEX(PODACI_PRODAJA!G:G,MATCH($A908,PODACI_PRODAJA!$A:$A,0)),0)</f>
        <v>0</v>
      </c>
      <c r="Y908" s="23" t="n">
        <f aca="false">IFERROR(INDEX(PODACI_PRODAJA!H:H,MATCH($A908,PODACI_PRODAJA!$A:$A,0)),0)</f>
        <v>0</v>
      </c>
      <c r="Z908" s="23" t="n">
        <f aca="false">IFERROR(INDEX(PODACI_PRODAJA!I:I,MATCH($A908,PODACI_PRODAJA!$A:$A,0)),0)</f>
        <v>5</v>
      </c>
      <c r="AA908" s="23" t="n">
        <f aca="false">IFERROR(INDEX(PODACI_PRODAJA!J:J,MATCH($A908,PODACI_PRODAJA!$A:$A,0)),0)</f>
        <v>0</v>
      </c>
      <c r="AB908" s="23" t="n">
        <f aca="false">IFERROR(INDEX(PODACI_PRODAJA!K:K,MATCH($A908,PODACI_PRODAJA!$A:$A,0)),0)</f>
        <v>0</v>
      </c>
      <c r="AC908" s="23" t="n">
        <f aca="false">IFERROR(INDEX(PODACI_PRODAJA!L:L,MATCH($A908,PODACI_PRODAJA!$A:$A,0)),0)</f>
        <v>0</v>
      </c>
      <c r="AD908" s="23" t="n">
        <f aca="false">IFERROR(INDEX(PODACI_PRODAJA!M:M,MATCH($A908,PODACI_PRODAJA!$A:$A,0)),0)</f>
        <v>0</v>
      </c>
    </row>
    <row r="909" customFormat="false" ht="15" hidden="false" customHeight="false" outlineLevel="0" collapsed="false">
      <c r="A909" s="11" t="str">
        <f aca="false">PODACI_ZALIHE!A906</f>
        <v>97775317</v>
      </c>
      <c r="B909" s="8" t="str">
        <f aca="false">PODACI_ZALIHE!B906</f>
        <v>GRUNDFOS CRPKA SOLOLIFT 2 C-3</v>
      </c>
      <c r="C909" s="9" t="n">
        <f aca="false">PODACI_ZALIHE!C906</f>
        <v>0</v>
      </c>
      <c r="D909" s="8" t="n">
        <f aca="false">PODACI_ZALIHE!D906</f>
        <v>0</v>
      </c>
      <c r="E909" s="19" t="str">
        <f aca="false">IF(PODACI_ZALIHE!E906="","",PODACI_ZALIHE!E906)</f>
        <v/>
      </c>
      <c r="F909" s="20" t="n">
        <f aca="false">PODACI_ZALIHE!F906</f>
        <v>0</v>
      </c>
      <c r="G909" s="19" t="str">
        <f aca="false">IF(E909="","",E909-F909)</f>
        <v/>
      </c>
      <c r="H909" s="9" t="n">
        <f aca="false">PODACI_PRODAJA!N821</f>
        <v>0.13</v>
      </c>
      <c r="I909" s="21" t="n">
        <f aca="false">IF(H909&lt;=0,999,ROUND(F909/H909,1))</f>
        <v>0</v>
      </c>
      <c r="J909" s="9" t="n">
        <f aca="false">SUMIFS(ROBA_U_DOLASKU!$C$6:$C$95,ROBA_U_DOLASKU!$A$6:$A$95,A909,ROBA_U_DOLASKU!$H$6:$H$95,1)</f>
        <v>0</v>
      </c>
      <c r="K909" s="9" t="n">
        <f aca="false">SUMIFS(ROBA_U_DOLASKU!$B$6:$B$95,ROBA_U_DOLASKU!$A$6:$A$95,A909,ROBA_U_DOLASKU!$H$6:$H$95,1)</f>
        <v>0</v>
      </c>
      <c r="L909" s="9" t="n">
        <f aca="false">SUMIFS(ROBA_U_DOLASKU!$C$6:$C$95,ROBA_U_DOLASKU!$A$6:$A$95,A909,ROBA_U_DOLASKU!$H$6:$H$95,2)</f>
        <v>0</v>
      </c>
      <c r="M909" s="9" t="n">
        <f aca="false">SUMIFS(ROBA_U_DOLASKU!$B$6:$B$95,ROBA_U_DOLASKU!$A$6:$A$95,A909,ROBA_U_DOLASKU!$H$6:$H$95,2)</f>
        <v>0</v>
      </c>
      <c r="N909" s="9" t="n">
        <f aca="false">SUMIFS(ROBA_U_DOLASKU!$C$6:$C$95,ROBA_U_DOLASKU!$A$6:$A$95,A909,ROBA_U_DOLASKU!$H$6:$H$95,3)</f>
        <v>0</v>
      </c>
      <c r="O909" s="9" t="n">
        <f aca="false">SUMIFS(ROBA_U_DOLASKU!$B$6:$B$95,ROBA_U_DOLASKU!$A$6:$A$95,A909,ROBA_U_DOLASKU!$H$6:$H$95,3)</f>
        <v>0</v>
      </c>
      <c r="P909" s="9" t="n">
        <f aca="false">IF(H909&lt;=0,999,IF(O909&gt;0,ROUND((F909-H909*N909+K909+M909+O909)/H909,1),IF(M909&gt;0,ROUND((F909-H909*L909+K909+M909)/H909,1),IF(K909&gt;0,ROUND((F909-H909*J909+K909)/H909,1),I909))))</f>
        <v>0</v>
      </c>
      <c r="Q909" s="22" t="str">
        <f aca="false">IF(H909&lt;=0,"Nema prodaje",IF(AND(K909=0,M909=0,O909=0),IF(I909&lt;POSTAVKE!$B$6,"Naruči odmah","Sve u redu"),IF(F909-H909*J909&lt;0,"Rupa za ~"&amp;TEXT(I909,"0.0")&amp;" mj.",IF(AND(M909&gt;0,F909-H909*L909+K909&lt;0),"Rupa nakon 1. dolaska",IF(AND(O909&gt;0,F909-H909*N909+K909+M909&lt;0),"Rupa nakon 2. dolaska",IF(P909&lt;POSTAVKE!$B$6,"Količina nije dovoljna",IF(I909&gt;=POSTAVKE!$B$6,"Sve u redu","Stiže na vrijeme")))))))</f>
        <v>Naruči odmah</v>
      </c>
      <c r="S909" s="23" t="n">
        <f aca="false">IFERROR(INDEX(PODACI_PRODAJA!B:B,MATCH($A909,PODACI_PRODAJA!$A:$A,0)),0)</f>
        <v>0</v>
      </c>
      <c r="T909" s="23" t="n">
        <f aca="false">IFERROR(INDEX(PODACI_PRODAJA!C:C,MATCH($A909,PODACI_PRODAJA!$A:$A,0)),0)</f>
        <v>0</v>
      </c>
      <c r="U909" s="23" t="n">
        <f aca="false">IFERROR(INDEX(PODACI_PRODAJA!D:D,MATCH($A909,PODACI_PRODAJA!$A:$A,0)),0)</f>
        <v>0</v>
      </c>
      <c r="V909" s="23" t="n">
        <f aca="false">IFERROR(INDEX(PODACI_PRODAJA!E:E,MATCH($A909,PODACI_PRODAJA!$A:$A,0)),0)</f>
        <v>0</v>
      </c>
      <c r="W909" s="23" t="n">
        <f aca="false">IFERROR(INDEX(PODACI_PRODAJA!F:F,MATCH($A909,PODACI_PRODAJA!$A:$A,0)),0)</f>
        <v>0</v>
      </c>
      <c r="X909" s="23" t="n">
        <f aca="false">IFERROR(INDEX(PODACI_PRODAJA!G:G,MATCH($A909,PODACI_PRODAJA!$A:$A,0)),0)</f>
        <v>1</v>
      </c>
      <c r="Y909" s="23" t="n">
        <f aca="false">IFERROR(INDEX(PODACI_PRODAJA!H:H,MATCH($A909,PODACI_PRODAJA!$A:$A,0)),0)</f>
        <v>0</v>
      </c>
      <c r="Z909" s="23" t="n">
        <f aca="false">IFERROR(INDEX(PODACI_PRODAJA!I:I,MATCH($A909,PODACI_PRODAJA!$A:$A,0)),0)</f>
        <v>0</v>
      </c>
      <c r="AA909" s="23" t="n">
        <f aca="false">IFERROR(INDEX(PODACI_PRODAJA!J:J,MATCH($A909,PODACI_PRODAJA!$A:$A,0)),0)</f>
        <v>0</v>
      </c>
      <c r="AB909" s="23" t="n">
        <f aca="false">IFERROR(INDEX(PODACI_PRODAJA!K:K,MATCH($A909,PODACI_PRODAJA!$A:$A,0)),0)</f>
        <v>0</v>
      </c>
      <c r="AC909" s="23" t="n">
        <f aca="false">IFERROR(INDEX(PODACI_PRODAJA!L:L,MATCH($A909,PODACI_PRODAJA!$A:$A,0)),0)</f>
        <v>0</v>
      </c>
      <c r="AD909" s="23" t="n">
        <f aca="false">IFERROR(INDEX(PODACI_PRODAJA!M:M,MATCH($A909,PODACI_PRODAJA!$A:$A,0)),0)</f>
        <v>0</v>
      </c>
    </row>
    <row r="910" customFormat="false" ht="15" hidden="false" customHeight="false" outlineLevel="0" collapsed="false">
      <c r="A910" s="11" t="str">
        <f aca="false">PODACI_ZALIHE!A907</f>
        <v>9820223</v>
      </c>
      <c r="B910" s="8" t="str">
        <f aca="false">PODACI_ZALIHE!B907</f>
        <v>TECE IZLJEVNI VENTIL A2,UNIVERZALNI</v>
      </c>
      <c r="C910" s="9" t="n">
        <f aca="false">PODACI_ZALIHE!C907</f>
        <v>0</v>
      </c>
      <c r="D910" s="8" t="n">
        <f aca="false">PODACI_ZALIHE!D907</f>
        <v>0</v>
      </c>
      <c r="E910" s="19" t="str">
        <f aca="false">IF(PODACI_ZALIHE!E907="","",PODACI_ZALIHE!E907)</f>
        <v/>
      </c>
      <c r="F910" s="20" t="n">
        <f aca="false">PODACI_ZALIHE!F907</f>
        <v>0</v>
      </c>
      <c r="G910" s="19" t="str">
        <f aca="false">IF(E910="","",E910-F910)</f>
        <v/>
      </c>
      <c r="H910" s="9" t="n">
        <f aca="false">PODACI_PRODAJA!N822</f>
        <v>1.25</v>
      </c>
      <c r="I910" s="21" t="n">
        <f aca="false">IF(H910&lt;=0,999,ROUND(F910/H910,1))</f>
        <v>0</v>
      </c>
      <c r="J910" s="9" t="n">
        <f aca="false">SUMIFS(ROBA_U_DOLASKU!$C$6:$C$95,ROBA_U_DOLASKU!$A$6:$A$95,A910,ROBA_U_DOLASKU!$H$6:$H$95,1)</f>
        <v>0</v>
      </c>
      <c r="K910" s="9" t="n">
        <f aca="false">SUMIFS(ROBA_U_DOLASKU!$B$6:$B$95,ROBA_U_DOLASKU!$A$6:$A$95,A910,ROBA_U_DOLASKU!$H$6:$H$95,1)</f>
        <v>0</v>
      </c>
      <c r="L910" s="9" t="n">
        <f aca="false">SUMIFS(ROBA_U_DOLASKU!$C$6:$C$95,ROBA_U_DOLASKU!$A$6:$A$95,A910,ROBA_U_DOLASKU!$H$6:$H$95,2)</f>
        <v>0</v>
      </c>
      <c r="M910" s="9" t="n">
        <f aca="false">SUMIFS(ROBA_U_DOLASKU!$B$6:$B$95,ROBA_U_DOLASKU!$A$6:$A$95,A910,ROBA_U_DOLASKU!$H$6:$H$95,2)</f>
        <v>0</v>
      </c>
      <c r="N910" s="9" t="n">
        <f aca="false">SUMIFS(ROBA_U_DOLASKU!$C$6:$C$95,ROBA_U_DOLASKU!$A$6:$A$95,A910,ROBA_U_DOLASKU!$H$6:$H$95,3)</f>
        <v>0</v>
      </c>
      <c r="O910" s="9" t="n">
        <f aca="false">SUMIFS(ROBA_U_DOLASKU!$B$6:$B$95,ROBA_U_DOLASKU!$A$6:$A$95,A910,ROBA_U_DOLASKU!$H$6:$H$95,3)</f>
        <v>0</v>
      </c>
      <c r="P910" s="9" t="n">
        <f aca="false">IF(H910&lt;=0,999,IF(O910&gt;0,ROUND((F910-H910*N910+K910+M910+O910)/H910,1),IF(M910&gt;0,ROUND((F910-H910*L910+K910+M910)/H910,1),IF(K910&gt;0,ROUND((F910-H910*J910+K910)/H910,1),I910))))</f>
        <v>0</v>
      </c>
      <c r="Q910" s="22" t="str">
        <f aca="false">IF(H910&lt;=0,"Nema prodaje",IF(AND(K910=0,M910=0,O910=0),IF(I910&lt;POSTAVKE!$B$6,"Naruči odmah","Sve u redu"),IF(F910-H910*J910&lt;0,"Rupa za ~"&amp;TEXT(I910,"0.0")&amp;" mj.",IF(AND(M910&gt;0,F910-H910*L910+K910&lt;0),"Rupa nakon 1. dolaska",IF(AND(O910&gt;0,F910-H910*N910+K910+M910&lt;0),"Rupa nakon 2. dolaska",IF(P910&lt;POSTAVKE!$B$6,"Količina nije dovoljna",IF(I910&gt;=POSTAVKE!$B$6,"Sve u redu","Stiže na vrijeme")))))))</f>
        <v>Naruči odmah</v>
      </c>
      <c r="S910" s="23" t="n">
        <f aca="false">IFERROR(INDEX(PODACI_PRODAJA!B:B,MATCH($A910,PODACI_PRODAJA!$A:$A,0)),0)</f>
        <v>0</v>
      </c>
      <c r="T910" s="23" t="n">
        <f aca="false">IFERROR(INDEX(PODACI_PRODAJA!C:C,MATCH($A910,PODACI_PRODAJA!$A:$A,0)),0)</f>
        <v>0</v>
      </c>
      <c r="U910" s="23" t="n">
        <f aca="false">IFERROR(INDEX(PODACI_PRODAJA!D:D,MATCH($A910,PODACI_PRODAJA!$A:$A,0)),0)</f>
        <v>0</v>
      </c>
      <c r="V910" s="23" t="n">
        <f aca="false">IFERROR(INDEX(PODACI_PRODAJA!E:E,MATCH($A910,PODACI_PRODAJA!$A:$A,0)),0)</f>
        <v>0</v>
      </c>
      <c r="W910" s="23" t="n">
        <f aca="false">IFERROR(INDEX(PODACI_PRODAJA!F:F,MATCH($A910,PODACI_PRODAJA!$A:$A,0)),0)</f>
        <v>0</v>
      </c>
      <c r="X910" s="23" t="n">
        <f aca="false">IFERROR(INDEX(PODACI_PRODAJA!G:G,MATCH($A910,PODACI_PRODAJA!$A:$A,0)),0)</f>
        <v>10</v>
      </c>
      <c r="Y910" s="23" t="n">
        <f aca="false">IFERROR(INDEX(PODACI_PRODAJA!H:H,MATCH($A910,PODACI_PRODAJA!$A:$A,0)),0)</f>
        <v>0</v>
      </c>
      <c r="Z910" s="23" t="n">
        <f aca="false">IFERROR(INDEX(PODACI_PRODAJA!I:I,MATCH($A910,PODACI_PRODAJA!$A:$A,0)),0)</f>
        <v>0</v>
      </c>
      <c r="AA910" s="23" t="n">
        <f aca="false">IFERROR(INDEX(PODACI_PRODAJA!J:J,MATCH($A910,PODACI_PRODAJA!$A:$A,0)),0)</f>
        <v>0</v>
      </c>
      <c r="AB910" s="23" t="n">
        <f aca="false">IFERROR(INDEX(PODACI_PRODAJA!K:K,MATCH($A910,PODACI_PRODAJA!$A:$A,0)),0)</f>
        <v>0</v>
      </c>
      <c r="AC910" s="23" t="n">
        <f aca="false">IFERROR(INDEX(PODACI_PRODAJA!L:L,MATCH($A910,PODACI_PRODAJA!$A:$A,0)),0)</f>
        <v>0</v>
      </c>
      <c r="AD910" s="23" t="n">
        <f aca="false">IFERROR(INDEX(PODACI_PRODAJA!M:M,MATCH($A910,PODACI_PRODAJA!$A:$A,0)),0)</f>
        <v>0</v>
      </c>
    </row>
    <row r="911" customFormat="false" ht="15" hidden="false" customHeight="false" outlineLevel="0" collapsed="false">
      <c r="A911" s="11" t="str">
        <f aca="false">PODACI_ZALIHE!A908</f>
        <v>9820353</v>
      </c>
      <c r="B911" s="8" t="str">
        <f aca="false">PODACI_ZALIHE!B908</f>
        <v>TECE ULJEVNI VENTIL F10, UNIVERZALNI</v>
      </c>
      <c r="C911" s="9" t="n">
        <f aca="false">PODACI_ZALIHE!C908</f>
        <v>0</v>
      </c>
      <c r="D911" s="8" t="n">
        <f aca="false">PODACI_ZALIHE!D908</f>
        <v>0</v>
      </c>
      <c r="E911" s="19" t="str">
        <f aca="false">IF(PODACI_ZALIHE!E908="","",PODACI_ZALIHE!E908)</f>
        <v/>
      </c>
      <c r="F911" s="20" t="n">
        <f aca="false">PODACI_ZALIHE!F908</f>
        <v>0</v>
      </c>
      <c r="G911" s="19" t="str">
        <f aca="false">IF(E911="","",E911-F911)</f>
        <v/>
      </c>
      <c r="H911" s="9" t="n">
        <f aca="false">PODACI_PRODAJA!N823</f>
        <v>1.25</v>
      </c>
      <c r="I911" s="21" t="n">
        <f aca="false">IF(H911&lt;=0,999,ROUND(F911/H911,1))</f>
        <v>0</v>
      </c>
      <c r="J911" s="9" t="n">
        <f aca="false">SUMIFS(ROBA_U_DOLASKU!$C$6:$C$95,ROBA_U_DOLASKU!$A$6:$A$95,A911,ROBA_U_DOLASKU!$H$6:$H$95,1)</f>
        <v>0</v>
      </c>
      <c r="K911" s="9" t="n">
        <f aca="false">SUMIFS(ROBA_U_DOLASKU!$B$6:$B$95,ROBA_U_DOLASKU!$A$6:$A$95,A911,ROBA_U_DOLASKU!$H$6:$H$95,1)</f>
        <v>0</v>
      </c>
      <c r="L911" s="9" t="n">
        <f aca="false">SUMIFS(ROBA_U_DOLASKU!$C$6:$C$95,ROBA_U_DOLASKU!$A$6:$A$95,A911,ROBA_U_DOLASKU!$H$6:$H$95,2)</f>
        <v>0</v>
      </c>
      <c r="M911" s="9" t="n">
        <f aca="false">SUMIFS(ROBA_U_DOLASKU!$B$6:$B$95,ROBA_U_DOLASKU!$A$6:$A$95,A911,ROBA_U_DOLASKU!$H$6:$H$95,2)</f>
        <v>0</v>
      </c>
      <c r="N911" s="9" t="n">
        <f aca="false">SUMIFS(ROBA_U_DOLASKU!$C$6:$C$95,ROBA_U_DOLASKU!$A$6:$A$95,A911,ROBA_U_DOLASKU!$H$6:$H$95,3)</f>
        <v>0</v>
      </c>
      <c r="O911" s="9" t="n">
        <f aca="false">SUMIFS(ROBA_U_DOLASKU!$B$6:$B$95,ROBA_U_DOLASKU!$A$6:$A$95,A911,ROBA_U_DOLASKU!$H$6:$H$95,3)</f>
        <v>0</v>
      </c>
      <c r="P911" s="9" t="n">
        <f aca="false">IF(H911&lt;=0,999,IF(O911&gt;0,ROUND((F911-H911*N911+K911+M911+O911)/H911,1),IF(M911&gt;0,ROUND((F911-H911*L911+K911+M911)/H911,1),IF(K911&gt;0,ROUND((F911-H911*J911+K911)/H911,1),I911))))</f>
        <v>0</v>
      </c>
      <c r="Q911" s="22" t="str">
        <f aca="false">IF(H911&lt;=0,"Nema prodaje",IF(AND(K911=0,M911=0,O911=0),IF(I911&lt;POSTAVKE!$B$6,"Naruči odmah","Sve u redu"),IF(F911-H911*J911&lt;0,"Rupa za ~"&amp;TEXT(I911,"0.0")&amp;" mj.",IF(AND(M911&gt;0,F911-H911*L911+K911&lt;0),"Rupa nakon 1. dolaska",IF(AND(O911&gt;0,F911-H911*N911+K911+M911&lt;0),"Rupa nakon 2. dolaska",IF(P911&lt;POSTAVKE!$B$6,"Količina nije dovoljna",IF(I911&gt;=POSTAVKE!$B$6,"Sve u redu","Stiže na vrijeme")))))))</f>
        <v>Naruči odmah</v>
      </c>
      <c r="S911" s="23" t="n">
        <f aca="false">IFERROR(INDEX(PODACI_PRODAJA!B:B,MATCH($A911,PODACI_PRODAJA!$A:$A,0)),0)</f>
        <v>0</v>
      </c>
      <c r="T911" s="23" t="n">
        <f aca="false">IFERROR(INDEX(PODACI_PRODAJA!C:C,MATCH($A911,PODACI_PRODAJA!$A:$A,0)),0)</f>
        <v>0</v>
      </c>
      <c r="U911" s="23" t="n">
        <f aca="false">IFERROR(INDEX(PODACI_PRODAJA!D:D,MATCH($A911,PODACI_PRODAJA!$A:$A,0)),0)</f>
        <v>0</v>
      </c>
      <c r="V911" s="23" t="n">
        <f aca="false">IFERROR(INDEX(PODACI_PRODAJA!E:E,MATCH($A911,PODACI_PRODAJA!$A:$A,0)),0)</f>
        <v>0</v>
      </c>
      <c r="W911" s="23" t="n">
        <f aca="false">IFERROR(INDEX(PODACI_PRODAJA!F:F,MATCH($A911,PODACI_PRODAJA!$A:$A,0)),0)</f>
        <v>0</v>
      </c>
      <c r="X911" s="23" t="n">
        <f aca="false">IFERROR(INDEX(PODACI_PRODAJA!G:G,MATCH($A911,PODACI_PRODAJA!$A:$A,0)),0)</f>
        <v>10</v>
      </c>
      <c r="Y911" s="23" t="n">
        <f aca="false">IFERROR(INDEX(PODACI_PRODAJA!H:H,MATCH($A911,PODACI_PRODAJA!$A:$A,0)),0)</f>
        <v>0</v>
      </c>
      <c r="Z911" s="23" t="n">
        <f aca="false">IFERROR(INDEX(PODACI_PRODAJA!I:I,MATCH($A911,PODACI_PRODAJA!$A:$A,0)),0)</f>
        <v>0</v>
      </c>
      <c r="AA911" s="23" t="n">
        <f aca="false">IFERROR(INDEX(PODACI_PRODAJA!J:J,MATCH($A911,PODACI_PRODAJA!$A:$A,0)),0)</f>
        <v>0</v>
      </c>
      <c r="AB911" s="23" t="n">
        <f aca="false">IFERROR(INDEX(PODACI_PRODAJA!K:K,MATCH($A911,PODACI_PRODAJA!$A:$A,0)),0)</f>
        <v>0</v>
      </c>
      <c r="AC911" s="23" t="n">
        <f aca="false">IFERROR(INDEX(PODACI_PRODAJA!L:L,MATCH($A911,PODACI_PRODAJA!$A:$A,0)),0)</f>
        <v>0</v>
      </c>
      <c r="AD911" s="23" t="n">
        <f aca="false">IFERROR(INDEX(PODACI_PRODAJA!M:M,MATCH($A911,PODACI_PRODAJA!$A:$A,0)),0)</f>
        <v>0</v>
      </c>
    </row>
    <row r="912" customFormat="false" ht="15" hidden="false" customHeight="false" outlineLevel="0" collapsed="false">
      <c r="A912" s="11" t="str">
        <f aca="false">PODACI_ZALIHE!A909</f>
        <v>004149</v>
      </c>
      <c r="B912" s="8" t="str">
        <f aca="false">PODACI_ZALIHE!B909</f>
        <v>SCARLET NADGRADNI KERAMIČKI UMIVAONIK 580x385x155 mm</v>
      </c>
      <c r="C912" s="9" t="n">
        <f aca="false">PODACI_ZALIHE!C909</f>
        <v>0</v>
      </c>
      <c r="D912" s="8" t="n">
        <f aca="false">PODACI_ZALIHE!D909</f>
        <v>0</v>
      </c>
      <c r="E912" s="19" t="str">
        <f aca="false">IF(PODACI_ZALIHE!E909="","",PODACI_ZALIHE!E909)</f>
        <v/>
      </c>
      <c r="F912" s="20" t="n">
        <f aca="false">PODACI_ZALIHE!F909</f>
        <v>0</v>
      </c>
      <c r="G912" s="19" t="str">
        <f aca="false">IF(E912="","",E912-F912)</f>
        <v/>
      </c>
      <c r="H912" s="9" t="n">
        <f aca="false">PODACI_PRODAJA!N824</f>
        <v>-0.13</v>
      </c>
      <c r="I912" s="21" t="n">
        <f aca="false">IF(H912&lt;=0,999,ROUND(F912/H912,1))</f>
        <v>999</v>
      </c>
      <c r="J912" s="9" t="n">
        <f aca="false">SUMIFS(ROBA_U_DOLASKU!$C$6:$C$95,ROBA_U_DOLASKU!$A$6:$A$95,A912,ROBA_U_DOLASKU!$H$6:$H$95,1)</f>
        <v>0</v>
      </c>
      <c r="K912" s="9" t="n">
        <f aca="false">SUMIFS(ROBA_U_DOLASKU!$B$6:$B$95,ROBA_U_DOLASKU!$A$6:$A$95,A912,ROBA_U_DOLASKU!$H$6:$H$95,1)</f>
        <v>0</v>
      </c>
      <c r="L912" s="9" t="n">
        <f aca="false">SUMIFS(ROBA_U_DOLASKU!$C$6:$C$95,ROBA_U_DOLASKU!$A$6:$A$95,A912,ROBA_U_DOLASKU!$H$6:$H$95,2)</f>
        <v>0</v>
      </c>
      <c r="M912" s="9" t="n">
        <f aca="false">SUMIFS(ROBA_U_DOLASKU!$B$6:$B$95,ROBA_U_DOLASKU!$A$6:$A$95,A912,ROBA_U_DOLASKU!$H$6:$H$95,2)</f>
        <v>0</v>
      </c>
      <c r="N912" s="9" t="n">
        <f aca="false">SUMIFS(ROBA_U_DOLASKU!$C$6:$C$95,ROBA_U_DOLASKU!$A$6:$A$95,A912,ROBA_U_DOLASKU!$H$6:$H$95,3)</f>
        <v>0</v>
      </c>
      <c r="O912" s="9" t="n">
        <f aca="false">SUMIFS(ROBA_U_DOLASKU!$B$6:$B$95,ROBA_U_DOLASKU!$A$6:$A$95,A912,ROBA_U_DOLASKU!$H$6:$H$95,3)</f>
        <v>0</v>
      </c>
      <c r="P912" s="9" t="n">
        <f aca="false">IF(H912&lt;=0,999,IF(O912&gt;0,ROUND((F912-H912*N912+K912+M912+O912)/H912,1),IF(M912&gt;0,ROUND((F912-H912*L912+K912+M912)/H912,1),IF(K912&gt;0,ROUND((F912-H912*J912+K912)/H912,1),I912))))</f>
        <v>999</v>
      </c>
      <c r="Q912" s="22" t="str">
        <f aca="false">IF(H912&lt;=0,"Nema prodaje",IF(AND(K912=0,M912=0,O912=0),IF(I912&lt;POSTAVKE!$B$6,"Naruči odmah","Sve u redu"),IF(F912-H912*J912&lt;0,"Rupa za ~"&amp;TEXT(I912,"0.0")&amp;" mj.",IF(AND(M912&gt;0,F912-H912*L912+K912&lt;0),"Rupa nakon 1. dolaska",IF(AND(O912&gt;0,F912-H912*N912+K912+M912&lt;0),"Rupa nakon 2. dolaska",IF(P912&lt;POSTAVKE!$B$6,"Količina nije dovoljna",IF(I912&gt;=POSTAVKE!$B$6,"Sve u redu","Stiže na vrijeme")))))))</f>
        <v>Nema prodaje</v>
      </c>
      <c r="S912" s="23" t="n">
        <f aca="false">IFERROR(INDEX(PODACI_PRODAJA!B:B,MATCH($A912,PODACI_PRODAJA!$A:$A,0)),0)</f>
        <v>-1</v>
      </c>
      <c r="T912" s="23" t="n">
        <f aca="false">IFERROR(INDEX(PODACI_PRODAJA!C:C,MATCH($A912,PODACI_PRODAJA!$A:$A,0)),0)</f>
        <v>0</v>
      </c>
      <c r="U912" s="23" t="n">
        <f aca="false">IFERROR(INDEX(PODACI_PRODAJA!D:D,MATCH($A912,PODACI_PRODAJA!$A:$A,0)),0)</f>
        <v>0</v>
      </c>
      <c r="V912" s="23" t="n">
        <f aca="false">IFERROR(INDEX(PODACI_PRODAJA!E:E,MATCH($A912,PODACI_PRODAJA!$A:$A,0)),0)</f>
        <v>0</v>
      </c>
      <c r="W912" s="23" t="n">
        <f aca="false">IFERROR(INDEX(PODACI_PRODAJA!F:F,MATCH($A912,PODACI_PRODAJA!$A:$A,0)),0)</f>
        <v>0</v>
      </c>
      <c r="X912" s="23" t="n">
        <f aca="false">IFERROR(INDEX(PODACI_PRODAJA!G:G,MATCH($A912,PODACI_PRODAJA!$A:$A,0)),0)</f>
        <v>0</v>
      </c>
      <c r="Y912" s="23" t="n">
        <f aca="false">IFERROR(INDEX(PODACI_PRODAJA!H:H,MATCH($A912,PODACI_PRODAJA!$A:$A,0)),0)</f>
        <v>0</v>
      </c>
      <c r="Z912" s="23" t="n">
        <f aca="false">IFERROR(INDEX(PODACI_PRODAJA!I:I,MATCH($A912,PODACI_PRODAJA!$A:$A,0)),0)</f>
        <v>0</v>
      </c>
      <c r="AA912" s="23" t="n">
        <f aca="false">IFERROR(INDEX(PODACI_PRODAJA!J:J,MATCH($A912,PODACI_PRODAJA!$A:$A,0)),0)</f>
        <v>0</v>
      </c>
      <c r="AB912" s="23" t="n">
        <f aca="false">IFERROR(INDEX(PODACI_PRODAJA!K:K,MATCH($A912,PODACI_PRODAJA!$A:$A,0)),0)</f>
        <v>0</v>
      </c>
      <c r="AC912" s="23" t="n">
        <f aca="false">IFERROR(INDEX(PODACI_PRODAJA!L:L,MATCH($A912,PODACI_PRODAJA!$A:$A,0)),0)</f>
        <v>0</v>
      </c>
      <c r="AD912" s="23" t="n">
        <f aca="false">IFERROR(INDEX(PODACI_PRODAJA!M:M,MATCH($A912,PODACI_PRODAJA!$A:$A,0)),0)</f>
        <v>0</v>
      </c>
    </row>
    <row r="913" customFormat="false" ht="15" hidden="false" customHeight="false" outlineLevel="0" collapsed="false">
      <c r="A913" s="11" t="str">
        <f aca="false">PODACI_ZALIHE!A910</f>
        <v>00606</v>
      </c>
      <c r="B913" s="8" t="str">
        <f aca="false">PODACI_ZALIHE!B910</f>
        <v>HERA ZIDNA MIJEŠALICA ZA TUŠ S TUŠEM I DRŽAČEM</v>
      </c>
      <c r="C913" s="9" t="n">
        <f aca="false">PODACI_ZALIHE!C910</f>
        <v>0</v>
      </c>
      <c r="D913" s="8" t="n">
        <f aca="false">PODACI_ZALIHE!D910</f>
        <v>0</v>
      </c>
      <c r="E913" s="19" t="str">
        <f aca="false">IF(PODACI_ZALIHE!E910="","",PODACI_ZALIHE!E910)</f>
        <v/>
      </c>
      <c r="F913" s="20" t="n">
        <f aca="false">PODACI_ZALIHE!F910</f>
        <v>0</v>
      </c>
      <c r="G913" s="19" t="str">
        <f aca="false">IF(E913="","",E913-F913)</f>
        <v/>
      </c>
      <c r="H913" s="9" t="n">
        <f aca="false">PODACI_PRODAJA!N826</f>
        <v>1.25</v>
      </c>
      <c r="I913" s="21" t="n">
        <f aca="false">IF(H913&lt;=0,999,ROUND(F913/H913,1))</f>
        <v>0</v>
      </c>
      <c r="J913" s="9" t="n">
        <f aca="false">SUMIFS(ROBA_U_DOLASKU!$C$6:$C$95,ROBA_U_DOLASKU!$A$6:$A$95,A913,ROBA_U_DOLASKU!$H$6:$H$95,1)</f>
        <v>0</v>
      </c>
      <c r="K913" s="9" t="n">
        <f aca="false">SUMIFS(ROBA_U_DOLASKU!$B$6:$B$95,ROBA_U_DOLASKU!$A$6:$A$95,A913,ROBA_U_DOLASKU!$H$6:$H$95,1)</f>
        <v>0</v>
      </c>
      <c r="L913" s="9" t="n">
        <f aca="false">SUMIFS(ROBA_U_DOLASKU!$C$6:$C$95,ROBA_U_DOLASKU!$A$6:$A$95,A913,ROBA_U_DOLASKU!$H$6:$H$95,2)</f>
        <v>0</v>
      </c>
      <c r="M913" s="9" t="n">
        <f aca="false">SUMIFS(ROBA_U_DOLASKU!$B$6:$B$95,ROBA_U_DOLASKU!$A$6:$A$95,A913,ROBA_U_DOLASKU!$H$6:$H$95,2)</f>
        <v>0</v>
      </c>
      <c r="N913" s="9" t="n">
        <f aca="false">SUMIFS(ROBA_U_DOLASKU!$C$6:$C$95,ROBA_U_DOLASKU!$A$6:$A$95,A913,ROBA_U_DOLASKU!$H$6:$H$95,3)</f>
        <v>0</v>
      </c>
      <c r="O913" s="9" t="n">
        <f aca="false">SUMIFS(ROBA_U_DOLASKU!$B$6:$B$95,ROBA_U_DOLASKU!$A$6:$A$95,A913,ROBA_U_DOLASKU!$H$6:$H$95,3)</f>
        <v>0</v>
      </c>
      <c r="P913" s="9" t="n">
        <f aca="false">IF(H913&lt;=0,999,IF(O913&gt;0,ROUND((F913-H913*N913+K913+M913+O913)/H913,1),IF(M913&gt;0,ROUND((F913-H913*L913+K913+M913)/H913,1),IF(K913&gt;0,ROUND((F913-H913*J913+K913)/H913,1),I913))))</f>
        <v>0</v>
      </c>
      <c r="Q913" s="22" t="str">
        <f aca="false">IF(H913&lt;=0,"Nema prodaje",IF(AND(K913=0,M913=0,O913=0),IF(I913&lt;POSTAVKE!$B$6,"Naruči odmah","Sve u redu"),IF(F913-H913*J913&lt;0,"Rupa za ~"&amp;TEXT(I913,"0.0")&amp;" mj.",IF(AND(M913&gt;0,F913-H913*L913+K913&lt;0),"Rupa nakon 1. dolaska",IF(AND(O913&gt;0,F913-H913*N913+K913+M913&lt;0),"Rupa nakon 2. dolaska",IF(P913&lt;POSTAVKE!$B$6,"Količina nije dovoljna",IF(I913&gt;=POSTAVKE!$B$6,"Sve u redu","Stiže na vrijeme")))))))</f>
        <v>Naruči odmah</v>
      </c>
      <c r="S913" s="23" t="n">
        <f aca="false">IFERROR(INDEX(PODACI_PRODAJA!B:B,MATCH($A913,PODACI_PRODAJA!$A:$A,0)),0)</f>
        <v>-1</v>
      </c>
      <c r="T913" s="23" t="n">
        <f aca="false">IFERROR(INDEX(PODACI_PRODAJA!C:C,MATCH($A913,PODACI_PRODAJA!$A:$A,0)),0)</f>
        <v>3</v>
      </c>
      <c r="U913" s="23" t="n">
        <f aca="false">IFERROR(INDEX(PODACI_PRODAJA!D:D,MATCH($A913,PODACI_PRODAJA!$A:$A,0)),0)</f>
        <v>0</v>
      </c>
      <c r="V913" s="23" t="n">
        <f aca="false">IFERROR(INDEX(PODACI_PRODAJA!E:E,MATCH($A913,PODACI_PRODAJA!$A:$A,0)),0)</f>
        <v>8</v>
      </c>
      <c r="W913" s="23" t="n">
        <f aca="false">IFERROR(INDEX(PODACI_PRODAJA!F:F,MATCH($A913,PODACI_PRODAJA!$A:$A,0)),0)</f>
        <v>0</v>
      </c>
      <c r="X913" s="23" t="n">
        <f aca="false">IFERROR(INDEX(PODACI_PRODAJA!G:G,MATCH($A913,PODACI_PRODAJA!$A:$A,0)),0)</f>
        <v>0</v>
      </c>
      <c r="Y913" s="23" t="n">
        <f aca="false">IFERROR(INDEX(PODACI_PRODAJA!H:H,MATCH($A913,PODACI_PRODAJA!$A:$A,0)),0)</f>
        <v>0</v>
      </c>
      <c r="Z913" s="23" t="n">
        <f aca="false">IFERROR(INDEX(PODACI_PRODAJA!I:I,MATCH($A913,PODACI_PRODAJA!$A:$A,0)),0)</f>
        <v>0</v>
      </c>
      <c r="AA913" s="23" t="n">
        <f aca="false">IFERROR(INDEX(PODACI_PRODAJA!J:J,MATCH($A913,PODACI_PRODAJA!$A:$A,0)),0)</f>
        <v>0</v>
      </c>
      <c r="AB913" s="23" t="n">
        <f aca="false">IFERROR(INDEX(PODACI_PRODAJA!K:K,MATCH($A913,PODACI_PRODAJA!$A:$A,0)),0)</f>
        <v>0</v>
      </c>
      <c r="AC913" s="23" t="n">
        <f aca="false">IFERROR(INDEX(PODACI_PRODAJA!L:L,MATCH($A913,PODACI_PRODAJA!$A:$A,0)),0)</f>
        <v>0</v>
      </c>
      <c r="AD913" s="23" t="n">
        <f aca="false">IFERROR(INDEX(PODACI_PRODAJA!M:M,MATCH($A913,PODACI_PRODAJA!$A:$A,0)),0)</f>
        <v>0</v>
      </c>
    </row>
    <row r="914" customFormat="false" ht="15" hidden="false" customHeight="false" outlineLevel="0" collapsed="false">
      <c r="A914" s="11" t="str">
        <f aca="false">PODACI_ZALIHE!A911</f>
        <v>025030</v>
      </c>
      <c r="B914" s="8" t="str">
        <f aca="false">PODACI_ZALIHE!B911</f>
        <v>LEXIE NADGRADNI UMIVAONIK 510x340x120 mm</v>
      </c>
      <c r="C914" s="9" t="n">
        <f aca="false">PODACI_ZALIHE!C911</f>
        <v>0</v>
      </c>
      <c r="D914" s="8" t="n">
        <f aca="false">PODACI_ZALIHE!D911</f>
        <v>0</v>
      </c>
      <c r="E914" s="19" t="str">
        <f aca="false">IF(PODACI_ZALIHE!E911="","",PODACI_ZALIHE!E911)</f>
        <v/>
      </c>
      <c r="F914" s="20" t="n">
        <f aca="false">PODACI_ZALIHE!F911</f>
        <v>0</v>
      </c>
      <c r="G914" s="19" t="str">
        <f aca="false">IF(E914="","",E914-F914)</f>
        <v/>
      </c>
      <c r="H914" s="9" t="n">
        <f aca="false">PODACI_PRODAJA!N827</f>
        <v>-0.13</v>
      </c>
      <c r="I914" s="21" t="n">
        <f aca="false">IF(H914&lt;=0,999,ROUND(F914/H914,1))</f>
        <v>999</v>
      </c>
      <c r="J914" s="9" t="n">
        <f aca="false">SUMIFS(ROBA_U_DOLASKU!$C$6:$C$95,ROBA_U_DOLASKU!$A$6:$A$95,A914,ROBA_U_DOLASKU!$H$6:$H$95,1)</f>
        <v>0</v>
      </c>
      <c r="K914" s="9" t="n">
        <f aca="false">SUMIFS(ROBA_U_DOLASKU!$B$6:$B$95,ROBA_U_DOLASKU!$A$6:$A$95,A914,ROBA_U_DOLASKU!$H$6:$H$95,1)</f>
        <v>0</v>
      </c>
      <c r="L914" s="9" t="n">
        <f aca="false">SUMIFS(ROBA_U_DOLASKU!$C$6:$C$95,ROBA_U_DOLASKU!$A$6:$A$95,A914,ROBA_U_DOLASKU!$H$6:$H$95,2)</f>
        <v>0</v>
      </c>
      <c r="M914" s="9" t="n">
        <f aca="false">SUMIFS(ROBA_U_DOLASKU!$B$6:$B$95,ROBA_U_DOLASKU!$A$6:$A$95,A914,ROBA_U_DOLASKU!$H$6:$H$95,2)</f>
        <v>0</v>
      </c>
      <c r="N914" s="9" t="n">
        <f aca="false">SUMIFS(ROBA_U_DOLASKU!$C$6:$C$95,ROBA_U_DOLASKU!$A$6:$A$95,A914,ROBA_U_DOLASKU!$H$6:$H$95,3)</f>
        <v>0</v>
      </c>
      <c r="O914" s="9" t="n">
        <f aca="false">SUMIFS(ROBA_U_DOLASKU!$B$6:$B$95,ROBA_U_DOLASKU!$A$6:$A$95,A914,ROBA_U_DOLASKU!$H$6:$H$95,3)</f>
        <v>0</v>
      </c>
      <c r="P914" s="9" t="n">
        <f aca="false">IF(H914&lt;=0,999,IF(O914&gt;0,ROUND((F914-H914*N914+K914+M914+O914)/H914,1),IF(M914&gt;0,ROUND((F914-H914*L914+K914+M914)/H914,1),IF(K914&gt;0,ROUND((F914-H914*J914+K914)/H914,1),I914))))</f>
        <v>999</v>
      </c>
      <c r="Q914" s="22" t="str">
        <f aca="false">IF(H914&lt;=0,"Nema prodaje",IF(AND(K914=0,M914=0,O914=0),IF(I914&lt;POSTAVKE!$B$6,"Naruči odmah","Sve u redu"),IF(F914-H914*J914&lt;0,"Rupa za ~"&amp;TEXT(I914,"0.0")&amp;" mj.",IF(AND(M914&gt;0,F914-H914*L914+K914&lt;0),"Rupa nakon 1. dolaska",IF(AND(O914&gt;0,F914-H914*N914+K914+M914&lt;0),"Rupa nakon 2. dolaska",IF(P914&lt;POSTAVKE!$B$6,"Količina nije dovoljna",IF(I914&gt;=POSTAVKE!$B$6,"Sve u redu","Stiže na vrijeme")))))))</f>
        <v>Nema prodaje</v>
      </c>
      <c r="S914" s="23" t="n">
        <f aca="false">IFERROR(INDEX(PODACI_PRODAJA!B:B,MATCH($A914,PODACI_PRODAJA!$A:$A,0)),0)</f>
        <v>-1</v>
      </c>
      <c r="T914" s="23" t="n">
        <f aca="false">IFERROR(INDEX(PODACI_PRODAJA!C:C,MATCH($A914,PODACI_PRODAJA!$A:$A,0)),0)</f>
        <v>0</v>
      </c>
      <c r="U914" s="23" t="n">
        <f aca="false">IFERROR(INDEX(PODACI_PRODAJA!D:D,MATCH($A914,PODACI_PRODAJA!$A:$A,0)),0)</f>
        <v>0</v>
      </c>
      <c r="V914" s="23" t="n">
        <f aca="false">IFERROR(INDEX(PODACI_PRODAJA!E:E,MATCH($A914,PODACI_PRODAJA!$A:$A,0)),0)</f>
        <v>0</v>
      </c>
      <c r="W914" s="23" t="n">
        <f aca="false">IFERROR(INDEX(PODACI_PRODAJA!F:F,MATCH($A914,PODACI_PRODAJA!$A:$A,0)),0)</f>
        <v>0</v>
      </c>
      <c r="X914" s="23" t="n">
        <f aca="false">IFERROR(INDEX(PODACI_PRODAJA!G:G,MATCH($A914,PODACI_PRODAJA!$A:$A,0)),0)</f>
        <v>0</v>
      </c>
      <c r="Y914" s="23" t="n">
        <f aca="false">IFERROR(INDEX(PODACI_PRODAJA!H:H,MATCH($A914,PODACI_PRODAJA!$A:$A,0)),0)</f>
        <v>0</v>
      </c>
      <c r="Z914" s="23" t="n">
        <f aca="false">IFERROR(INDEX(PODACI_PRODAJA!I:I,MATCH($A914,PODACI_PRODAJA!$A:$A,0)),0)</f>
        <v>0</v>
      </c>
      <c r="AA914" s="23" t="n">
        <f aca="false">IFERROR(INDEX(PODACI_PRODAJA!J:J,MATCH($A914,PODACI_PRODAJA!$A:$A,0)),0)</f>
        <v>0</v>
      </c>
      <c r="AB914" s="23" t="n">
        <f aca="false">IFERROR(INDEX(PODACI_PRODAJA!K:K,MATCH($A914,PODACI_PRODAJA!$A:$A,0)),0)</f>
        <v>0</v>
      </c>
      <c r="AC914" s="23" t="n">
        <f aca="false">IFERROR(INDEX(PODACI_PRODAJA!L:L,MATCH($A914,PODACI_PRODAJA!$A:$A,0)),0)</f>
        <v>0</v>
      </c>
      <c r="AD914" s="23" t="n">
        <f aca="false">IFERROR(INDEX(PODACI_PRODAJA!M:M,MATCH($A914,PODACI_PRODAJA!$A:$A,0)),0)</f>
        <v>0</v>
      </c>
    </row>
    <row r="915" customFormat="false" ht="15" hidden="false" customHeight="false" outlineLevel="0" collapsed="false">
      <c r="A915" s="11" t="str">
        <f aca="false">PODACI_ZALIHE!A912</f>
        <v>827</v>
      </c>
      <c r="B915" s="8" t="n">
        <f aca="false">PODACI_ZALIHE!B912</f>
        <v>0</v>
      </c>
      <c r="C915" s="9" t="n">
        <f aca="false">PODACI_ZALIHE!C912</f>
        <v>0</v>
      </c>
      <c r="D915" s="8" t="n">
        <f aca="false">PODACI_ZALIHE!D912</f>
        <v>0</v>
      </c>
      <c r="E915" s="19" t="str">
        <f aca="false">IF(PODACI_ZALIHE!E912="","",PODACI_ZALIHE!E912)</f>
        <v/>
      </c>
      <c r="F915" s="20" t="n">
        <f aca="false">PODACI_ZALIHE!F912</f>
        <v>0</v>
      </c>
      <c r="G915" s="19" t="str">
        <f aca="false">IF(E915="","",E915-F915)</f>
        <v/>
      </c>
      <c r="H915" s="9" t="n">
        <f aca="false">PODACI_PRODAJA!N829</f>
        <v>4251.72</v>
      </c>
      <c r="I915" s="21" t="n">
        <f aca="false">IF(H915&lt;=0,999,ROUND(F915/H915,1))</f>
        <v>0</v>
      </c>
      <c r="J915" s="9" t="n">
        <f aca="false">SUMIFS(ROBA_U_DOLASKU!$C$6:$C$95,ROBA_U_DOLASKU!$A$6:$A$95,A915,ROBA_U_DOLASKU!$H$6:$H$95,1)</f>
        <v>0</v>
      </c>
      <c r="K915" s="9" t="n">
        <f aca="false">SUMIFS(ROBA_U_DOLASKU!$B$6:$B$95,ROBA_U_DOLASKU!$A$6:$A$95,A915,ROBA_U_DOLASKU!$H$6:$H$95,1)</f>
        <v>0</v>
      </c>
      <c r="L915" s="9" t="n">
        <f aca="false">SUMIFS(ROBA_U_DOLASKU!$C$6:$C$95,ROBA_U_DOLASKU!$A$6:$A$95,A915,ROBA_U_DOLASKU!$H$6:$H$95,2)</f>
        <v>0</v>
      </c>
      <c r="M915" s="9" t="n">
        <f aca="false">SUMIFS(ROBA_U_DOLASKU!$B$6:$B$95,ROBA_U_DOLASKU!$A$6:$A$95,A915,ROBA_U_DOLASKU!$H$6:$H$95,2)</f>
        <v>0</v>
      </c>
      <c r="N915" s="9" t="n">
        <f aca="false">SUMIFS(ROBA_U_DOLASKU!$C$6:$C$95,ROBA_U_DOLASKU!$A$6:$A$95,A915,ROBA_U_DOLASKU!$H$6:$H$95,3)</f>
        <v>0</v>
      </c>
      <c r="O915" s="9" t="n">
        <f aca="false">SUMIFS(ROBA_U_DOLASKU!$B$6:$B$95,ROBA_U_DOLASKU!$A$6:$A$95,A915,ROBA_U_DOLASKU!$H$6:$H$95,3)</f>
        <v>0</v>
      </c>
      <c r="P915" s="9" t="n">
        <f aca="false">IF(H915&lt;=0,999,IF(O915&gt;0,ROUND((F915-H915*N915+K915+M915+O915)/H915,1),IF(M915&gt;0,ROUND((F915-H915*L915+K915+M915)/H915,1),IF(K915&gt;0,ROUND((F915-H915*J915+K915)/H915,1),I915))))</f>
        <v>0</v>
      </c>
      <c r="Q915" s="22" t="str">
        <f aca="false">IF(H915&lt;=0,"Nema prodaje",IF(AND(K915=0,M915=0,O915=0),IF(I915&lt;POSTAVKE!$B$6,"Naruči odmah","Sve u redu"),IF(F915-H915*J915&lt;0,"Rupa za ~"&amp;TEXT(I915,"0.0")&amp;" mj.",IF(AND(M915&gt;0,F915-H915*L915+K915&lt;0),"Rupa nakon 1. dolaska",IF(AND(O915&gt;0,F915-H915*N915+K915+M915&lt;0),"Rupa nakon 2. dolaska",IF(P915&lt;POSTAVKE!$B$6,"Količina nije dovoljna",IF(I915&gt;=POSTAVKE!$B$6,"Sve u redu","Stiže na vrijeme")))))))</f>
        <v>Naruči odmah</v>
      </c>
      <c r="S915" s="23" t="n">
        <f aca="false">IFERROR(INDEX(PODACI_PRODAJA!B:B,MATCH($A915,PODACI_PRODAJA!$A:$A,0)),0)</f>
        <v>3285</v>
      </c>
      <c r="T915" s="23" t="n">
        <f aca="false">IFERROR(INDEX(PODACI_PRODAJA!C:C,MATCH($A915,PODACI_PRODAJA!$A:$A,0)),0)</f>
        <v>3701</v>
      </c>
      <c r="U915" s="23" t="n">
        <f aca="false">IFERROR(INDEX(PODACI_PRODAJA!D:D,MATCH($A915,PODACI_PRODAJA!$A:$A,0)),0)</f>
        <v>6689</v>
      </c>
      <c r="V915" s="23" t="n">
        <f aca="false">IFERROR(INDEX(PODACI_PRODAJA!E:E,MATCH($A915,PODACI_PRODAJA!$A:$A,0)),0)</f>
        <v>4533</v>
      </c>
      <c r="W915" s="23" t="n">
        <f aca="false">IFERROR(INDEX(PODACI_PRODAJA!F:F,MATCH($A915,PODACI_PRODAJA!$A:$A,0)),0)</f>
        <v>3829</v>
      </c>
      <c r="X915" s="23" t="n">
        <f aca="false">IFERROR(INDEX(PODACI_PRODAJA!G:G,MATCH($A915,PODACI_PRODAJA!$A:$A,0)),0)</f>
        <v>3762.32</v>
      </c>
      <c r="Y915" s="23" t="n">
        <f aca="false">IFERROR(INDEX(PODACI_PRODAJA!H:H,MATCH($A915,PODACI_PRODAJA!$A:$A,0)),0)</f>
        <v>4206.4</v>
      </c>
      <c r="Z915" s="23" t="n">
        <f aca="false">IFERROR(INDEX(PODACI_PRODAJA!I:I,MATCH($A915,PODACI_PRODAJA!$A:$A,0)),0)</f>
        <v>4008</v>
      </c>
      <c r="AA915" s="23" t="n">
        <f aca="false">IFERROR(INDEX(PODACI_PRODAJA!J:J,MATCH($A915,PODACI_PRODAJA!$A:$A,0)),0)</f>
        <v>669</v>
      </c>
      <c r="AB915" s="23" t="n">
        <f aca="false">IFERROR(INDEX(PODACI_PRODAJA!K:K,MATCH($A915,PODACI_PRODAJA!$A:$A,0)),0)</f>
        <v>0</v>
      </c>
      <c r="AC915" s="23" t="n">
        <f aca="false">IFERROR(INDEX(PODACI_PRODAJA!L:L,MATCH($A915,PODACI_PRODAJA!$A:$A,0)),0)</f>
        <v>0</v>
      </c>
      <c r="AD915" s="23" t="n">
        <f aca="false">IFERROR(INDEX(PODACI_PRODAJA!M:M,MATCH($A915,PODACI_PRODAJA!$A:$A,0)),0)</f>
        <v>0</v>
      </c>
    </row>
    <row r="916" customFormat="false" ht="15" hidden="false" customHeight="false" outlineLevel="0" collapsed="false">
      <c r="A916" s="11" t="str">
        <f aca="false">PODACI_ZALIHE!A913</f>
        <v>18762</v>
      </c>
      <c r="B916" s="8" t="n">
        <f aca="false">PODACI_ZALIHE!B913</f>
        <v>0</v>
      </c>
      <c r="C916" s="9" t="n">
        <f aca="false">PODACI_ZALIHE!C913</f>
        <v>0</v>
      </c>
      <c r="D916" s="8" t="n">
        <f aca="false">PODACI_ZALIHE!D913</f>
        <v>0</v>
      </c>
      <c r="E916" s="19" t="str">
        <f aca="false">IF(PODACI_ZALIHE!E913="","",PODACI_ZALIHE!E913)</f>
        <v/>
      </c>
      <c r="F916" s="20" t="n">
        <f aca="false">PODACI_ZALIHE!F913</f>
        <v>0</v>
      </c>
      <c r="G916" s="19" t="str">
        <f aca="false">IF(E916="","",E916-F916)</f>
        <v/>
      </c>
      <c r="H916" s="9" t="n">
        <v>0</v>
      </c>
      <c r="I916" s="21" t="n">
        <f aca="false">IF(H916&lt;=0,999,ROUND(F916/H916,1))</f>
        <v>999</v>
      </c>
      <c r="J916" s="9" t="n">
        <f aca="false">SUMIFS(ROBA_U_DOLASKU!$C$6:$C$95,ROBA_U_DOLASKU!$A$6:$A$95,A916,ROBA_U_DOLASKU!$H$6:$H$95,1)</f>
        <v>0.8</v>
      </c>
      <c r="K916" s="9" t="n">
        <f aca="false">SUMIFS(ROBA_U_DOLASKU!$B$6:$B$95,ROBA_U_DOLASKU!$A$6:$A$95,A916,ROBA_U_DOLASKU!$H$6:$H$95,1)</f>
        <v>15</v>
      </c>
      <c r="L916" s="9" t="n">
        <f aca="false">SUMIFS(ROBA_U_DOLASKU!$C$6:$C$95,ROBA_U_DOLASKU!$A$6:$A$95,A916,ROBA_U_DOLASKU!$H$6:$H$95,2)</f>
        <v>0</v>
      </c>
      <c r="M916" s="9" t="n">
        <f aca="false">SUMIFS(ROBA_U_DOLASKU!$B$6:$B$95,ROBA_U_DOLASKU!$A$6:$A$95,A916,ROBA_U_DOLASKU!$H$6:$H$95,2)</f>
        <v>0</v>
      </c>
      <c r="N916" s="9" t="n">
        <f aca="false">SUMIFS(ROBA_U_DOLASKU!$C$6:$C$95,ROBA_U_DOLASKU!$A$6:$A$95,A916,ROBA_U_DOLASKU!$H$6:$H$95,3)</f>
        <v>0</v>
      </c>
      <c r="O916" s="9" t="n">
        <f aca="false">SUMIFS(ROBA_U_DOLASKU!$B$6:$B$95,ROBA_U_DOLASKU!$A$6:$A$95,A916,ROBA_U_DOLASKU!$H$6:$H$95,3)</f>
        <v>0</v>
      </c>
      <c r="P916" s="9" t="n">
        <f aca="false">IF(H916&lt;=0,999,IF(O916&gt;0,ROUND((F916-H916*N916+K916+M916+O916)/H916,1),IF(M916&gt;0,ROUND((F916-H916*L916+K916+M916)/H916,1),IF(K916&gt;0,ROUND((F916-H916*J916+K916)/H916,1),I916))))</f>
        <v>999</v>
      </c>
      <c r="Q916" s="22" t="str">
        <f aca="false">IF(H916&lt;=0,"Nema prodaje",IF(AND(K916=0,M916=0,O916=0),IF(I916&lt;POSTAVKE!$B$6,"Naruči odmah","Sve u redu"),IF(F916-H916*J916&lt;0,"Rupa za ~"&amp;TEXT(I916,"0.0")&amp;" mj.",IF(AND(M916&gt;0,F916-H916*L916+K916&lt;0),"Rupa nakon 1. dolaska",IF(AND(O916&gt;0,F916-H916*N916+K916+M916&lt;0),"Rupa nakon 2. dolaska",IF(P916&lt;POSTAVKE!$B$6,"Količina nije dovoljna",IF(I916&gt;=POSTAVKE!$B$6,"Sve u redu","Stiže na vrijeme")))))))</f>
        <v>Nema prodaje</v>
      </c>
      <c r="S916" s="23" t="n">
        <f aca="false">IFERROR(INDEX(PODACI_PRODAJA!B:B,MATCH($A916,PODACI_PRODAJA!$A:$A,0)),0)</f>
        <v>0</v>
      </c>
      <c r="T916" s="23" t="n">
        <f aca="false">IFERROR(INDEX(PODACI_PRODAJA!C:C,MATCH($A916,PODACI_PRODAJA!$A:$A,0)),0)</f>
        <v>0</v>
      </c>
      <c r="U916" s="23" t="n">
        <f aca="false">IFERROR(INDEX(PODACI_PRODAJA!D:D,MATCH($A916,PODACI_PRODAJA!$A:$A,0)),0)</f>
        <v>0</v>
      </c>
      <c r="V916" s="23" t="n">
        <f aca="false">IFERROR(INDEX(PODACI_PRODAJA!E:E,MATCH($A916,PODACI_PRODAJA!$A:$A,0)),0)</f>
        <v>0</v>
      </c>
      <c r="W916" s="23" t="n">
        <f aca="false">IFERROR(INDEX(PODACI_PRODAJA!F:F,MATCH($A916,PODACI_PRODAJA!$A:$A,0)),0)</f>
        <v>0</v>
      </c>
      <c r="X916" s="23" t="n">
        <f aca="false">IFERROR(INDEX(PODACI_PRODAJA!G:G,MATCH($A916,PODACI_PRODAJA!$A:$A,0)),0)</f>
        <v>0</v>
      </c>
      <c r="Y916" s="23" t="n">
        <f aca="false">IFERROR(INDEX(PODACI_PRODAJA!H:H,MATCH($A916,PODACI_PRODAJA!$A:$A,0)),0)</f>
        <v>0</v>
      </c>
      <c r="Z916" s="23" t="n">
        <f aca="false">IFERROR(INDEX(PODACI_PRODAJA!I:I,MATCH($A916,PODACI_PRODAJA!$A:$A,0)),0)</f>
        <v>0</v>
      </c>
      <c r="AA916" s="23" t="n">
        <f aca="false">IFERROR(INDEX(PODACI_PRODAJA!J:J,MATCH($A916,PODACI_PRODAJA!$A:$A,0)),0)</f>
        <v>0</v>
      </c>
      <c r="AB916" s="23" t="n">
        <f aca="false">IFERROR(INDEX(PODACI_PRODAJA!K:K,MATCH($A916,PODACI_PRODAJA!$A:$A,0)),0)</f>
        <v>0</v>
      </c>
      <c r="AC916" s="23" t="n">
        <f aca="false">IFERROR(INDEX(PODACI_PRODAJA!L:L,MATCH($A916,PODACI_PRODAJA!$A:$A,0)),0)</f>
        <v>0</v>
      </c>
      <c r="AD916" s="23" t="n">
        <f aca="false">IFERROR(INDEX(PODACI_PRODAJA!M:M,MATCH($A916,PODACI_PRODAJA!$A:$A,0)),0)</f>
        <v>0</v>
      </c>
    </row>
    <row r="917" customFormat="false" ht="15" hidden="false" customHeight="false" outlineLevel="0" collapsed="false">
      <c r="A917" s="11" t="str">
        <f aca="false">PODACI_ZALIHE!A914</f>
        <v>18763</v>
      </c>
      <c r="B917" s="8" t="n">
        <f aca="false">PODACI_ZALIHE!B914</f>
        <v>0</v>
      </c>
      <c r="C917" s="9" t="n">
        <f aca="false">PODACI_ZALIHE!C914</f>
        <v>0</v>
      </c>
      <c r="D917" s="8" t="n">
        <f aca="false">PODACI_ZALIHE!D914</f>
        <v>0</v>
      </c>
      <c r="E917" s="19" t="str">
        <f aca="false">IF(PODACI_ZALIHE!E914="","",PODACI_ZALIHE!E914)</f>
        <v/>
      </c>
      <c r="F917" s="20" t="n">
        <f aca="false">PODACI_ZALIHE!F914</f>
        <v>0</v>
      </c>
      <c r="G917" s="19" t="str">
        <f aca="false">IF(E917="","",E917-F917)</f>
        <v/>
      </c>
      <c r="H917" s="9" t="n">
        <v>0</v>
      </c>
      <c r="I917" s="21" t="n">
        <f aca="false">IF(H917&lt;=0,999,ROUND(F917/H917,1))</f>
        <v>999</v>
      </c>
      <c r="J917" s="9" t="n">
        <f aca="false">SUMIFS(ROBA_U_DOLASKU!$C$6:$C$95,ROBA_U_DOLASKU!$A$6:$A$95,A917,ROBA_U_DOLASKU!$H$6:$H$95,1)</f>
        <v>0.8</v>
      </c>
      <c r="K917" s="9" t="n">
        <f aca="false">SUMIFS(ROBA_U_DOLASKU!$B$6:$B$95,ROBA_U_DOLASKU!$A$6:$A$95,A917,ROBA_U_DOLASKU!$H$6:$H$95,1)</f>
        <v>30</v>
      </c>
      <c r="L917" s="9" t="n">
        <f aca="false">SUMIFS(ROBA_U_DOLASKU!$C$6:$C$95,ROBA_U_DOLASKU!$A$6:$A$95,A917,ROBA_U_DOLASKU!$H$6:$H$95,2)</f>
        <v>0</v>
      </c>
      <c r="M917" s="9" t="n">
        <f aca="false">SUMIFS(ROBA_U_DOLASKU!$B$6:$B$95,ROBA_U_DOLASKU!$A$6:$A$95,A917,ROBA_U_DOLASKU!$H$6:$H$95,2)</f>
        <v>0</v>
      </c>
      <c r="N917" s="9" t="n">
        <f aca="false">SUMIFS(ROBA_U_DOLASKU!$C$6:$C$95,ROBA_U_DOLASKU!$A$6:$A$95,A917,ROBA_U_DOLASKU!$H$6:$H$95,3)</f>
        <v>0</v>
      </c>
      <c r="O917" s="9" t="n">
        <f aca="false">SUMIFS(ROBA_U_DOLASKU!$B$6:$B$95,ROBA_U_DOLASKU!$A$6:$A$95,A917,ROBA_U_DOLASKU!$H$6:$H$95,3)</f>
        <v>0</v>
      </c>
      <c r="P917" s="9" t="n">
        <f aca="false">IF(H917&lt;=0,999,IF(O917&gt;0,ROUND((F917-H917*N917+K917+M917+O917)/H917,1),IF(M917&gt;0,ROUND((F917-H917*L917+K917+M917)/H917,1),IF(K917&gt;0,ROUND((F917-H917*J917+K917)/H917,1),I917))))</f>
        <v>999</v>
      </c>
      <c r="Q917" s="22" t="str">
        <f aca="false">IF(H917&lt;=0,"Nema prodaje",IF(AND(K917=0,M917=0,O917=0),IF(I917&lt;POSTAVKE!$B$6,"Naruči odmah","Sve u redu"),IF(F917-H917*J917&lt;0,"Rupa za ~"&amp;TEXT(I917,"0.0")&amp;" mj.",IF(AND(M917&gt;0,F917-H917*L917+K917&lt;0),"Rupa nakon 1. dolaska",IF(AND(O917&gt;0,F917-H917*N917+K917+M917&lt;0),"Rupa nakon 2. dolaska",IF(P917&lt;POSTAVKE!$B$6,"Količina nije dovoljna",IF(I917&gt;=POSTAVKE!$B$6,"Sve u redu","Stiže na vrijeme")))))))</f>
        <v>Nema prodaje</v>
      </c>
      <c r="S917" s="23" t="n">
        <f aca="false">IFERROR(INDEX(PODACI_PRODAJA!B:B,MATCH($A917,PODACI_PRODAJA!$A:$A,0)),0)</f>
        <v>0</v>
      </c>
      <c r="T917" s="23" t="n">
        <f aca="false">IFERROR(INDEX(PODACI_PRODAJA!C:C,MATCH($A917,PODACI_PRODAJA!$A:$A,0)),0)</f>
        <v>0</v>
      </c>
      <c r="U917" s="23" t="n">
        <f aca="false">IFERROR(INDEX(PODACI_PRODAJA!D:D,MATCH($A917,PODACI_PRODAJA!$A:$A,0)),0)</f>
        <v>0</v>
      </c>
      <c r="V917" s="23" t="n">
        <f aca="false">IFERROR(INDEX(PODACI_PRODAJA!E:E,MATCH($A917,PODACI_PRODAJA!$A:$A,0)),0)</f>
        <v>0</v>
      </c>
      <c r="W917" s="23" t="n">
        <f aca="false">IFERROR(INDEX(PODACI_PRODAJA!F:F,MATCH($A917,PODACI_PRODAJA!$A:$A,0)),0)</f>
        <v>0</v>
      </c>
      <c r="X917" s="23" t="n">
        <f aca="false">IFERROR(INDEX(PODACI_PRODAJA!G:G,MATCH($A917,PODACI_PRODAJA!$A:$A,0)),0)</f>
        <v>0</v>
      </c>
      <c r="Y917" s="23" t="n">
        <f aca="false">IFERROR(INDEX(PODACI_PRODAJA!H:H,MATCH($A917,PODACI_PRODAJA!$A:$A,0)),0)</f>
        <v>0</v>
      </c>
      <c r="Z917" s="23" t="n">
        <f aca="false">IFERROR(INDEX(PODACI_PRODAJA!I:I,MATCH($A917,PODACI_PRODAJA!$A:$A,0)),0)</f>
        <v>0</v>
      </c>
      <c r="AA917" s="23" t="n">
        <f aca="false">IFERROR(INDEX(PODACI_PRODAJA!J:J,MATCH($A917,PODACI_PRODAJA!$A:$A,0)),0)</f>
        <v>0</v>
      </c>
      <c r="AB917" s="23" t="n">
        <f aca="false">IFERROR(INDEX(PODACI_PRODAJA!K:K,MATCH($A917,PODACI_PRODAJA!$A:$A,0)),0)</f>
        <v>0</v>
      </c>
      <c r="AC917" s="23" t="n">
        <f aca="false">IFERROR(INDEX(PODACI_PRODAJA!L:L,MATCH($A917,PODACI_PRODAJA!$A:$A,0)),0)</f>
        <v>0</v>
      </c>
      <c r="AD917" s="23" t="n">
        <f aca="false">IFERROR(INDEX(PODACI_PRODAJA!M:M,MATCH($A917,PODACI_PRODAJA!$A:$A,0)),0)</f>
        <v>0</v>
      </c>
    </row>
    <row r="918" customFormat="false" ht="15" hidden="false" customHeight="false" outlineLevel="0" collapsed="false">
      <c r="A918" s="11" t="str">
        <f aca="false">PODACI_ZALIHE!A915</f>
        <v>18764</v>
      </c>
      <c r="B918" s="8" t="n">
        <f aca="false">PODACI_ZALIHE!B915</f>
        <v>0</v>
      </c>
      <c r="C918" s="9" t="n">
        <f aca="false">PODACI_ZALIHE!C915</f>
        <v>0</v>
      </c>
      <c r="D918" s="8" t="n">
        <f aca="false">PODACI_ZALIHE!D915</f>
        <v>0</v>
      </c>
      <c r="E918" s="19" t="str">
        <f aca="false">IF(PODACI_ZALIHE!E915="","",PODACI_ZALIHE!E915)</f>
        <v/>
      </c>
      <c r="F918" s="20" t="n">
        <f aca="false">PODACI_ZALIHE!F915</f>
        <v>0</v>
      </c>
      <c r="G918" s="19" t="str">
        <f aca="false">IF(E918="","",E918-F918)</f>
        <v/>
      </c>
      <c r="H918" s="9" t="n">
        <v>0</v>
      </c>
      <c r="I918" s="21" t="n">
        <f aca="false">IF(H918&lt;=0,999,ROUND(F918/H918,1))</f>
        <v>999</v>
      </c>
      <c r="J918" s="9" t="n">
        <f aca="false">SUMIFS(ROBA_U_DOLASKU!$C$6:$C$95,ROBA_U_DOLASKU!$A$6:$A$95,A918,ROBA_U_DOLASKU!$H$6:$H$95,1)</f>
        <v>0.8</v>
      </c>
      <c r="K918" s="9" t="n">
        <f aca="false">SUMIFS(ROBA_U_DOLASKU!$B$6:$B$95,ROBA_U_DOLASKU!$A$6:$A$95,A918,ROBA_U_DOLASKU!$H$6:$H$95,1)</f>
        <v>20</v>
      </c>
      <c r="L918" s="9" t="n">
        <f aca="false">SUMIFS(ROBA_U_DOLASKU!$C$6:$C$95,ROBA_U_DOLASKU!$A$6:$A$95,A918,ROBA_U_DOLASKU!$H$6:$H$95,2)</f>
        <v>0</v>
      </c>
      <c r="M918" s="9" t="n">
        <f aca="false">SUMIFS(ROBA_U_DOLASKU!$B$6:$B$95,ROBA_U_DOLASKU!$A$6:$A$95,A918,ROBA_U_DOLASKU!$H$6:$H$95,2)</f>
        <v>0</v>
      </c>
      <c r="N918" s="9" t="n">
        <f aca="false">SUMIFS(ROBA_U_DOLASKU!$C$6:$C$95,ROBA_U_DOLASKU!$A$6:$A$95,A918,ROBA_U_DOLASKU!$H$6:$H$95,3)</f>
        <v>0</v>
      </c>
      <c r="O918" s="9" t="n">
        <f aca="false">SUMIFS(ROBA_U_DOLASKU!$B$6:$B$95,ROBA_U_DOLASKU!$A$6:$A$95,A918,ROBA_U_DOLASKU!$H$6:$H$95,3)</f>
        <v>0</v>
      </c>
      <c r="P918" s="9" t="n">
        <f aca="false">IF(H918&lt;=0,999,IF(O918&gt;0,ROUND((F918-H918*N918+K918+M918+O918)/H918,1),IF(M918&gt;0,ROUND((F918-H918*L918+K918+M918)/H918,1),IF(K918&gt;0,ROUND((F918-H918*J918+K918)/H918,1),I918))))</f>
        <v>999</v>
      </c>
      <c r="Q918" s="22" t="str">
        <f aca="false">IF(H918&lt;=0,"Nema prodaje",IF(AND(K918=0,M918=0,O918=0),IF(I918&lt;POSTAVKE!$B$6,"Naruči odmah","Sve u redu"),IF(F918-H918*J918&lt;0,"Rupa za ~"&amp;TEXT(I918,"0.0")&amp;" mj.",IF(AND(M918&gt;0,F918-H918*L918+K918&lt;0),"Rupa nakon 1. dolaska",IF(AND(O918&gt;0,F918-H918*N918+K918+M918&lt;0),"Rupa nakon 2. dolaska",IF(P918&lt;POSTAVKE!$B$6,"Količina nije dovoljna",IF(I918&gt;=POSTAVKE!$B$6,"Sve u redu","Stiže na vrijeme")))))))</f>
        <v>Nema prodaje</v>
      </c>
      <c r="S918" s="23" t="n">
        <f aca="false">IFERROR(INDEX(PODACI_PRODAJA!B:B,MATCH($A918,PODACI_PRODAJA!$A:$A,0)),0)</f>
        <v>0</v>
      </c>
      <c r="T918" s="23" t="n">
        <f aca="false">IFERROR(INDEX(PODACI_PRODAJA!C:C,MATCH($A918,PODACI_PRODAJA!$A:$A,0)),0)</f>
        <v>0</v>
      </c>
      <c r="U918" s="23" t="n">
        <f aca="false">IFERROR(INDEX(PODACI_PRODAJA!D:D,MATCH($A918,PODACI_PRODAJA!$A:$A,0)),0)</f>
        <v>0</v>
      </c>
      <c r="V918" s="23" t="n">
        <f aca="false">IFERROR(INDEX(PODACI_PRODAJA!E:E,MATCH($A918,PODACI_PRODAJA!$A:$A,0)),0)</f>
        <v>0</v>
      </c>
      <c r="W918" s="23" t="n">
        <f aca="false">IFERROR(INDEX(PODACI_PRODAJA!F:F,MATCH($A918,PODACI_PRODAJA!$A:$A,0)),0)</f>
        <v>0</v>
      </c>
      <c r="X918" s="23" t="n">
        <f aca="false">IFERROR(INDEX(PODACI_PRODAJA!G:G,MATCH($A918,PODACI_PRODAJA!$A:$A,0)),0)</f>
        <v>0</v>
      </c>
      <c r="Y918" s="23" t="n">
        <f aca="false">IFERROR(INDEX(PODACI_PRODAJA!H:H,MATCH($A918,PODACI_PRODAJA!$A:$A,0)),0)</f>
        <v>0</v>
      </c>
      <c r="Z918" s="23" t="n">
        <f aca="false">IFERROR(INDEX(PODACI_PRODAJA!I:I,MATCH($A918,PODACI_PRODAJA!$A:$A,0)),0)</f>
        <v>0</v>
      </c>
      <c r="AA918" s="23" t="n">
        <f aca="false">IFERROR(INDEX(PODACI_PRODAJA!J:J,MATCH($A918,PODACI_PRODAJA!$A:$A,0)),0)</f>
        <v>0</v>
      </c>
      <c r="AB918" s="23" t="n">
        <f aca="false">IFERROR(INDEX(PODACI_PRODAJA!K:K,MATCH($A918,PODACI_PRODAJA!$A:$A,0)),0)</f>
        <v>0</v>
      </c>
      <c r="AC918" s="23" t="n">
        <f aca="false">IFERROR(INDEX(PODACI_PRODAJA!L:L,MATCH($A918,PODACI_PRODAJA!$A:$A,0)),0)</f>
        <v>0</v>
      </c>
      <c r="AD918" s="23" t="n">
        <f aca="false">IFERROR(INDEX(PODACI_PRODAJA!M:M,MATCH($A918,PODACI_PRODAJA!$A:$A,0)),0)</f>
        <v>0</v>
      </c>
    </row>
    <row r="919" customFormat="false" ht="15" hidden="false" customHeight="false" outlineLevel="0" collapsed="false">
      <c r="A919" s="11" t="str">
        <f aca="false">PODACI_ZALIHE!A916</f>
        <v>18765</v>
      </c>
      <c r="B919" s="8" t="n">
        <f aca="false">PODACI_ZALIHE!B916</f>
        <v>0</v>
      </c>
      <c r="C919" s="9" t="n">
        <f aca="false">PODACI_ZALIHE!C916</f>
        <v>0</v>
      </c>
      <c r="D919" s="8" t="n">
        <f aca="false">PODACI_ZALIHE!D916</f>
        <v>0</v>
      </c>
      <c r="E919" s="19" t="str">
        <f aca="false">IF(PODACI_ZALIHE!E916="","",PODACI_ZALIHE!E916)</f>
        <v/>
      </c>
      <c r="F919" s="20" t="n">
        <f aca="false">PODACI_ZALIHE!F916</f>
        <v>0</v>
      </c>
      <c r="G919" s="19" t="str">
        <f aca="false">IF(E919="","",E919-F919)</f>
        <v/>
      </c>
      <c r="H919" s="9" t="n">
        <v>0</v>
      </c>
      <c r="I919" s="21" t="n">
        <f aca="false">IF(H919&lt;=0,999,ROUND(F919/H919,1))</f>
        <v>999</v>
      </c>
      <c r="J919" s="9" t="n">
        <f aca="false">SUMIFS(ROBA_U_DOLASKU!$C$6:$C$95,ROBA_U_DOLASKU!$A$6:$A$95,A919,ROBA_U_DOLASKU!$H$6:$H$95,1)</f>
        <v>0.8</v>
      </c>
      <c r="K919" s="9" t="n">
        <f aca="false">SUMIFS(ROBA_U_DOLASKU!$B$6:$B$95,ROBA_U_DOLASKU!$A$6:$A$95,A919,ROBA_U_DOLASKU!$H$6:$H$95,1)</f>
        <v>20</v>
      </c>
      <c r="L919" s="9" t="n">
        <f aca="false">SUMIFS(ROBA_U_DOLASKU!$C$6:$C$95,ROBA_U_DOLASKU!$A$6:$A$95,A919,ROBA_U_DOLASKU!$H$6:$H$95,2)</f>
        <v>0</v>
      </c>
      <c r="M919" s="9" t="n">
        <f aca="false">SUMIFS(ROBA_U_DOLASKU!$B$6:$B$95,ROBA_U_DOLASKU!$A$6:$A$95,A919,ROBA_U_DOLASKU!$H$6:$H$95,2)</f>
        <v>0</v>
      </c>
      <c r="N919" s="9" t="n">
        <f aca="false">SUMIFS(ROBA_U_DOLASKU!$C$6:$C$95,ROBA_U_DOLASKU!$A$6:$A$95,A919,ROBA_U_DOLASKU!$H$6:$H$95,3)</f>
        <v>0</v>
      </c>
      <c r="O919" s="9" t="n">
        <f aca="false">SUMIFS(ROBA_U_DOLASKU!$B$6:$B$95,ROBA_U_DOLASKU!$A$6:$A$95,A919,ROBA_U_DOLASKU!$H$6:$H$95,3)</f>
        <v>0</v>
      </c>
      <c r="P919" s="9" t="n">
        <f aca="false">IF(H919&lt;=0,999,IF(O919&gt;0,ROUND((F919-H919*N919+K919+M919+O919)/H919,1),IF(M919&gt;0,ROUND((F919-H919*L919+K919+M919)/H919,1),IF(K919&gt;0,ROUND((F919-H919*J919+K919)/H919,1),I919))))</f>
        <v>999</v>
      </c>
      <c r="Q919" s="22" t="str">
        <f aca="false">IF(H919&lt;=0,"Nema prodaje",IF(AND(K919=0,M919=0,O919=0),IF(I919&lt;POSTAVKE!$B$6,"Naruči odmah","Sve u redu"),IF(F919-H919*J919&lt;0,"Rupa za ~"&amp;TEXT(I919,"0.0")&amp;" mj.",IF(AND(M919&gt;0,F919-H919*L919+K919&lt;0),"Rupa nakon 1. dolaska",IF(AND(O919&gt;0,F919-H919*N919+K919+M919&lt;0),"Rupa nakon 2. dolaska",IF(P919&lt;POSTAVKE!$B$6,"Količina nije dovoljna",IF(I919&gt;=POSTAVKE!$B$6,"Sve u redu","Stiže na vrijeme")))))))</f>
        <v>Nema prodaje</v>
      </c>
      <c r="S919" s="23" t="n">
        <f aca="false">IFERROR(INDEX(PODACI_PRODAJA!B:B,MATCH($A919,PODACI_PRODAJA!$A:$A,0)),0)</f>
        <v>0</v>
      </c>
      <c r="T919" s="23" t="n">
        <f aca="false">IFERROR(INDEX(PODACI_PRODAJA!C:C,MATCH($A919,PODACI_PRODAJA!$A:$A,0)),0)</f>
        <v>0</v>
      </c>
      <c r="U919" s="23" t="n">
        <f aca="false">IFERROR(INDEX(PODACI_PRODAJA!D:D,MATCH($A919,PODACI_PRODAJA!$A:$A,0)),0)</f>
        <v>0</v>
      </c>
      <c r="V919" s="23" t="n">
        <f aca="false">IFERROR(INDEX(PODACI_PRODAJA!E:E,MATCH($A919,PODACI_PRODAJA!$A:$A,0)),0)</f>
        <v>0</v>
      </c>
      <c r="W919" s="23" t="n">
        <f aca="false">IFERROR(INDEX(PODACI_PRODAJA!F:F,MATCH($A919,PODACI_PRODAJA!$A:$A,0)),0)</f>
        <v>0</v>
      </c>
      <c r="X919" s="23" t="n">
        <f aca="false">IFERROR(INDEX(PODACI_PRODAJA!G:G,MATCH($A919,PODACI_PRODAJA!$A:$A,0)),0)</f>
        <v>0</v>
      </c>
      <c r="Y919" s="23" t="n">
        <f aca="false">IFERROR(INDEX(PODACI_PRODAJA!H:H,MATCH($A919,PODACI_PRODAJA!$A:$A,0)),0)</f>
        <v>0</v>
      </c>
      <c r="Z919" s="23" t="n">
        <f aca="false">IFERROR(INDEX(PODACI_PRODAJA!I:I,MATCH($A919,PODACI_PRODAJA!$A:$A,0)),0)</f>
        <v>0</v>
      </c>
      <c r="AA919" s="23" t="n">
        <f aca="false">IFERROR(INDEX(PODACI_PRODAJA!J:J,MATCH($A919,PODACI_PRODAJA!$A:$A,0)),0)</f>
        <v>0</v>
      </c>
      <c r="AB919" s="23" t="n">
        <f aca="false">IFERROR(INDEX(PODACI_PRODAJA!K:K,MATCH($A919,PODACI_PRODAJA!$A:$A,0)),0)</f>
        <v>0</v>
      </c>
      <c r="AC919" s="23" t="n">
        <f aca="false">IFERROR(INDEX(PODACI_PRODAJA!L:L,MATCH($A919,PODACI_PRODAJA!$A:$A,0)),0)</f>
        <v>0</v>
      </c>
      <c r="AD919" s="23" t="n">
        <f aca="false">IFERROR(INDEX(PODACI_PRODAJA!M:M,MATCH($A919,PODACI_PRODAJA!$A:$A,0)),0)</f>
        <v>0</v>
      </c>
    </row>
    <row r="920" customFormat="false" ht="15" hidden="false" customHeight="false" outlineLevel="0" collapsed="false">
      <c r="A920" s="11" t="str">
        <f aca="false">PODACI_ZALIHE!A917</f>
        <v>18766</v>
      </c>
      <c r="B920" s="8" t="n">
        <f aca="false">PODACI_ZALIHE!B917</f>
        <v>0</v>
      </c>
      <c r="C920" s="9" t="n">
        <f aca="false">PODACI_ZALIHE!C917</f>
        <v>0</v>
      </c>
      <c r="D920" s="8" t="n">
        <f aca="false">PODACI_ZALIHE!D917</f>
        <v>0</v>
      </c>
      <c r="E920" s="19" t="str">
        <f aca="false">IF(PODACI_ZALIHE!E917="","",PODACI_ZALIHE!E917)</f>
        <v/>
      </c>
      <c r="F920" s="20" t="n">
        <f aca="false">PODACI_ZALIHE!F917</f>
        <v>0</v>
      </c>
      <c r="G920" s="19" t="str">
        <f aca="false">IF(E920="","",E920-F920)</f>
        <v/>
      </c>
      <c r="H920" s="9" t="n">
        <v>0</v>
      </c>
      <c r="I920" s="21" t="n">
        <f aca="false">IF(H920&lt;=0,999,ROUND(F920/H920,1))</f>
        <v>999</v>
      </c>
      <c r="J920" s="9" t="n">
        <f aca="false">SUMIFS(ROBA_U_DOLASKU!$C$6:$C$95,ROBA_U_DOLASKU!$A$6:$A$95,A920,ROBA_U_DOLASKU!$H$6:$H$95,1)</f>
        <v>0.8</v>
      </c>
      <c r="K920" s="9" t="n">
        <f aca="false">SUMIFS(ROBA_U_DOLASKU!$B$6:$B$95,ROBA_U_DOLASKU!$A$6:$A$95,A920,ROBA_U_DOLASKU!$H$6:$H$95,1)</f>
        <v>15</v>
      </c>
      <c r="L920" s="9" t="n">
        <f aca="false">SUMIFS(ROBA_U_DOLASKU!$C$6:$C$95,ROBA_U_DOLASKU!$A$6:$A$95,A920,ROBA_U_DOLASKU!$H$6:$H$95,2)</f>
        <v>0</v>
      </c>
      <c r="M920" s="9" t="n">
        <f aca="false">SUMIFS(ROBA_U_DOLASKU!$B$6:$B$95,ROBA_U_DOLASKU!$A$6:$A$95,A920,ROBA_U_DOLASKU!$H$6:$H$95,2)</f>
        <v>0</v>
      </c>
      <c r="N920" s="9" t="n">
        <f aca="false">SUMIFS(ROBA_U_DOLASKU!$C$6:$C$95,ROBA_U_DOLASKU!$A$6:$A$95,A920,ROBA_U_DOLASKU!$H$6:$H$95,3)</f>
        <v>0</v>
      </c>
      <c r="O920" s="9" t="n">
        <f aca="false">SUMIFS(ROBA_U_DOLASKU!$B$6:$B$95,ROBA_U_DOLASKU!$A$6:$A$95,A920,ROBA_U_DOLASKU!$H$6:$H$95,3)</f>
        <v>0</v>
      </c>
      <c r="P920" s="9" t="n">
        <f aca="false">IF(H920&lt;=0,999,IF(O920&gt;0,ROUND((F920-H920*N920+K920+M920+O920)/H920,1),IF(M920&gt;0,ROUND((F920-H920*L920+K920+M920)/H920,1),IF(K920&gt;0,ROUND((F920-H920*J920+K920)/H920,1),I920))))</f>
        <v>999</v>
      </c>
      <c r="Q920" s="22" t="str">
        <f aca="false">IF(H920&lt;=0,"Nema prodaje",IF(AND(K920=0,M920=0,O920=0),IF(I920&lt;POSTAVKE!$B$6,"Naruči odmah","Sve u redu"),IF(F920-H920*J920&lt;0,"Rupa za ~"&amp;TEXT(I920,"0.0")&amp;" mj.",IF(AND(M920&gt;0,F920-H920*L920+K920&lt;0),"Rupa nakon 1. dolaska",IF(AND(O920&gt;0,F920-H920*N920+K920+M920&lt;0),"Rupa nakon 2. dolaska",IF(P920&lt;POSTAVKE!$B$6,"Količina nije dovoljna",IF(I920&gt;=POSTAVKE!$B$6,"Sve u redu","Stiže na vrijeme")))))))</f>
        <v>Nema prodaje</v>
      </c>
      <c r="S920" s="23" t="n">
        <f aca="false">IFERROR(INDEX(PODACI_PRODAJA!B:B,MATCH($A920,PODACI_PRODAJA!$A:$A,0)),0)</f>
        <v>0</v>
      </c>
      <c r="T920" s="23" t="n">
        <f aca="false">IFERROR(INDEX(PODACI_PRODAJA!C:C,MATCH($A920,PODACI_PRODAJA!$A:$A,0)),0)</f>
        <v>0</v>
      </c>
      <c r="U920" s="23" t="n">
        <f aca="false">IFERROR(INDEX(PODACI_PRODAJA!D:D,MATCH($A920,PODACI_PRODAJA!$A:$A,0)),0)</f>
        <v>0</v>
      </c>
      <c r="V920" s="23" t="n">
        <f aca="false">IFERROR(INDEX(PODACI_PRODAJA!E:E,MATCH($A920,PODACI_PRODAJA!$A:$A,0)),0)</f>
        <v>0</v>
      </c>
      <c r="W920" s="23" t="n">
        <f aca="false">IFERROR(INDEX(PODACI_PRODAJA!F:F,MATCH($A920,PODACI_PRODAJA!$A:$A,0)),0)</f>
        <v>0</v>
      </c>
      <c r="X920" s="23" t="n">
        <f aca="false">IFERROR(INDEX(PODACI_PRODAJA!G:G,MATCH($A920,PODACI_PRODAJA!$A:$A,0)),0)</f>
        <v>0</v>
      </c>
      <c r="Y920" s="23" t="n">
        <f aca="false">IFERROR(INDEX(PODACI_PRODAJA!H:H,MATCH($A920,PODACI_PRODAJA!$A:$A,0)),0)</f>
        <v>0</v>
      </c>
      <c r="Z920" s="23" t="n">
        <f aca="false">IFERROR(INDEX(PODACI_PRODAJA!I:I,MATCH($A920,PODACI_PRODAJA!$A:$A,0)),0)</f>
        <v>0</v>
      </c>
      <c r="AA920" s="23" t="n">
        <f aca="false">IFERROR(INDEX(PODACI_PRODAJA!J:J,MATCH($A920,PODACI_PRODAJA!$A:$A,0)),0)</f>
        <v>0</v>
      </c>
      <c r="AB920" s="23" t="n">
        <f aca="false">IFERROR(INDEX(PODACI_PRODAJA!K:K,MATCH($A920,PODACI_PRODAJA!$A:$A,0)),0)</f>
        <v>0</v>
      </c>
      <c r="AC920" s="23" t="n">
        <f aca="false">IFERROR(INDEX(PODACI_PRODAJA!L:L,MATCH($A920,PODACI_PRODAJA!$A:$A,0)),0)</f>
        <v>0</v>
      </c>
      <c r="AD920" s="23" t="n">
        <f aca="false">IFERROR(INDEX(PODACI_PRODAJA!M:M,MATCH($A920,PODACI_PRODAJA!$A:$A,0)),0)</f>
        <v>0</v>
      </c>
    </row>
    <row r="921" customFormat="false" ht="15" hidden="false" customHeight="false" outlineLevel="0" collapsed="false">
      <c r="A921" s="11" t="str">
        <f aca="false">PODACI_ZALIHE!A918</f>
        <v>18767</v>
      </c>
      <c r="B921" s="8" t="n">
        <f aca="false">PODACI_ZALIHE!B918</f>
        <v>0</v>
      </c>
      <c r="C921" s="9" t="n">
        <f aca="false">PODACI_ZALIHE!C918</f>
        <v>0</v>
      </c>
      <c r="D921" s="8" t="n">
        <f aca="false">PODACI_ZALIHE!D918</f>
        <v>0</v>
      </c>
      <c r="E921" s="19" t="str">
        <f aca="false">IF(PODACI_ZALIHE!E918="","",PODACI_ZALIHE!E918)</f>
        <v/>
      </c>
      <c r="F921" s="20" t="n">
        <f aca="false">PODACI_ZALIHE!F918</f>
        <v>0</v>
      </c>
      <c r="G921" s="19" t="str">
        <f aca="false">IF(E921="","",E921-F921)</f>
        <v/>
      </c>
      <c r="H921" s="9" t="n">
        <v>0</v>
      </c>
      <c r="I921" s="21" t="n">
        <f aca="false">IF(H921&lt;=0,999,ROUND(F921/H921,1))</f>
        <v>999</v>
      </c>
      <c r="J921" s="9" t="n">
        <f aca="false">SUMIFS(ROBA_U_DOLASKU!$C$6:$C$95,ROBA_U_DOLASKU!$A$6:$A$95,A921,ROBA_U_DOLASKU!$H$6:$H$95,1)</f>
        <v>0.8</v>
      </c>
      <c r="K921" s="9" t="n">
        <f aca="false">SUMIFS(ROBA_U_DOLASKU!$B$6:$B$95,ROBA_U_DOLASKU!$A$6:$A$95,A921,ROBA_U_DOLASKU!$H$6:$H$95,1)</f>
        <v>15</v>
      </c>
      <c r="L921" s="9" t="n">
        <f aca="false">SUMIFS(ROBA_U_DOLASKU!$C$6:$C$95,ROBA_U_DOLASKU!$A$6:$A$95,A921,ROBA_U_DOLASKU!$H$6:$H$95,2)</f>
        <v>0</v>
      </c>
      <c r="M921" s="9" t="n">
        <f aca="false">SUMIFS(ROBA_U_DOLASKU!$B$6:$B$95,ROBA_U_DOLASKU!$A$6:$A$95,A921,ROBA_U_DOLASKU!$H$6:$H$95,2)</f>
        <v>0</v>
      </c>
      <c r="N921" s="9" t="n">
        <f aca="false">SUMIFS(ROBA_U_DOLASKU!$C$6:$C$95,ROBA_U_DOLASKU!$A$6:$A$95,A921,ROBA_U_DOLASKU!$H$6:$H$95,3)</f>
        <v>0</v>
      </c>
      <c r="O921" s="9" t="n">
        <f aca="false">SUMIFS(ROBA_U_DOLASKU!$B$6:$B$95,ROBA_U_DOLASKU!$A$6:$A$95,A921,ROBA_U_DOLASKU!$H$6:$H$95,3)</f>
        <v>0</v>
      </c>
      <c r="P921" s="9" t="n">
        <f aca="false">IF(H921&lt;=0,999,IF(O921&gt;0,ROUND((F921-H921*N921+K921+M921+O921)/H921,1),IF(M921&gt;0,ROUND((F921-H921*L921+K921+M921)/H921,1),IF(K921&gt;0,ROUND((F921-H921*J921+K921)/H921,1),I921))))</f>
        <v>999</v>
      </c>
      <c r="Q921" s="22" t="str">
        <f aca="false">IF(H921&lt;=0,"Nema prodaje",IF(AND(K921=0,M921=0,O921=0),IF(I921&lt;POSTAVKE!$B$6,"Naruči odmah","Sve u redu"),IF(F921-H921*J921&lt;0,"Rupa za ~"&amp;TEXT(I921,"0.0")&amp;" mj.",IF(AND(M921&gt;0,F921-H921*L921+K921&lt;0),"Rupa nakon 1. dolaska",IF(AND(O921&gt;0,F921-H921*N921+K921+M921&lt;0),"Rupa nakon 2. dolaska",IF(P921&lt;POSTAVKE!$B$6,"Količina nije dovoljna",IF(I921&gt;=POSTAVKE!$B$6,"Sve u redu","Stiže na vrijeme")))))))</f>
        <v>Nema prodaje</v>
      </c>
      <c r="S921" s="23" t="n">
        <f aca="false">IFERROR(INDEX(PODACI_PRODAJA!B:B,MATCH($A921,PODACI_PRODAJA!$A:$A,0)),0)</f>
        <v>0</v>
      </c>
      <c r="T921" s="23" t="n">
        <f aca="false">IFERROR(INDEX(PODACI_PRODAJA!C:C,MATCH($A921,PODACI_PRODAJA!$A:$A,0)),0)</f>
        <v>0</v>
      </c>
      <c r="U921" s="23" t="n">
        <f aca="false">IFERROR(INDEX(PODACI_PRODAJA!D:D,MATCH($A921,PODACI_PRODAJA!$A:$A,0)),0)</f>
        <v>0</v>
      </c>
      <c r="V921" s="23" t="n">
        <f aca="false">IFERROR(INDEX(PODACI_PRODAJA!E:E,MATCH($A921,PODACI_PRODAJA!$A:$A,0)),0)</f>
        <v>0</v>
      </c>
      <c r="W921" s="23" t="n">
        <f aca="false">IFERROR(INDEX(PODACI_PRODAJA!F:F,MATCH($A921,PODACI_PRODAJA!$A:$A,0)),0)</f>
        <v>0</v>
      </c>
      <c r="X921" s="23" t="n">
        <f aca="false">IFERROR(INDEX(PODACI_PRODAJA!G:G,MATCH($A921,PODACI_PRODAJA!$A:$A,0)),0)</f>
        <v>0</v>
      </c>
      <c r="Y921" s="23" t="n">
        <f aca="false">IFERROR(INDEX(PODACI_PRODAJA!H:H,MATCH($A921,PODACI_PRODAJA!$A:$A,0)),0)</f>
        <v>0</v>
      </c>
      <c r="Z921" s="23" t="n">
        <f aca="false">IFERROR(INDEX(PODACI_PRODAJA!I:I,MATCH($A921,PODACI_PRODAJA!$A:$A,0)),0)</f>
        <v>0</v>
      </c>
      <c r="AA921" s="23" t="n">
        <f aca="false">IFERROR(INDEX(PODACI_PRODAJA!J:J,MATCH($A921,PODACI_PRODAJA!$A:$A,0)),0)</f>
        <v>0</v>
      </c>
      <c r="AB921" s="23" t="n">
        <f aca="false">IFERROR(INDEX(PODACI_PRODAJA!K:K,MATCH($A921,PODACI_PRODAJA!$A:$A,0)),0)</f>
        <v>0</v>
      </c>
      <c r="AC921" s="23" t="n">
        <f aca="false">IFERROR(INDEX(PODACI_PRODAJA!L:L,MATCH($A921,PODACI_PRODAJA!$A:$A,0)),0)</f>
        <v>0</v>
      </c>
      <c r="AD921" s="23" t="n">
        <f aca="false">IFERROR(INDEX(PODACI_PRODAJA!M:M,MATCH($A921,PODACI_PRODAJA!$A:$A,0)),0)</f>
        <v>0</v>
      </c>
    </row>
    <row r="922" customFormat="false" ht="15" hidden="false" customHeight="false" outlineLevel="0" collapsed="false">
      <c r="A922" s="11" t="str">
        <f aca="false">PODACI_ZALIHE!A919</f>
        <v>18768</v>
      </c>
      <c r="B922" s="8" t="n">
        <f aca="false">PODACI_ZALIHE!B919</f>
        <v>0</v>
      </c>
      <c r="C922" s="9" t="n">
        <f aca="false">PODACI_ZALIHE!C919</f>
        <v>0</v>
      </c>
      <c r="D922" s="8" t="n">
        <f aca="false">PODACI_ZALIHE!D919</f>
        <v>0</v>
      </c>
      <c r="E922" s="19" t="str">
        <f aca="false">IF(PODACI_ZALIHE!E919="","",PODACI_ZALIHE!E919)</f>
        <v/>
      </c>
      <c r="F922" s="20" t="n">
        <f aca="false">PODACI_ZALIHE!F919</f>
        <v>0</v>
      </c>
      <c r="G922" s="19" t="str">
        <f aca="false">IF(E922="","",E922-F922)</f>
        <v/>
      </c>
      <c r="H922" s="9" t="n">
        <v>0</v>
      </c>
      <c r="I922" s="21" t="n">
        <f aca="false">IF(H922&lt;=0,999,ROUND(F922/H922,1))</f>
        <v>999</v>
      </c>
      <c r="J922" s="9" t="n">
        <f aca="false">SUMIFS(ROBA_U_DOLASKU!$C$6:$C$95,ROBA_U_DOLASKU!$A$6:$A$95,A922,ROBA_U_DOLASKU!$H$6:$H$95,1)</f>
        <v>0.8</v>
      </c>
      <c r="K922" s="9" t="n">
        <f aca="false">SUMIFS(ROBA_U_DOLASKU!$B$6:$B$95,ROBA_U_DOLASKU!$A$6:$A$95,A922,ROBA_U_DOLASKU!$H$6:$H$95,1)</f>
        <v>20</v>
      </c>
      <c r="L922" s="9" t="n">
        <f aca="false">SUMIFS(ROBA_U_DOLASKU!$C$6:$C$95,ROBA_U_DOLASKU!$A$6:$A$95,A922,ROBA_U_DOLASKU!$H$6:$H$95,2)</f>
        <v>0</v>
      </c>
      <c r="M922" s="9" t="n">
        <f aca="false">SUMIFS(ROBA_U_DOLASKU!$B$6:$B$95,ROBA_U_DOLASKU!$A$6:$A$95,A922,ROBA_U_DOLASKU!$H$6:$H$95,2)</f>
        <v>0</v>
      </c>
      <c r="N922" s="9" t="n">
        <f aca="false">SUMIFS(ROBA_U_DOLASKU!$C$6:$C$95,ROBA_U_DOLASKU!$A$6:$A$95,A922,ROBA_U_DOLASKU!$H$6:$H$95,3)</f>
        <v>0</v>
      </c>
      <c r="O922" s="9" t="n">
        <f aca="false">SUMIFS(ROBA_U_DOLASKU!$B$6:$B$95,ROBA_U_DOLASKU!$A$6:$A$95,A922,ROBA_U_DOLASKU!$H$6:$H$95,3)</f>
        <v>0</v>
      </c>
      <c r="P922" s="9" t="n">
        <f aca="false">IF(H922&lt;=0,999,IF(O922&gt;0,ROUND((F922-H922*N922+K922+M922+O922)/H922,1),IF(M922&gt;0,ROUND((F922-H922*L922+K922+M922)/H922,1),IF(K922&gt;0,ROUND((F922-H922*J922+K922)/H922,1),I922))))</f>
        <v>999</v>
      </c>
      <c r="Q922" s="22" t="str">
        <f aca="false">IF(H922&lt;=0,"Nema prodaje",IF(AND(K922=0,M922=0,O922=0),IF(I922&lt;POSTAVKE!$B$6,"Naruči odmah","Sve u redu"),IF(F922-H922*J922&lt;0,"Rupa za ~"&amp;TEXT(I922,"0.0")&amp;" mj.",IF(AND(M922&gt;0,F922-H922*L922+K922&lt;0),"Rupa nakon 1. dolaska",IF(AND(O922&gt;0,F922-H922*N922+K922+M922&lt;0),"Rupa nakon 2. dolaska",IF(P922&lt;POSTAVKE!$B$6,"Količina nije dovoljna",IF(I922&gt;=POSTAVKE!$B$6,"Sve u redu","Stiže na vrijeme")))))))</f>
        <v>Nema prodaje</v>
      </c>
      <c r="S922" s="23" t="n">
        <f aca="false">IFERROR(INDEX(PODACI_PRODAJA!B:B,MATCH($A922,PODACI_PRODAJA!$A:$A,0)),0)</f>
        <v>0</v>
      </c>
      <c r="T922" s="23" t="n">
        <f aca="false">IFERROR(INDEX(PODACI_PRODAJA!C:C,MATCH($A922,PODACI_PRODAJA!$A:$A,0)),0)</f>
        <v>0</v>
      </c>
      <c r="U922" s="23" t="n">
        <f aca="false">IFERROR(INDEX(PODACI_PRODAJA!D:D,MATCH($A922,PODACI_PRODAJA!$A:$A,0)),0)</f>
        <v>0</v>
      </c>
      <c r="V922" s="23" t="n">
        <f aca="false">IFERROR(INDEX(PODACI_PRODAJA!E:E,MATCH($A922,PODACI_PRODAJA!$A:$A,0)),0)</f>
        <v>0</v>
      </c>
      <c r="W922" s="23" t="n">
        <f aca="false">IFERROR(INDEX(PODACI_PRODAJA!F:F,MATCH($A922,PODACI_PRODAJA!$A:$A,0)),0)</f>
        <v>0</v>
      </c>
      <c r="X922" s="23" t="n">
        <f aca="false">IFERROR(INDEX(PODACI_PRODAJA!G:G,MATCH($A922,PODACI_PRODAJA!$A:$A,0)),0)</f>
        <v>0</v>
      </c>
      <c r="Y922" s="23" t="n">
        <f aca="false">IFERROR(INDEX(PODACI_PRODAJA!H:H,MATCH($A922,PODACI_PRODAJA!$A:$A,0)),0)</f>
        <v>0</v>
      </c>
      <c r="Z922" s="23" t="n">
        <f aca="false">IFERROR(INDEX(PODACI_PRODAJA!I:I,MATCH($A922,PODACI_PRODAJA!$A:$A,0)),0)</f>
        <v>0</v>
      </c>
      <c r="AA922" s="23" t="n">
        <f aca="false">IFERROR(INDEX(PODACI_PRODAJA!J:J,MATCH($A922,PODACI_PRODAJA!$A:$A,0)),0)</f>
        <v>0</v>
      </c>
      <c r="AB922" s="23" t="n">
        <f aca="false">IFERROR(INDEX(PODACI_PRODAJA!K:K,MATCH($A922,PODACI_PRODAJA!$A:$A,0)),0)</f>
        <v>0</v>
      </c>
      <c r="AC922" s="23" t="n">
        <f aca="false">IFERROR(INDEX(PODACI_PRODAJA!L:L,MATCH($A922,PODACI_PRODAJA!$A:$A,0)),0)</f>
        <v>0</v>
      </c>
      <c r="AD922" s="23" t="n">
        <f aca="false">IFERROR(INDEX(PODACI_PRODAJA!M:M,MATCH($A922,PODACI_PRODAJA!$A:$A,0)),0)</f>
        <v>0</v>
      </c>
    </row>
    <row r="923" customFormat="false" ht="15" hidden="false" customHeight="false" outlineLevel="0" collapsed="false">
      <c r="A923" s="11" t="str">
        <f aca="false">PODACI_ZALIHE!A920</f>
        <v>18769</v>
      </c>
      <c r="B923" s="8" t="n">
        <f aca="false">PODACI_ZALIHE!B920</f>
        <v>0</v>
      </c>
      <c r="C923" s="9" t="n">
        <f aca="false">PODACI_ZALIHE!C920</f>
        <v>0</v>
      </c>
      <c r="D923" s="8" t="n">
        <f aca="false">PODACI_ZALIHE!D920</f>
        <v>0</v>
      </c>
      <c r="E923" s="19" t="str">
        <f aca="false">IF(PODACI_ZALIHE!E920="","",PODACI_ZALIHE!E920)</f>
        <v/>
      </c>
      <c r="F923" s="20" t="n">
        <f aca="false">PODACI_ZALIHE!F920</f>
        <v>0</v>
      </c>
      <c r="G923" s="19" t="str">
        <f aca="false">IF(E923="","",E923-F923)</f>
        <v/>
      </c>
      <c r="H923" s="9" t="n">
        <v>0</v>
      </c>
      <c r="I923" s="21" t="n">
        <f aca="false">IF(H923&lt;=0,999,ROUND(F923/H923,1))</f>
        <v>999</v>
      </c>
      <c r="J923" s="9" t="n">
        <f aca="false">SUMIFS(ROBA_U_DOLASKU!$C$6:$C$95,ROBA_U_DOLASKU!$A$6:$A$95,A923,ROBA_U_DOLASKU!$H$6:$H$95,1)</f>
        <v>0.8</v>
      </c>
      <c r="K923" s="9" t="n">
        <f aca="false">SUMIFS(ROBA_U_DOLASKU!$B$6:$B$95,ROBA_U_DOLASKU!$A$6:$A$95,A923,ROBA_U_DOLASKU!$H$6:$H$95,1)</f>
        <v>20</v>
      </c>
      <c r="L923" s="9" t="n">
        <f aca="false">SUMIFS(ROBA_U_DOLASKU!$C$6:$C$95,ROBA_U_DOLASKU!$A$6:$A$95,A923,ROBA_U_DOLASKU!$H$6:$H$95,2)</f>
        <v>0</v>
      </c>
      <c r="M923" s="9" t="n">
        <f aca="false">SUMIFS(ROBA_U_DOLASKU!$B$6:$B$95,ROBA_U_DOLASKU!$A$6:$A$95,A923,ROBA_U_DOLASKU!$H$6:$H$95,2)</f>
        <v>0</v>
      </c>
      <c r="N923" s="9" t="n">
        <f aca="false">SUMIFS(ROBA_U_DOLASKU!$C$6:$C$95,ROBA_U_DOLASKU!$A$6:$A$95,A923,ROBA_U_DOLASKU!$H$6:$H$95,3)</f>
        <v>0</v>
      </c>
      <c r="O923" s="9" t="n">
        <f aca="false">SUMIFS(ROBA_U_DOLASKU!$B$6:$B$95,ROBA_U_DOLASKU!$A$6:$A$95,A923,ROBA_U_DOLASKU!$H$6:$H$95,3)</f>
        <v>0</v>
      </c>
      <c r="P923" s="9" t="n">
        <f aca="false">IF(H923&lt;=0,999,IF(O923&gt;0,ROUND((F923-H923*N923+K923+M923+O923)/H923,1),IF(M923&gt;0,ROUND((F923-H923*L923+K923+M923)/H923,1),IF(K923&gt;0,ROUND((F923-H923*J923+K923)/H923,1),I923))))</f>
        <v>999</v>
      </c>
      <c r="Q923" s="22" t="str">
        <f aca="false">IF(H923&lt;=0,"Nema prodaje",IF(AND(K923=0,M923=0,O923=0),IF(I923&lt;POSTAVKE!$B$6,"Naruči odmah","Sve u redu"),IF(F923-H923*J923&lt;0,"Rupa za ~"&amp;TEXT(I923,"0.0")&amp;" mj.",IF(AND(M923&gt;0,F923-H923*L923+K923&lt;0),"Rupa nakon 1. dolaska",IF(AND(O923&gt;0,F923-H923*N923+K923+M923&lt;0),"Rupa nakon 2. dolaska",IF(P923&lt;POSTAVKE!$B$6,"Količina nije dovoljna",IF(I923&gt;=POSTAVKE!$B$6,"Sve u redu","Stiže na vrijeme")))))))</f>
        <v>Nema prodaje</v>
      </c>
      <c r="S923" s="23" t="n">
        <f aca="false">IFERROR(INDEX(PODACI_PRODAJA!B:B,MATCH($A923,PODACI_PRODAJA!$A:$A,0)),0)</f>
        <v>0</v>
      </c>
      <c r="T923" s="23" t="n">
        <f aca="false">IFERROR(INDEX(PODACI_PRODAJA!C:C,MATCH($A923,PODACI_PRODAJA!$A:$A,0)),0)</f>
        <v>0</v>
      </c>
      <c r="U923" s="23" t="n">
        <f aca="false">IFERROR(INDEX(PODACI_PRODAJA!D:D,MATCH($A923,PODACI_PRODAJA!$A:$A,0)),0)</f>
        <v>0</v>
      </c>
      <c r="V923" s="23" t="n">
        <f aca="false">IFERROR(INDEX(PODACI_PRODAJA!E:E,MATCH($A923,PODACI_PRODAJA!$A:$A,0)),0)</f>
        <v>0</v>
      </c>
      <c r="W923" s="23" t="n">
        <f aca="false">IFERROR(INDEX(PODACI_PRODAJA!F:F,MATCH($A923,PODACI_PRODAJA!$A:$A,0)),0)</f>
        <v>0</v>
      </c>
      <c r="X923" s="23" t="n">
        <f aca="false">IFERROR(INDEX(PODACI_PRODAJA!G:G,MATCH($A923,PODACI_PRODAJA!$A:$A,0)),0)</f>
        <v>0</v>
      </c>
      <c r="Y923" s="23" t="n">
        <f aca="false">IFERROR(INDEX(PODACI_PRODAJA!H:H,MATCH($A923,PODACI_PRODAJA!$A:$A,0)),0)</f>
        <v>0</v>
      </c>
      <c r="Z923" s="23" t="n">
        <f aca="false">IFERROR(INDEX(PODACI_PRODAJA!I:I,MATCH($A923,PODACI_PRODAJA!$A:$A,0)),0)</f>
        <v>0</v>
      </c>
      <c r="AA923" s="23" t="n">
        <f aca="false">IFERROR(INDEX(PODACI_PRODAJA!J:J,MATCH($A923,PODACI_PRODAJA!$A:$A,0)),0)</f>
        <v>0</v>
      </c>
      <c r="AB923" s="23" t="n">
        <f aca="false">IFERROR(INDEX(PODACI_PRODAJA!K:K,MATCH($A923,PODACI_PRODAJA!$A:$A,0)),0)</f>
        <v>0</v>
      </c>
      <c r="AC923" s="23" t="n">
        <f aca="false">IFERROR(INDEX(PODACI_PRODAJA!L:L,MATCH($A923,PODACI_PRODAJA!$A:$A,0)),0)</f>
        <v>0</v>
      </c>
      <c r="AD923" s="23" t="n">
        <f aca="false">IFERROR(INDEX(PODACI_PRODAJA!M:M,MATCH($A923,PODACI_PRODAJA!$A:$A,0)),0)</f>
        <v>0</v>
      </c>
    </row>
    <row r="924" customFormat="false" ht="15" hidden="false" customHeight="false" outlineLevel="0" collapsed="false">
      <c r="A924" s="11" t="str">
        <f aca="false">PODACI_ZALIHE!A921</f>
        <v>18770</v>
      </c>
      <c r="B924" s="8" t="n">
        <f aca="false">PODACI_ZALIHE!B921</f>
        <v>0</v>
      </c>
      <c r="C924" s="9" t="n">
        <f aca="false">PODACI_ZALIHE!C921</f>
        <v>0</v>
      </c>
      <c r="D924" s="8" t="n">
        <f aca="false">PODACI_ZALIHE!D921</f>
        <v>0</v>
      </c>
      <c r="E924" s="19" t="str">
        <f aca="false">IF(PODACI_ZALIHE!E921="","",PODACI_ZALIHE!E921)</f>
        <v/>
      </c>
      <c r="F924" s="20" t="n">
        <f aca="false">PODACI_ZALIHE!F921</f>
        <v>0</v>
      </c>
      <c r="G924" s="19" t="str">
        <f aca="false">IF(E924="","",E924-F924)</f>
        <v/>
      </c>
      <c r="H924" s="9" t="n">
        <v>0</v>
      </c>
      <c r="I924" s="21" t="n">
        <f aca="false">IF(H924&lt;=0,999,ROUND(F924/H924,1))</f>
        <v>999</v>
      </c>
      <c r="J924" s="9" t="n">
        <f aca="false">SUMIFS(ROBA_U_DOLASKU!$C$6:$C$95,ROBA_U_DOLASKU!$A$6:$A$95,A924,ROBA_U_DOLASKU!$H$6:$H$95,1)</f>
        <v>0.8</v>
      </c>
      <c r="K924" s="9" t="n">
        <f aca="false">SUMIFS(ROBA_U_DOLASKU!$B$6:$B$95,ROBA_U_DOLASKU!$A$6:$A$95,A924,ROBA_U_DOLASKU!$H$6:$H$95,1)</f>
        <v>20</v>
      </c>
      <c r="L924" s="9" t="n">
        <f aca="false">SUMIFS(ROBA_U_DOLASKU!$C$6:$C$95,ROBA_U_DOLASKU!$A$6:$A$95,A924,ROBA_U_DOLASKU!$H$6:$H$95,2)</f>
        <v>0</v>
      </c>
      <c r="M924" s="9" t="n">
        <f aca="false">SUMIFS(ROBA_U_DOLASKU!$B$6:$B$95,ROBA_U_DOLASKU!$A$6:$A$95,A924,ROBA_U_DOLASKU!$H$6:$H$95,2)</f>
        <v>0</v>
      </c>
      <c r="N924" s="9" t="n">
        <f aca="false">SUMIFS(ROBA_U_DOLASKU!$C$6:$C$95,ROBA_U_DOLASKU!$A$6:$A$95,A924,ROBA_U_DOLASKU!$H$6:$H$95,3)</f>
        <v>0</v>
      </c>
      <c r="O924" s="9" t="n">
        <f aca="false">SUMIFS(ROBA_U_DOLASKU!$B$6:$B$95,ROBA_U_DOLASKU!$A$6:$A$95,A924,ROBA_U_DOLASKU!$H$6:$H$95,3)</f>
        <v>0</v>
      </c>
      <c r="P924" s="9" t="n">
        <f aca="false">IF(H924&lt;=0,999,IF(O924&gt;0,ROUND((F924-H924*N924+K924+M924+O924)/H924,1),IF(M924&gt;0,ROUND((F924-H924*L924+K924+M924)/H924,1),IF(K924&gt;0,ROUND((F924-H924*J924+K924)/H924,1),I924))))</f>
        <v>999</v>
      </c>
      <c r="Q924" s="22" t="str">
        <f aca="false">IF(H924&lt;=0,"Nema prodaje",IF(AND(K924=0,M924=0,O924=0),IF(I924&lt;POSTAVKE!$B$6,"Naruči odmah","Sve u redu"),IF(F924-H924*J924&lt;0,"Rupa za ~"&amp;TEXT(I924,"0.0")&amp;" mj.",IF(AND(M924&gt;0,F924-H924*L924+K924&lt;0),"Rupa nakon 1. dolaska",IF(AND(O924&gt;0,F924-H924*N924+K924+M924&lt;0),"Rupa nakon 2. dolaska",IF(P924&lt;POSTAVKE!$B$6,"Količina nije dovoljna",IF(I924&gt;=POSTAVKE!$B$6,"Sve u redu","Stiže na vrijeme")))))))</f>
        <v>Nema prodaje</v>
      </c>
      <c r="S924" s="23" t="n">
        <f aca="false">IFERROR(INDEX(PODACI_PRODAJA!B:B,MATCH($A924,PODACI_PRODAJA!$A:$A,0)),0)</f>
        <v>0</v>
      </c>
      <c r="T924" s="23" t="n">
        <f aca="false">IFERROR(INDEX(PODACI_PRODAJA!C:C,MATCH($A924,PODACI_PRODAJA!$A:$A,0)),0)</f>
        <v>0</v>
      </c>
      <c r="U924" s="23" t="n">
        <f aca="false">IFERROR(INDEX(PODACI_PRODAJA!D:D,MATCH($A924,PODACI_PRODAJA!$A:$A,0)),0)</f>
        <v>0</v>
      </c>
      <c r="V924" s="23" t="n">
        <f aca="false">IFERROR(INDEX(PODACI_PRODAJA!E:E,MATCH($A924,PODACI_PRODAJA!$A:$A,0)),0)</f>
        <v>0</v>
      </c>
      <c r="W924" s="23" t="n">
        <f aca="false">IFERROR(INDEX(PODACI_PRODAJA!F:F,MATCH($A924,PODACI_PRODAJA!$A:$A,0)),0)</f>
        <v>0</v>
      </c>
      <c r="X924" s="23" t="n">
        <f aca="false">IFERROR(INDEX(PODACI_PRODAJA!G:G,MATCH($A924,PODACI_PRODAJA!$A:$A,0)),0)</f>
        <v>0</v>
      </c>
      <c r="Y924" s="23" t="n">
        <f aca="false">IFERROR(INDEX(PODACI_PRODAJA!H:H,MATCH($A924,PODACI_PRODAJA!$A:$A,0)),0)</f>
        <v>0</v>
      </c>
      <c r="Z924" s="23" t="n">
        <f aca="false">IFERROR(INDEX(PODACI_PRODAJA!I:I,MATCH($A924,PODACI_PRODAJA!$A:$A,0)),0)</f>
        <v>0</v>
      </c>
      <c r="AA924" s="23" t="n">
        <f aca="false">IFERROR(INDEX(PODACI_PRODAJA!J:J,MATCH($A924,PODACI_PRODAJA!$A:$A,0)),0)</f>
        <v>0</v>
      </c>
      <c r="AB924" s="23" t="n">
        <f aca="false">IFERROR(INDEX(PODACI_PRODAJA!K:K,MATCH($A924,PODACI_PRODAJA!$A:$A,0)),0)</f>
        <v>0</v>
      </c>
      <c r="AC924" s="23" t="n">
        <f aca="false">IFERROR(INDEX(PODACI_PRODAJA!L:L,MATCH($A924,PODACI_PRODAJA!$A:$A,0)),0)</f>
        <v>0</v>
      </c>
      <c r="AD924" s="23" t="n">
        <f aca="false">IFERROR(INDEX(PODACI_PRODAJA!M:M,MATCH($A924,PODACI_PRODAJA!$A:$A,0)),0)</f>
        <v>0</v>
      </c>
    </row>
    <row r="925" customFormat="false" ht="15" hidden="false" customHeight="false" outlineLevel="0" collapsed="false">
      <c r="A925" s="11" t="str">
        <f aca="false">PODACI_ZALIHE!A922</f>
        <v>18771</v>
      </c>
      <c r="B925" s="8" t="n">
        <f aca="false">PODACI_ZALIHE!B922</f>
        <v>0</v>
      </c>
      <c r="C925" s="9" t="n">
        <f aca="false">PODACI_ZALIHE!C922</f>
        <v>0</v>
      </c>
      <c r="D925" s="8" t="n">
        <f aca="false">PODACI_ZALIHE!D922</f>
        <v>0</v>
      </c>
      <c r="E925" s="19" t="str">
        <f aca="false">IF(PODACI_ZALIHE!E922="","",PODACI_ZALIHE!E922)</f>
        <v/>
      </c>
      <c r="F925" s="20" t="n">
        <f aca="false">PODACI_ZALIHE!F922</f>
        <v>0</v>
      </c>
      <c r="G925" s="19" t="str">
        <f aca="false">IF(E925="","",E925-F925)</f>
        <v/>
      </c>
      <c r="H925" s="9" t="n">
        <v>0</v>
      </c>
      <c r="I925" s="21" t="n">
        <f aca="false">IF(H925&lt;=0,999,ROUND(F925/H925,1))</f>
        <v>999</v>
      </c>
      <c r="J925" s="9" t="n">
        <f aca="false">SUMIFS(ROBA_U_DOLASKU!$C$6:$C$95,ROBA_U_DOLASKU!$A$6:$A$95,A925,ROBA_U_DOLASKU!$H$6:$H$95,1)</f>
        <v>0.8</v>
      </c>
      <c r="K925" s="9" t="n">
        <f aca="false">SUMIFS(ROBA_U_DOLASKU!$B$6:$B$95,ROBA_U_DOLASKU!$A$6:$A$95,A925,ROBA_U_DOLASKU!$H$6:$H$95,1)</f>
        <v>20</v>
      </c>
      <c r="L925" s="9" t="n">
        <f aca="false">SUMIFS(ROBA_U_DOLASKU!$C$6:$C$95,ROBA_U_DOLASKU!$A$6:$A$95,A925,ROBA_U_DOLASKU!$H$6:$H$95,2)</f>
        <v>0</v>
      </c>
      <c r="M925" s="9" t="n">
        <f aca="false">SUMIFS(ROBA_U_DOLASKU!$B$6:$B$95,ROBA_U_DOLASKU!$A$6:$A$95,A925,ROBA_U_DOLASKU!$H$6:$H$95,2)</f>
        <v>0</v>
      </c>
      <c r="N925" s="9" t="n">
        <f aca="false">SUMIFS(ROBA_U_DOLASKU!$C$6:$C$95,ROBA_U_DOLASKU!$A$6:$A$95,A925,ROBA_U_DOLASKU!$H$6:$H$95,3)</f>
        <v>0</v>
      </c>
      <c r="O925" s="9" t="n">
        <f aca="false">SUMIFS(ROBA_U_DOLASKU!$B$6:$B$95,ROBA_U_DOLASKU!$A$6:$A$95,A925,ROBA_U_DOLASKU!$H$6:$H$95,3)</f>
        <v>0</v>
      </c>
      <c r="P925" s="9" t="n">
        <f aca="false">IF(H925&lt;=0,999,IF(O925&gt;0,ROUND((F925-H925*N925+K925+M925+O925)/H925,1),IF(M925&gt;0,ROUND((F925-H925*L925+K925+M925)/H925,1),IF(K925&gt;0,ROUND((F925-H925*J925+K925)/H925,1),I925))))</f>
        <v>999</v>
      </c>
      <c r="Q925" s="22" t="str">
        <f aca="false">IF(H925&lt;=0,"Nema prodaje",IF(AND(K925=0,M925=0,O925=0),IF(I925&lt;POSTAVKE!$B$6,"Naruči odmah","Sve u redu"),IF(F925-H925*J925&lt;0,"Rupa za ~"&amp;TEXT(I925,"0.0")&amp;" mj.",IF(AND(M925&gt;0,F925-H925*L925+K925&lt;0),"Rupa nakon 1. dolaska",IF(AND(O925&gt;0,F925-H925*N925+K925+M925&lt;0),"Rupa nakon 2. dolaska",IF(P925&lt;POSTAVKE!$B$6,"Količina nije dovoljna",IF(I925&gt;=POSTAVKE!$B$6,"Sve u redu","Stiže na vrijeme")))))))</f>
        <v>Nema prodaje</v>
      </c>
      <c r="S925" s="23" t="n">
        <f aca="false">IFERROR(INDEX(PODACI_PRODAJA!B:B,MATCH($A925,PODACI_PRODAJA!$A:$A,0)),0)</f>
        <v>0</v>
      </c>
      <c r="T925" s="23" t="n">
        <f aca="false">IFERROR(INDEX(PODACI_PRODAJA!C:C,MATCH($A925,PODACI_PRODAJA!$A:$A,0)),0)</f>
        <v>0</v>
      </c>
      <c r="U925" s="23" t="n">
        <f aca="false">IFERROR(INDEX(PODACI_PRODAJA!D:D,MATCH($A925,PODACI_PRODAJA!$A:$A,0)),0)</f>
        <v>0</v>
      </c>
      <c r="V925" s="23" t="n">
        <f aca="false">IFERROR(INDEX(PODACI_PRODAJA!E:E,MATCH($A925,PODACI_PRODAJA!$A:$A,0)),0)</f>
        <v>0</v>
      </c>
      <c r="W925" s="23" t="n">
        <f aca="false">IFERROR(INDEX(PODACI_PRODAJA!F:F,MATCH($A925,PODACI_PRODAJA!$A:$A,0)),0)</f>
        <v>0</v>
      </c>
      <c r="X925" s="23" t="n">
        <f aca="false">IFERROR(INDEX(PODACI_PRODAJA!G:G,MATCH($A925,PODACI_PRODAJA!$A:$A,0)),0)</f>
        <v>0</v>
      </c>
      <c r="Y925" s="23" t="n">
        <f aca="false">IFERROR(INDEX(PODACI_PRODAJA!H:H,MATCH($A925,PODACI_PRODAJA!$A:$A,0)),0)</f>
        <v>0</v>
      </c>
      <c r="Z925" s="23" t="n">
        <f aca="false">IFERROR(INDEX(PODACI_PRODAJA!I:I,MATCH($A925,PODACI_PRODAJA!$A:$A,0)),0)</f>
        <v>0</v>
      </c>
      <c r="AA925" s="23" t="n">
        <f aca="false">IFERROR(INDEX(PODACI_PRODAJA!J:J,MATCH($A925,PODACI_PRODAJA!$A:$A,0)),0)</f>
        <v>0</v>
      </c>
      <c r="AB925" s="23" t="n">
        <f aca="false">IFERROR(INDEX(PODACI_PRODAJA!K:K,MATCH($A925,PODACI_PRODAJA!$A:$A,0)),0)</f>
        <v>0</v>
      </c>
      <c r="AC925" s="23" t="n">
        <f aca="false">IFERROR(INDEX(PODACI_PRODAJA!L:L,MATCH($A925,PODACI_PRODAJA!$A:$A,0)),0)</f>
        <v>0</v>
      </c>
      <c r="AD925" s="23" t="n">
        <f aca="false">IFERROR(INDEX(PODACI_PRODAJA!M:M,MATCH($A925,PODACI_PRODAJA!$A:$A,0)),0)</f>
        <v>0</v>
      </c>
    </row>
    <row r="926" customFormat="false" ht="15" hidden="false" customHeight="false" outlineLevel="0" collapsed="false">
      <c r="A926" s="11" t="str">
        <f aca="false">PODACI_ZALIHE!A923</f>
        <v>18772</v>
      </c>
      <c r="B926" s="8" t="n">
        <f aca="false">PODACI_ZALIHE!B923</f>
        <v>0</v>
      </c>
      <c r="C926" s="9" t="n">
        <f aca="false">PODACI_ZALIHE!C923</f>
        <v>0</v>
      </c>
      <c r="D926" s="8" t="n">
        <f aca="false">PODACI_ZALIHE!D923</f>
        <v>0</v>
      </c>
      <c r="E926" s="19" t="str">
        <f aca="false">IF(PODACI_ZALIHE!E923="","",PODACI_ZALIHE!E923)</f>
        <v/>
      </c>
      <c r="F926" s="20" t="n">
        <f aca="false">PODACI_ZALIHE!F923</f>
        <v>0</v>
      </c>
      <c r="G926" s="19" t="str">
        <f aca="false">IF(E926="","",E926-F926)</f>
        <v/>
      </c>
      <c r="H926" s="9" t="n">
        <v>0</v>
      </c>
      <c r="I926" s="21" t="n">
        <f aca="false">IF(H926&lt;=0,999,ROUND(F926/H926,1))</f>
        <v>999</v>
      </c>
      <c r="J926" s="9" t="n">
        <f aca="false">SUMIFS(ROBA_U_DOLASKU!$C$6:$C$95,ROBA_U_DOLASKU!$A$6:$A$95,A926,ROBA_U_DOLASKU!$H$6:$H$95,1)</f>
        <v>0.8</v>
      </c>
      <c r="K926" s="9" t="n">
        <f aca="false">SUMIFS(ROBA_U_DOLASKU!$B$6:$B$95,ROBA_U_DOLASKU!$A$6:$A$95,A926,ROBA_U_DOLASKU!$H$6:$H$95,1)</f>
        <v>25</v>
      </c>
      <c r="L926" s="9" t="n">
        <f aca="false">SUMIFS(ROBA_U_DOLASKU!$C$6:$C$95,ROBA_U_DOLASKU!$A$6:$A$95,A926,ROBA_U_DOLASKU!$H$6:$H$95,2)</f>
        <v>0</v>
      </c>
      <c r="M926" s="9" t="n">
        <f aca="false">SUMIFS(ROBA_U_DOLASKU!$B$6:$B$95,ROBA_U_DOLASKU!$A$6:$A$95,A926,ROBA_U_DOLASKU!$H$6:$H$95,2)</f>
        <v>0</v>
      </c>
      <c r="N926" s="9" t="n">
        <f aca="false">SUMIFS(ROBA_U_DOLASKU!$C$6:$C$95,ROBA_U_DOLASKU!$A$6:$A$95,A926,ROBA_U_DOLASKU!$H$6:$H$95,3)</f>
        <v>0</v>
      </c>
      <c r="O926" s="9" t="n">
        <f aca="false">SUMIFS(ROBA_U_DOLASKU!$B$6:$B$95,ROBA_U_DOLASKU!$A$6:$A$95,A926,ROBA_U_DOLASKU!$H$6:$H$95,3)</f>
        <v>0</v>
      </c>
      <c r="P926" s="9" t="n">
        <f aca="false">IF(H926&lt;=0,999,IF(O926&gt;0,ROUND((F926-H926*N926+K926+M926+O926)/H926,1),IF(M926&gt;0,ROUND((F926-H926*L926+K926+M926)/H926,1),IF(K926&gt;0,ROUND((F926-H926*J926+K926)/H926,1),I926))))</f>
        <v>999</v>
      </c>
      <c r="Q926" s="22" t="str">
        <f aca="false">IF(H926&lt;=0,"Nema prodaje",IF(AND(K926=0,M926=0,O926=0),IF(I926&lt;POSTAVKE!$B$6,"Naruči odmah","Sve u redu"),IF(F926-H926*J926&lt;0,"Rupa za ~"&amp;TEXT(I926,"0.0")&amp;" mj.",IF(AND(M926&gt;0,F926-H926*L926+K926&lt;0),"Rupa nakon 1. dolaska",IF(AND(O926&gt;0,F926-H926*N926+K926+M926&lt;0),"Rupa nakon 2. dolaska",IF(P926&lt;POSTAVKE!$B$6,"Količina nije dovoljna",IF(I926&gt;=POSTAVKE!$B$6,"Sve u redu","Stiže na vrijeme")))))))</f>
        <v>Nema prodaje</v>
      </c>
      <c r="S926" s="23" t="n">
        <f aca="false">IFERROR(INDEX(PODACI_PRODAJA!B:B,MATCH($A926,PODACI_PRODAJA!$A:$A,0)),0)</f>
        <v>0</v>
      </c>
      <c r="T926" s="23" t="n">
        <f aca="false">IFERROR(INDEX(PODACI_PRODAJA!C:C,MATCH($A926,PODACI_PRODAJA!$A:$A,0)),0)</f>
        <v>0</v>
      </c>
      <c r="U926" s="23" t="n">
        <f aca="false">IFERROR(INDEX(PODACI_PRODAJA!D:D,MATCH($A926,PODACI_PRODAJA!$A:$A,0)),0)</f>
        <v>0</v>
      </c>
      <c r="V926" s="23" t="n">
        <f aca="false">IFERROR(INDEX(PODACI_PRODAJA!E:E,MATCH($A926,PODACI_PRODAJA!$A:$A,0)),0)</f>
        <v>0</v>
      </c>
      <c r="W926" s="23" t="n">
        <f aca="false">IFERROR(INDEX(PODACI_PRODAJA!F:F,MATCH($A926,PODACI_PRODAJA!$A:$A,0)),0)</f>
        <v>0</v>
      </c>
      <c r="X926" s="23" t="n">
        <f aca="false">IFERROR(INDEX(PODACI_PRODAJA!G:G,MATCH($A926,PODACI_PRODAJA!$A:$A,0)),0)</f>
        <v>0</v>
      </c>
      <c r="Y926" s="23" t="n">
        <f aca="false">IFERROR(INDEX(PODACI_PRODAJA!H:H,MATCH($A926,PODACI_PRODAJA!$A:$A,0)),0)</f>
        <v>0</v>
      </c>
      <c r="Z926" s="23" t="n">
        <f aca="false">IFERROR(INDEX(PODACI_PRODAJA!I:I,MATCH($A926,PODACI_PRODAJA!$A:$A,0)),0)</f>
        <v>0</v>
      </c>
      <c r="AA926" s="23" t="n">
        <f aca="false">IFERROR(INDEX(PODACI_PRODAJA!J:J,MATCH($A926,PODACI_PRODAJA!$A:$A,0)),0)</f>
        <v>0</v>
      </c>
      <c r="AB926" s="23" t="n">
        <f aca="false">IFERROR(INDEX(PODACI_PRODAJA!K:K,MATCH($A926,PODACI_PRODAJA!$A:$A,0)),0)</f>
        <v>0</v>
      </c>
      <c r="AC926" s="23" t="n">
        <f aca="false">IFERROR(INDEX(PODACI_PRODAJA!L:L,MATCH($A926,PODACI_PRODAJA!$A:$A,0)),0)</f>
        <v>0</v>
      </c>
      <c r="AD926" s="23" t="n">
        <f aca="false">IFERROR(INDEX(PODACI_PRODAJA!M:M,MATCH($A926,PODACI_PRODAJA!$A:$A,0)),0)</f>
        <v>0</v>
      </c>
    </row>
    <row r="927" customFormat="false" ht="15" hidden="false" customHeight="false" outlineLevel="0" collapsed="false">
      <c r="A927" s="11" t="str">
        <f aca="false">PODACI_ZALIHE!A924</f>
        <v>18773</v>
      </c>
      <c r="B927" s="8" t="n">
        <f aca="false">PODACI_ZALIHE!B924</f>
        <v>0</v>
      </c>
      <c r="C927" s="9" t="n">
        <f aca="false">PODACI_ZALIHE!C924</f>
        <v>0</v>
      </c>
      <c r="D927" s="8" t="n">
        <f aca="false">PODACI_ZALIHE!D924</f>
        <v>0</v>
      </c>
      <c r="E927" s="19" t="str">
        <f aca="false">IF(PODACI_ZALIHE!E924="","",PODACI_ZALIHE!E924)</f>
        <v/>
      </c>
      <c r="F927" s="20" t="n">
        <f aca="false">PODACI_ZALIHE!F924</f>
        <v>0</v>
      </c>
      <c r="G927" s="19" t="str">
        <f aca="false">IF(E927="","",E927-F927)</f>
        <v/>
      </c>
      <c r="H927" s="9" t="n">
        <v>0</v>
      </c>
      <c r="I927" s="21" t="n">
        <f aca="false">IF(H927&lt;=0,999,ROUND(F927/H927,1))</f>
        <v>999</v>
      </c>
      <c r="J927" s="9" t="n">
        <f aca="false">SUMIFS(ROBA_U_DOLASKU!$C$6:$C$95,ROBA_U_DOLASKU!$A$6:$A$95,A927,ROBA_U_DOLASKU!$H$6:$H$95,1)</f>
        <v>0.8</v>
      </c>
      <c r="K927" s="9" t="n">
        <f aca="false">SUMIFS(ROBA_U_DOLASKU!$B$6:$B$95,ROBA_U_DOLASKU!$A$6:$A$95,A927,ROBA_U_DOLASKU!$H$6:$H$95,1)</f>
        <v>35</v>
      </c>
      <c r="L927" s="9" t="n">
        <f aca="false">SUMIFS(ROBA_U_DOLASKU!$C$6:$C$95,ROBA_U_DOLASKU!$A$6:$A$95,A927,ROBA_U_DOLASKU!$H$6:$H$95,2)</f>
        <v>0</v>
      </c>
      <c r="M927" s="9" t="n">
        <f aca="false">SUMIFS(ROBA_U_DOLASKU!$B$6:$B$95,ROBA_U_DOLASKU!$A$6:$A$95,A927,ROBA_U_DOLASKU!$H$6:$H$95,2)</f>
        <v>0</v>
      </c>
      <c r="N927" s="9" t="n">
        <f aca="false">SUMIFS(ROBA_U_DOLASKU!$C$6:$C$95,ROBA_U_DOLASKU!$A$6:$A$95,A927,ROBA_U_DOLASKU!$H$6:$H$95,3)</f>
        <v>0</v>
      </c>
      <c r="O927" s="9" t="n">
        <f aca="false">SUMIFS(ROBA_U_DOLASKU!$B$6:$B$95,ROBA_U_DOLASKU!$A$6:$A$95,A927,ROBA_U_DOLASKU!$H$6:$H$95,3)</f>
        <v>0</v>
      </c>
      <c r="P927" s="9" t="n">
        <f aca="false">IF(H927&lt;=0,999,IF(O927&gt;0,ROUND((F927-H927*N927+K927+M927+O927)/H927,1),IF(M927&gt;0,ROUND((F927-H927*L927+K927+M927)/H927,1),IF(K927&gt;0,ROUND((F927-H927*J927+K927)/H927,1),I927))))</f>
        <v>999</v>
      </c>
      <c r="Q927" s="22" t="str">
        <f aca="false">IF(H927&lt;=0,"Nema prodaje",IF(AND(K927=0,M927=0,O927=0),IF(I927&lt;POSTAVKE!$B$6,"Naruči odmah","Sve u redu"),IF(F927-H927*J927&lt;0,"Rupa za ~"&amp;TEXT(I927,"0.0")&amp;" mj.",IF(AND(M927&gt;0,F927-H927*L927+K927&lt;0),"Rupa nakon 1. dolaska",IF(AND(O927&gt;0,F927-H927*N927+K927+M927&lt;0),"Rupa nakon 2. dolaska",IF(P927&lt;POSTAVKE!$B$6,"Količina nije dovoljna",IF(I927&gt;=POSTAVKE!$B$6,"Sve u redu","Stiže na vrijeme")))))))</f>
        <v>Nema prodaje</v>
      </c>
      <c r="S927" s="23" t="n">
        <f aca="false">IFERROR(INDEX(PODACI_PRODAJA!B:B,MATCH($A927,PODACI_PRODAJA!$A:$A,0)),0)</f>
        <v>0</v>
      </c>
      <c r="T927" s="23" t="n">
        <f aca="false">IFERROR(INDEX(PODACI_PRODAJA!C:C,MATCH($A927,PODACI_PRODAJA!$A:$A,0)),0)</f>
        <v>0</v>
      </c>
      <c r="U927" s="23" t="n">
        <f aca="false">IFERROR(INDEX(PODACI_PRODAJA!D:D,MATCH($A927,PODACI_PRODAJA!$A:$A,0)),0)</f>
        <v>0</v>
      </c>
      <c r="V927" s="23" t="n">
        <f aca="false">IFERROR(INDEX(PODACI_PRODAJA!E:E,MATCH($A927,PODACI_PRODAJA!$A:$A,0)),0)</f>
        <v>0</v>
      </c>
      <c r="W927" s="23" t="n">
        <f aca="false">IFERROR(INDEX(PODACI_PRODAJA!F:F,MATCH($A927,PODACI_PRODAJA!$A:$A,0)),0)</f>
        <v>0</v>
      </c>
      <c r="X927" s="23" t="n">
        <f aca="false">IFERROR(INDEX(PODACI_PRODAJA!G:G,MATCH($A927,PODACI_PRODAJA!$A:$A,0)),0)</f>
        <v>0</v>
      </c>
      <c r="Y927" s="23" t="n">
        <f aca="false">IFERROR(INDEX(PODACI_PRODAJA!H:H,MATCH($A927,PODACI_PRODAJA!$A:$A,0)),0)</f>
        <v>0</v>
      </c>
      <c r="Z927" s="23" t="n">
        <f aca="false">IFERROR(INDEX(PODACI_PRODAJA!I:I,MATCH($A927,PODACI_PRODAJA!$A:$A,0)),0)</f>
        <v>0</v>
      </c>
      <c r="AA927" s="23" t="n">
        <f aca="false">IFERROR(INDEX(PODACI_PRODAJA!J:J,MATCH($A927,PODACI_PRODAJA!$A:$A,0)),0)</f>
        <v>0</v>
      </c>
      <c r="AB927" s="23" t="n">
        <f aca="false">IFERROR(INDEX(PODACI_PRODAJA!K:K,MATCH($A927,PODACI_PRODAJA!$A:$A,0)),0)</f>
        <v>0</v>
      </c>
      <c r="AC927" s="23" t="n">
        <f aca="false">IFERROR(INDEX(PODACI_PRODAJA!L:L,MATCH($A927,PODACI_PRODAJA!$A:$A,0)),0)</f>
        <v>0</v>
      </c>
      <c r="AD927" s="23" t="n">
        <f aca="false">IFERROR(INDEX(PODACI_PRODAJA!M:M,MATCH($A927,PODACI_PRODAJA!$A:$A,0)),0)</f>
        <v>0</v>
      </c>
    </row>
    <row r="928" customFormat="false" ht="15" hidden="false" customHeight="false" outlineLevel="0" collapsed="false">
      <c r="A928" s="11" t="str">
        <f aca="false">PODACI_ZALIHE!A925</f>
        <v>18774</v>
      </c>
      <c r="B928" s="8" t="n">
        <f aca="false">PODACI_ZALIHE!B925</f>
        <v>0</v>
      </c>
      <c r="C928" s="9" t="n">
        <f aca="false">PODACI_ZALIHE!C925</f>
        <v>0</v>
      </c>
      <c r="D928" s="8" t="n">
        <f aca="false">PODACI_ZALIHE!D925</f>
        <v>0</v>
      </c>
      <c r="E928" s="19" t="str">
        <f aca="false">IF(PODACI_ZALIHE!E925="","",PODACI_ZALIHE!E925)</f>
        <v/>
      </c>
      <c r="F928" s="20" t="n">
        <f aca="false">PODACI_ZALIHE!F925</f>
        <v>0</v>
      </c>
      <c r="G928" s="19" t="str">
        <f aca="false">IF(E928="","",E928-F928)</f>
        <v/>
      </c>
      <c r="H928" s="9" t="n">
        <v>0</v>
      </c>
      <c r="I928" s="21" t="n">
        <f aca="false">IF(H928&lt;=0,999,ROUND(F928/H928,1))</f>
        <v>999</v>
      </c>
      <c r="J928" s="9" t="n">
        <f aca="false">SUMIFS(ROBA_U_DOLASKU!$C$6:$C$95,ROBA_U_DOLASKU!$A$6:$A$95,A928,ROBA_U_DOLASKU!$H$6:$H$95,1)</f>
        <v>0.8</v>
      </c>
      <c r="K928" s="9" t="n">
        <f aca="false">SUMIFS(ROBA_U_DOLASKU!$B$6:$B$95,ROBA_U_DOLASKU!$A$6:$A$95,A928,ROBA_U_DOLASKU!$H$6:$H$95,1)</f>
        <v>25</v>
      </c>
      <c r="L928" s="9" t="n">
        <f aca="false">SUMIFS(ROBA_U_DOLASKU!$C$6:$C$95,ROBA_U_DOLASKU!$A$6:$A$95,A928,ROBA_U_DOLASKU!$H$6:$H$95,2)</f>
        <v>0</v>
      </c>
      <c r="M928" s="9" t="n">
        <f aca="false">SUMIFS(ROBA_U_DOLASKU!$B$6:$B$95,ROBA_U_DOLASKU!$A$6:$A$95,A928,ROBA_U_DOLASKU!$H$6:$H$95,2)</f>
        <v>0</v>
      </c>
      <c r="N928" s="9" t="n">
        <f aca="false">SUMIFS(ROBA_U_DOLASKU!$C$6:$C$95,ROBA_U_DOLASKU!$A$6:$A$95,A928,ROBA_U_DOLASKU!$H$6:$H$95,3)</f>
        <v>0</v>
      </c>
      <c r="O928" s="9" t="n">
        <f aca="false">SUMIFS(ROBA_U_DOLASKU!$B$6:$B$95,ROBA_U_DOLASKU!$A$6:$A$95,A928,ROBA_U_DOLASKU!$H$6:$H$95,3)</f>
        <v>0</v>
      </c>
      <c r="P928" s="9" t="n">
        <f aca="false">IF(H928&lt;=0,999,IF(O928&gt;0,ROUND((F928-H928*N928+K928+M928+O928)/H928,1),IF(M928&gt;0,ROUND((F928-H928*L928+K928+M928)/H928,1),IF(K928&gt;0,ROUND((F928-H928*J928+K928)/H928,1),I928))))</f>
        <v>999</v>
      </c>
      <c r="Q928" s="22" t="str">
        <f aca="false">IF(H928&lt;=0,"Nema prodaje",IF(AND(K928=0,M928=0,O928=0),IF(I928&lt;POSTAVKE!$B$6,"Naruči odmah","Sve u redu"),IF(F928-H928*J928&lt;0,"Rupa za ~"&amp;TEXT(I928,"0.0")&amp;" mj.",IF(AND(M928&gt;0,F928-H928*L928+K928&lt;0),"Rupa nakon 1. dolaska",IF(AND(O928&gt;0,F928-H928*N928+K928+M928&lt;0),"Rupa nakon 2. dolaska",IF(P928&lt;POSTAVKE!$B$6,"Količina nije dovoljna",IF(I928&gt;=POSTAVKE!$B$6,"Sve u redu","Stiže na vrijeme")))))))</f>
        <v>Nema prodaje</v>
      </c>
      <c r="S928" s="23" t="n">
        <f aca="false">IFERROR(INDEX(PODACI_PRODAJA!B:B,MATCH($A928,PODACI_PRODAJA!$A:$A,0)),0)</f>
        <v>0</v>
      </c>
      <c r="T928" s="23" t="n">
        <f aca="false">IFERROR(INDEX(PODACI_PRODAJA!C:C,MATCH($A928,PODACI_PRODAJA!$A:$A,0)),0)</f>
        <v>0</v>
      </c>
      <c r="U928" s="23" t="n">
        <f aca="false">IFERROR(INDEX(PODACI_PRODAJA!D:D,MATCH($A928,PODACI_PRODAJA!$A:$A,0)),0)</f>
        <v>0</v>
      </c>
      <c r="V928" s="23" t="n">
        <f aca="false">IFERROR(INDEX(PODACI_PRODAJA!E:E,MATCH($A928,PODACI_PRODAJA!$A:$A,0)),0)</f>
        <v>0</v>
      </c>
      <c r="W928" s="23" t="n">
        <f aca="false">IFERROR(INDEX(PODACI_PRODAJA!F:F,MATCH($A928,PODACI_PRODAJA!$A:$A,0)),0)</f>
        <v>0</v>
      </c>
      <c r="X928" s="23" t="n">
        <f aca="false">IFERROR(INDEX(PODACI_PRODAJA!G:G,MATCH($A928,PODACI_PRODAJA!$A:$A,0)),0)</f>
        <v>0</v>
      </c>
      <c r="Y928" s="23" t="n">
        <f aca="false">IFERROR(INDEX(PODACI_PRODAJA!H:H,MATCH($A928,PODACI_PRODAJA!$A:$A,0)),0)</f>
        <v>0</v>
      </c>
      <c r="Z928" s="23" t="n">
        <f aca="false">IFERROR(INDEX(PODACI_PRODAJA!I:I,MATCH($A928,PODACI_PRODAJA!$A:$A,0)),0)</f>
        <v>0</v>
      </c>
      <c r="AA928" s="23" t="n">
        <f aca="false">IFERROR(INDEX(PODACI_PRODAJA!J:J,MATCH($A928,PODACI_PRODAJA!$A:$A,0)),0)</f>
        <v>0</v>
      </c>
      <c r="AB928" s="23" t="n">
        <f aca="false">IFERROR(INDEX(PODACI_PRODAJA!K:K,MATCH($A928,PODACI_PRODAJA!$A:$A,0)),0)</f>
        <v>0</v>
      </c>
      <c r="AC928" s="23" t="n">
        <f aca="false">IFERROR(INDEX(PODACI_PRODAJA!L:L,MATCH($A928,PODACI_PRODAJA!$A:$A,0)),0)</f>
        <v>0</v>
      </c>
      <c r="AD928" s="23" t="n">
        <f aca="false">IFERROR(INDEX(PODACI_PRODAJA!M:M,MATCH($A928,PODACI_PRODAJA!$A:$A,0)),0)</f>
        <v>0</v>
      </c>
    </row>
    <row r="929" customFormat="false" ht="15" hidden="false" customHeight="false" outlineLevel="0" collapsed="false">
      <c r="A929" s="11" t="str">
        <f aca="false">PODACI_ZALIHE!A926</f>
        <v>18658</v>
      </c>
      <c r="B929" s="8" t="n">
        <f aca="false">PODACI_ZALIHE!B926</f>
        <v>0</v>
      </c>
      <c r="C929" s="9" t="n">
        <f aca="false">PODACI_ZALIHE!C926</f>
        <v>0</v>
      </c>
      <c r="D929" s="8" t="n">
        <f aca="false">PODACI_ZALIHE!D926</f>
        <v>0</v>
      </c>
      <c r="E929" s="19" t="str">
        <f aca="false">IF(PODACI_ZALIHE!E926="","",PODACI_ZALIHE!E926)</f>
        <v/>
      </c>
      <c r="F929" s="20" t="n">
        <f aca="false">PODACI_ZALIHE!F926</f>
        <v>0</v>
      </c>
      <c r="G929" s="19" t="str">
        <f aca="false">IF(E929="","",E929-F929)</f>
        <v/>
      </c>
      <c r="H929" s="9" t="n">
        <v>0</v>
      </c>
      <c r="I929" s="21" t="n">
        <f aca="false">IF(H929&lt;=0,999,ROUND(F929/H929,1))</f>
        <v>999</v>
      </c>
      <c r="J929" s="9" t="n">
        <f aca="false">SUMIFS(ROBA_U_DOLASKU!$C$6:$C$95,ROBA_U_DOLASKU!$A$6:$A$95,A929,ROBA_U_DOLASKU!$H$6:$H$95,1)</f>
        <v>0.8</v>
      </c>
      <c r="K929" s="9" t="n">
        <f aca="false">SUMIFS(ROBA_U_DOLASKU!$B$6:$B$95,ROBA_U_DOLASKU!$A$6:$A$95,A929,ROBA_U_DOLASKU!$H$6:$H$95,1)</f>
        <v>25</v>
      </c>
      <c r="L929" s="9" t="n">
        <f aca="false">SUMIFS(ROBA_U_DOLASKU!$C$6:$C$95,ROBA_U_DOLASKU!$A$6:$A$95,A929,ROBA_U_DOLASKU!$H$6:$H$95,2)</f>
        <v>0</v>
      </c>
      <c r="M929" s="9" t="n">
        <f aca="false">SUMIFS(ROBA_U_DOLASKU!$B$6:$B$95,ROBA_U_DOLASKU!$A$6:$A$95,A929,ROBA_U_DOLASKU!$H$6:$H$95,2)</f>
        <v>0</v>
      </c>
      <c r="N929" s="9" t="n">
        <f aca="false">SUMIFS(ROBA_U_DOLASKU!$C$6:$C$95,ROBA_U_DOLASKU!$A$6:$A$95,A929,ROBA_U_DOLASKU!$H$6:$H$95,3)</f>
        <v>0</v>
      </c>
      <c r="O929" s="9" t="n">
        <f aca="false">SUMIFS(ROBA_U_DOLASKU!$B$6:$B$95,ROBA_U_DOLASKU!$A$6:$A$95,A929,ROBA_U_DOLASKU!$H$6:$H$95,3)</f>
        <v>0</v>
      </c>
      <c r="P929" s="9" t="n">
        <f aca="false">IF(H929&lt;=0,999,IF(O929&gt;0,ROUND((F929-H929*N929+K929+M929+O929)/H929,1),IF(M929&gt;0,ROUND((F929-H929*L929+K929+M929)/H929,1),IF(K929&gt;0,ROUND((F929-H929*J929+K929)/H929,1),I929))))</f>
        <v>999</v>
      </c>
      <c r="Q929" s="22" t="str">
        <f aca="false">IF(H929&lt;=0,"Nema prodaje",IF(AND(K929=0,M929=0,O929=0),IF(I929&lt;POSTAVKE!$B$6,"Naruči odmah","Sve u redu"),IF(F929-H929*J929&lt;0,"Rupa za ~"&amp;TEXT(I929,"0.0")&amp;" mj.",IF(AND(M929&gt;0,F929-H929*L929+K929&lt;0),"Rupa nakon 1. dolaska",IF(AND(O929&gt;0,F929-H929*N929+K929+M929&lt;0),"Rupa nakon 2. dolaska",IF(P929&lt;POSTAVKE!$B$6,"Količina nije dovoljna",IF(I929&gt;=POSTAVKE!$B$6,"Sve u redu","Stiže na vrijeme")))))))</f>
        <v>Nema prodaje</v>
      </c>
      <c r="S929" s="23" t="n">
        <f aca="false">IFERROR(INDEX(PODACI_PRODAJA!B:B,MATCH($A929,PODACI_PRODAJA!$A:$A,0)),0)</f>
        <v>0</v>
      </c>
      <c r="T929" s="23" t="n">
        <f aca="false">IFERROR(INDEX(PODACI_PRODAJA!C:C,MATCH($A929,PODACI_PRODAJA!$A:$A,0)),0)</f>
        <v>0</v>
      </c>
      <c r="U929" s="23" t="n">
        <f aca="false">IFERROR(INDEX(PODACI_PRODAJA!D:D,MATCH($A929,PODACI_PRODAJA!$A:$A,0)),0)</f>
        <v>0</v>
      </c>
      <c r="V929" s="23" t="n">
        <f aca="false">IFERROR(INDEX(PODACI_PRODAJA!E:E,MATCH($A929,PODACI_PRODAJA!$A:$A,0)),0)</f>
        <v>0</v>
      </c>
      <c r="W929" s="23" t="n">
        <f aca="false">IFERROR(INDEX(PODACI_PRODAJA!F:F,MATCH($A929,PODACI_PRODAJA!$A:$A,0)),0)</f>
        <v>0</v>
      </c>
      <c r="X929" s="23" t="n">
        <f aca="false">IFERROR(INDEX(PODACI_PRODAJA!G:G,MATCH($A929,PODACI_PRODAJA!$A:$A,0)),0)</f>
        <v>0</v>
      </c>
      <c r="Y929" s="23" t="n">
        <f aca="false">IFERROR(INDEX(PODACI_PRODAJA!H:H,MATCH($A929,PODACI_PRODAJA!$A:$A,0)),0)</f>
        <v>0</v>
      </c>
      <c r="Z929" s="23" t="n">
        <f aca="false">IFERROR(INDEX(PODACI_PRODAJA!I:I,MATCH($A929,PODACI_PRODAJA!$A:$A,0)),0)</f>
        <v>0</v>
      </c>
      <c r="AA929" s="23" t="n">
        <f aca="false">IFERROR(INDEX(PODACI_PRODAJA!J:J,MATCH($A929,PODACI_PRODAJA!$A:$A,0)),0)</f>
        <v>0</v>
      </c>
      <c r="AB929" s="23" t="n">
        <f aca="false">IFERROR(INDEX(PODACI_PRODAJA!K:K,MATCH($A929,PODACI_PRODAJA!$A:$A,0)),0)</f>
        <v>0</v>
      </c>
      <c r="AC929" s="23" t="n">
        <f aca="false">IFERROR(INDEX(PODACI_PRODAJA!L:L,MATCH($A929,PODACI_PRODAJA!$A:$A,0)),0)</f>
        <v>0</v>
      </c>
      <c r="AD929" s="23" t="n">
        <f aca="false">IFERROR(INDEX(PODACI_PRODAJA!M:M,MATCH($A929,PODACI_PRODAJA!$A:$A,0)),0)</f>
        <v>0</v>
      </c>
    </row>
    <row r="930" customFormat="false" ht="15" hidden="false" customHeight="false" outlineLevel="0" collapsed="false">
      <c r="A930" s="11" t="str">
        <f aca="false">PODACI_ZALIHE!A927</f>
        <v>18659</v>
      </c>
      <c r="B930" s="8" t="n">
        <f aca="false">PODACI_ZALIHE!B927</f>
        <v>0</v>
      </c>
      <c r="C930" s="9" t="n">
        <f aca="false">PODACI_ZALIHE!C927</f>
        <v>0</v>
      </c>
      <c r="D930" s="8" t="n">
        <f aca="false">PODACI_ZALIHE!D927</f>
        <v>0</v>
      </c>
      <c r="E930" s="19" t="str">
        <f aca="false">IF(PODACI_ZALIHE!E927="","",PODACI_ZALIHE!E927)</f>
        <v/>
      </c>
      <c r="F930" s="20" t="n">
        <f aca="false">PODACI_ZALIHE!F927</f>
        <v>0</v>
      </c>
      <c r="G930" s="19" t="str">
        <f aca="false">IF(E930="","",E930-F930)</f>
        <v/>
      </c>
      <c r="H930" s="9" t="n">
        <v>0</v>
      </c>
      <c r="I930" s="21" t="n">
        <f aca="false">IF(H930&lt;=0,999,ROUND(F930/H930,1))</f>
        <v>999</v>
      </c>
      <c r="J930" s="9" t="n">
        <f aca="false">SUMIFS(ROBA_U_DOLASKU!$C$6:$C$95,ROBA_U_DOLASKU!$A$6:$A$95,A930,ROBA_U_DOLASKU!$H$6:$H$95,1)</f>
        <v>0.8</v>
      </c>
      <c r="K930" s="9" t="n">
        <f aca="false">SUMIFS(ROBA_U_DOLASKU!$B$6:$B$95,ROBA_U_DOLASKU!$A$6:$A$95,A930,ROBA_U_DOLASKU!$H$6:$H$95,1)</f>
        <v>25</v>
      </c>
      <c r="L930" s="9" t="n">
        <f aca="false">SUMIFS(ROBA_U_DOLASKU!$C$6:$C$95,ROBA_U_DOLASKU!$A$6:$A$95,A930,ROBA_U_DOLASKU!$H$6:$H$95,2)</f>
        <v>0</v>
      </c>
      <c r="M930" s="9" t="n">
        <f aca="false">SUMIFS(ROBA_U_DOLASKU!$B$6:$B$95,ROBA_U_DOLASKU!$A$6:$A$95,A930,ROBA_U_DOLASKU!$H$6:$H$95,2)</f>
        <v>0</v>
      </c>
      <c r="N930" s="9" t="n">
        <f aca="false">SUMIFS(ROBA_U_DOLASKU!$C$6:$C$95,ROBA_U_DOLASKU!$A$6:$A$95,A930,ROBA_U_DOLASKU!$H$6:$H$95,3)</f>
        <v>0</v>
      </c>
      <c r="O930" s="9" t="n">
        <f aca="false">SUMIFS(ROBA_U_DOLASKU!$B$6:$B$95,ROBA_U_DOLASKU!$A$6:$A$95,A930,ROBA_U_DOLASKU!$H$6:$H$95,3)</f>
        <v>0</v>
      </c>
      <c r="P930" s="9" t="n">
        <f aca="false">IF(H930&lt;=0,999,IF(O930&gt;0,ROUND((F930-H930*N930+K930+M930+O930)/H930,1),IF(M930&gt;0,ROUND((F930-H930*L930+K930+M930)/H930,1),IF(K930&gt;0,ROUND((F930-H930*J930+K930)/H930,1),I930))))</f>
        <v>999</v>
      </c>
      <c r="Q930" s="22" t="str">
        <f aca="false">IF(H930&lt;=0,"Nema prodaje",IF(AND(K930=0,M930=0,O930=0),IF(I930&lt;POSTAVKE!$B$6,"Naruči odmah","Sve u redu"),IF(F930-H930*J930&lt;0,"Rupa za ~"&amp;TEXT(I930,"0.0")&amp;" mj.",IF(AND(M930&gt;0,F930-H930*L930+K930&lt;0),"Rupa nakon 1. dolaska",IF(AND(O930&gt;0,F930-H930*N930+K930+M930&lt;0),"Rupa nakon 2. dolaska",IF(P930&lt;POSTAVKE!$B$6,"Količina nije dovoljna",IF(I930&gt;=POSTAVKE!$B$6,"Sve u redu","Stiže na vrijeme")))))))</f>
        <v>Nema prodaje</v>
      </c>
      <c r="S930" s="23" t="n">
        <f aca="false">IFERROR(INDEX(PODACI_PRODAJA!B:B,MATCH($A930,PODACI_PRODAJA!$A:$A,0)),0)</f>
        <v>0</v>
      </c>
      <c r="T930" s="23" t="n">
        <f aca="false">IFERROR(INDEX(PODACI_PRODAJA!C:C,MATCH($A930,PODACI_PRODAJA!$A:$A,0)),0)</f>
        <v>0</v>
      </c>
      <c r="U930" s="23" t="n">
        <f aca="false">IFERROR(INDEX(PODACI_PRODAJA!D:D,MATCH($A930,PODACI_PRODAJA!$A:$A,0)),0)</f>
        <v>0</v>
      </c>
      <c r="V930" s="23" t="n">
        <f aca="false">IFERROR(INDEX(PODACI_PRODAJA!E:E,MATCH($A930,PODACI_PRODAJA!$A:$A,0)),0)</f>
        <v>0</v>
      </c>
      <c r="W930" s="23" t="n">
        <f aca="false">IFERROR(INDEX(PODACI_PRODAJA!F:F,MATCH($A930,PODACI_PRODAJA!$A:$A,0)),0)</f>
        <v>0</v>
      </c>
      <c r="X930" s="23" t="n">
        <f aca="false">IFERROR(INDEX(PODACI_PRODAJA!G:G,MATCH($A930,PODACI_PRODAJA!$A:$A,0)),0)</f>
        <v>0</v>
      </c>
      <c r="Y930" s="23" t="n">
        <f aca="false">IFERROR(INDEX(PODACI_PRODAJA!H:H,MATCH($A930,PODACI_PRODAJA!$A:$A,0)),0)</f>
        <v>0</v>
      </c>
      <c r="Z930" s="23" t="n">
        <f aca="false">IFERROR(INDEX(PODACI_PRODAJA!I:I,MATCH($A930,PODACI_PRODAJA!$A:$A,0)),0)</f>
        <v>0</v>
      </c>
      <c r="AA930" s="23" t="n">
        <f aca="false">IFERROR(INDEX(PODACI_PRODAJA!J:J,MATCH($A930,PODACI_PRODAJA!$A:$A,0)),0)</f>
        <v>0</v>
      </c>
      <c r="AB930" s="23" t="n">
        <f aca="false">IFERROR(INDEX(PODACI_PRODAJA!K:K,MATCH($A930,PODACI_PRODAJA!$A:$A,0)),0)</f>
        <v>0</v>
      </c>
      <c r="AC930" s="23" t="n">
        <f aca="false">IFERROR(INDEX(PODACI_PRODAJA!L:L,MATCH($A930,PODACI_PRODAJA!$A:$A,0)),0)</f>
        <v>0</v>
      </c>
      <c r="AD930" s="23" t="n">
        <f aca="false">IFERROR(INDEX(PODACI_PRODAJA!M:M,MATCH($A930,PODACI_PRODAJA!$A:$A,0)),0)</f>
        <v>0</v>
      </c>
    </row>
    <row r="931" customFormat="false" ht="15" hidden="false" customHeight="false" outlineLevel="0" collapsed="false">
      <c r="A931" s="11" t="str">
        <f aca="false">PODACI_ZALIHE!A928</f>
        <v>18660</v>
      </c>
      <c r="B931" s="8" t="n">
        <f aca="false">PODACI_ZALIHE!B928</f>
        <v>0</v>
      </c>
      <c r="C931" s="9" t="n">
        <f aca="false">PODACI_ZALIHE!C928</f>
        <v>0</v>
      </c>
      <c r="D931" s="8" t="n">
        <f aca="false">PODACI_ZALIHE!D928</f>
        <v>0</v>
      </c>
      <c r="E931" s="19" t="str">
        <f aca="false">IF(PODACI_ZALIHE!E928="","",PODACI_ZALIHE!E928)</f>
        <v/>
      </c>
      <c r="F931" s="20" t="n">
        <f aca="false">PODACI_ZALIHE!F928</f>
        <v>0</v>
      </c>
      <c r="G931" s="19" t="str">
        <f aca="false">IF(E931="","",E931-F931)</f>
        <v/>
      </c>
      <c r="H931" s="9" t="n">
        <v>0</v>
      </c>
      <c r="I931" s="21" t="n">
        <f aca="false">IF(H931&lt;=0,999,ROUND(F931/H931,1))</f>
        <v>999</v>
      </c>
      <c r="J931" s="9" t="n">
        <f aca="false">SUMIFS(ROBA_U_DOLASKU!$C$6:$C$95,ROBA_U_DOLASKU!$A$6:$A$95,A931,ROBA_U_DOLASKU!$H$6:$H$95,1)</f>
        <v>0.8</v>
      </c>
      <c r="K931" s="9" t="n">
        <f aca="false">SUMIFS(ROBA_U_DOLASKU!$B$6:$B$95,ROBA_U_DOLASKU!$A$6:$A$95,A931,ROBA_U_DOLASKU!$H$6:$H$95,1)</f>
        <v>25</v>
      </c>
      <c r="L931" s="9" t="n">
        <f aca="false">SUMIFS(ROBA_U_DOLASKU!$C$6:$C$95,ROBA_U_DOLASKU!$A$6:$A$95,A931,ROBA_U_DOLASKU!$H$6:$H$95,2)</f>
        <v>0</v>
      </c>
      <c r="M931" s="9" t="n">
        <f aca="false">SUMIFS(ROBA_U_DOLASKU!$B$6:$B$95,ROBA_U_DOLASKU!$A$6:$A$95,A931,ROBA_U_DOLASKU!$H$6:$H$95,2)</f>
        <v>0</v>
      </c>
      <c r="N931" s="9" t="n">
        <f aca="false">SUMIFS(ROBA_U_DOLASKU!$C$6:$C$95,ROBA_U_DOLASKU!$A$6:$A$95,A931,ROBA_U_DOLASKU!$H$6:$H$95,3)</f>
        <v>0</v>
      </c>
      <c r="O931" s="9" t="n">
        <f aca="false">SUMIFS(ROBA_U_DOLASKU!$B$6:$B$95,ROBA_U_DOLASKU!$A$6:$A$95,A931,ROBA_U_DOLASKU!$H$6:$H$95,3)</f>
        <v>0</v>
      </c>
      <c r="P931" s="9" t="n">
        <f aca="false">IF(H931&lt;=0,999,IF(O931&gt;0,ROUND((F931-H931*N931+K931+M931+O931)/H931,1),IF(M931&gt;0,ROUND((F931-H931*L931+K931+M931)/H931,1),IF(K931&gt;0,ROUND((F931-H931*J931+K931)/H931,1),I931))))</f>
        <v>999</v>
      </c>
      <c r="Q931" s="22" t="str">
        <f aca="false">IF(H931&lt;=0,"Nema prodaje",IF(AND(K931=0,M931=0,O931=0),IF(I931&lt;POSTAVKE!$B$6,"Naruči odmah","Sve u redu"),IF(F931-H931*J931&lt;0,"Rupa za ~"&amp;TEXT(I931,"0.0")&amp;" mj.",IF(AND(M931&gt;0,F931-H931*L931+K931&lt;0),"Rupa nakon 1. dolaska",IF(AND(O931&gt;0,F931-H931*N931+K931+M931&lt;0),"Rupa nakon 2. dolaska",IF(P931&lt;POSTAVKE!$B$6,"Količina nije dovoljna",IF(I931&gt;=POSTAVKE!$B$6,"Sve u redu","Stiže na vrijeme")))))))</f>
        <v>Nema prodaje</v>
      </c>
      <c r="S931" s="23" t="n">
        <f aca="false">IFERROR(INDEX(PODACI_PRODAJA!B:B,MATCH($A931,PODACI_PRODAJA!$A:$A,0)),0)</f>
        <v>0</v>
      </c>
      <c r="T931" s="23" t="n">
        <f aca="false">IFERROR(INDEX(PODACI_PRODAJA!C:C,MATCH($A931,PODACI_PRODAJA!$A:$A,0)),0)</f>
        <v>0</v>
      </c>
      <c r="U931" s="23" t="n">
        <f aca="false">IFERROR(INDEX(PODACI_PRODAJA!D:D,MATCH($A931,PODACI_PRODAJA!$A:$A,0)),0)</f>
        <v>0</v>
      </c>
      <c r="V931" s="23" t="n">
        <f aca="false">IFERROR(INDEX(PODACI_PRODAJA!E:E,MATCH($A931,PODACI_PRODAJA!$A:$A,0)),0)</f>
        <v>0</v>
      </c>
      <c r="W931" s="23" t="n">
        <f aca="false">IFERROR(INDEX(PODACI_PRODAJA!F:F,MATCH($A931,PODACI_PRODAJA!$A:$A,0)),0)</f>
        <v>0</v>
      </c>
      <c r="X931" s="23" t="n">
        <f aca="false">IFERROR(INDEX(PODACI_PRODAJA!G:G,MATCH($A931,PODACI_PRODAJA!$A:$A,0)),0)</f>
        <v>0</v>
      </c>
      <c r="Y931" s="23" t="n">
        <f aca="false">IFERROR(INDEX(PODACI_PRODAJA!H:H,MATCH($A931,PODACI_PRODAJA!$A:$A,0)),0)</f>
        <v>0</v>
      </c>
      <c r="Z931" s="23" t="n">
        <f aca="false">IFERROR(INDEX(PODACI_PRODAJA!I:I,MATCH($A931,PODACI_PRODAJA!$A:$A,0)),0)</f>
        <v>0</v>
      </c>
      <c r="AA931" s="23" t="n">
        <f aca="false">IFERROR(INDEX(PODACI_PRODAJA!J:J,MATCH($A931,PODACI_PRODAJA!$A:$A,0)),0)</f>
        <v>0</v>
      </c>
      <c r="AB931" s="23" t="n">
        <f aca="false">IFERROR(INDEX(PODACI_PRODAJA!K:K,MATCH($A931,PODACI_PRODAJA!$A:$A,0)),0)</f>
        <v>0</v>
      </c>
      <c r="AC931" s="23" t="n">
        <f aca="false">IFERROR(INDEX(PODACI_PRODAJA!L:L,MATCH($A931,PODACI_PRODAJA!$A:$A,0)),0)</f>
        <v>0</v>
      </c>
      <c r="AD931" s="23" t="n">
        <f aca="false">IFERROR(INDEX(PODACI_PRODAJA!M:M,MATCH($A931,PODACI_PRODAJA!$A:$A,0)),0)</f>
        <v>0</v>
      </c>
    </row>
    <row r="932" customFormat="false" ht="15" hidden="false" customHeight="false" outlineLevel="0" collapsed="false">
      <c r="A932" s="11" t="str">
        <f aca="false">PODACI_ZALIHE!A929</f>
        <v>18775</v>
      </c>
      <c r="B932" s="8" t="n">
        <f aca="false">PODACI_ZALIHE!B929</f>
        <v>0</v>
      </c>
      <c r="C932" s="9" t="n">
        <f aca="false">PODACI_ZALIHE!C929</f>
        <v>0</v>
      </c>
      <c r="D932" s="8" t="n">
        <f aca="false">PODACI_ZALIHE!D929</f>
        <v>0</v>
      </c>
      <c r="E932" s="19" t="str">
        <f aca="false">IF(PODACI_ZALIHE!E929="","",PODACI_ZALIHE!E929)</f>
        <v/>
      </c>
      <c r="F932" s="20" t="n">
        <f aca="false">PODACI_ZALIHE!F929</f>
        <v>0</v>
      </c>
      <c r="G932" s="19" t="str">
        <f aca="false">IF(E932="","",E932-F932)</f>
        <v/>
      </c>
      <c r="H932" s="9" t="n">
        <v>0</v>
      </c>
      <c r="I932" s="21" t="n">
        <f aca="false">IF(H932&lt;=0,999,ROUND(F932/H932,1))</f>
        <v>999</v>
      </c>
      <c r="J932" s="9" t="n">
        <f aca="false">SUMIFS(ROBA_U_DOLASKU!$C$6:$C$95,ROBA_U_DOLASKU!$A$6:$A$95,A932,ROBA_U_DOLASKU!$H$6:$H$95,1)</f>
        <v>1</v>
      </c>
      <c r="K932" s="9" t="n">
        <f aca="false">SUMIFS(ROBA_U_DOLASKU!$B$6:$B$95,ROBA_U_DOLASKU!$A$6:$A$95,A932,ROBA_U_DOLASKU!$H$6:$H$95,1)</f>
        <v>40</v>
      </c>
      <c r="L932" s="9" t="n">
        <f aca="false">SUMIFS(ROBA_U_DOLASKU!$C$6:$C$95,ROBA_U_DOLASKU!$A$6:$A$95,A932,ROBA_U_DOLASKU!$H$6:$H$95,2)</f>
        <v>0</v>
      </c>
      <c r="M932" s="9" t="n">
        <f aca="false">SUMIFS(ROBA_U_DOLASKU!$B$6:$B$95,ROBA_U_DOLASKU!$A$6:$A$95,A932,ROBA_U_DOLASKU!$H$6:$H$95,2)</f>
        <v>0</v>
      </c>
      <c r="N932" s="9" t="n">
        <f aca="false">SUMIFS(ROBA_U_DOLASKU!$C$6:$C$95,ROBA_U_DOLASKU!$A$6:$A$95,A932,ROBA_U_DOLASKU!$H$6:$H$95,3)</f>
        <v>0</v>
      </c>
      <c r="O932" s="9" t="n">
        <f aca="false">SUMIFS(ROBA_U_DOLASKU!$B$6:$B$95,ROBA_U_DOLASKU!$A$6:$A$95,A932,ROBA_U_DOLASKU!$H$6:$H$95,3)</f>
        <v>0</v>
      </c>
      <c r="P932" s="9" t="n">
        <f aca="false">IF(H932&lt;=0,999,IF(O932&gt;0,ROUND((F932-H932*N932+K932+M932+O932)/H932,1),IF(M932&gt;0,ROUND((F932-H932*L932+K932+M932)/H932,1),IF(K932&gt;0,ROUND((F932-H932*J932+K932)/H932,1),I932))))</f>
        <v>999</v>
      </c>
      <c r="Q932" s="22" t="str">
        <f aca="false">IF(H932&lt;=0,"Nema prodaje",IF(AND(K932=0,M932=0,O932=0),IF(I932&lt;POSTAVKE!$B$6,"Naruči odmah","Sve u redu"),IF(F932-H932*J932&lt;0,"Rupa za ~"&amp;TEXT(I932,"0.0")&amp;" mj.",IF(AND(M932&gt;0,F932-H932*L932+K932&lt;0),"Rupa nakon 1. dolaska",IF(AND(O932&gt;0,F932-H932*N932+K932+M932&lt;0),"Rupa nakon 2. dolaska",IF(P932&lt;POSTAVKE!$B$6,"Količina nije dovoljna",IF(I932&gt;=POSTAVKE!$B$6,"Sve u redu","Stiže na vrijeme")))))))</f>
        <v>Nema prodaje</v>
      </c>
      <c r="S932" s="23" t="n">
        <f aca="false">IFERROR(INDEX(PODACI_PRODAJA!B:B,MATCH($A932,PODACI_PRODAJA!$A:$A,0)),0)</f>
        <v>0</v>
      </c>
      <c r="T932" s="23" t="n">
        <f aca="false">IFERROR(INDEX(PODACI_PRODAJA!C:C,MATCH($A932,PODACI_PRODAJA!$A:$A,0)),0)</f>
        <v>0</v>
      </c>
      <c r="U932" s="23" t="n">
        <f aca="false">IFERROR(INDEX(PODACI_PRODAJA!D:D,MATCH($A932,PODACI_PRODAJA!$A:$A,0)),0)</f>
        <v>0</v>
      </c>
      <c r="V932" s="23" t="n">
        <f aca="false">IFERROR(INDEX(PODACI_PRODAJA!E:E,MATCH($A932,PODACI_PRODAJA!$A:$A,0)),0)</f>
        <v>0</v>
      </c>
      <c r="W932" s="23" t="n">
        <f aca="false">IFERROR(INDEX(PODACI_PRODAJA!F:F,MATCH($A932,PODACI_PRODAJA!$A:$A,0)),0)</f>
        <v>0</v>
      </c>
      <c r="X932" s="23" t="n">
        <f aca="false">IFERROR(INDEX(PODACI_PRODAJA!G:G,MATCH($A932,PODACI_PRODAJA!$A:$A,0)),0)</f>
        <v>0</v>
      </c>
      <c r="Y932" s="23" t="n">
        <f aca="false">IFERROR(INDEX(PODACI_PRODAJA!H:H,MATCH($A932,PODACI_PRODAJA!$A:$A,0)),0)</f>
        <v>0</v>
      </c>
      <c r="Z932" s="23" t="n">
        <f aca="false">IFERROR(INDEX(PODACI_PRODAJA!I:I,MATCH($A932,PODACI_PRODAJA!$A:$A,0)),0)</f>
        <v>0</v>
      </c>
      <c r="AA932" s="23" t="n">
        <f aca="false">IFERROR(INDEX(PODACI_PRODAJA!J:J,MATCH($A932,PODACI_PRODAJA!$A:$A,0)),0)</f>
        <v>0</v>
      </c>
      <c r="AB932" s="23" t="n">
        <f aca="false">IFERROR(INDEX(PODACI_PRODAJA!K:K,MATCH($A932,PODACI_PRODAJA!$A:$A,0)),0)</f>
        <v>0</v>
      </c>
      <c r="AC932" s="23" t="n">
        <f aca="false">IFERROR(INDEX(PODACI_PRODAJA!L:L,MATCH($A932,PODACI_PRODAJA!$A:$A,0)),0)</f>
        <v>0</v>
      </c>
      <c r="AD932" s="23" t="n">
        <f aca="false">IFERROR(INDEX(PODACI_PRODAJA!M:M,MATCH($A932,PODACI_PRODAJA!$A:$A,0)),0)</f>
        <v>0</v>
      </c>
    </row>
    <row r="933" customFormat="false" ht="15" hidden="false" customHeight="false" outlineLevel="0" collapsed="false">
      <c r="A933" s="11" t="str">
        <f aca="false">PODACI_ZALIHE!A930</f>
        <v>18776</v>
      </c>
      <c r="B933" s="8" t="n">
        <f aca="false">PODACI_ZALIHE!B930</f>
        <v>0</v>
      </c>
      <c r="C933" s="9" t="n">
        <f aca="false">PODACI_ZALIHE!C930</f>
        <v>0</v>
      </c>
      <c r="D933" s="8" t="n">
        <f aca="false">PODACI_ZALIHE!D930</f>
        <v>0</v>
      </c>
      <c r="E933" s="19" t="str">
        <f aca="false">IF(PODACI_ZALIHE!E930="","",PODACI_ZALIHE!E930)</f>
        <v/>
      </c>
      <c r="F933" s="20" t="n">
        <f aca="false">PODACI_ZALIHE!F930</f>
        <v>0</v>
      </c>
      <c r="G933" s="19" t="str">
        <f aca="false">IF(E933="","",E933-F933)</f>
        <v/>
      </c>
      <c r="H933" s="9" t="n">
        <v>0</v>
      </c>
      <c r="I933" s="21" t="n">
        <f aca="false">IF(H933&lt;=0,999,ROUND(F933/H933,1))</f>
        <v>999</v>
      </c>
      <c r="J933" s="9" t="n">
        <f aca="false">SUMIFS(ROBA_U_DOLASKU!$C$6:$C$95,ROBA_U_DOLASKU!$A$6:$A$95,A933,ROBA_U_DOLASKU!$H$6:$H$95,1)</f>
        <v>1</v>
      </c>
      <c r="K933" s="9" t="n">
        <f aca="false">SUMIFS(ROBA_U_DOLASKU!$B$6:$B$95,ROBA_U_DOLASKU!$A$6:$A$95,A933,ROBA_U_DOLASKU!$H$6:$H$95,1)</f>
        <v>30</v>
      </c>
      <c r="L933" s="9" t="n">
        <f aca="false">SUMIFS(ROBA_U_DOLASKU!$C$6:$C$95,ROBA_U_DOLASKU!$A$6:$A$95,A933,ROBA_U_DOLASKU!$H$6:$H$95,2)</f>
        <v>0</v>
      </c>
      <c r="M933" s="9" t="n">
        <f aca="false">SUMIFS(ROBA_U_DOLASKU!$B$6:$B$95,ROBA_U_DOLASKU!$A$6:$A$95,A933,ROBA_U_DOLASKU!$H$6:$H$95,2)</f>
        <v>0</v>
      </c>
      <c r="N933" s="9" t="n">
        <f aca="false">SUMIFS(ROBA_U_DOLASKU!$C$6:$C$95,ROBA_U_DOLASKU!$A$6:$A$95,A933,ROBA_U_DOLASKU!$H$6:$H$95,3)</f>
        <v>0</v>
      </c>
      <c r="O933" s="9" t="n">
        <f aca="false">SUMIFS(ROBA_U_DOLASKU!$B$6:$B$95,ROBA_U_DOLASKU!$A$6:$A$95,A933,ROBA_U_DOLASKU!$H$6:$H$95,3)</f>
        <v>0</v>
      </c>
      <c r="P933" s="9" t="n">
        <f aca="false">IF(H933&lt;=0,999,IF(O933&gt;0,ROUND((F933-H933*N933+K933+M933+O933)/H933,1),IF(M933&gt;0,ROUND((F933-H933*L933+K933+M933)/H933,1),IF(K933&gt;0,ROUND((F933-H933*J933+K933)/H933,1),I933))))</f>
        <v>999</v>
      </c>
      <c r="Q933" s="22" t="str">
        <f aca="false">IF(H933&lt;=0,"Nema prodaje",IF(AND(K933=0,M933=0,O933=0),IF(I933&lt;POSTAVKE!$B$6,"Naruči odmah","Sve u redu"),IF(F933-H933*J933&lt;0,"Rupa za ~"&amp;TEXT(I933,"0.0")&amp;" mj.",IF(AND(M933&gt;0,F933-H933*L933+K933&lt;0),"Rupa nakon 1. dolaska",IF(AND(O933&gt;0,F933-H933*N933+K933+M933&lt;0),"Rupa nakon 2. dolaska",IF(P933&lt;POSTAVKE!$B$6,"Količina nije dovoljna",IF(I933&gt;=POSTAVKE!$B$6,"Sve u redu","Stiže na vrijeme")))))))</f>
        <v>Nema prodaje</v>
      </c>
      <c r="S933" s="23" t="n">
        <f aca="false">IFERROR(INDEX(PODACI_PRODAJA!B:B,MATCH($A933,PODACI_PRODAJA!$A:$A,0)),0)</f>
        <v>0</v>
      </c>
      <c r="T933" s="23" t="n">
        <f aca="false">IFERROR(INDEX(PODACI_PRODAJA!C:C,MATCH($A933,PODACI_PRODAJA!$A:$A,0)),0)</f>
        <v>0</v>
      </c>
      <c r="U933" s="23" t="n">
        <f aca="false">IFERROR(INDEX(PODACI_PRODAJA!D:D,MATCH($A933,PODACI_PRODAJA!$A:$A,0)),0)</f>
        <v>0</v>
      </c>
      <c r="V933" s="23" t="n">
        <f aca="false">IFERROR(INDEX(PODACI_PRODAJA!E:E,MATCH($A933,PODACI_PRODAJA!$A:$A,0)),0)</f>
        <v>0</v>
      </c>
      <c r="W933" s="23" t="n">
        <f aca="false">IFERROR(INDEX(PODACI_PRODAJA!F:F,MATCH($A933,PODACI_PRODAJA!$A:$A,0)),0)</f>
        <v>0</v>
      </c>
      <c r="X933" s="23" t="n">
        <f aca="false">IFERROR(INDEX(PODACI_PRODAJA!G:G,MATCH($A933,PODACI_PRODAJA!$A:$A,0)),0)</f>
        <v>0</v>
      </c>
      <c r="Y933" s="23" t="n">
        <f aca="false">IFERROR(INDEX(PODACI_PRODAJA!H:H,MATCH($A933,PODACI_PRODAJA!$A:$A,0)),0)</f>
        <v>0</v>
      </c>
      <c r="Z933" s="23" t="n">
        <f aca="false">IFERROR(INDEX(PODACI_PRODAJA!I:I,MATCH($A933,PODACI_PRODAJA!$A:$A,0)),0)</f>
        <v>0</v>
      </c>
      <c r="AA933" s="23" t="n">
        <f aca="false">IFERROR(INDEX(PODACI_PRODAJA!J:J,MATCH($A933,PODACI_PRODAJA!$A:$A,0)),0)</f>
        <v>0</v>
      </c>
      <c r="AB933" s="23" t="n">
        <f aca="false">IFERROR(INDEX(PODACI_PRODAJA!K:K,MATCH($A933,PODACI_PRODAJA!$A:$A,0)),0)</f>
        <v>0</v>
      </c>
      <c r="AC933" s="23" t="n">
        <f aca="false">IFERROR(INDEX(PODACI_PRODAJA!L:L,MATCH($A933,PODACI_PRODAJA!$A:$A,0)),0)</f>
        <v>0</v>
      </c>
      <c r="AD933" s="23" t="n">
        <f aca="false">IFERROR(INDEX(PODACI_PRODAJA!M:M,MATCH($A933,PODACI_PRODAJA!$A:$A,0)),0)</f>
        <v>0</v>
      </c>
    </row>
    <row r="934" customFormat="false" ht="15" hidden="false" customHeight="false" outlineLevel="0" collapsed="false">
      <c r="A934" s="11" t="str">
        <f aca="false">PODACI_ZALIHE!A931</f>
        <v>18777</v>
      </c>
      <c r="B934" s="8" t="n">
        <f aca="false">PODACI_ZALIHE!B931</f>
        <v>0</v>
      </c>
      <c r="C934" s="9" t="n">
        <f aca="false">PODACI_ZALIHE!C931</f>
        <v>0</v>
      </c>
      <c r="D934" s="8" t="n">
        <f aca="false">PODACI_ZALIHE!D931</f>
        <v>0</v>
      </c>
      <c r="E934" s="19" t="str">
        <f aca="false">IF(PODACI_ZALIHE!E931="","",PODACI_ZALIHE!E931)</f>
        <v/>
      </c>
      <c r="F934" s="20" t="n">
        <f aca="false">PODACI_ZALIHE!F931</f>
        <v>0</v>
      </c>
      <c r="G934" s="19" t="str">
        <f aca="false">IF(E934="","",E934-F934)</f>
        <v/>
      </c>
      <c r="H934" s="9" t="n">
        <v>0</v>
      </c>
      <c r="I934" s="21" t="n">
        <f aca="false">IF(H934&lt;=0,999,ROUND(F934/H934,1))</f>
        <v>999</v>
      </c>
      <c r="J934" s="9" t="n">
        <f aca="false">SUMIFS(ROBA_U_DOLASKU!$C$6:$C$95,ROBA_U_DOLASKU!$A$6:$A$95,A934,ROBA_U_DOLASKU!$H$6:$H$95,1)</f>
        <v>1</v>
      </c>
      <c r="K934" s="9" t="n">
        <f aca="false">SUMIFS(ROBA_U_DOLASKU!$B$6:$B$95,ROBA_U_DOLASKU!$A$6:$A$95,A934,ROBA_U_DOLASKU!$H$6:$H$95,1)</f>
        <v>30</v>
      </c>
      <c r="L934" s="9" t="n">
        <f aca="false">SUMIFS(ROBA_U_DOLASKU!$C$6:$C$95,ROBA_U_DOLASKU!$A$6:$A$95,A934,ROBA_U_DOLASKU!$H$6:$H$95,2)</f>
        <v>0</v>
      </c>
      <c r="M934" s="9" t="n">
        <f aca="false">SUMIFS(ROBA_U_DOLASKU!$B$6:$B$95,ROBA_U_DOLASKU!$A$6:$A$95,A934,ROBA_U_DOLASKU!$H$6:$H$95,2)</f>
        <v>0</v>
      </c>
      <c r="N934" s="9" t="n">
        <f aca="false">SUMIFS(ROBA_U_DOLASKU!$C$6:$C$95,ROBA_U_DOLASKU!$A$6:$A$95,A934,ROBA_U_DOLASKU!$H$6:$H$95,3)</f>
        <v>0</v>
      </c>
      <c r="O934" s="9" t="n">
        <f aca="false">SUMIFS(ROBA_U_DOLASKU!$B$6:$B$95,ROBA_U_DOLASKU!$A$6:$A$95,A934,ROBA_U_DOLASKU!$H$6:$H$95,3)</f>
        <v>0</v>
      </c>
      <c r="P934" s="9" t="n">
        <f aca="false">IF(H934&lt;=0,999,IF(O934&gt;0,ROUND((F934-H934*N934+K934+M934+O934)/H934,1),IF(M934&gt;0,ROUND((F934-H934*L934+K934+M934)/H934,1),IF(K934&gt;0,ROUND((F934-H934*J934+K934)/H934,1),I934))))</f>
        <v>999</v>
      </c>
      <c r="Q934" s="22" t="str">
        <f aca="false">IF(H934&lt;=0,"Nema prodaje",IF(AND(K934=0,M934=0,O934=0),IF(I934&lt;POSTAVKE!$B$6,"Naruči odmah","Sve u redu"),IF(F934-H934*J934&lt;0,"Rupa za ~"&amp;TEXT(I934,"0.0")&amp;" mj.",IF(AND(M934&gt;0,F934-H934*L934+K934&lt;0),"Rupa nakon 1. dolaska",IF(AND(O934&gt;0,F934-H934*N934+K934+M934&lt;0),"Rupa nakon 2. dolaska",IF(P934&lt;POSTAVKE!$B$6,"Količina nije dovoljna",IF(I934&gt;=POSTAVKE!$B$6,"Sve u redu","Stiže na vrijeme")))))))</f>
        <v>Nema prodaje</v>
      </c>
      <c r="S934" s="23" t="n">
        <f aca="false">IFERROR(INDEX(PODACI_PRODAJA!B:B,MATCH($A934,PODACI_PRODAJA!$A:$A,0)),0)</f>
        <v>0</v>
      </c>
      <c r="T934" s="23" t="n">
        <f aca="false">IFERROR(INDEX(PODACI_PRODAJA!C:C,MATCH($A934,PODACI_PRODAJA!$A:$A,0)),0)</f>
        <v>0</v>
      </c>
      <c r="U934" s="23" t="n">
        <f aca="false">IFERROR(INDEX(PODACI_PRODAJA!D:D,MATCH($A934,PODACI_PRODAJA!$A:$A,0)),0)</f>
        <v>0</v>
      </c>
      <c r="V934" s="23" t="n">
        <f aca="false">IFERROR(INDEX(PODACI_PRODAJA!E:E,MATCH($A934,PODACI_PRODAJA!$A:$A,0)),0)</f>
        <v>0</v>
      </c>
      <c r="W934" s="23" t="n">
        <f aca="false">IFERROR(INDEX(PODACI_PRODAJA!F:F,MATCH($A934,PODACI_PRODAJA!$A:$A,0)),0)</f>
        <v>0</v>
      </c>
      <c r="X934" s="23" t="n">
        <f aca="false">IFERROR(INDEX(PODACI_PRODAJA!G:G,MATCH($A934,PODACI_PRODAJA!$A:$A,0)),0)</f>
        <v>0</v>
      </c>
      <c r="Y934" s="23" t="n">
        <f aca="false">IFERROR(INDEX(PODACI_PRODAJA!H:H,MATCH($A934,PODACI_PRODAJA!$A:$A,0)),0)</f>
        <v>0</v>
      </c>
      <c r="Z934" s="23" t="n">
        <f aca="false">IFERROR(INDEX(PODACI_PRODAJA!I:I,MATCH($A934,PODACI_PRODAJA!$A:$A,0)),0)</f>
        <v>0</v>
      </c>
      <c r="AA934" s="23" t="n">
        <f aca="false">IFERROR(INDEX(PODACI_PRODAJA!J:J,MATCH($A934,PODACI_PRODAJA!$A:$A,0)),0)</f>
        <v>0</v>
      </c>
      <c r="AB934" s="23" t="n">
        <f aca="false">IFERROR(INDEX(PODACI_PRODAJA!K:K,MATCH($A934,PODACI_PRODAJA!$A:$A,0)),0)</f>
        <v>0</v>
      </c>
      <c r="AC934" s="23" t="n">
        <f aca="false">IFERROR(INDEX(PODACI_PRODAJA!L:L,MATCH($A934,PODACI_PRODAJA!$A:$A,0)),0)</f>
        <v>0</v>
      </c>
      <c r="AD934" s="23" t="n">
        <f aca="false">IFERROR(INDEX(PODACI_PRODAJA!M:M,MATCH($A934,PODACI_PRODAJA!$A:$A,0)),0)</f>
        <v>0</v>
      </c>
    </row>
  </sheetData>
  <autoFilter ref="A4:Q934"/>
  <conditionalFormatting sqref="Q5:Q934">
    <cfRule type="expression" priority="2" aboveAverage="0" equalAverage="0" bottom="0" percent="0" rank="0" text="" dxfId="12">
      <formula>ISNUMBER(SEARCH("Rupa",Q5))</formula>
    </cfRule>
    <cfRule type="expression" priority="3" aboveAverage="0" equalAverage="0" bottom="0" percent="0" rank="0" text="" dxfId="12">
      <formula>ISNUMBER(SEARCH("Naruči",Q5))</formula>
    </cfRule>
    <cfRule type="expression" priority="4" aboveAverage="0" equalAverage="0" bottom="0" percent="0" rank="0" text="" dxfId="13">
      <formula>ISNUMBER(SEARCH("nije dovoljna",Q5))</formula>
    </cfRule>
    <cfRule type="expression" priority="5" aboveAverage="0" equalAverage="0" bottom="0" percent="0" rank="0" text="" dxfId="14">
      <formula>ISNUMBER(SEARCH("Sve u redu",Q5))</formula>
    </cfRule>
    <cfRule type="expression" priority="6" aboveAverage="0" equalAverage="0" bottom="0" percent="0" rank="0" text="" dxfId="14">
      <formula>ISNUMBER(SEARCH("Stiže na vrijeme",Q5))</formula>
    </cfRule>
  </conditionalFormatting>
  <conditionalFormatting sqref="I5:I934">
    <cfRule type="expression" priority="7" aboveAverage="0" equalAverage="0" bottom="0" percent="0" rank="0" text="" dxfId="12">
      <formula>AND(I5&lt;POSTAVKE!$B$6,H5&gt;0)</formula>
    </cfRule>
    <cfRule type="expression" priority="8" aboveAverage="0" equalAverage="0" bottom="0" percent="0" rank="0" text="" dxfId="14">
      <formula>AND(I5&gt;=POSTAVKE!$B$6,I5&lt;900)</formula>
    </cfRule>
  </conditionalFormatting>
  <conditionalFormatting sqref="G5:G934">
    <cfRule type="expression" priority="9" aboveAverage="0" equalAverage="0" bottom="0" percent="0" rank="0" text="" dxfId="15">
      <formula>AND(ISNUMBER(G5),G5&gt;0)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2026-09-09T22:13:18Z</dcterms:created>
  <dc:creator>openpyxl</dc:creator>
  <dc:description/>
  <dc:language>en-US</dc:language>
  <cp:lastModifiedBy/>
  <dcterms:modified xsi:type="dcterms:W3CDTF">2026-09-09T22:13:19Z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