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arko\"/>
    </mc:Choice>
  </mc:AlternateContent>
  <xr:revisionPtr revIDLastSave="0" documentId="13_ncr:1_{8F825339-F436-444B-B440-1888AA81146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OSTAVKE" sheetId="1" r:id="rId1"/>
    <sheet name="ROBA_U_DOLASKU" sheetId="2" r:id="rId2"/>
    <sheet name="NABAVA" sheetId="3" r:id="rId3"/>
  </sheets>
  <definedNames>
    <definedName name="MapaPutanja">POSTAVKE!$B$4</definedName>
    <definedName name="Prag">POSTAVKE!$B$6</definedName>
    <definedName name="RollingN">POSTAVKE!$B$8</definedName>
    <definedName name="Tranzit">POSTAVKE!$B$7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<sst xmlns="http://schemas.openxmlformats.org/spreadsheetml/2006/main" count="164" uniqueCount="99">
  <si>
    <t>POSTAVKE MODELA</t>
  </si>
  <si>
    <t>Zuta polja mijenjate po potrebi. Sivo polje se popunjava samo.</t>
  </si>
  <si>
    <t>Mapa modela (automatski)</t>
  </si>
  <si>
    <t>&lt;- datoteka sama prepoznaje svoju mapu</t>
  </si>
  <si>
    <t>Sigurnosni prag (mjeseci)</t>
  </si>
  <si>
    <t>ispod ovoga se pali alarm</t>
  </si>
  <si>
    <t>Tranzit iz Kine (mjeseci)</t>
  </si>
  <si>
    <t>koristi se samo kao predlozak</t>
  </si>
  <si>
    <t>Kotrljajuci prosjek (mjeseci)</t>
  </si>
  <si>
    <t>duljina prozora za prosjek</t>
  </si>
  <si>
    <t>VAZNO: datoteku prvo spremite (Save), inace polje B4 ostaje prazno.</t>
  </si>
  <si>
    <t>ROBA U DOLASKU</t>
  </si>
  <si>
    <t>Rucni unos. Jedan redak = jedna posiljka. Do tri posiljke po artiklu.</t>
  </si>
  <si>
    <t>Dodajete retke normalno, tablica se siri sama. Prazne retke ne ostavljajte.</t>
  </si>
  <si>
    <t>Artikal</t>
  </si>
  <si>
    <t>Kolicina</t>
  </si>
  <si>
    <t>Mjeseci do dolaska</t>
  </si>
  <si>
    <t>Ocekivani datum</t>
  </si>
  <si>
    <t>Sifra dobavljaca</t>
  </si>
  <si>
    <t>Narudzba</t>
  </si>
  <si>
    <t>Napomena</t>
  </si>
  <si>
    <t>002336</t>
  </si>
  <si>
    <t>ND_7858</t>
  </si>
  <si>
    <t>002940</t>
  </si>
  <si>
    <t>002941</t>
  </si>
  <si>
    <t>003213</t>
  </si>
  <si>
    <t>ND_7821</t>
  </si>
  <si>
    <t>003227</t>
  </si>
  <si>
    <t>00618</t>
  </si>
  <si>
    <t>ND_7857</t>
  </si>
  <si>
    <t>00897</t>
  </si>
  <si>
    <t>00898</t>
  </si>
  <si>
    <t>037060</t>
  </si>
  <si>
    <t>037080</t>
  </si>
  <si>
    <t>040250</t>
  </si>
  <si>
    <t>041880</t>
  </si>
  <si>
    <t>042060</t>
  </si>
  <si>
    <t>042121C</t>
  </si>
  <si>
    <t>042122C</t>
  </si>
  <si>
    <t>042124C</t>
  </si>
  <si>
    <t>042250</t>
  </si>
  <si>
    <t>042300</t>
  </si>
  <si>
    <t>042310</t>
  </si>
  <si>
    <t>042440</t>
  </si>
  <si>
    <t>15399</t>
  </si>
  <si>
    <t>ND_7862</t>
  </si>
  <si>
    <t>15451</t>
  </si>
  <si>
    <t>15947</t>
  </si>
  <si>
    <t>16022</t>
  </si>
  <si>
    <t>16086</t>
  </si>
  <si>
    <t>16087</t>
  </si>
  <si>
    <t>16786</t>
  </si>
  <si>
    <t>16851</t>
  </si>
  <si>
    <t>16852</t>
  </si>
  <si>
    <t>16961</t>
  </si>
  <si>
    <t>16963</t>
  </si>
  <si>
    <t>16964</t>
  </si>
  <si>
    <t>18024</t>
  </si>
  <si>
    <t>ND_7814</t>
  </si>
  <si>
    <t>18025</t>
  </si>
  <si>
    <t>18027</t>
  </si>
  <si>
    <t>18244</t>
  </si>
  <si>
    <t>18248</t>
  </si>
  <si>
    <t>18249</t>
  </si>
  <si>
    <t>18251</t>
  </si>
  <si>
    <t>18433</t>
  </si>
  <si>
    <t>18434</t>
  </si>
  <si>
    <t>18435</t>
  </si>
  <si>
    <t>18436</t>
  </si>
  <si>
    <t>18437</t>
  </si>
  <si>
    <t>18438</t>
  </si>
  <si>
    <t>18560</t>
  </si>
  <si>
    <t>18562</t>
  </si>
  <si>
    <t>18658</t>
  </si>
  <si>
    <t>18659</t>
  </si>
  <si>
    <t>18660</t>
  </si>
  <si>
    <t>18665</t>
  </si>
  <si>
    <t>18666</t>
  </si>
  <si>
    <t>18667</t>
  </si>
  <si>
    <t>18668</t>
  </si>
  <si>
    <t>18762</t>
  </si>
  <si>
    <t>18763</t>
  </si>
  <si>
    <t>18764</t>
  </si>
  <si>
    <t>18765</t>
  </si>
  <si>
    <t>18766</t>
  </si>
  <si>
    <t>18767</t>
  </si>
  <si>
    <t>18768</t>
  </si>
  <si>
    <t>18769</t>
  </si>
  <si>
    <t>18770</t>
  </si>
  <si>
    <t>18771</t>
  </si>
  <si>
    <t>18772</t>
  </si>
  <si>
    <t>18773</t>
  </si>
  <si>
    <t>18774</t>
  </si>
  <si>
    <t>18775</t>
  </si>
  <si>
    <t>18776</t>
  </si>
  <si>
    <t>18777</t>
  </si>
  <si>
    <t>NABAVA</t>
  </si>
  <si>
    <t>Ovaj list popunjava upit qNabava. Ne upisujte nista rucno.</t>
  </si>
  <si>
    <t>Nakon postavljanja upita ovdje ce se pojaviti tablica.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</si>
</sst>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9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sz val="9"/>
      <color rgb="FF595959"/>
      <name val="Cambria"/>
      <charset val="1"/>
    </font>
    <font>
      <b/>
      <sz val="10"/>
      <name val="Cambria"/>
      <charset val="1"/>
    </font>
    <font>
      <sz val="10"/>
      <name val="Cambria"/>
      <charset val="1"/>
    </font>
    <font>
      <b/>
      <sz val="9"/>
      <color rgb="FF9C0006"/>
      <name val="Cambria"/>
      <charset val="1"/>
    </font>
    <font>
      <b/>
      <sz val="10"/>
      <color rgb="FFFFFFFF"/>
      <name val="Cambria"/>
      <charset val="1"/>
    </font>
    <font>
      <sz val="10"/>
      <name val="Consolas"/>
      <charset val="1"/>
    </font>
    <font>
      <i/>
      <sz val="10"/>
      <color rgb="FF808080"/>
      <name val="Cambria"/>
      <charset val="1"/>
    </font>
  </fonts>
  <fills count="5">
    <fill>
      <patternFill patternType="none"/>
    </fill>
    <fill>
      <patternFill patternType="gray125"/>
    </fill>
    <fill>
      <patternFill patternType="solid">
        <fgColor rgb="FFE8EEF4"/>
        <bgColor rgb="FFD4EDDA"/>
      </patternFill>
    </fill>
    <fill>
      <patternFill patternType="solid">
        <fgColor rgb="FFFFF2CC"/>
        <bgColor rgb="FFFFF0C7"/>
      </patternFill>
    </fill>
    <fill>
      <patternFill patternType="solid">
        <fgColor rgb="FF1F4E79"/>
        <bgColor rgb="FF14532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8" fillId="0" borderId="0" xfId="0" applyFont="1"/>
  </cellXfs>
  <cellStyles count="1">
    <cellStyle name="Normal" xfId="0" builtinId="0"/>
  </cellStyles>
  <dxfs count="9"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8A4B00"/>
      </font>
      <fill>
        <patternFill>
          <bgColor rgb="FFFCE4C4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ont>
        <b/>
        <sz val="10"/>
        <color rgb="FF14532D"/>
      </font>
      <fill>
        <patternFill>
          <bgColor rgb="FFD4EDDA"/>
        </patternFill>
      </fill>
    </dxf>
    <dxf>
      <font>
        <b/>
        <sz val="10"/>
        <color rgb="FF9C0006"/>
      </font>
      <fill>
        <patternFill>
          <bgColor rgb="FFF8CBCB"/>
        </patternFill>
      </fill>
    </dxf>
    <dxf>
      <fill>
        <patternFill>
          <bgColor rgb="FFFFF0C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EF4"/>
      <rgbColor rgb="FF660066"/>
      <rgbColor rgb="FFFF8080"/>
      <rgbColor rgb="FF0066CC"/>
      <rgbColor rgb="FFFCE4C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0C7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A4B00"/>
      <rgbColor rgb="FF993366"/>
      <rgbColor rgb="FF1F4E79"/>
      <rgbColor rgb="FF1453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Dolasci" displayName="tblDolasci" ref="A5:G75" totalsRowShown="0">
  <autoFilter ref="A5:G75" xr:uid="{00000000-0009-0000-0100-000001000000}"/>
  <tableColumns count="7">
    <tableColumn id="1" xr3:uid="{00000000-0010-0000-0000-000001000000}" name="Artikal"/>
    <tableColumn id="2" xr3:uid="{00000000-0010-0000-0000-000002000000}" name="Kolicina"/>
    <tableColumn id="3" xr3:uid="{00000000-0010-0000-0000-000003000000}" name="Mjeseci do dolaska"/>
    <tableColumn id="4" xr3:uid="{00000000-0010-0000-0000-000004000000}" name="Ocekivani datum"/>
    <tableColumn id="5" xr3:uid="{00000000-0010-0000-0000-000005000000}" name="Sifra dobavljaca"/>
    <tableColumn id="6" xr3:uid="{00000000-0010-0000-0000-000006000000}" name="Narudzba"/>
    <tableColumn id="7" xr3:uid="{00000000-0010-0000-0000-000007000000}" name="Napomen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showGridLines="0" tabSelected="1" zoomScaleNormal="100" workbookViewId="0"/>
  </sheetViews>
  <sheetFormatPr defaultColWidth="8.6640625" defaultRowHeight="14.4" x14ac:dyDescent="0.3"/>
  <cols>
    <col min="1" max="1" width="30" customWidth="1"/>
    <col min="2" max="2" width="46" customWidth="1"/>
    <col min="3" max="3" width="40" customWidth="1"/>
  </cols>
  <sheetData>
    <row r="1" spans="1:3" ht="17.399999999999999" x14ac:dyDescent="0.3">
      <c r="A1" s="1" t="s">
        <v>0</v>
      </c>
    </row>
    <row r="2" spans="1:3" x14ac:dyDescent="0.3">
      <c r="A2" s="2" t="s">
        <v>1</v>
      </c>
    </row>
    <row r="4" spans="1:3" x14ac:dyDescent="0.3">
      <c r="A4" s="3" t="s">
        <v>2</v>
      </c>
      <c r="B4" s="4" t="str">
        <f ca="1">LEFT(CELL("filename"),FIND("[",CELL("filename"))-1)</f>
        <v>D:\marko\</v>
      </c>
      <c r="C4" s="2" t="s">
        <v>3</v>
      </c>
    </row>
    <row r="6" spans="1:3" x14ac:dyDescent="0.3">
      <c r="A6" s="3" t="s">
        <v>4</v>
      </c>
      <c r="B6" s="5">
        <v>5</v>
      </c>
      <c r="C6" s="2" t="s">
        <v>5</v>
      </c>
    </row>
    <row r="7" spans="1:3" x14ac:dyDescent="0.3">
      <c r="A7" s="3" t="s">
        <v>6</v>
      </c>
      <c r="B7" s="5">
        <v>4</v>
      </c>
      <c r="C7" s="2" t="s">
        <v>7</v>
      </c>
    </row>
    <row r="8" spans="1:3" x14ac:dyDescent="0.3">
      <c r="A8" s="3" t="s">
        <v>8</v>
      </c>
      <c r="B8" s="5">
        <v>12</v>
      </c>
      <c r="C8" s="2" t="s">
        <v>9</v>
      </c>
    </row>
    <row r="11" spans="1:3" x14ac:dyDescent="0.3">
      <c r="A11" s="6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0" customWidth="1"/>
    <col min="3" max="3" width="16" customWidth="1"/>
    <col min="4" max="4" width="15" customWidth="1"/>
    <col min="5" max="5" width="14" customWidth="1"/>
    <col min="6" max="6" width="12" customWidth="1"/>
    <col min="7" max="7" width="26" customWidth="1"/>
  </cols>
  <sheetData>
    <row r="1" spans="1:7" ht="17.399999999999999" x14ac:dyDescent="0.3">
      <c r="A1" s="1" t="s">
        <v>11</v>
      </c>
    </row>
    <row r="2" spans="1:7" x14ac:dyDescent="0.3">
      <c r="A2" s="2" t="s">
        <v>12</v>
      </c>
    </row>
    <row r="3" spans="1:7" x14ac:dyDescent="0.3">
      <c r="A3" s="2" t="s">
        <v>13</v>
      </c>
    </row>
    <row r="5" spans="1:7" x14ac:dyDescent="0.3">
      <c r="A5" s="7" t="s">
        <v>14</v>
      </c>
      <c r="B5" s="7" t="s">
        <v>15</v>
      </c>
      <c r="C5" s="7" t="s">
        <v>16</v>
      </c>
      <c r="D5" s="7" t="s">
        <v>17</v>
      </c>
      <c r="E5" s="7" t="s">
        <v>18</v>
      </c>
      <c r="F5" s="7" t="s">
        <v>19</v>
      </c>
      <c r="G5" s="7" t="s">
        <v>20</v>
      </c>
    </row>
    <row r="6" spans="1:7" x14ac:dyDescent="0.3">
      <c r="A6" s="8" t="s">
        <v>21</v>
      </c>
      <c r="B6" s="5">
        <v>300</v>
      </c>
      <c r="C6" s="5">
        <v>2.2000000000000002</v>
      </c>
      <c r="D6" s="9">
        <v>46334</v>
      </c>
      <c r="E6" s="5"/>
      <c r="F6" s="10" t="s">
        <v>22</v>
      </c>
      <c r="G6" s="11"/>
    </row>
    <row r="7" spans="1:7" x14ac:dyDescent="0.3">
      <c r="A7" s="8" t="s">
        <v>23</v>
      </c>
      <c r="B7" s="5">
        <v>100</v>
      </c>
      <c r="C7" s="5">
        <v>2.2000000000000002</v>
      </c>
      <c r="D7" s="9">
        <v>46334</v>
      </c>
      <c r="E7" s="5"/>
      <c r="F7" s="10" t="s">
        <v>22</v>
      </c>
      <c r="G7" s="11"/>
    </row>
    <row r="8" spans="1:7" x14ac:dyDescent="0.3">
      <c r="A8" s="8" t="s">
        <v>24</v>
      </c>
      <c r="B8" s="5">
        <v>152</v>
      </c>
      <c r="C8" s="5">
        <v>2.2000000000000002</v>
      </c>
      <c r="D8" s="9">
        <v>46334</v>
      </c>
      <c r="E8" s="5"/>
      <c r="F8" s="10" t="s">
        <v>22</v>
      </c>
      <c r="G8" s="11"/>
    </row>
    <row r="9" spans="1:7" x14ac:dyDescent="0.3">
      <c r="A9" s="8" t="s">
        <v>25</v>
      </c>
      <c r="B9" s="5">
        <v>20</v>
      </c>
      <c r="C9" s="5">
        <v>1</v>
      </c>
      <c r="D9" s="9">
        <v>46298</v>
      </c>
      <c r="E9" s="5"/>
      <c r="F9" s="10" t="s">
        <v>26</v>
      </c>
      <c r="G9" s="11"/>
    </row>
    <row r="10" spans="1:7" x14ac:dyDescent="0.3">
      <c r="A10" s="8" t="s">
        <v>27</v>
      </c>
      <c r="B10" s="5">
        <v>100</v>
      </c>
      <c r="C10" s="5">
        <v>2.2000000000000002</v>
      </c>
      <c r="D10" s="9">
        <v>46334</v>
      </c>
      <c r="E10" s="5"/>
      <c r="F10" s="10" t="s">
        <v>22</v>
      </c>
      <c r="G10" s="11"/>
    </row>
    <row r="11" spans="1:7" x14ac:dyDescent="0.3">
      <c r="A11" s="8" t="s">
        <v>28</v>
      </c>
      <c r="B11" s="5">
        <v>100</v>
      </c>
      <c r="C11" s="5">
        <v>2.2000000000000002</v>
      </c>
      <c r="D11" s="9">
        <v>46334</v>
      </c>
      <c r="E11" s="5"/>
      <c r="F11" s="10" t="s">
        <v>29</v>
      </c>
      <c r="G11" s="11"/>
    </row>
    <row r="12" spans="1:7" x14ac:dyDescent="0.3">
      <c r="A12" s="8" t="s">
        <v>30</v>
      </c>
      <c r="B12" s="5">
        <v>200</v>
      </c>
      <c r="C12" s="5">
        <v>2.2000000000000002</v>
      </c>
      <c r="D12" s="9">
        <v>46334</v>
      </c>
      <c r="E12" s="5"/>
      <c r="F12" s="10" t="s">
        <v>29</v>
      </c>
      <c r="G12" s="11"/>
    </row>
    <row r="13" spans="1:7" x14ac:dyDescent="0.3">
      <c r="A13" s="8" t="s">
        <v>31</v>
      </c>
      <c r="B13" s="5">
        <v>80</v>
      </c>
      <c r="C13" s="5">
        <v>2.2000000000000002</v>
      </c>
      <c r="D13" s="9">
        <v>46334</v>
      </c>
      <c r="E13" s="5"/>
      <c r="F13" s="10" t="s">
        <v>29</v>
      </c>
      <c r="G13" s="11"/>
    </row>
    <row r="14" spans="1:7" x14ac:dyDescent="0.3">
      <c r="A14" s="8" t="s">
        <v>32</v>
      </c>
      <c r="B14" s="5">
        <v>20</v>
      </c>
      <c r="C14" s="5">
        <v>1</v>
      </c>
      <c r="D14" s="9">
        <v>46298</v>
      </c>
      <c r="E14" s="5"/>
      <c r="F14" s="10" t="s">
        <v>26</v>
      </c>
      <c r="G14" s="11"/>
    </row>
    <row r="15" spans="1:7" x14ac:dyDescent="0.3">
      <c r="A15" s="8" t="s">
        <v>33</v>
      </c>
      <c r="B15" s="5">
        <v>20</v>
      </c>
      <c r="C15" s="5">
        <v>1</v>
      </c>
      <c r="D15" s="9">
        <v>46298</v>
      </c>
      <c r="E15" s="5"/>
      <c r="F15" s="10" t="s">
        <v>26</v>
      </c>
      <c r="G15" s="11"/>
    </row>
    <row r="16" spans="1:7" x14ac:dyDescent="0.3">
      <c r="A16" s="8" t="s">
        <v>34</v>
      </c>
      <c r="B16" s="5">
        <v>20</v>
      </c>
      <c r="C16" s="5">
        <v>1</v>
      </c>
      <c r="D16" s="9">
        <v>46298</v>
      </c>
      <c r="E16" s="5"/>
      <c r="F16" s="10" t="s">
        <v>26</v>
      </c>
      <c r="G16" s="11"/>
    </row>
    <row r="17" spans="1:7" x14ac:dyDescent="0.3">
      <c r="A17" s="8" t="s">
        <v>35</v>
      </c>
      <c r="B17" s="5">
        <v>15</v>
      </c>
      <c r="C17" s="5">
        <v>1</v>
      </c>
      <c r="D17" s="9">
        <v>46298</v>
      </c>
      <c r="E17" s="5"/>
      <c r="F17" s="10" t="s">
        <v>26</v>
      </c>
      <c r="G17" s="11"/>
    </row>
    <row r="18" spans="1:7" x14ac:dyDescent="0.3">
      <c r="A18" s="8" t="s">
        <v>36</v>
      </c>
      <c r="B18" s="5">
        <v>20</v>
      </c>
      <c r="C18" s="5">
        <v>1</v>
      </c>
      <c r="D18" s="9">
        <v>46298</v>
      </c>
      <c r="E18" s="5"/>
      <c r="F18" s="10" t="s">
        <v>26</v>
      </c>
      <c r="G18" s="11"/>
    </row>
    <row r="19" spans="1:7" x14ac:dyDescent="0.3">
      <c r="A19" s="8" t="s">
        <v>37</v>
      </c>
      <c r="B19" s="5">
        <v>30</v>
      </c>
      <c r="C19" s="5">
        <v>2.2000000000000002</v>
      </c>
      <c r="D19" s="9">
        <v>46334</v>
      </c>
      <c r="E19" s="5"/>
      <c r="F19" s="10" t="s">
        <v>29</v>
      </c>
      <c r="G19" s="11"/>
    </row>
    <row r="20" spans="1:7" x14ac:dyDescent="0.3">
      <c r="A20" s="8" t="s">
        <v>38</v>
      </c>
      <c r="B20" s="5">
        <v>40</v>
      </c>
      <c r="C20" s="5">
        <v>2.2000000000000002</v>
      </c>
      <c r="D20" s="9">
        <v>46334</v>
      </c>
      <c r="E20" s="5"/>
      <c r="F20" s="10" t="s">
        <v>29</v>
      </c>
      <c r="G20" s="11"/>
    </row>
    <row r="21" spans="1:7" x14ac:dyDescent="0.3">
      <c r="A21" s="8" t="s">
        <v>39</v>
      </c>
      <c r="B21" s="5">
        <v>100</v>
      </c>
      <c r="C21" s="5">
        <v>2.2000000000000002</v>
      </c>
      <c r="D21" s="9">
        <v>46334</v>
      </c>
      <c r="E21" s="5"/>
      <c r="F21" s="10" t="s">
        <v>29</v>
      </c>
      <c r="G21" s="11"/>
    </row>
    <row r="22" spans="1:7" x14ac:dyDescent="0.3">
      <c r="A22" s="8" t="s">
        <v>40</v>
      </c>
      <c r="B22" s="5">
        <v>30</v>
      </c>
      <c r="C22" s="5">
        <v>2.2000000000000002</v>
      </c>
      <c r="D22" s="9">
        <v>46334</v>
      </c>
      <c r="E22" s="5"/>
      <c r="F22" s="10" t="s">
        <v>29</v>
      </c>
      <c r="G22" s="11"/>
    </row>
    <row r="23" spans="1:7" x14ac:dyDescent="0.3">
      <c r="A23" s="8" t="s">
        <v>41</v>
      </c>
      <c r="B23" s="5">
        <v>40</v>
      </c>
      <c r="C23" s="5">
        <v>1</v>
      </c>
      <c r="D23" s="9">
        <v>46298</v>
      </c>
      <c r="E23" s="5"/>
      <c r="F23" s="10" t="s">
        <v>26</v>
      </c>
      <c r="G23" s="11"/>
    </row>
    <row r="24" spans="1:7" x14ac:dyDescent="0.3">
      <c r="A24" s="8" t="s">
        <v>42</v>
      </c>
      <c r="B24" s="5">
        <v>20</v>
      </c>
      <c r="C24" s="5">
        <v>1</v>
      </c>
      <c r="D24" s="9">
        <v>46298</v>
      </c>
      <c r="E24" s="5"/>
      <c r="F24" s="10" t="s">
        <v>26</v>
      </c>
      <c r="G24" s="11"/>
    </row>
    <row r="25" spans="1:7" x14ac:dyDescent="0.3">
      <c r="A25" s="8" t="s">
        <v>43</v>
      </c>
      <c r="B25" s="5">
        <v>20</v>
      </c>
      <c r="C25" s="5">
        <v>1</v>
      </c>
      <c r="D25" s="9">
        <v>46298</v>
      </c>
      <c r="E25" s="5"/>
      <c r="F25" s="10" t="s">
        <v>26</v>
      </c>
      <c r="G25" s="11"/>
    </row>
    <row r="26" spans="1:7" x14ac:dyDescent="0.3">
      <c r="A26" s="8" t="s">
        <v>44</v>
      </c>
      <c r="B26" s="5">
        <v>50</v>
      </c>
      <c r="C26" s="5">
        <v>2.4</v>
      </c>
      <c r="D26" s="9">
        <v>46341</v>
      </c>
      <c r="E26" s="5"/>
      <c r="F26" s="10" t="s">
        <v>45</v>
      </c>
      <c r="G26" s="11"/>
    </row>
    <row r="27" spans="1:7" x14ac:dyDescent="0.3">
      <c r="A27" s="8" t="s">
        <v>46</v>
      </c>
      <c r="B27" s="5">
        <v>50</v>
      </c>
      <c r="C27" s="5">
        <v>2.4</v>
      </c>
      <c r="D27" s="9">
        <v>46341</v>
      </c>
      <c r="E27" s="5"/>
      <c r="F27" s="10" t="s">
        <v>45</v>
      </c>
      <c r="G27" s="11"/>
    </row>
    <row r="28" spans="1:7" x14ac:dyDescent="0.3">
      <c r="A28" s="8" t="s">
        <v>47</v>
      </c>
      <c r="B28" s="5">
        <v>20</v>
      </c>
      <c r="C28" s="5">
        <v>1</v>
      </c>
      <c r="D28" s="9">
        <v>46298</v>
      </c>
      <c r="E28" s="5"/>
      <c r="F28" s="10" t="s">
        <v>26</v>
      </c>
      <c r="G28" s="11"/>
    </row>
    <row r="29" spans="1:7" x14ac:dyDescent="0.3">
      <c r="A29" s="8" t="s">
        <v>48</v>
      </c>
      <c r="B29" s="5">
        <v>60</v>
      </c>
      <c r="C29" s="5">
        <v>2.4</v>
      </c>
      <c r="D29" s="9">
        <v>46341</v>
      </c>
      <c r="E29" s="5"/>
      <c r="F29" s="10" t="s">
        <v>45</v>
      </c>
      <c r="G29" s="11"/>
    </row>
    <row r="30" spans="1:7" x14ac:dyDescent="0.3">
      <c r="A30" s="8" t="s">
        <v>49</v>
      </c>
      <c r="B30" s="5">
        <v>30</v>
      </c>
      <c r="C30" s="5">
        <v>2.2000000000000002</v>
      </c>
      <c r="D30" s="9">
        <v>46334</v>
      </c>
      <c r="E30" s="5"/>
      <c r="F30" s="10" t="s">
        <v>29</v>
      </c>
      <c r="G30" s="11"/>
    </row>
    <row r="31" spans="1:7" x14ac:dyDescent="0.3">
      <c r="A31" s="8" t="s">
        <v>50</v>
      </c>
      <c r="B31" s="5">
        <v>30</v>
      </c>
      <c r="C31" s="5">
        <v>2.2000000000000002</v>
      </c>
      <c r="D31" s="9">
        <v>46334</v>
      </c>
      <c r="E31" s="5"/>
      <c r="F31" s="10" t="s">
        <v>29</v>
      </c>
      <c r="G31" s="11"/>
    </row>
    <row r="32" spans="1:7" x14ac:dyDescent="0.3">
      <c r="A32" s="8" t="s">
        <v>51</v>
      </c>
      <c r="B32" s="5">
        <v>20</v>
      </c>
      <c r="C32" s="5">
        <v>2.4</v>
      </c>
      <c r="D32" s="9">
        <v>46341</v>
      </c>
      <c r="E32" s="5"/>
      <c r="F32" s="10" t="s">
        <v>45</v>
      </c>
      <c r="G32" s="11"/>
    </row>
    <row r="33" spans="1:7" x14ac:dyDescent="0.3">
      <c r="A33" s="8" t="s">
        <v>52</v>
      </c>
      <c r="B33" s="5">
        <v>30</v>
      </c>
      <c r="C33" s="5">
        <v>2.4</v>
      </c>
      <c r="D33" s="9">
        <v>46341</v>
      </c>
      <c r="E33" s="5"/>
      <c r="F33" s="10" t="s">
        <v>45</v>
      </c>
      <c r="G33" s="11"/>
    </row>
    <row r="34" spans="1:7" x14ac:dyDescent="0.3">
      <c r="A34" s="8" t="s">
        <v>53</v>
      </c>
      <c r="B34" s="5">
        <v>30</v>
      </c>
      <c r="C34" s="5">
        <v>2.4</v>
      </c>
      <c r="D34" s="9">
        <v>46341</v>
      </c>
      <c r="E34" s="5"/>
      <c r="F34" s="10" t="s">
        <v>45</v>
      </c>
      <c r="G34" s="11"/>
    </row>
    <row r="35" spans="1:7" x14ac:dyDescent="0.3">
      <c r="A35" s="8" t="s">
        <v>54</v>
      </c>
      <c r="B35" s="5">
        <v>20</v>
      </c>
      <c r="C35" s="5">
        <v>2.4</v>
      </c>
      <c r="D35" s="9">
        <v>46341</v>
      </c>
      <c r="E35" s="5"/>
      <c r="F35" s="10" t="s">
        <v>45</v>
      </c>
      <c r="G35" s="11"/>
    </row>
    <row r="36" spans="1:7" x14ac:dyDescent="0.3">
      <c r="A36" s="8" t="s">
        <v>55</v>
      </c>
      <c r="B36" s="5">
        <v>20</v>
      </c>
      <c r="C36" s="5">
        <v>2.4</v>
      </c>
      <c r="D36" s="9">
        <v>46341</v>
      </c>
      <c r="E36" s="5"/>
      <c r="F36" s="10" t="s">
        <v>45</v>
      </c>
      <c r="G36" s="11"/>
    </row>
    <row r="37" spans="1:7" x14ac:dyDescent="0.3">
      <c r="A37" s="8" t="s">
        <v>56</v>
      </c>
      <c r="B37" s="5">
        <v>20</v>
      </c>
      <c r="C37" s="5">
        <v>2.4</v>
      </c>
      <c r="D37" s="9">
        <v>46341</v>
      </c>
      <c r="E37" s="5"/>
      <c r="F37" s="10" t="s">
        <v>45</v>
      </c>
      <c r="G37" s="11"/>
    </row>
    <row r="38" spans="1:7" x14ac:dyDescent="0.3">
      <c r="A38" s="8" t="s">
        <v>57</v>
      </c>
      <c r="B38" s="5">
        <v>50</v>
      </c>
      <c r="C38" s="5">
        <v>0.8</v>
      </c>
      <c r="D38" s="9">
        <v>46293</v>
      </c>
      <c r="E38" s="5"/>
      <c r="F38" s="10" t="s">
        <v>58</v>
      </c>
      <c r="G38" s="11"/>
    </row>
    <row r="39" spans="1:7" x14ac:dyDescent="0.3">
      <c r="A39" s="8" t="s">
        <v>59</v>
      </c>
      <c r="B39" s="5">
        <v>20</v>
      </c>
      <c r="C39" s="5">
        <v>0.8</v>
      </c>
      <c r="D39" s="9">
        <v>46293</v>
      </c>
      <c r="E39" s="5"/>
      <c r="F39" s="10" t="s">
        <v>58</v>
      </c>
      <c r="G39" s="11"/>
    </row>
    <row r="40" spans="1:7" x14ac:dyDescent="0.3">
      <c r="A40" s="8" t="s">
        <v>60</v>
      </c>
      <c r="B40" s="5">
        <v>20</v>
      </c>
      <c r="C40" s="5">
        <v>0.8</v>
      </c>
      <c r="D40" s="9">
        <v>46293</v>
      </c>
      <c r="E40" s="5"/>
      <c r="F40" s="10" t="s">
        <v>58</v>
      </c>
      <c r="G40" s="11"/>
    </row>
    <row r="41" spans="1:7" x14ac:dyDescent="0.3">
      <c r="A41" s="8" t="s">
        <v>61</v>
      </c>
      <c r="B41" s="5">
        <v>100</v>
      </c>
      <c r="C41" s="5">
        <v>2.2000000000000002</v>
      </c>
      <c r="D41" s="9">
        <v>46334</v>
      </c>
      <c r="E41" s="5"/>
      <c r="F41" s="10" t="s">
        <v>29</v>
      </c>
      <c r="G41" s="11"/>
    </row>
    <row r="42" spans="1:7" x14ac:dyDescent="0.3">
      <c r="A42" s="8" t="s">
        <v>62</v>
      </c>
      <c r="B42" s="5">
        <v>40</v>
      </c>
      <c r="C42" s="5">
        <v>2.2000000000000002</v>
      </c>
      <c r="D42" s="9">
        <v>46334</v>
      </c>
      <c r="E42" s="5"/>
      <c r="F42" s="10" t="s">
        <v>29</v>
      </c>
      <c r="G42" s="11"/>
    </row>
    <row r="43" spans="1:7" x14ac:dyDescent="0.3">
      <c r="A43" s="8" t="s">
        <v>63</v>
      </c>
      <c r="B43" s="5">
        <v>40</v>
      </c>
      <c r="C43" s="5">
        <v>2.2000000000000002</v>
      </c>
      <c r="D43" s="9">
        <v>46334</v>
      </c>
      <c r="E43" s="5"/>
      <c r="F43" s="10" t="s">
        <v>29</v>
      </c>
      <c r="G43" s="11"/>
    </row>
    <row r="44" spans="1:7" x14ac:dyDescent="0.3">
      <c r="A44" s="8" t="s">
        <v>64</v>
      </c>
      <c r="B44" s="5">
        <v>80</v>
      </c>
      <c r="C44" s="5">
        <v>2.2000000000000002</v>
      </c>
      <c r="D44" s="9">
        <v>46334</v>
      </c>
      <c r="E44" s="5"/>
      <c r="F44" s="10" t="s">
        <v>29</v>
      </c>
      <c r="G44" s="11"/>
    </row>
    <row r="45" spans="1:7" x14ac:dyDescent="0.3">
      <c r="A45" s="8" t="s">
        <v>65</v>
      </c>
      <c r="B45" s="5">
        <v>100</v>
      </c>
      <c r="C45" s="5">
        <v>2.2000000000000002</v>
      </c>
      <c r="D45" s="9">
        <v>46334</v>
      </c>
      <c r="E45" s="5"/>
      <c r="F45" s="10" t="s">
        <v>29</v>
      </c>
      <c r="G45" s="11"/>
    </row>
    <row r="46" spans="1:7" x14ac:dyDescent="0.3">
      <c r="A46" s="8" t="s">
        <v>66</v>
      </c>
      <c r="B46" s="5">
        <v>100</v>
      </c>
      <c r="C46" s="5">
        <v>2.2000000000000002</v>
      </c>
      <c r="D46" s="9">
        <v>46334</v>
      </c>
      <c r="E46" s="5"/>
      <c r="F46" s="10" t="s">
        <v>29</v>
      </c>
      <c r="G46" s="11"/>
    </row>
    <row r="47" spans="1:7" x14ac:dyDescent="0.3">
      <c r="A47" s="8" t="s">
        <v>67</v>
      </c>
      <c r="B47" s="5">
        <v>100</v>
      </c>
      <c r="C47" s="5">
        <v>2.2000000000000002</v>
      </c>
      <c r="D47" s="9">
        <v>46334</v>
      </c>
      <c r="E47" s="5"/>
      <c r="F47" s="10" t="s">
        <v>29</v>
      </c>
      <c r="G47" s="11"/>
    </row>
    <row r="48" spans="1:7" x14ac:dyDescent="0.3">
      <c r="A48" s="8" t="s">
        <v>68</v>
      </c>
      <c r="B48" s="5">
        <v>100</v>
      </c>
      <c r="C48" s="5">
        <v>2.2000000000000002</v>
      </c>
      <c r="D48" s="9">
        <v>46334</v>
      </c>
      <c r="E48" s="5"/>
      <c r="F48" s="10" t="s">
        <v>29</v>
      </c>
      <c r="G48" s="11"/>
    </row>
    <row r="49" spans="1:7" x14ac:dyDescent="0.3">
      <c r="A49" s="8" t="s">
        <v>69</v>
      </c>
      <c r="B49" s="5">
        <v>80</v>
      </c>
      <c r="C49" s="5">
        <v>2.2000000000000002</v>
      </c>
      <c r="D49" s="9">
        <v>46334</v>
      </c>
      <c r="E49" s="5"/>
      <c r="F49" s="10" t="s">
        <v>29</v>
      </c>
      <c r="G49" s="11"/>
    </row>
    <row r="50" spans="1:7" x14ac:dyDescent="0.3">
      <c r="A50" s="8" t="s">
        <v>70</v>
      </c>
      <c r="B50" s="5">
        <v>80</v>
      </c>
      <c r="C50" s="5">
        <v>2.2000000000000002</v>
      </c>
      <c r="D50" s="9">
        <v>46334</v>
      </c>
      <c r="E50" s="5"/>
      <c r="F50" s="10" t="s">
        <v>29</v>
      </c>
      <c r="G50" s="11"/>
    </row>
    <row r="51" spans="1:7" x14ac:dyDescent="0.3">
      <c r="A51" s="8" t="s">
        <v>71</v>
      </c>
      <c r="B51" s="5">
        <v>20</v>
      </c>
      <c r="C51" s="5">
        <v>1</v>
      </c>
      <c r="D51" s="9">
        <v>46298</v>
      </c>
      <c r="E51" s="5"/>
      <c r="F51" s="10" t="s">
        <v>26</v>
      </c>
      <c r="G51" s="11"/>
    </row>
    <row r="52" spans="1:7" x14ac:dyDescent="0.3">
      <c r="A52" s="8" t="s">
        <v>72</v>
      </c>
      <c r="B52" s="5">
        <v>20</v>
      </c>
      <c r="C52" s="5">
        <v>1</v>
      </c>
      <c r="D52" s="9">
        <v>46298</v>
      </c>
      <c r="E52" s="5"/>
      <c r="F52" s="10" t="s">
        <v>26</v>
      </c>
      <c r="G52" s="11"/>
    </row>
    <row r="53" spans="1:7" x14ac:dyDescent="0.3">
      <c r="A53" s="8" t="s">
        <v>73</v>
      </c>
      <c r="B53" s="5">
        <v>25</v>
      </c>
      <c r="C53" s="5">
        <v>0.8</v>
      </c>
      <c r="D53" s="9">
        <v>46293</v>
      </c>
      <c r="E53" s="5"/>
      <c r="F53" s="10" t="s">
        <v>58</v>
      </c>
      <c r="G53" s="11"/>
    </row>
    <row r="54" spans="1:7" x14ac:dyDescent="0.3">
      <c r="A54" s="8" t="s">
        <v>74</v>
      </c>
      <c r="B54" s="5">
        <v>25</v>
      </c>
      <c r="C54" s="5">
        <v>0.8</v>
      </c>
      <c r="D54" s="9">
        <v>46293</v>
      </c>
      <c r="E54" s="5"/>
      <c r="F54" s="10" t="s">
        <v>58</v>
      </c>
      <c r="G54" s="11"/>
    </row>
    <row r="55" spans="1:7" x14ac:dyDescent="0.3">
      <c r="A55" s="8" t="s">
        <v>75</v>
      </c>
      <c r="B55" s="5">
        <v>25</v>
      </c>
      <c r="C55" s="5">
        <v>0.8</v>
      </c>
      <c r="D55" s="9">
        <v>46293</v>
      </c>
      <c r="E55" s="5"/>
      <c r="F55" s="10" t="s">
        <v>58</v>
      </c>
      <c r="G55" s="11"/>
    </row>
    <row r="56" spans="1:7" x14ac:dyDescent="0.3">
      <c r="A56" s="8" t="s">
        <v>76</v>
      </c>
      <c r="B56" s="5">
        <v>15</v>
      </c>
      <c r="C56" s="5">
        <v>0.8</v>
      </c>
      <c r="D56" s="9">
        <v>46293</v>
      </c>
      <c r="E56" s="5"/>
      <c r="F56" s="10" t="s">
        <v>58</v>
      </c>
      <c r="G56" s="11"/>
    </row>
    <row r="57" spans="1:7" x14ac:dyDescent="0.3">
      <c r="A57" s="8" t="s">
        <v>77</v>
      </c>
      <c r="B57" s="5">
        <v>20</v>
      </c>
      <c r="C57" s="5">
        <v>0.8</v>
      </c>
      <c r="D57" s="9">
        <v>46293</v>
      </c>
      <c r="E57" s="5"/>
      <c r="F57" s="10" t="s">
        <v>58</v>
      </c>
      <c r="G57" s="11"/>
    </row>
    <row r="58" spans="1:7" x14ac:dyDescent="0.3">
      <c r="A58" s="8" t="s">
        <v>78</v>
      </c>
      <c r="B58" s="5">
        <v>15</v>
      </c>
      <c r="C58" s="5">
        <v>1</v>
      </c>
      <c r="D58" s="9">
        <v>46298</v>
      </c>
      <c r="E58" s="5"/>
      <c r="F58" s="10" t="s">
        <v>26</v>
      </c>
      <c r="G58" s="11"/>
    </row>
    <row r="59" spans="1:7" x14ac:dyDescent="0.3">
      <c r="A59" s="8" t="s">
        <v>79</v>
      </c>
      <c r="B59" s="5">
        <v>15</v>
      </c>
      <c r="C59" s="5">
        <v>1</v>
      </c>
      <c r="D59" s="9">
        <v>46298</v>
      </c>
      <c r="E59" s="5"/>
      <c r="F59" s="10" t="s">
        <v>26</v>
      </c>
      <c r="G59" s="11"/>
    </row>
    <row r="60" spans="1:7" x14ac:dyDescent="0.3">
      <c r="A60" s="8" t="s">
        <v>80</v>
      </c>
      <c r="B60" s="5">
        <v>15</v>
      </c>
      <c r="C60" s="5">
        <v>0.8</v>
      </c>
      <c r="D60" s="9">
        <v>46293</v>
      </c>
      <c r="E60" s="5"/>
      <c r="F60" s="10" t="s">
        <v>58</v>
      </c>
      <c r="G60" s="11"/>
    </row>
    <row r="61" spans="1:7" x14ac:dyDescent="0.3">
      <c r="A61" s="8" t="s">
        <v>81</v>
      </c>
      <c r="B61" s="5">
        <v>30</v>
      </c>
      <c r="C61" s="5">
        <v>0.8</v>
      </c>
      <c r="D61" s="9">
        <v>46293</v>
      </c>
      <c r="E61" s="5"/>
      <c r="F61" s="10" t="s">
        <v>58</v>
      </c>
      <c r="G61" s="11"/>
    </row>
    <row r="62" spans="1:7" x14ac:dyDescent="0.3">
      <c r="A62" s="8" t="s">
        <v>82</v>
      </c>
      <c r="B62" s="5">
        <v>20</v>
      </c>
      <c r="C62" s="5">
        <v>0.8</v>
      </c>
      <c r="D62" s="9">
        <v>46293</v>
      </c>
      <c r="E62" s="5"/>
      <c r="F62" s="10" t="s">
        <v>58</v>
      </c>
      <c r="G62" s="11"/>
    </row>
    <row r="63" spans="1:7" x14ac:dyDescent="0.3">
      <c r="A63" s="8" t="s">
        <v>83</v>
      </c>
      <c r="B63" s="5">
        <v>20</v>
      </c>
      <c r="C63" s="5">
        <v>0.8</v>
      </c>
      <c r="D63" s="9">
        <v>46293</v>
      </c>
      <c r="E63" s="5"/>
      <c r="F63" s="10" t="s">
        <v>58</v>
      </c>
      <c r="G63" s="11"/>
    </row>
    <row r="64" spans="1:7" x14ac:dyDescent="0.3">
      <c r="A64" s="8" t="s">
        <v>84</v>
      </c>
      <c r="B64" s="5">
        <v>15</v>
      </c>
      <c r="C64" s="5">
        <v>0.8</v>
      </c>
      <c r="D64" s="9">
        <v>46293</v>
      </c>
      <c r="E64" s="5"/>
      <c r="F64" s="10" t="s">
        <v>58</v>
      </c>
      <c r="G64" s="11"/>
    </row>
    <row r="65" spans="1:7" x14ac:dyDescent="0.3">
      <c r="A65" s="8" t="s">
        <v>85</v>
      </c>
      <c r="B65" s="5">
        <v>15</v>
      </c>
      <c r="C65" s="5">
        <v>0.8</v>
      </c>
      <c r="D65" s="9">
        <v>46293</v>
      </c>
      <c r="E65" s="5"/>
      <c r="F65" s="10" t="s">
        <v>58</v>
      </c>
      <c r="G65" s="11"/>
    </row>
    <row r="66" spans="1:7" x14ac:dyDescent="0.3">
      <c r="A66" s="8" t="s">
        <v>86</v>
      </c>
      <c r="B66" s="5">
        <v>20</v>
      </c>
      <c r="C66" s="5">
        <v>0.8</v>
      </c>
      <c r="D66" s="9">
        <v>46293</v>
      </c>
      <c r="E66" s="5"/>
      <c r="F66" s="10" t="s">
        <v>58</v>
      </c>
      <c r="G66" s="11"/>
    </row>
    <row r="67" spans="1:7" x14ac:dyDescent="0.3">
      <c r="A67" s="8" t="s">
        <v>87</v>
      </c>
      <c r="B67" s="5">
        <v>20</v>
      </c>
      <c r="C67" s="5">
        <v>0.8</v>
      </c>
      <c r="D67" s="9">
        <v>46293</v>
      </c>
      <c r="E67" s="5"/>
      <c r="F67" s="10" t="s">
        <v>58</v>
      </c>
      <c r="G67" s="11"/>
    </row>
    <row r="68" spans="1:7" x14ac:dyDescent="0.3">
      <c r="A68" s="8" t="s">
        <v>88</v>
      </c>
      <c r="B68" s="5">
        <v>20</v>
      </c>
      <c r="C68" s="5">
        <v>0.8</v>
      </c>
      <c r="D68" s="9">
        <v>46293</v>
      </c>
      <c r="E68" s="5"/>
      <c r="F68" s="10" t="s">
        <v>58</v>
      </c>
      <c r="G68" s="11"/>
    </row>
    <row r="69" spans="1:7" x14ac:dyDescent="0.3">
      <c r="A69" s="8" t="s">
        <v>89</v>
      </c>
      <c r="B69" s="5">
        <v>20</v>
      </c>
      <c r="C69" s="5">
        <v>0.8</v>
      </c>
      <c r="D69" s="9">
        <v>46293</v>
      </c>
      <c r="E69" s="5"/>
      <c r="F69" s="10" t="s">
        <v>58</v>
      </c>
      <c r="G69" s="11"/>
    </row>
    <row r="70" spans="1:7" x14ac:dyDescent="0.3">
      <c r="A70" s="8" t="s">
        <v>90</v>
      </c>
      <c r="B70" s="5">
        <v>25</v>
      </c>
      <c r="C70" s="5">
        <v>0.8</v>
      </c>
      <c r="D70" s="9">
        <v>46293</v>
      </c>
      <c r="E70" s="5"/>
      <c r="F70" s="10" t="s">
        <v>58</v>
      </c>
      <c r="G70" s="11"/>
    </row>
    <row r="71" spans="1:7" x14ac:dyDescent="0.3">
      <c r="A71" s="8" t="s">
        <v>91</v>
      </c>
      <c r="B71" s="5">
        <v>35</v>
      </c>
      <c r="C71" s="5">
        <v>0.8</v>
      </c>
      <c r="D71" s="9">
        <v>46293</v>
      </c>
      <c r="E71" s="5"/>
      <c r="F71" s="10" t="s">
        <v>58</v>
      </c>
      <c r="G71" s="11"/>
    </row>
    <row r="72" spans="1:7" x14ac:dyDescent="0.3">
      <c r="A72" s="8" t="s">
        <v>92</v>
      </c>
      <c r="B72" s="5">
        <v>25</v>
      </c>
      <c r="C72" s="5">
        <v>0.8</v>
      </c>
      <c r="D72" s="9">
        <v>46293</v>
      </c>
      <c r="E72" s="5"/>
      <c r="F72" s="10" t="s">
        <v>58</v>
      </c>
      <c r="G72" s="11"/>
    </row>
    <row r="73" spans="1:7" x14ac:dyDescent="0.3">
      <c r="A73" s="8" t="s">
        <v>93</v>
      </c>
      <c r="B73" s="5">
        <v>40</v>
      </c>
      <c r="C73" s="5">
        <v>1</v>
      </c>
      <c r="D73" s="9">
        <v>46298</v>
      </c>
      <c r="E73" s="5"/>
      <c r="F73" s="10" t="s">
        <v>26</v>
      </c>
      <c r="G73" s="11"/>
    </row>
    <row r="74" spans="1:7" x14ac:dyDescent="0.3">
      <c r="A74" s="8" t="s">
        <v>94</v>
      </c>
      <c r="B74" s="5">
        <v>30</v>
      </c>
      <c r="C74" s="5">
        <v>1</v>
      </c>
      <c r="D74" s="9">
        <v>46298</v>
      </c>
      <c r="E74" s="5"/>
      <c r="F74" s="10" t="s">
        <v>26</v>
      </c>
      <c r="G74" s="11"/>
    </row>
    <row r="75" spans="1:7" x14ac:dyDescent="0.3">
      <c r="A75" s="8" t="s">
        <v>95</v>
      </c>
      <c r="B75" s="5">
        <v>30</v>
      </c>
      <c r="C75" s="5">
        <v>1</v>
      </c>
      <c r="D75" s="9">
        <v>46298</v>
      </c>
      <c r="E75" s="5"/>
      <c r="F75" s="10" t="s">
        <v>26</v>
      </c>
      <c r="G75" s="11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"/>
  <sheetViews>
    <sheetView showGridLines="0" zoomScaleNormal="100" workbookViewId="0"/>
  </sheetViews>
  <sheetFormatPr defaultColWidth="8.6640625" defaultRowHeight="14.4" x14ac:dyDescent="0.3"/>
  <cols>
    <col min="1" max="1" width="60" customWidth="1"/>
  </cols>
  <sheetData>
    <row r="1" spans="1:1" ht="17.399999999999999" x14ac:dyDescent="0.3">
      <c r="A1" s="1" t="s">
        <v>96</v>
      </c>
    </row>
    <row r="2" spans="1:1" x14ac:dyDescent="0.3">
      <c r="A2" s="2" t="s">
        <v>97</v>
      </c>
    </row>
    <row r="4" spans="1:1" x14ac:dyDescent="0.3">
      <c r="A4" s="12" t="s">
        <v>98</v>
      </c>
    </row>
  </sheetData>
  <conditionalFormatting sqref="G5:G4000">
    <cfRule type="expression" dxfId="8" priority="10">
      <formula>AND(ISNUMBER(G5),G5&gt;0)</formula>
    </cfRule>
  </conditionalFormatting>
  <conditionalFormatting sqref="I5:I4000">
    <cfRule type="expression" dxfId="7" priority="8">
      <formula>AND(ISNUMBER(I5),I5&lt;Prag,H5&gt;0)</formula>
    </cfRule>
    <cfRule type="expression" dxfId="6" priority="9">
      <formula>AND(ISNUMBER(I5),I5&gt;=Prag,I5&lt;900)</formula>
    </cfRule>
  </conditionalFormatting>
  <conditionalFormatting sqref="Q5:Q4000">
    <cfRule type="expression" dxfId="5" priority="2">
      <formula>ISNUMBER(SEARCH("Rupa",Q5))</formula>
    </cfRule>
    <cfRule type="expression" dxfId="4" priority="3">
      <formula>ISNUMBER(SEARCH("Naruci",Q5))</formula>
    </cfRule>
    <cfRule type="expression" dxfId="3" priority="4">
      <formula>ISNUMBER(SEARCH("Narudzbu",Q5))</formula>
    </cfRule>
    <cfRule type="expression" dxfId="2" priority="5">
      <formula>ISNUMBER(SEARCH("nije dovoljna",Q5))</formula>
    </cfRule>
    <cfRule type="expression" dxfId="1" priority="6">
      <formula>ISNUMBER(SEARCH("Sve u redu",Q5))</formula>
    </cfRule>
    <cfRule type="expression" dxfId="0" priority="7">
      <formula>ISNUMBER(SEARCH("Stize na vrijeme",Q5))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40FC2E-373E-45A1-9C18-473138567D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POSTAVKE</vt:lpstr>
      <vt:lpstr>ROBA_U_DOLASKU</vt:lpstr>
      <vt:lpstr>NABAVA</vt:lpstr>
      <vt:lpstr>MapaPutanja</vt:lpstr>
      <vt:lpstr>Prag</vt:lpstr>
      <vt:lpstr>RollingN</vt:lpstr>
      <vt:lpstr>Tranzit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rafael.badun7@gmail.com</cp:lastModifiedBy>
  <cp:revision>0</cp:revision>
  <dcterms:created xsi:type="dcterms:W3CDTF">2026-09-20T09:49:53Z</dcterms:created>
  <dcterms:modified xsi:type="dcterms:W3CDTF">2026-09-20T23:36:46Z</dcterms:modified>
  <dc:language>en-US</dc:language>
</cp:coreProperties>
</file>